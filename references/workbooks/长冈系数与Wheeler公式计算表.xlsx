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D:\电磁感应项目\"/>
    </mc:Choice>
  </mc:AlternateContent>
  <xr:revisionPtr revIDLastSave="0" documentId="13_ncr:1_{8DBB8635-07F0-4701-B6D4-B79325BB3730}" xr6:coauthVersionLast="36" xr6:coauthVersionMax="36" xr10:uidLastSave="{00000000-0000-0000-0000-000000000000}"/>
  <bookViews>
    <workbookView xWindow="0" yWindow="0" windowWidth="28800" windowHeight="12135" activeTab="1" xr2:uid="{00000000-000D-0000-FFFF-FFFF00000000}"/>
  </bookViews>
  <sheets>
    <sheet name="说明" sheetId="1" r:id="rId1"/>
    <sheet name="长冈系数计算" sheetId="2" r:id="rId2"/>
    <sheet name="表格校验" sheetId="3" r:id="rId3"/>
    <sheet name="公式出处" sheetId="4" r:id="rId4"/>
    <sheet name="Wheeler_单层" sheetId="5" r:id="rId5"/>
    <sheet name="Wheeler_多层" sheetId="6" r:id="rId6"/>
  </sheets>
  <calcPr calcId="191029"/>
</workbook>
</file>

<file path=xl/calcChain.xml><?xml version="1.0" encoding="utf-8"?>
<calcChain xmlns="http://schemas.openxmlformats.org/spreadsheetml/2006/main">
  <c r="B15" i="6" l="1"/>
  <c r="B11" i="6"/>
  <c r="B10" i="6"/>
  <c r="B9" i="6"/>
  <c r="B14" i="6" s="1"/>
  <c r="B13" i="5"/>
  <c r="B9" i="5"/>
  <c r="B8" i="5"/>
  <c r="B12" i="5" s="1"/>
  <c r="I412" i="2"/>
  <c r="H412" i="2"/>
  <c r="I411" i="2"/>
  <c r="H411" i="2"/>
  <c r="I410" i="2"/>
  <c r="H410" i="2"/>
  <c r="I409" i="2"/>
  <c r="H409" i="2"/>
  <c r="K408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K403" i="2" s="1"/>
  <c r="K402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K396" i="2"/>
  <c r="J396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K390" i="2"/>
  <c r="J390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J385" i="2" s="1"/>
  <c r="J384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J379" i="2" s="1"/>
  <c r="K378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K373" i="2" s="1"/>
  <c r="K372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K367" i="2" s="1"/>
  <c r="K366" i="2"/>
  <c r="J366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K360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K355" i="2" s="1"/>
  <c r="I354" i="2"/>
  <c r="H354" i="2"/>
  <c r="I353" i="2"/>
  <c r="H353" i="2"/>
  <c r="I352" i="2"/>
  <c r="H352" i="2"/>
  <c r="I351" i="2"/>
  <c r="H351" i="2"/>
  <c r="I350" i="2"/>
  <c r="H350" i="2"/>
  <c r="I349" i="2"/>
  <c r="H349" i="2"/>
  <c r="J349" i="2" s="1"/>
  <c r="I348" i="2"/>
  <c r="H348" i="2"/>
  <c r="I347" i="2"/>
  <c r="H347" i="2"/>
  <c r="I346" i="2"/>
  <c r="H346" i="2"/>
  <c r="I345" i="2"/>
  <c r="H345" i="2"/>
  <c r="I344" i="2"/>
  <c r="H344" i="2"/>
  <c r="K343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K337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K331" i="2"/>
  <c r="J331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J326" i="2" s="1"/>
  <c r="K325" i="2"/>
  <c r="J325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J319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J314" i="2" s="1"/>
  <c r="K313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K308" i="2" s="1"/>
  <c r="K307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K302" i="2" s="1"/>
  <c r="K301" i="2"/>
  <c r="I301" i="2"/>
  <c r="H301" i="2"/>
  <c r="I300" i="2"/>
  <c r="H300" i="2"/>
  <c r="I299" i="2"/>
  <c r="H299" i="2"/>
  <c r="I298" i="2"/>
  <c r="H298" i="2"/>
  <c r="I297" i="2"/>
  <c r="H297" i="2"/>
  <c r="J296" i="2"/>
  <c r="I296" i="2"/>
  <c r="H296" i="2"/>
  <c r="K296" i="2" s="1"/>
  <c r="I295" i="2"/>
  <c r="H295" i="2"/>
  <c r="I294" i="2"/>
  <c r="H294" i="2"/>
  <c r="I293" i="2"/>
  <c r="H293" i="2"/>
  <c r="I292" i="2"/>
  <c r="H292" i="2"/>
  <c r="I291" i="2"/>
  <c r="H291" i="2"/>
  <c r="K290" i="2"/>
  <c r="J290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J285" i="2" s="1"/>
  <c r="J284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J279" i="2" s="1"/>
  <c r="K278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K273" i="2" s="1"/>
  <c r="K272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K267" i="2" s="1"/>
  <c r="K266" i="2"/>
  <c r="J266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K260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K255" i="2" s="1"/>
  <c r="I254" i="2"/>
  <c r="H254" i="2"/>
  <c r="I253" i="2"/>
  <c r="H253" i="2"/>
  <c r="I252" i="2"/>
  <c r="H252" i="2"/>
  <c r="I251" i="2"/>
  <c r="H251" i="2"/>
  <c r="I250" i="2"/>
  <c r="H250" i="2"/>
  <c r="I249" i="2"/>
  <c r="H249" i="2"/>
  <c r="J249" i="2" s="1"/>
  <c r="I248" i="2"/>
  <c r="H248" i="2"/>
  <c r="I247" i="2"/>
  <c r="H247" i="2"/>
  <c r="I246" i="2"/>
  <c r="H246" i="2"/>
  <c r="I245" i="2"/>
  <c r="H245" i="2"/>
  <c r="I244" i="2"/>
  <c r="H244" i="2"/>
  <c r="I243" i="2"/>
  <c r="H243" i="2"/>
  <c r="K243" i="2" s="1"/>
  <c r="I242" i="2"/>
  <c r="H242" i="2"/>
  <c r="I241" i="2"/>
  <c r="H241" i="2"/>
  <c r="I240" i="2"/>
  <c r="H240" i="2"/>
  <c r="I239" i="2"/>
  <c r="H239" i="2"/>
  <c r="I238" i="2"/>
  <c r="H238" i="2"/>
  <c r="I237" i="2"/>
  <c r="H237" i="2"/>
  <c r="K237" i="2" s="1"/>
  <c r="I236" i="2"/>
  <c r="H236" i="2"/>
  <c r="I235" i="2"/>
  <c r="H235" i="2"/>
  <c r="I234" i="2"/>
  <c r="H234" i="2"/>
  <c r="I233" i="2"/>
  <c r="H233" i="2"/>
  <c r="I232" i="2"/>
  <c r="H232" i="2"/>
  <c r="K231" i="2"/>
  <c r="J231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J226" i="2" s="1"/>
  <c r="K225" i="2"/>
  <c r="J225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J219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J214" i="2" s="1"/>
  <c r="K213" i="2"/>
  <c r="I213" i="2"/>
  <c r="H213" i="2"/>
  <c r="I212" i="2"/>
  <c r="H212" i="2"/>
  <c r="I211" i="2"/>
  <c r="H211" i="2"/>
  <c r="I210" i="2"/>
  <c r="H210" i="2"/>
  <c r="I209" i="2"/>
  <c r="H209" i="2"/>
  <c r="K208" i="2"/>
  <c r="I208" i="2"/>
  <c r="H208" i="2"/>
  <c r="K207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K202" i="2" s="1"/>
  <c r="K201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K196" i="2" s="1"/>
  <c r="I195" i="2"/>
  <c r="H195" i="2"/>
  <c r="I194" i="2"/>
  <c r="H194" i="2"/>
  <c r="I193" i="2"/>
  <c r="H193" i="2"/>
  <c r="I192" i="2"/>
  <c r="H192" i="2"/>
  <c r="I191" i="2"/>
  <c r="H191" i="2"/>
  <c r="K190" i="2"/>
  <c r="J190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J185" i="2" s="1"/>
  <c r="J184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J179" i="2" s="1"/>
  <c r="K178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K173" i="2" s="1"/>
  <c r="K172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K167" i="2" s="1"/>
  <c r="K166" i="2"/>
  <c r="J166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K161" i="2" s="1"/>
  <c r="K160" i="2"/>
  <c r="I160" i="2"/>
  <c r="H160" i="2"/>
  <c r="I159" i="2"/>
  <c r="H159" i="2"/>
  <c r="I158" i="2"/>
  <c r="H158" i="2"/>
  <c r="I157" i="2"/>
  <c r="H157" i="2"/>
  <c r="I156" i="2"/>
  <c r="H156" i="2"/>
  <c r="K155" i="2"/>
  <c r="I155" i="2"/>
  <c r="H155" i="2"/>
  <c r="J155" i="2" s="1"/>
  <c r="I154" i="2"/>
  <c r="H154" i="2"/>
  <c r="I153" i="2"/>
  <c r="H153" i="2"/>
  <c r="I152" i="2"/>
  <c r="H152" i="2"/>
  <c r="I151" i="2"/>
  <c r="H151" i="2"/>
  <c r="I150" i="2"/>
  <c r="H150" i="2"/>
  <c r="I149" i="2"/>
  <c r="H149" i="2"/>
  <c r="J149" i="2" s="1"/>
  <c r="I148" i="2"/>
  <c r="H148" i="2"/>
  <c r="I147" i="2"/>
  <c r="H147" i="2"/>
  <c r="I146" i="2"/>
  <c r="H146" i="2"/>
  <c r="I145" i="2"/>
  <c r="H145" i="2"/>
  <c r="I144" i="2"/>
  <c r="H144" i="2"/>
  <c r="I143" i="2"/>
  <c r="H143" i="2"/>
  <c r="K143" i="2" s="1"/>
  <c r="I142" i="2"/>
  <c r="H142" i="2"/>
  <c r="I141" i="2"/>
  <c r="H141" i="2"/>
  <c r="I140" i="2"/>
  <c r="H140" i="2"/>
  <c r="I139" i="2"/>
  <c r="H139" i="2"/>
  <c r="I138" i="2"/>
  <c r="H138" i="2"/>
  <c r="K137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K131" i="2"/>
  <c r="J131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J126" i="2" s="1"/>
  <c r="K125" i="2"/>
  <c r="J125" i="2"/>
  <c r="I125" i="2"/>
  <c r="H125" i="2"/>
  <c r="I124" i="2"/>
  <c r="H124" i="2"/>
  <c r="I123" i="2"/>
  <c r="H123" i="2"/>
  <c r="I122" i="2"/>
  <c r="H122" i="2"/>
  <c r="I121" i="2"/>
  <c r="H121" i="2"/>
  <c r="J120" i="2"/>
  <c r="I120" i="2"/>
  <c r="H120" i="2"/>
  <c r="K120" i="2" s="1"/>
  <c r="J119" i="2"/>
  <c r="I119" i="2"/>
  <c r="H119" i="2"/>
  <c r="I118" i="2"/>
  <c r="H118" i="2"/>
  <c r="I117" i="2"/>
  <c r="H117" i="2"/>
  <c r="I116" i="2"/>
  <c r="H116" i="2"/>
  <c r="I115" i="2"/>
  <c r="H115" i="2"/>
  <c r="J114" i="2"/>
  <c r="I114" i="2"/>
  <c r="H114" i="2"/>
  <c r="K113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K108" i="2" s="1"/>
  <c r="K107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K102" i="2" s="1"/>
  <c r="K101" i="2"/>
  <c r="I101" i="2"/>
  <c r="H101" i="2"/>
  <c r="I100" i="2"/>
  <c r="H100" i="2"/>
  <c r="I99" i="2"/>
  <c r="H99" i="2"/>
  <c r="I98" i="2"/>
  <c r="H98" i="2"/>
  <c r="I97" i="2"/>
  <c r="H97" i="2"/>
  <c r="I96" i="2"/>
  <c r="H96" i="2"/>
  <c r="J96" i="2" s="1"/>
  <c r="I95" i="2"/>
  <c r="H95" i="2"/>
  <c r="I94" i="2"/>
  <c r="H94" i="2"/>
  <c r="I93" i="2"/>
  <c r="H93" i="2"/>
  <c r="I92" i="2"/>
  <c r="H92" i="2"/>
  <c r="I91" i="2"/>
  <c r="H91" i="2"/>
  <c r="K90" i="2"/>
  <c r="J90" i="2"/>
  <c r="I90" i="2"/>
  <c r="H90" i="2"/>
  <c r="I89" i="2"/>
  <c r="H89" i="2"/>
  <c r="I88" i="2"/>
  <c r="H88" i="2"/>
  <c r="I87" i="2"/>
  <c r="H87" i="2"/>
  <c r="I86" i="2"/>
  <c r="H86" i="2"/>
  <c r="I85" i="2"/>
  <c r="H85" i="2"/>
  <c r="J85" i="2" s="1"/>
  <c r="J84" i="2"/>
  <c r="I84" i="2"/>
  <c r="H84" i="2"/>
  <c r="I83" i="2"/>
  <c r="H83" i="2"/>
  <c r="I82" i="2"/>
  <c r="H82" i="2"/>
  <c r="I81" i="2"/>
  <c r="H81" i="2"/>
  <c r="I80" i="2"/>
  <c r="H80" i="2"/>
  <c r="I79" i="2"/>
  <c r="H79" i="2"/>
  <c r="J79" i="2" s="1"/>
  <c r="K78" i="2"/>
  <c r="I78" i="2"/>
  <c r="H78" i="2"/>
  <c r="I77" i="2"/>
  <c r="H77" i="2"/>
  <c r="I76" i="2"/>
  <c r="H76" i="2"/>
  <c r="J75" i="2"/>
  <c r="I75" i="2"/>
  <c r="H75" i="2"/>
  <c r="I74" i="2"/>
  <c r="H74" i="2"/>
  <c r="I73" i="2"/>
  <c r="H73" i="2"/>
  <c r="K73" i="2" s="1"/>
  <c r="K72" i="2"/>
  <c r="I72" i="2"/>
  <c r="H72" i="2"/>
  <c r="I71" i="2"/>
  <c r="H71" i="2"/>
  <c r="I70" i="2"/>
  <c r="H70" i="2"/>
  <c r="J69" i="2"/>
  <c r="I69" i="2"/>
  <c r="H69" i="2"/>
  <c r="I68" i="2"/>
  <c r="H68" i="2"/>
  <c r="I67" i="2"/>
  <c r="H67" i="2"/>
  <c r="K67" i="2" s="1"/>
  <c r="K66" i="2"/>
  <c r="J66" i="2"/>
  <c r="I66" i="2"/>
  <c r="H66" i="2"/>
  <c r="I65" i="2"/>
  <c r="H65" i="2"/>
  <c r="I64" i="2"/>
  <c r="H64" i="2"/>
  <c r="K63" i="2"/>
  <c r="I63" i="2"/>
  <c r="H63" i="2"/>
  <c r="I62" i="2"/>
  <c r="H62" i="2"/>
  <c r="I61" i="2"/>
  <c r="H61" i="2"/>
  <c r="K61" i="2" s="1"/>
  <c r="K60" i="2"/>
  <c r="I60" i="2"/>
  <c r="H60" i="2"/>
  <c r="I59" i="2"/>
  <c r="H59" i="2"/>
  <c r="I58" i="2"/>
  <c r="H58" i="2"/>
  <c r="K57" i="2"/>
  <c r="I57" i="2"/>
  <c r="H57" i="2"/>
  <c r="I56" i="2"/>
  <c r="H56" i="2"/>
  <c r="J55" i="2"/>
  <c r="I55" i="2"/>
  <c r="H55" i="2"/>
  <c r="K55" i="2" s="1"/>
  <c r="I54" i="2"/>
  <c r="H54" i="2"/>
  <c r="I53" i="2"/>
  <c r="H53" i="2"/>
  <c r="I52" i="2"/>
  <c r="H52" i="2"/>
  <c r="K51" i="2"/>
  <c r="I51" i="2"/>
  <c r="H51" i="2"/>
  <c r="I50" i="2"/>
  <c r="H50" i="2"/>
  <c r="I49" i="2"/>
  <c r="H49" i="2"/>
  <c r="J49" i="2" s="1"/>
  <c r="I48" i="2"/>
  <c r="H48" i="2"/>
  <c r="I47" i="2"/>
  <c r="H47" i="2"/>
  <c r="I46" i="2"/>
  <c r="H46" i="2"/>
  <c r="I45" i="2"/>
  <c r="H45" i="2"/>
  <c r="I44" i="2"/>
  <c r="H44" i="2"/>
  <c r="K43" i="2"/>
  <c r="I43" i="2"/>
  <c r="H43" i="2"/>
  <c r="I42" i="2"/>
  <c r="H42" i="2"/>
  <c r="I41" i="2"/>
  <c r="H41" i="2"/>
  <c r="I40" i="2"/>
  <c r="H40" i="2"/>
  <c r="I39" i="2"/>
  <c r="H39" i="2"/>
  <c r="I38" i="2"/>
  <c r="H38" i="2"/>
  <c r="J38" i="2" s="1"/>
  <c r="K37" i="2"/>
  <c r="I37" i="2"/>
  <c r="H37" i="2"/>
  <c r="I36" i="2"/>
  <c r="H36" i="2"/>
  <c r="I35" i="2"/>
  <c r="H35" i="2"/>
  <c r="J34" i="2"/>
  <c r="I34" i="2"/>
  <c r="H34" i="2"/>
  <c r="I33" i="2"/>
  <c r="H33" i="2"/>
  <c r="I32" i="2"/>
  <c r="H32" i="2"/>
  <c r="K32" i="2" s="1"/>
  <c r="K31" i="2"/>
  <c r="I31" i="2"/>
  <c r="H31" i="2"/>
  <c r="I30" i="2"/>
  <c r="H30" i="2"/>
  <c r="I29" i="2"/>
  <c r="H29" i="2"/>
  <c r="I28" i="2"/>
  <c r="H28" i="2"/>
  <c r="I27" i="2"/>
  <c r="H27" i="2"/>
  <c r="K26" i="2"/>
  <c r="J26" i="2"/>
  <c r="I26" i="2"/>
  <c r="H26" i="2"/>
  <c r="I25" i="2"/>
  <c r="H25" i="2"/>
  <c r="I24" i="2"/>
  <c r="H24" i="2"/>
  <c r="J23" i="2"/>
  <c r="I23" i="2"/>
  <c r="H23" i="2"/>
  <c r="I22" i="2"/>
  <c r="H22" i="2"/>
  <c r="J21" i="2"/>
  <c r="I21" i="2"/>
  <c r="H21" i="2"/>
  <c r="K21" i="2" s="1"/>
  <c r="K20" i="2"/>
  <c r="I20" i="2"/>
  <c r="H20" i="2"/>
  <c r="I19" i="2"/>
  <c r="H19" i="2"/>
  <c r="I18" i="2"/>
  <c r="H18" i="2"/>
  <c r="I17" i="2"/>
  <c r="H17" i="2"/>
  <c r="I16" i="2"/>
  <c r="H16" i="2"/>
  <c r="K15" i="2"/>
  <c r="J15" i="2"/>
  <c r="I15" i="2"/>
  <c r="H15" i="2"/>
  <c r="I14" i="2"/>
  <c r="H14" i="2"/>
  <c r="I13" i="2"/>
  <c r="H13" i="2"/>
  <c r="I12" i="2"/>
  <c r="H12" i="2"/>
  <c r="E5" i="2"/>
  <c r="K398" i="2" s="1"/>
  <c r="E4" i="2"/>
  <c r="K96" i="2" l="1"/>
  <c r="J255" i="2"/>
  <c r="J220" i="2"/>
  <c r="K220" i="2"/>
  <c r="J355" i="2"/>
  <c r="J320" i="2"/>
  <c r="K320" i="2"/>
  <c r="J196" i="2"/>
  <c r="J161" i="2"/>
  <c r="K261" i="2"/>
  <c r="J261" i="2"/>
  <c r="K361" i="2"/>
  <c r="J361" i="2"/>
  <c r="J61" i="2"/>
  <c r="K27" i="2"/>
  <c r="K85" i="2"/>
  <c r="J91" i="2"/>
  <c r="J33" i="2"/>
  <c r="K50" i="2"/>
  <c r="J56" i="2"/>
  <c r="K91" i="2"/>
  <c r="K97" i="2"/>
  <c r="J109" i="2"/>
  <c r="J115" i="2"/>
  <c r="K150" i="2"/>
  <c r="J156" i="2"/>
  <c r="K191" i="2"/>
  <c r="K197" i="2"/>
  <c r="K203" i="2"/>
  <c r="J209" i="2"/>
  <c r="J215" i="2"/>
  <c r="K250" i="2"/>
  <c r="J256" i="2"/>
  <c r="K291" i="2"/>
  <c r="K297" i="2"/>
  <c r="K303" i="2"/>
  <c r="J309" i="2"/>
  <c r="J315" i="2"/>
  <c r="K350" i="2"/>
  <c r="J356" i="2"/>
  <c r="K391" i="2"/>
  <c r="K410" i="2"/>
  <c r="K22" i="2"/>
  <c r="K156" i="2"/>
  <c r="K162" i="2"/>
  <c r="K168" i="2"/>
  <c r="J174" i="2"/>
  <c r="K215" i="2"/>
  <c r="J221" i="2"/>
  <c r="K262" i="2"/>
  <c r="J274" i="2"/>
  <c r="K315" i="2"/>
  <c r="J321" i="2"/>
  <c r="K356" i="2"/>
  <c r="K362" i="2"/>
  <c r="K368" i="2"/>
  <c r="J374" i="2"/>
  <c r="J380" i="2"/>
  <c r="J28" i="2"/>
  <c r="J39" i="2"/>
  <c r="J45" i="2"/>
  <c r="K80" i="2"/>
  <c r="J86" i="2"/>
  <c r="K121" i="2"/>
  <c r="K127" i="2"/>
  <c r="K133" i="2"/>
  <c r="J139" i="2"/>
  <c r="J145" i="2"/>
  <c r="K180" i="2"/>
  <c r="J186" i="2"/>
  <c r="K221" i="2"/>
  <c r="K227" i="2"/>
  <c r="K233" i="2"/>
  <c r="J239" i="2"/>
  <c r="J245" i="2"/>
  <c r="K280" i="2"/>
  <c r="J286" i="2"/>
  <c r="K321" i="2"/>
  <c r="K327" i="2"/>
  <c r="K333" i="2"/>
  <c r="J339" i="2"/>
  <c r="J345" i="2"/>
  <c r="K380" i="2"/>
  <c r="J386" i="2"/>
  <c r="K409" i="2"/>
  <c r="K404" i="2"/>
  <c r="K399" i="2"/>
  <c r="K394" i="2"/>
  <c r="K389" i="2"/>
  <c r="K384" i="2"/>
  <c r="K379" i="2"/>
  <c r="K374" i="2"/>
  <c r="K369" i="2"/>
  <c r="K364" i="2"/>
  <c r="K359" i="2"/>
  <c r="K354" i="2"/>
  <c r="K349" i="2"/>
  <c r="K344" i="2"/>
  <c r="K339" i="2"/>
  <c r="K334" i="2"/>
  <c r="K329" i="2"/>
  <c r="K324" i="2"/>
  <c r="K319" i="2"/>
  <c r="K314" i="2"/>
  <c r="K309" i="2"/>
  <c r="K304" i="2"/>
  <c r="K299" i="2"/>
  <c r="K294" i="2"/>
  <c r="K289" i="2"/>
  <c r="K284" i="2"/>
  <c r="K279" i="2"/>
  <c r="K274" i="2"/>
  <c r="K269" i="2"/>
  <c r="K264" i="2"/>
  <c r="K259" i="2"/>
  <c r="K254" i="2"/>
  <c r="K249" i="2"/>
  <c r="K244" i="2"/>
  <c r="K239" i="2"/>
  <c r="K234" i="2"/>
  <c r="K229" i="2"/>
  <c r="K224" i="2"/>
  <c r="K219" i="2"/>
  <c r="K214" i="2"/>
  <c r="K209" i="2"/>
  <c r="K204" i="2"/>
  <c r="K199" i="2"/>
  <c r="K194" i="2"/>
  <c r="K189" i="2"/>
  <c r="K184" i="2"/>
  <c r="K179" i="2"/>
  <c r="K174" i="2"/>
  <c r="K169" i="2"/>
  <c r="K164" i="2"/>
  <c r="K159" i="2"/>
  <c r="K154" i="2"/>
  <c r="K149" i="2"/>
  <c r="K144" i="2"/>
  <c r="K139" i="2"/>
  <c r="K134" i="2"/>
  <c r="K129" i="2"/>
  <c r="K124" i="2"/>
  <c r="K119" i="2"/>
  <c r="K114" i="2"/>
  <c r="K109" i="2"/>
  <c r="K104" i="2"/>
  <c r="K99" i="2"/>
  <c r="K94" i="2"/>
  <c r="K89" i="2"/>
  <c r="K84" i="2"/>
  <c r="K79" i="2"/>
  <c r="K74" i="2"/>
  <c r="K69" i="2"/>
  <c r="K64" i="2"/>
  <c r="K59" i="2"/>
  <c r="K54" i="2"/>
  <c r="K49" i="2"/>
  <c r="K44" i="2"/>
  <c r="K39" i="2"/>
  <c r="K34" i="2"/>
  <c r="K29" i="2"/>
  <c r="K24" i="2"/>
  <c r="K19" i="2"/>
  <c r="K14" i="2"/>
  <c r="J409" i="2"/>
  <c r="J404" i="2"/>
  <c r="J399" i="2"/>
  <c r="J394" i="2"/>
  <c r="J408" i="2"/>
  <c r="J403" i="2"/>
  <c r="J398" i="2"/>
  <c r="J393" i="2"/>
  <c r="J388" i="2"/>
  <c r="J383" i="2"/>
  <c r="J378" i="2"/>
  <c r="J373" i="2"/>
  <c r="J368" i="2"/>
  <c r="J363" i="2"/>
  <c r="J358" i="2"/>
  <c r="J353" i="2"/>
  <c r="J348" i="2"/>
  <c r="J343" i="2"/>
  <c r="J338" i="2"/>
  <c r="J333" i="2"/>
  <c r="J328" i="2"/>
  <c r="J323" i="2"/>
  <c r="J318" i="2"/>
  <c r="J313" i="2"/>
  <c r="J308" i="2"/>
  <c r="J303" i="2"/>
  <c r="J298" i="2"/>
  <c r="J293" i="2"/>
  <c r="J288" i="2"/>
  <c r="J283" i="2"/>
  <c r="J278" i="2"/>
  <c r="J273" i="2"/>
  <c r="J268" i="2"/>
  <c r="J263" i="2"/>
  <c r="J258" i="2"/>
  <c r="J253" i="2"/>
  <c r="J248" i="2"/>
  <c r="J243" i="2"/>
  <c r="J238" i="2"/>
  <c r="J233" i="2"/>
  <c r="J228" i="2"/>
  <c r="J223" i="2"/>
  <c r="J218" i="2"/>
  <c r="J213" i="2"/>
  <c r="J208" i="2"/>
  <c r="J203" i="2"/>
  <c r="J198" i="2"/>
  <c r="J193" i="2"/>
  <c r="J188" i="2"/>
  <c r="J183" i="2"/>
  <c r="J178" i="2"/>
  <c r="J173" i="2"/>
  <c r="J168" i="2"/>
  <c r="J163" i="2"/>
  <c r="J158" i="2"/>
  <c r="J153" i="2"/>
  <c r="J148" i="2"/>
  <c r="J143" i="2"/>
  <c r="J138" i="2"/>
  <c r="J133" i="2"/>
  <c r="J128" i="2"/>
  <c r="J123" i="2"/>
  <c r="J118" i="2"/>
  <c r="J113" i="2"/>
  <c r="J108" i="2"/>
  <c r="J103" i="2"/>
  <c r="J98" i="2"/>
  <c r="J93" i="2"/>
  <c r="J88" i="2"/>
  <c r="J83" i="2"/>
  <c r="J78" i="2"/>
  <c r="J73" i="2"/>
  <c r="J68" i="2"/>
  <c r="J63" i="2"/>
  <c r="J58" i="2"/>
  <c r="J53" i="2"/>
  <c r="J48" i="2"/>
  <c r="J43" i="2"/>
  <c r="K412" i="2"/>
  <c r="J412" i="2"/>
  <c r="J407" i="2"/>
  <c r="J402" i="2"/>
  <c r="J397" i="2"/>
  <c r="J392" i="2"/>
  <c r="J387" i="2"/>
  <c r="J382" i="2"/>
  <c r="J377" i="2"/>
  <c r="J372" i="2"/>
  <c r="J367" i="2"/>
  <c r="J362" i="2"/>
  <c r="J357" i="2"/>
  <c r="J352" i="2"/>
  <c r="J347" i="2"/>
  <c r="J342" i="2"/>
  <c r="J337" i="2"/>
  <c r="J332" i="2"/>
  <c r="J327" i="2"/>
  <c r="J322" i="2"/>
  <c r="J317" i="2"/>
  <c r="J312" i="2"/>
  <c r="J307" i="2"/>
  <c r="J302" i="2"/>
  <c r="J297" i="2"/>
  <c r="J292" i="2"/>
  <c r="J287" i="2"/>
  <c r="J282" i="2"/>
  <c r="J277" i="2"/>
  <c r="J272" i="2"/>
  <c r="J267" i="2"/>
  <c r="J262" i="2"/>
  <c r="J257" i="2"/>
  <c r="J252" i="2"/>
  <c r="J247" i="2"/>
  <c r="J242" i="2"/>
  <c r="J237" i="2"/>
  <c r="J232" i="2"/>
  <c r="J227" i="2"/>
  <c r="J222" i="2"/>
  <c r="J217" i="2"/>
  <c r="J212" i="2"/>
  <c r="J207" i="2"/>
  <c r="J202" i="2"/>
  <c r="J197" i="2"/>
  <c r="J192" i="2"/>
  <c r="J187" i="2"/>
  <c r="J182" i="2"/>
  <c r="J177" i="2"/>
  <c r="J172" i="2"/>
  <c r="J167" i="2"/>
  <c r="J162" i="2"/>
  <c r="J157" i="2"/>
  <c r="J152" i="2"/>
  <c r="J147" i="2"/>
  <c r="J142" i="2"/>
  <c r="J137" i="2"/>
  <c r="J132" i="2"/>
  <c r="J127" i="2"/>
  <c r="J122" i="2"/>
  <c r="J117" i="2"/>
  <c r="J112" i="2"/>
  <c r="J107" i="2"/>
  <c r="J102" i="2"/>
  <c r="J97" i="2"/>
  <c r="J92" i="2"/>
  <c r="J87" i="2"/>
  <c r="J82" i="2"/>
  <c r="J77" i="2"/>
  <c r="J72" i="2"/>
  <c r="J67" i="2"/>
  <c r="J62" i="2"/>
  <c r="J57" i="2"/>
  <c r="J52" i="2"/>
  <c r="J47" i="2"/>
  <c r="J42" i="2"/>
  <c r="J37" i="2"/>
  <c r="J32" i="2"/>
  <c r="J27" i="2"/>
  <c r="J22" i="2"/>
  <c r="J17" i="2"/>
  <c r="J12" i="2"/>
  <c r="J16" i="2"/>
  <c r="K38" i="2"/>
  <c r="J44" i="2"/>
  <c r="J50" i="2"/>
  <c r="K126" i="2"/>
  <c r="K132" i="2"/>
  <c r="K138" i="2"/>
  <c r="J144" i="2"/>
  <c r="J150" i="2"/>
  <c r="K185" i="2"/>
  <c r="J191" i="2"/>
  <c r="K226" i="2"/>
  <c r="K232" i="2"/>
  <c r="K238" i="2"/>
  <c r="J244" i="2"/>
  <c r="J250" i="2"/>
  <c r="K285" i="2"/>
  <c r="J291" i="2"/>
  <c r="K326" i="2"/>
  <c r="K332" i="2"/>
  <c r="K338" i="2"/>
  <c r="J344" i="2"/>
  <c r="J350" i="2"/>
  <c r="K385" i="2"/>
  <c r="J391" i="2"/>
  <c r="K397" i="2"/>
  <c r="J410" i="2"/>
  <c r="K16" i="2"/>
  <c r="K103" i="2"/>
  <c r="K33" i="2"/>
  <c r="K56" i="2"/>
  <c r="K62" i="2"/>
  <c r="K68" i="2"/>
  <c r="J74" i="2"/>
  <c r="J80" i="2"/>
  <c r="K115" i="2"/>
  <c r="J121" i="2"/>
  <c r="J180" i="2"/>
  <c r="K256" i="2"/>
  <c r="K268" i="2"/>
  <c r="J280" i="2"/>
  <c r="K17" i="2"/>
  <c r="K28" i="2"/>
  <c r="K45" i="2"/>
  <c r="J51" i="2"/>
  <c r="K86" i="2"/>
  <c r="K92" i="2"/>
  <c r="K98" i="2"/>
  <c r="J104" i="2"/>
  <c r="J110" i="2"/>
  <c r="K145" i="2"/>
  <c r="J151" i="2"/>
  <c r="K186" i="2"/>
  <c r="K192" i="2"/>
  <c r="K198" i="2"/>
  <c r="J204" i="2"/>
  <c r="J210" i="2"/>
  <c r="K245" i="2"/>
  <c r="J251" i="2"/>
  <c r="K286" i="2"/>
  <c r="K292" i="2"/>
  <c r="K298" i="2"/>
  <c r="J304" i="2"/>
  <c r="J310" i="2"/>
  <c r="K345" i="2"/>
  <c r="J351" i="2"/>
  <c r="K386" i="2"/>
  <c r="K392" i="2"/>
  <c r="J405" i="2"/>
  <c r="J411" i="2"/>
  <c r="J175" i="2"/>
  <c r="K263" i="2"/>
  <c r="K240" i="2"/>
  <c r="J246" i="2"/>
  <c r="K281" i="2"/>
  <c r="K287" i="2"/>
  <c r="K293" i="2"/>
  <c r="J299" i="2"/>
  <c r="J305" i="2"/>
  <c r="K340" i="2"/>
  <c r="J346" i="2"/>
  <c r="K381" i="2"/>
  <c r="K387" i="2"/>
  <c r="K393" i="2"/>
  <c r="K110" i="2"/>
  <c r="J116" i="2"/>
  <c r="K151" i="2"/>
  <c r="K210" i="2"/>
  <c r="J216" i="2"/>
  <c r="K257" i="2"/>
  <c r="J269" i="2"/>
  <c r="J275" i="2"/>
  <c r="K310" i="2"/>
  <c r="K351" i="2"/>
  <c r="J369" i="2"/>
  <c r="J81" i="2"/>
  <c r="K375" i="2"/>
  <c r="J381" i="2"/>
  <c r="J29" i="2"/>
  <c r="K40" i="2"/>
  <c r="K81" i="2"/>
  <c r="J99" i="2"/>
  <c r="K187" i="2"/>
  <c r="K193" i="2"/>
  <c r="J199" i="2"/>
  <c r="J205" i="2"/>
  <c r="K52" i="2"/>
  <c r="K146" i="2"/>
  <c r="K152" i="2"/>
  <c r="K158" i="2"/>
  <c r="J164" i="2"/>
  <c r="J170" i="2"/>
  <c r="K205" i="2"/>
  <c r="J211" i="2"/>
  <c r="K246" i="2"/>
  <c r="K252" i="2"/>
  <c r="K258" i="2"/>
  <c r="J264" i="2"/>
  <c r="J270" i="2"/>
  <c r="K305" i="2"/>
  <c r="J311" i="2"/>
  <c r="K346" i="2"/>
  <c r="K352" i="2"/>
  <c r="K358" i="2"/>
  <c r="J364" i="2"/>
  <c r="J370" i="2"/>
  <c r="J400" i="2"/>
  <c r="J406" i="2"/>
  <c r="J13" i="2"/>
  <c r="J24" i="2"/>
  <c r="K35" i="2"/>
  <c r="K70" i="2"/>
  <c r="J76" i="2"/>
  <c r="K111" i="2"/>
  <c r="K117" i="2"/>
  <c r="K123" i="2"/>
  <c r="J129" i="2"/>
  <c r="J135" i="2"/>
  <c r="K170" i="2"/>
  <c r="J176" i="2"/>
  <c r="K211" i="2"/>
  <c r="K217" i="2"/>
  <c r="K223" i="2"/>
  <c r="J229" i="2"/>
  <c r="J235" i="2"/>
  <c r="K270" i="2"/>
  <c r="J276" i="2"/>
  <c r="K311" i="2"/>
  <c r="K317" i="2"/>
  <c r="K323" i="2"/>
  <c r="J329" i="2"/>
  <c r="J335" i="2"/>
  <c r="K370" i="2"/>
  <c r="J376" i="2"/>
  <c r="K400" i="2"/>
  <c r="K406" i="2"/>
  <c r="K163" i="2"/>
  <c r="J140" i="2"/>
  <c r="J181" i="2"/>
  <c r="K216" i="2"/>
  <c r="J340" i="2"/>
  <c r="J105" i="2"/>
  <c r="K46" i="2"/>
  <c r="J64" i="2"/>
  <c r="K105" i="2"/>
  <c r="J30" i="2"/>
  <c r="J41" i="2"/>
  <c r="K76" i="2"/>
  <c r="K82" i="2"/>
  <c r="K88" i="2"/>
  <c r="J94" i="2"/>
  <c r="J100" i="2"/>
  <c r="K135" i="2"/>
  <c r="J141" i="2"/>
  <c r="K176" i="2"/>
  <c r="K182" i="2"/>
  <c r="K188" i="2"/>
  <c r="J194" i="2"/>
  <c r="J200" i="2"/>
  <c r="K235" i="2"/>
  <c r="J241" i="2"/>
  <c r="K276" i="2"/>
  <c r="K282" i="2"/>
  <c r="K288" i="2"/>
  <c r="J294" i="2"/>
  <c r="J300" i="2"/>
  <c r="K335" i="2"/>
  <c r="J341" i="2"/>
  <c r="K376" i="2"/>
  <c r="K382" i="2"/>
  <c r="K388" i="2"/>
  <c r="K363" i="2"/>
  <c r="J375" i="2"/>
  <c r="K411" i="2"/>
  <c r="K23" i="2"/>
  <c r="J40" i="2"/>
  <c r="K122" i="2"/>
  <c r="J134" i="2"/>
  <c r="K175" i="2"/>
  <c r="K228" i="2"/>
  <c r="J240" i="2"/>
  <c r="J281" i="2"/>
  <c r="J106" i="2"/>
  <c r="K141" i="2"/>
  <c r="K147" i="2"/>
  <c r="K153" i="2"/>
  <c r="J159" i="2"/>
  <c r="J165" i="2"/>
  <c r="K200" i="2"/>
  <c r="J206" i="2"/>
  <c r="K241" i="2"/>
  <c r="K247" i="2"/>
  <c r="K253" i="2"/>
  <c r="J259" i="2"/>
  <c r="J265" i="2"/>
  <c r="K300" i="2"/>
  <c r="J306" i="2"/>
  <c r="K341" i="2"/>
  <c r="K347" i="2"/>
  <c r="K353" i="2"/>
  <c r="J359" i="2"/>
  <c r="J365" i="2"/>
  <c r="J46" i="2"/>
  <c r="J146" i="2"/>
  <c r="K206" i="2"/>
  <c r="K212" i="2"/>
  <c r="K218" i="2"/>
  <c r="J224" i="2"/>
  <c r="J230" i="2"/>
  <c r="K265" i="2"/>
  <c r="J271" i="2"/>
  <c r="K306" i="2"/>
  <c r="K312" i="2"/>
  <c r="K318" i="2"/>
  <c r="J324" i="2"/>
  <c r="J330" i="2"/>
  <c r="K365" i="2"/>
  <c r="J371" i="2"/>
  <c r="J395" i="2"/>
  <c r="J401" i="2"/>
  <c r="K407" i="2"/>
  <c r="J169" i="2"/>
  <c r="K251" i="2"/>
  <c r="K12" i="2"/>
  <c r="K275" i="2"/>
  <c r="K322" i="2"/>
  <c r="J334" i="2"/>
  <c r="J18" i="2"/>
  <c r="K87" i="2"/>
  <c r="K18" i="2"/>
  <c r="J35" i="2"/>
  <c r="K58" i="2"/>
  <c r="J70" i="2"/>
  <c r="K53" i="2"/>
  <c r="J65" i="2"/>
  <c r="K100" i="2"/>
  <c r="J25" i="2"/>
  <c r="J36" i="2"/>
  <c r="K165" i="2"/>
  <c r="J14" i="2"/>
  <c r="K25" i="2"/>
  <c r="K36" i="2"/>
  <c r="K77" i="2"/>
  <c r="K183" i="2"/>
  <c r="J195" i="2"/>
  <c r="K230" i="2"/>
  <c r="J236" i="2"/>
  <c r="K271" i="2"/>
  <c r="K277" i="2"/>
  <c r="K283" i="2"/>
  <c r="J289" i="2"/>
  <c r="J295" i="2"/>
  <c r="K330" i="2"/>
  <c r="J336" i="2"/>
  <c r="K371" i="2"/>
  <c r="K377" i="2"/>
  <c r="K383" i="2"/>
  <c r="J389" i="2"/>
  <c r="K395" i="2"/>
  <c r="K401" i="2"/>
  <c r="K157" i="2"/>
  <c r="J316" i="2"/>
  <c r="K357" i="2"/>
  <c r="K405" i="2"/>
  <c r="K75" i="2"/>
  <c r="K116" i="2"/>
  <c r="K128" i="2"/>
  <c r="K222" i="2"/>
  <c r="J234" i="2"/>
  <c r="K316" i="2"/>
  <c r="K328" i="2"/>
  <c r="K93" i="2"/>
  <c r="K140" i="2"/>
  <c r="K181" i="2"/>
  <c r="J111" i="2"/>
  <c r="K13" i="2"/>
  <c r="J19" i="2"/>
  <c r="K30" i="2"/>
  <c r="K41" i="2"/>
  <c r="K47" i="2"/>
  <c r="J59" i="2"/>
  <c r="K65" i="2"/>
  <c r="J71" i="2"/>
  <c r="K106" i="2"/>
  <c r="K112" i="2"/>
  <c r="K118" i="2"/>
  <c r="J124" i="2"/>
  <c r="J130" i="2"/>
  <c r="J171" i="2"/>
  <c r="K71" i="2"/>
  <c r="K83" i="2"/>
  <c r="J89" i="2"/>
  <c r="J95" i="2"/>
  <c r="K130" i="2"/>
  <c r="J136" i="2"/>
  <c r="K171" i="2"/>
  <c r="K177" i="2"/>
  <c r="J189" i="2"/>
  <c r="J20" i="2"/>
  <c r="J31" i="2"/>
  <c r="K42" i="2"/>
  <c r="K48" i="2"/>
  <c r="J54" i="2"/>
  <c r="J60" i="2"/>
  <c r="K95" i="2"/>
  <c r="J101" i="2"/>
  <c r="K136" i="2"/>
  <c r="K142" i="2"/>
  <c r="K148" i="2"/>
  <c r="J154" i="2"/>
  <c r="J160" i="2"/>
  <c r="K195" i="2"/>
  <c r="J201" i="2"/>
  <c r="K236" i="2"/>
  <c r="K242" i="2"/>
  <c r="K248" i="2"/>
  <c r="J254" i="2"/>
  <c r="J260" i="2"/>
  <c r="K295" i="2"/>
  <c r="J301" i="2"/>
  <c r="K336" i="2"/>
  <c r="K342" i="2"/>
  <c r="K348" i="2"/>
  <c r="J354" i="2"/>
  <c r="J360" i="2"/>
  <c r="E7" i="2" l="1"/>
  <c r="E6" i="2"/>
  <c r="E8" i="2" s="1"/>
</calcChain>
</file>

<file path=xl/sharedStrings.xml><?xml version="1.0" encoding="utf-8"?>
<sst xmlns="http://schemas.openxmlformats.org/spreadsheetml/2006/main" count="98" uniqueCount="87">
  <si>
    <t>长冈系数 Excel 计算表</t>
  </si>
  <si>
    <t>用途</t>
  </si>
  <si>
    <t>输入线圈半径 R 和长度 l，返回长冈系数 KN。</t>
  </si>
  <si>
    <t>公式定义</t>
  </si>
  <si>
    <t>本表按你给的图片公式实现，采用 a = R，b = l，因此 2R/l = 2a/b。</t>
  </si>
  <si>
    <t>椭圆积分</t>
  </si>
  <si>
    <t>第一类完全椭圆积分 F(k) 与第二类完全椭圆积分 E(k) 通过 Simpson 数值积分在表内完成。</t>
  </si>
  <si>
    <t>输入建议</t>
  </si>
  <si>
    <t>积分分段数 n 建议用偶数，默认 400；n 越大精度越高，但计算稍慢。</t>
  </si>
  <si>
    <t>校验</t>
  </si>
  <si>
    <t>“表格校验”工作表已用你提供的表 2-1 检查，公式值应与表值非常接近。</t>
  </si>
  <si>
    <t>文献出处</t>
  </si>
  <si>
    <t>1) H. Nagaoka, The Inductance Coefficients of Solenoids, 1909. 2) 你项目中的透热感应加热文献也采用长冈系数与 2R/l 的关系。</t>
  </si>
  <si>
    <t>新增工作表</t>
  </si>
  <si>
    <t>Wheeler_单层：Wheeler 1928 单层空气芯螺线管公式；Wheeler_多层：Wheeler 1928 多层/厚绕组经验公式。</t>
  </si>
  <si>
    <t>长冈系数 KN 计算器</t>
  </si>
  <si>
    <t>积分辅助区</t>
  </si>
  <si>
    <t>输入区</t>
  </si>
  <si>
    <t>结果区</t>
  </si>
  <si>
    <t>i</t>
  </si>
  <si>
    <t>θ</t>
  </si>
  <si>
    <t>权重</t>
  </si>
  <si>
    <t>fK</t>
  </si>
  <si>
    <t>fE</t>
  </si>
  <si>
    <t>线圈半径 R</t>
  </si>
  <si>
    <t>自定义</t>
  </si>
  <si>
    <t>2R/l</t>
  </si>
  <si>
    <t>线圈长度 l</t>
  </si>
  <si>
    <t>模数 k</t>
  </si>
  <si>
    <t>积分分段数 n(偶数)</t>
  </si>
  <si>
    <t>建议 200~800</t>
  </si>
  <si>
    <t>F(k)=K(k)</t>
  </si>
  <si>
    <t>E(k)</t>
  </si>
  <si>
    <t>检查提示</t>
  </si>
  <si>
    <t>当 2R/l 取表 2-1 中数值时，KN 应与“表格校验”页中的公式值接近。</t>
  </si>
  <si>
    <t>KN</t>
  </si>
  <si>
    <t>长冈系数表 2-1 校验</t>
  </si>
  <si>
    <t>表值</t>
  </si>
  <si>
    <t>公式值</t>
  </si>
  <si>
    <t>误差</t>
  </si>
  <si>
    <t>结论</t>
  </si>
  <si>
    <t>公式计算值与表 2-1 一致，说明公式实现与 a=R、b=l 的对应关系是正确的。</t>
  </si>
  <si>
    <t>公式出处与说明</t>
  </si>
  <si>
    <t>长冈系数</t>
  </si>
  <si>
    <t>H. Nagaoka, The Inductance Coefficients of Solenoids, Journal of the College of Science, Imperial University of Tokyo, Vol. 27, Art. 6, 1909.</t>
  </si>
  <si>
    <t>项目内文献</t>
  </si>
  <si>
    <t>《电源频率和功率在透热感应加热中的选择》讨论了圆柱工件感应透热中的透入深度与频率选择，可作为项目背景参考。</t>
  </si>
  <si>
    <t>说明</t>
  </si>
  <si>
    <t>本工作簿仅实现长冈系数 KN 计算；若后续需要，我可以再补 Wheeler 单层 / 多层公式计算页。</t>
  </si>
  <si>
    <t>Wheeler 单层/多层公式出处</t>
  </si>
  <si>
    <t>H. A. Wheeler, “Simple Inductance Formulas for Radio Coils,” Proceedings of the I.R.E., Vol. 16, No. 10, 1928.</t>
  </si>
  <si>
    <t>Wheeler 公式说明</t>
  </si>
  <si>
    <t>单层公式：L = r^2 N^2 / (9r + 10l)；多层公式：L = 0.8 a^2 N^2 / (6a + 9b + 10c)，原始写法单位为英寸，结果为 μH。</t>
  </si>
  <si>
    <t>Wheeler 单层空气芯螺线管公式</t>
  </si>
  <si>
    <t>输入（mm）</t>
  </si>
  <si>
    <t>变量说明</t>
  </si>
  <si>
    <t>线圈半径 r (mm)</t>
  </si>
  <si>
    <t>r：线圈半径</t>
  </si>
  <si>
    <t>线圈长度 l (mm)</t>
  </si>
  <si>
    <t>l：线圈长度</t>
  </si>
  <si>
    <t>匝数 N</t>
  </si>
  <si>
    <t>N：总匝数</t>
  </si>
  <si>
    <t>换算（英寸）</t>
  </si>
  <si>
    <t>公式出处</t>
  </si>
  <si>
    <t>r (in)</t>
  </si>
  <si>
    <t>H. A. Wheeler, Proc. IRE, 1928</t>
  </si>
  <si>
    <t>l (in)</t>
  </si>
  <si>
    <t>单层公式：L = r²N² / (9r + 10l)</t>
  </si>
  <si>
    <t>Wheeler 原始公式（英寸）</t>
  </si>
  <si>
    <t>L (μH) = r^2 N^2 / (9r + 10l)</t>
  </si>
  <si>
    <t>等价 mm 形式</t>
  </si>
  <si>
    <t>适用提示</t>
  </si>
  <si>
    <t>常用于单层空气芯螺线管；原文说明当 b &gt; 0.8a 时精度约优于 1%</t>
  </si>
  <si>
    <t>Wheeler 多层/厚绕组经验公式</t>
  </si>
  <si>
    <t>平均半径 a (mm)</t>
  </si>
  <si>
    <t>a：平均半径</t>
  </si>
  <si>
    <t>线圈长度 b (mm)</t>
  </si>
  <si>
    <t>b：线圈长度</t>
  </si>
  <si>
    <t>径向厚度 c (mm)</t>
  </si>
  <si>
    <t>c：径向厚度</t>
  </si>
  <si>
    <t>总匝数 N</t>
  </si>
  <si>
    <t>a (in)</t>
  </si>
  <si>
    <t>b (in)</t>
  </si>
  <si>
    <t>多层公式：L = 0.8 a²N² / (6a+9b+10c)</t>
  </si>
  <si>
    <t>c (in)</t>
  </si>
  <si>
    <t>L (μH)=0.8 a^2 N^2 /(6a+9b+10c)</t>
  </si>
  <si>
    <t>用于多层或有明显径向厚度的厚绕组经验估算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</si>
</sst>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0000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176" fontId="4" fillId="4" borderId="1" xfId="1" applyNumberFormat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176" fontId="0" fillId="0" borderId="0" xfId="1" applyNumberFormat="1" applyFont="1"/>
    <xf numFmtId="176" fontId="3" fillId="6" borderId="1" xfId="1" applyNumberFormat="1" applyFont="1" applyFill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177" fontId="0" fillId="0" borderId="4" xfId="1" applyNumberFormat="1" applyFont="1" applyBorder="1" applyAlignment="1">
      <alignment horizontal="center" vertical="center" wrapText="1"/>
    </xf>
    <xf numFmtId="177" fontId="0" fillId="0" borderId="0" xfId="1" applyNumberFormat="1" applyFont="1"/>
    <xf numFmtId="0" fontId="2" fillId="4" borderId="4" xfId="1" applyFont="1" applyFill="1" applyBorder="1" applyAlignment="1">
      <alignment horizontal="center" vertical="center" wrapText="1"/>
    </xf>
    <xf numFmtId="0" fontId="0" fillId="4" borderId="4" xfId="1" applyFont="1" applyFill="1" applyBorder="1" applyAlignment="1">
      <alignment horizontal="left" vertical="center" wrapText="1"/>
    </xf>
    <xf numFmtId="0" fontId="0" fillId="0" borderId="4" xfId="1" applyFont="1" applyBorder="1" applyAlignment="1">
      <alignment wrapText="1"/>
    </xf>
    <xf numFmtId="0" fontId="3" fillId="0" borderId="1" xfId="1" applyFont="1" applyBorder="1" applyAlignment="1">
      <alignment horizontal="left" vertical="center" wrapText="1"/>
    </xf>
    <xf numFmtId="0" fontId="0" fillId="0" borderId="2" xfId="1" applyFont="1" applyBorder="1"/>
    <xf numFmtId="0" fontId="0" fillId="0" borderId="3" xfId="1" applyFont="1" applyBorder="1"/>
    <xf numFmtId="0" fontId="1" fillId="2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114092</xdr:rowOff>
    </xdr:from>
    <xdr:to>
      <xdr:col>5</xdr:col>
      <xdr:colOff>0</xdr:colOff>
      <xdr:row>20</xdr:row>
      <xdr:rowOff>152101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AE04B5-AF86-4660-A28D-4F69CBE8B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592"/>
          <a:ext cx="5867400" cy="1752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10" sqref="B10"/>
    </sheetView>
  </sheetViews>
  <sheetFormatPr defaultRowHeight="15"/>
  <cols>
    <col min="1" max="1" width="18" customWidth="1"/>
    <col min="2" max="3" width="28" customWidth="1"/>
    <col min="4" max="5" width="22" customWidth="1"/>
    <col min="6" max="6" width="26" customWidth="1"/>
  </cols>
  <sheetData>
    <row r="1" spans="1:6">
      <c r="A1" s="24" t="s">
        <v>0</v>
      </c>
      <c r="B1" s="22"/>
      <c r="C1" s="22"/>
      <c r="D1" s="22"/>
      <c r="E1" s="22"/>
      <c r="F1" s="23"/>
    </row>
    <row r="3" spans="1:6">
      <c r="A3" s="1" t="s">
        <v>1</v>
      </c>
      <c r="B3" s="21" t="s">
        <v>2</v>
      </c>
      <c r="C3" s="22"/>
      <c r="D3" s="22"/>
      <c r="E3" s="22"/>
      <c r="F3" s="23"/>
    </row>
    <row r="4" spans="1:6">
      <c r="A4" s="1" t="s">
        <v>3</v>
      </c>
      <c r="B4" s="21" t="s">
        <v>4</v>
      </c>
      <c r="C4" s="22"/>
      <c r="D4" s="22"/>
      <c r="E4" s="22"/>
      <c r="F4" s="23"/>
    </row>
    <row r="5" spans="1:6">
      <c r="A5" s="1" t="s">
        <v>5</v>
      </c>
      <c r="B5" s="21" t="s">
        <v>6</v>
      </c>
      <c r="C5" s="22"/>
      <c r="D5" s="22"/>
      <c r="E5" s="22"/>
      <c r="F5" s="23"/>
    </row>
    <row r="6" spans="1:6">
      <c r="A6" s="1" t="s">
        <v>7</v>
      </c>
      <c r="B6" s="21" t="s">
        <v>8</v>
      </c>
      <c r="C6" s="22"/>
      <c r="D6" s="22"/>
      <c r="E6" s="22"/>
      <c r="F6" s="23"/>
    </row>
    <row r="7" spans="1:6">
      <c r="A7" s="1" t="s">
        <v>9</v>
      </c>
      <c r="B7" s="21" t="s">
        <v>10</v>
      </c>
      <c r="C7" s="22"/>
      <c r="D7" s="22"/>
      <c r="E7" s="22"/>
      <c r="F7" s="23"/>
    </row>
    <row r="8" spans="1:6">
      <c r="A8" s="1" t="s">
        <v>11</v>
      </c>
      <c r="B8" s="21" t="s">
        <v>12</v>
      </c>
      <c r="C8" s="22"/>
      <c r="D8" s="22"/>
      <c r="E8" s="22"/>
      <c r="F8" s="23"/>
    </row>
    <row r="10" spans="1:6" ht="36" customHeight="1">
      <c r="A10" s="13" t="s">
        <v>13</v>
      </c>
      <c r="B10" s="13" t="s">
        <v>14</v>
      </c>
    </row>
  </sheetData>
  <mergeCells count="7">
    <mergeCell ref="B8:F8"/>
    <mergeCell ref="B4:F4"/>
    <mergeCell ref="B7:F7"/>
    <mergeCell ref="B6:F6"/>
    <mergeCell ref="A1:F1"/>
    <mergeCell ref="B3:F3"/>
    <mergeCell ref="B5:F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2"/>
  <sheetViews>
    <sheetView tabSelected="1" workbookViewId="0">
      <selection activeCell="F13" sqref="F13"/>
    </sheetView>
  </sheetViews>
  <sheetFormatPr defaultRowHeight="15"/>
  <cols>
    <col min="1" max="1" width="22" customWidth="1"/>
    <col min="2" max="3" width="16" customWidth="1"/>
    <col min="4" max="4" width="18" customWidth="1"/>
    <col min="5" max="5" width="16" customWidth="1"/>
    <col min="6" max="6" width="14" customWidth="1"/>
    <col min="7" max="11" width="12" customWidth="1"/>
  </cols>
  <sheetData>
    <row r="1" spans="1:11">
      <c r="A1" s="24" t="s">
        <v>15</v>
      </c>
      <c r="B1" s="22"/>
      <c r="C1" s="22"/>
      <c r="D1" s="22"/>
      <c r="E1" s="23"/>
    </row>
    <row r="2" spans="1:11">
      <c r="G2" s="3" t="s">
        <v>16</v>
      </c>
    </row>
    <row r="3" spans="1:11">
      <c r="A3" s="1" t="s">
        <v>17</v>
      </c>
      <c r="D3" s="4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</row>
    <row r="4" spans="1:11">
      <c r="A4" s="1" t="s">
        <v>24</v>
      </c>
      <c r="B4" s="6">
        <v>1</v>
      </c>
      <c r="C4" s="7" t="s">
        <v>25</v>
      </c>
      <c r="D4" s="4" t="s">
        <v>26</v>
      </c>
      <c r="E4" s="8">
        <f>2*B4/B5</f>
        <v>3.3333333333333335</v>
      </c>
    </row>
    <row r="5" spans="1:11">
      <c r="A5" s="1" t="s">
        <v>27</v>
      </c>
      <c r="B5" s="6">
        <v>0.6</v>
      </c>
      <c r="C5" s="7" t="s">
        <v>25</v>
      </c>
      <c r="D5" s="4" t="s">
        <v>28</v>
      </c>
      <c r="E5" s="8">
        <f>2*B4/SQRT(4*B4^2+B5^2)</f>
        <v>0.95782628522115132</v>
      </c>
    </row>
    <row r="6" spans="1:11">
      <c r="A6" s="1" t="s">
        <v>29</v>
      </c>
      <c r="B6" s="9">
        <v>400</v>
      </c>
      <c r="C6" s="7" t="s">
        <v>30</v>
      </c>
      <c r="D6" s="4" t="s">
        <v>31</v>
      </c>
      <c r="E6" s="8">
        <f>((PI()/(2*$B$6))/3)*SUMPRODUCT($I$12:$I$412,$J$12:$J$412)</f>
        <v>2.6685602708634293</v>
      </c>
    </row>
    <row r="7" spans="1:11">
      <c r="D7" s="4" t="s">
        <v>32</v>
      </c>
      <c r="E7" s="8">
        <f>((PI()/(2*$B$6))/3)*SUMPRODUCT($I$12:$I$412,$K$12:$K$412)</f>
        <v>1.0901561460870159</v>
      </c>
    </row>
    <row r="8" spans="1:11">
      <c r="A8" s="3" t="s">
        <v>33</v>
      </c>
      <c r="B8" s="25" t="s">
        <v>34</v>
      </c>
      <c r="C8" s="23"/>
      <c r="D8" s="4" t="s">
        <v>35</v>
      </c>
      <c r="E8" s="8">
        <f>(((B5*SQRT(4*B4^2+B5^2))/B4^2)*(E6-E7)+((4*SQRT(4*B4^2+B5^2))/B5)*E7-(8*B4/B5))/(3*PI())</f>
        <v>0.40526880340719251</v>
      </c>
    </row>
    <row r="12" spans="1:11">
      <c r="G12" s="10">
        <v>0</v>
      </c>
      <c r="H12">
        <f t="shared" ref="H12:H75" si="0">G12*PI()/(2*$B$6)</f>
        <v>0</v>
      </c>
      <c r="I12">
        <f t="shared" ref="I12:I75" si="1">IF(G12&gt;$B$6,0,IF(OR(G12=0,G12=$B$6),1,IF(MOD(G12,2)=1,4,2)))</f>
        <v>1</v>
      </c>
      <c r="J12">
        <f t="shared" ref="J12:J75" si="2">IF(G12&gt;$B$6,0,1/SQRT(1-($E$5^2)*(SIN(H12)^2)))</f>
        <v>1</v>
      </c>
      <c r="K12">
        <f t="shared" ref="K12:K75" si="3">IF(G12&gt;$B$6,0,SQRT(1-($E$5^2)*(SIN(H12)^2)))</f>
        <v>1</v>
      </c>
    </row>
    <row r="13" spans="1:11">
      <c r="G13" s="10">
        <v>1</v>
      </c>
      <c r="H13">
        <f t="shared" si="0"/>
        <v>3.9269908169872417E-3</v>
      </c>
      <c r="I13">
        <f t="shared" si="1"/>
        <v>4</v>
      </c>
      <c r="J13">
        <f t="shared" si="2"/>
        <v>1.0000070740097429</v>
      </c>
      <c r="K13">
        <f t="shared" si="3"/>
        <v>0.99999292604029832</v>
      </c>
    </row>
    <row r="14" spans="1:11">
      <c r="G14" s="10">
        <v>2</v>
      </c>
      <c r="H14">
        <f t="shared" si="0"/>
        <v>7.8539816339744835E-3</v>
      </c>
      <c r="I14">
        <f t="shared" si="1"/>
        <v>2</v>
      </c>
      <c r="J14">
        <f t="shared" si="2"/>
        <v>1.0000282965033642</v>
      </c>
      <c r="K14">
        <f t="shared" si="3"/>
        <v>0.9999717042973052</v>
      </c>
    </row>
    <row r="15" spans="1:11">
      <c r="G15" s="10">
        <v>3</v>
      </c>
      <c r="H15">
        <f t="shared" si="0"/>
        <v>1.1780972450961723E-2</v>
      </c>
      <c r="I15">
        <f t="shared" si="1"/>
        <v>4</v>
      </c>
      <c r="J15">
        <f t="shared" si="2"/>
        <v>1.0000636688741087</v>
      </c>
      <c r="K15">
        <f t="shared" si="3"/>
        <v>0.99993633517935876</v>
      </c>
    </row>
    <row r="16" spans="1:11">
      <c r="G16" s="10">
        <v>4</v>
      </c>
      <c r="H16">
        <f t="shared" si="0"/>
        <v>1.5707963267948967E-2</v>
      </c>
      <c r="I16">
        <f t="shared" si="1"/>
        <v>2</v>
      </c>
      <c r="J16">
        <f t="shared" si="2"/>
        <v>1.0001131934442766</v>
      </c>
      <c r="K16">
        <f t="shared" si="3"/>
        <v>0.99988681936702895</v>
      </c>
    </row>
    <row r="17" spans="7:11">
      <c r="G17" s="10">
        <v>5</v>
      </c>
      <c r="H17">
        <f t="shared" si="0"/>
        <v>1.9634954084936207E-2</v>
      </c>
      <c r="I17">
        <f t="shared" si="1"/>
        <v>4</v>
      </c>
      <c r="J17">
        <f t="shared" si="2"/>
        <v>1.0001768734655629</v>
      </c>
      <c r="K17">
        <f t="shared" si="3"/>
        <v>0.99982315781312758</v>
      </c>
    </row>
    <row r="18" spans="7:11">
      <c r="G18" s="10">
        <v>6</v>
      </c>
      <c r="H18">
        <f t="shared" si="0"/>
        <v>2.3561944901923447E-2</v>
      </c>
      <c r="I18">
        <f t="shared" si="1"/>
        <v>2</v>
      </c>
      <c r="J18">
        <f t="shared" si="2"/>
        <v>1.0002547131195301</v>
      </c>
      <c r="K18">
        <f t="shared" si="3"/>
        <v>0.99974535174272194</v>
      </c>
    </row>
    <row r="19" spans="7:11">
      <c r="G19" s="10">
        <v>7</v>
      </c>
      <c r="H19">
        <f t="shared" si="0"/>
        <v>2.748893571891069E-2</v>
      </c>
      <c r="I19">
        <f t="shared" si="1"/>
        <v>4</v>
      </c>
      <c r="J19">
        <f t="shared" si="2"/>
        <v>1.000346717518219</v>
      </c>
      <c r="K19">
        <f t="shared" si="3"/>
        <v>0.99965340265315283</v>
      </c>
    </row>
    <row r="20" spans="7:11">
      <c r="G20" s="10">
        <v>8</v>
      </c>
      <c r="H20">
        <f t="shared" si="0"/>
        <v>3.1415926535897934E-2</v>
      </c>
      <c r="I20">
        <f t="shared" si="1"/>
        <v>2</v>
      </c>
      <c r="J20">
        <f t="shared" si="2"/>
        <v>1.0004528927048946</v>
      </c>
      <c r="K20">
        <f t="shared" si="3"/>
        <v>0.99954731231405602</v>
      </c>
    </row>
    <row r="21" spans="7:11">
      <c r="G21" s="10">
        <v>9</v>
      </c>
      <c r="H21">
        <f t="shared" si="0"/>
        <v>3.5342917352885174E-2</v>
      </c>
      <c r="I21">
        <f t="shared" si="1"/>
        <v>4</v>
      </c>
      <c r="J21">
        <f t="shared" si="2"/>
        <v>1.0005732456549263</v>
      </c>
      <c r="K21">
        <f t="shared" si="3"/>
        <v>0.9994270827673879</v>
      </c>
    </row>
    <row r="22" spans="7:11">
      <c r="G22" s="10">
        <v>10</v>
      </c>
      <c r="H22">
        <f t="shared" si="0"/>
        <v>3.9269908169872414E-2</v>
      </c>
      <c r="I22">
        <f t="shared" si="1"/>
        <v>2</v>
      </c>
      <c r="J22">
        <f t="shared" si="2"/>
        <v>1.0007077842768071</v>
      </c>
      <c r="K22">
        <f t="shared" si="3"/>
        <v>0.99929271632745553</v>
      </c>
    </row>
    <row r="23" spans="7:11">
      <c r="G23" s="10">
        <v>11</v>
      </c>
      <c r="H23">
        <f t="shared" si="0"/>
        <v>4.3196898986859654E-2</v>
      </c>
      <c r="I23">
        <f t="shared" si="1"/>
        <v>4</v>
      </c>
      <c r="J23">
        <f t="shared" si="2"/>
        <v>1.0008565174133068</v>
      </c>
      <c r="K23">
        <f t="shared" si="3"/>
        <v>0.99914421558095012</v>
      </c>
    </row>
    <row r="24" spans="7:11">
      <c r="G24" s="10">
        <v>12</v>
      </c>
      <c r="H24">
        <f t="shared" si="0"/>
        <v>4.7123889803846894E-2</v>
      </c>
      <c r="I24">
        <f t="shared" si="1"/>
        <v>2</v>
      </c>
      <c r="J24">
        <f t="shared" si="2"/>
        <v>1.0010194548427636</v>
      </c>
      <c r="K24">
        <f t="shared" si="3"/>
        <v>0.99898158338698462</v>
      </c>
    </row>
    <row r="25" spans="7:11">
      <c r="G25" s="10">
        <v>13</v>
      </c>
      <c r="H25">
        <f t="shared" si="0"/>
        <v>5.1050880620834141E-2</v>
      </c>
      <c r="I25">
        <f t="shared" si="1"/>
        <v>4</v>
      </c>
      <c r="J25">
        <f t="shared" si="2"/>
        <v>1.0011966072805107</v>
      </c>
      <c r="K25">
        <f t="shared" si="3"/>
        <v>0.9988048228771359</v>
      </c>
    </row>
    <row r="26" spans="7:11">
      <c r="G26" s="10">
        <v>14</v>
      </c>
      <c r="H26">
        <f t="shared" si="0"/>
        <v>5.4977871437821381E-2</v>
      </c>
      <c r="I26">
        <f t="shared" si="1"/>
        <v>2</v>
      </c>
      <c r="J26">
        <f t="shared" si="2"/>
        <v>1.001387986380444</v>
      </c>
      <c r="K26">
        <f t="shared" si="3"/>
        <v>0.99861393745549021</v>
      </c>
    </row>
    <row r="27" spans="7:11">
      <c r="G27" s="10">
        <v>15</v>
      </c>
      <c r="H27">
        <f t="shared" si="0"/>
        <v>5.8904862254808614E-2</v>
      </c>
      <c r="I27">
        <f t="shared" si="1"/>
        <v>4</v>
      </c>
      <c r="J27">
        <f t="shared" si="2"/>
        <v>1.0015936047367224</v>
      </c>
      <c r="K27">
        <f t="shared" si="3"/>
        <v>0.99840893079869331</v>
      </c>
    </row>
    <row r="28" spans="7:11">
      <c r="G28" s="10">
        <v>16</v>
      </c>
      <c r="H28">
        <f t="shared" si="0"/>
        <v>6.2831853071795868E-2</v>
      </c>
      <c r="I28">
        <f t="shared" si="1"/>
        <v>2</v>
      </c>
      <c r="J28">
        <f t="shared" si="2"/>
        <v>1.0018134758856101</v>
      </c>
      <c r="K28">
        <f t="shared" si="3"/>
        <v>0.99818980685600489</v>
      </c>
    </row>
    <row r="29" spans="7:11">
      <c r="G29" s="10">
        <v>17</v>
      </c>
      <c r="H29">
        <f t="shared" si="0"/>
        <v>6.6758843888783115E-2</v>
      </c>
      <c r="I29">
        <f t="shared" si="1"/>
        <v>4</v>
      </c>
      <c r="J29">
        <f t="shared" si="2"/>
        <v>1.0020476143074566</v>
      </c>
      <c r="K29">
        <f t="shared" si="3"/>
        <v>0.99795656984935621</v>
      </c>
    </row>
    <row r="30" spans="7:11">
      <c r="G30" s="10">
        <v>18</v>
      </c>
      <c r="H30">
        <f t="shared" si="0"/>
        <v>7.0685834705770348E-2</v>
      </c>
      <c r="I30">
        <f t="shared" si="1"/>
        <v>2</v>
      </c>
      <c r="J30">
        <f t="shared" si="2"/>
        <v>1.0022960354288146</v>
      </c>
      <c r="K30">
        <f t="shared" si="3"/>
        <v>0.99770922427341313</v>
      </c>
    </row>
    <row r="31" spans="7:11">
      <c r="G31" s="10">
        <v>19</v>
      </c>
      <c r="H31">
        <f t="shared" si="0"/>
        <v>7.4612825522757581E-2</v>
      </c>
      <c r="I31">
        <f t="shared" si="1"/>
        <v>4</v>
      </c>
      <c r="J31">
        <f t="shared" si="2"/>
        <v>1.0025587556246989</v>
      </c>
      <c r="K31">
        <f t="shared" si="3"/>
        <v>0.9974477748956424</v>
      </c>
    </row>
    <row r="32" spans="7:11">
      <c r="G32" s="10">
        <v>20</v>
      </c>
      <c r="H32">
        <f t="shared" si="0"/>
        <v>7.8539816339744828E-2</v>
      </c>
      <c r="I32">
        <f t="shared" si="1"/>
        <v>2</v>
      </c>
      <c r="J32">
        <f t="shared" si="2"/>
        <v>1.0028357922209838</v>
      </c>
      <c r="K32">
        <f t="shared" si="3"/>
        <v>0.99717222675638306</v>
      </c>
    </row>
    <row r="33" spans="7:11">
      <c r="G33" s="10">
        <v>21</v>
      </c>
      <c r="H33">
        <f t="shared" si="0"/>
        <v>8.2466807156732075E-2</v>
      </c>
      <c r="I33">
        <f t="shared" si="1"/>
        <v>4</v>
      </c>
      <c r="J33">
        <f t="shared" si="2"/>
        <v>1.0031271634969434</v>
      </c>
      <c r="K33">
        <f t="shared" si="3"/>
        <v>0.99688258516892114</v>
      </c>
    </row>
    <row r="34" spans="7:11">
      <c r="G34" s="10">
        <v>22</v>
      </c>
      <c r="H34">
        <f t="shared" si="0"/>
        <v>8.6393797973719308E-2</v>
      </c>
      <c r="I34">
        <f t="shared" si="1"/>
        <v>2</v>
      </c>
      <c r="J34">
        <f t="shared" si="2"/>
        <v>1.00343288868793</v>
      </c>
      <c r="K34">
        <f t="shared" si="3"/>
        <v>0.99657885571957006</v>
      </c>
    </row>
    <row r="35" spans="7:11">
      <c r="G35" s="10">
        <v>23</v>
      </c>
      <c r="H35">
        <f t="shared" si="0"/>
        <v>9.0320788790706541E-2</v>
      </c>
      <c r="I35">
        <f t="shared" si="1"/>
        <v>4</v>
      </c>
      <c r="J35">
        <f t="shared" si="2"/>
        <v>1.0037529879881977</v>
      </c>
      <c r="K35">
        <f t="shared" si="3"/>
        <v>0.99626104426775375</v>
      </c>
    </row>
    <row r="36" spans="7:11">
      <c r="G36" s="10">
        <v>24</v>
      </c>
      <c r="H36">
        <f t="shared" si="0"/>
        <v>9.4247779607693788E-2</v>
      </c>
      <c r="I36">
        <f t="shared" si="1"/>
        <v>2</v>
      </c>
      <c r="J36">
        <f t="shared" si="2"/>
        <v>1.0040874825538664</v>
      </c>
      <c r="K36">
        <f t="shared" si="3"/>
        <v>0.99592915694609607</v>
      </c>
    </row>
    <row r="37" spans="7:11">
      <c r="G37" s="10">
        <v>25</v>
      </c>
      <c r="H37">
        <f t="shared" si="0"/>
        <v>9.8174770424681035E-2</v>
      </c>
      <c r="I37">
        <f t="shared" si="1"/>
        <v>4</v>
      </c>
      <c r="J37">
        <f t="shared" si="2"/>
        <v>1.0044363945060288</v>
      </c>
      <c r="K37">
        <f t="shared" si="3"/>
        <v>0.99558320016051338</v>
      </c>
    </row>
    <row r="38" spans="7:11">
      <c r="G38" s="10">
        <v>26</v>
      </c>
      <c r="H38">
        <f t="shared" si="0"/>
        <v>0.10210176124166828</v>
      </c>
      <c r="I38">
        <f t="shared" si="1"/>
        <v>2</v>
      </c>
      <c r="J38">
        <f t="shared" si="2"/>
        <v>1.0047997469340042</v>
      </c>
      <c r="K38">
        <f t="shared" si="3"/>
        <v>0.99522318059031167</v>
      </c>
    </row>
    <row r="39" spans="7:11">
      <c r="G39" s="10">
        <v>27</v>
      </c>
      <c r="H39">
        <f t="shared" si="0"/>
        <v>0.10602875205865551</v>
      </c>
      <c r="I39">
        <f t="shared" si="1"/>
        <v>4</v>
      </c>
      <c r="J39">
        <f t="shared" si="2"/>
        <v>1.0051775638987335</v>
      </c>
      <c r="K39">
        <f t="shared" si="3"/>
        <v>0.99484910518828973</v>
      </c>
    </row>
    <row r="40" spans="7:11">
      <c r="G40" s="10">
        <v>28</v>
      </c>
      <c r="H40">
        <f t="shared" si="0"/>
        <v>0.10995574287564276</v>
      </c>
      <c r="I40">
        <f t="shared" si="1"/>
        <v>2</v>
      </c>
      <c r="J40">
        <f t="shared" si="2"/>
        <v>1.0055698704363223</v>
      </c>
      <c r="K40">
        <f t="shared" si="3"/>
        <v>0.99446098118084481</v>
      </c>
    </row>
    <row r="41" spans="7:11">
      <c r="G41" s="10">
        <v>29</v>
      </c>
      <c r="H41">
        <f t="shared" si="0"/>
        <v>0.11388273369263001</v>
      </c>
      <c r="I41">
        <f t="shared" si="1"/>
        <v>4</v>
      </c>
      <c r="J41">
        <f t="shared" si="2"/>
        <v>1.0059766925617286</v>
      </c>
      <c r="K41">
        <f t="shared" si="3"/>
        <v>0.99405881606808522</v>
      </c>
    </row>
    <row r="42" spans="7:11">
      <c r="G42" s="10">
        <v>30</v>
      </c>
      <c r="H42">
        <f t="shared" si="0"/>
        <v>0.11780972450961723</v>
      </c>
      <c r="I42">
        <f t="shared" si="1"/>
        <v>2</v>
      </c>
      <c r="J42">
        <f t="shared" si="2"/>
        <v>1.0063980572725999</v>
      </c>
      <c r="K42">
        <f t="shared" si="3"/>
        <v>0.9936426176239459</v>
      </c>
    </row>
    <row r="43" spans="7:11">
      <c r="G43" s="10">
        <v>31</v>
      </c>
      <c r="H43">
        <f t="shared" si="0"/>
        <v>0.12173671532660447</v>
      </c>
      <c r="I43">
        <f t="shared" si="1"/>
        <v>4</v>
      </c>
      <c r="J43">
        <f t="shared" si="2"/>
        <v>1.0068339925532566</v>
      </c>
      <c r="K43">
        <f t="shared" si="3"/>
        <v>0.99321239389631044</v>
      </c>
    </row>
    <row r="44" spans="7:11">
      <c r="G44" s="10">
        <v>32</v>
      </c>
      <c r="H44">
        <f t="shared" si="0"/>
        <v>0.12566370614359174</v>
      </c>
      <c r="I44">
        <f t="shared" si="1"/>
        <v>2</v>
      </c>
      <c r="J44">
        <f t="shared" si="2"/>
        <v>1.007284527378826</v>
      </c>
      <c r="K44">
        <f t="shared" si="3"/>
        <v>0.99276815320713618</v>
      </c>
    </row>
    <row r="45" spans="7:11">
      <c r="G45" s="10">
        <v>33</v>
      </c>
      <c r="H45">
        <f t="shared" si="0"/>
        <v>0.12959069696057898</v>
      </c>
      <c r="I45">
        <f t="shared" si="1"/>
        <v>4</v>
      </c>
      <c r="J45">
        <f t="shared" si="2"/>
        <v>1.0077496917195246</v>
      </c>
      <c r="K45">
        <f t="shared" si="3"/>
        <v>0.99230990415258646</v>
      </c>
    </row>
    <row r="46" spans="7:11">
      <c r="G46" s="10">
        <v>34</v>
      </c>
      <c r="H46">
        <f t="shared" si="0"/>
        <v>0.13351768777756623</v>
      </c>
      <c r="I46">
        <f t="shared" si="1"/>
        <v>2</v>
      </c>
      <c r="J46">
        <f t="shared" si="2"/>
        <v>1.0082295165450945</v>
      </c>
      <c r="K46">
        <f t="shared" si="3"/>
        <v>0.99183765560316595</v>
      </c>
    </row>
    <row r="47" spans="7:11">
      <c r="G47" s="10">
        <v>35</v>
      </c>
      <c r="H47">
        <f t="shared" si="0"/>
        <v>0.13744467859455345</v>
      </c>
      <c r="I47">
        <f t="shared" si="1"/>
        <v>4</v>
      </c>
      <c r="J47">
        <f t="shared" si="2"/>
        <v>1.008724033829389</v>
      </c>
      <c r="K47">
        <f t="shared" si="3"/>
        <v>0.99135141670386273</v>
      </c>
    </row>
    <row r="48" spans="7:11">
      <c r="G48" s="10">
        <v>36</v>
      </c>
      <c r="H48">
        <f t="shared" si="0"/>
        <v>0.1413716694115407</v>
      </c>
      <c r="I48">
        <f t="shared" si="1"/>
        <v>2</v>
      </c>
      <c r="J48">
        <f t="shared" si="2"/>
        <v>1.0092332765551135</v>
      </c>
      <c r="K48">
        <f t="shared" si="3"/>
        <v>0.99085119687429435</v>
      </c>
    </row>
    <row r="49" spans="7:11">
      <c r="G49" s="10">
        <v>37</v>
      </c>
      <c r="H49">
        <f t="shared" si="0"/>
        <v>0.14529866022852794</v>
      </c>
      <c r="I49">
        <f t="shared" si="1"/>
        <v>4</v>
      </c>
      <c r="J49">
        <f t="shared" si="2"/>
        <v>1.0097572787187201</v>
      </c>
      <c r="K49">
        <f t="shared" si="3"/>
        <v>0.99033700580886019</v>
      </c>
    </row>
    <row r="50" spans="7:11">
      <c r="G50" s="10">
        <v>38</v>
      </c>
      <c r="H50">
        <f t="shared" si="0"/>
        <v>0.14922565104551516</v>
      </c>
      <c r="I50">
        <f t="shared" si="1"/>
        <v>2</v>
      </c>
      <c r="J50">
        <f t="shared" si="2"/>
        <v>1.010296075335458</v>
      </c>
      <c r="K50">
        <f t="shared" si="3"/>
        <v>0.98980885347689851</v>
      </c>
    </row>
    <row r="51" spans="7:11">
      <c r="G51" s="10">
        <v>39</v>
      </c>
      <c r="H51">
        <f t="shared" si="0"/>
        <v>0.15315264186250241</v>
      </c>
      <c r="I51">
        <f t="shared" si="1"/>
        <v>4</v>
      </c>
      <c r="J51">
        <f t="shared" si="2"/>
        <v>1.0108497024445808</v>
      </c>
      <c r="K51">
        <f t="shared" si="3"/>
        <v>0.98926675012284948</v>
      </c>
    </row>
    <row r="52" spans="7:11">
      <c r="G52" s="10">
        <v>40</v>
      </c>
      <c r="H52">
        <f t="shared" si="0"/>
        <v>0.15707963267948966</v>
      </c>
      <c r="I52">
        <f t="shared" si="1"/>
        <v>2</v>
      </c>
      <c r="J52">
        <f t="shared" si="2"/>
        <v>1.0114181971147123</v>
      </c>
      <c r="K52">
        <f t="shared" si="3"/>
        <v>0.98871070626642366</v>
      </c>
    </row>
    <row r="53" spans="7:11">
      <c r="G53" s="10">
        <v>41</v>
      </c>
      <c r="H53">
        <f t="shared" si="0"/>
        <v>0.16100662349647687</v>
      </c>
      <c r="I53">
        <f t="shared" si="1"/>
        <v>4</v>
      </c>
      <c r="J53">
        <f t="shared" si="2"/>
        <v>1.0120015974493701</v>
      </c>
      <c r="K53">
        <f t="shared" si="3"/>
        <v>0.98814073270277558</v>
      </c>
    </row>
    <row r="54" spans="7:11">
      <c r="G54" s="10">
        <v>42</v>
      </c>
      <c r="H54">
        <f t="shared" si="0"/>
        <v>0.16493361431346415</v>
      </c>
      <c r="I54">
        <f t="shared" si="1"/>
        <v>2</v>
      </c>
      <c r="J54">
        <f t="shared" si="2"/>
        <v>1.0125999425926531</v>
      </c>
      <c r="K54">
        <f t="shared" si="3"/>
        <v>0.98755684050268444</v>
      </c>
    </row>
    <row r="55" spans="7:11">
      <c r="G55" s="10">
        <v>43</v>
      </c>
      <c r="H55">
        <f t="shared" si="0"/>
        <v>0.16886060513045137</v>
      </c>
      <c r="I55">
        <f t="shared" si="1"/>
        <v>4</v>
      </c>
      <c r="J55">
        <f t="shared" si="2"/>
        <v>1.0132132727350864</v>
      </c>
      <c r="K55">
        <f t="shared" si="3"/>
        <v>0.98695904101273935</v>
      </c>
    </row>
    <row r="56" spans="7:11">
      <c r="G56" s="10">
        <v>44</v>
      </c>
      <c r="H56">
        <f t="shared" si="0"/>
        <v>0.17278759594743862</v>
      </c>
      <c r="I56">
        <f t="shared" si="1"/>
        <v>2</v>
      </c>
      <c r="J56">
        <f t="shared" si="2"/>
        <v>1.0138416291196355</v>
      </c>
      <c r="K56">
        <f t="shared" si="3"/>
        <v>0.98634734585553085</v>
      </c>
    </row>
    <row r="57" spans="7:11">
      <c r="G57" s="10">
        <v>45</v>
      </c>
      <c r="H57">
        <f t="shared" si="0"/>
        <v>0.17671458676442586</v>
      </c>
      <c r="I57">
        <f t="shared" si="1"/>
        <v>4</v>
      </c>
      <c r="J57">
        <f t="shared" si="2"/>
        <v>1.0144850540478798</v>
      </c>
      <c r="K57">
        <f t="shared" si="3"/>
        <v>0.98572176692984959</v>
      </c>
    </row>
    <row r="58" spans="7:11">
      <c r="G58" s="10">
        <v>46</v>
      </c>
      <c r="H58">
        <f t="shared" si="0"/>
        <v>0.18064157758141308</v>
      </c>
      <c r="I58">
        <f t="shared" si="1"/>
        <v>2</v>
      </c>
      <c r="J58">
        <f t="shared" si="2"/>
        <v>1.0151435908863562</v>
      </c>
      <c r="K58">
        <f t="shared" si="3"/>
        <v>0.9850823164108895</v>
      </c>
    </row>
    <row r="59" spans="7:11">
      <c r="G59" s="10">
        <v>47</v>
      </c>
      <c r="H59">
        <f t="shared" si="0"/>
        <v>0.18456856839840036</v>
      </c>
      <c r="I59">
        <f t="shared" si="1"/>
        <v>4</v>
      </c>
      <c r="J59">
        <f t="shared" si="2"/>
        <v>1.0158172840730693</v>
      </c>
      <c r="K59">
        <f t="shared" si="3"/>
        <v>0.98442900675045864</v>
      </c>
    </row>
    <row r="60" spans="7:11">
      <c r="G60" s="10">
        <v>48</v>
      </c>
      <c r="H60">
        <f t="shared" si="0"/>
        <v>0.18849555921538758</v>
      </c>
      <c r="I60">
        <f t="shared" si="1"/>
        <v>2</v>
      </c>
      <c r="J60">
        <f t="shared" si="2"/>
        <v>1.0165061791241712</v>
      </c>
      <c r="K60">
        <f t="shared" si="3"/>
        <v>0.98376185067719601</v>
      </c>
    </row>
    <row r="61" spans="7:11">
      <c r="G61" s="10">
        <v>49</v>
      </c>
      <c r="H61">
        <f t="shared" si="0"/>
        <v>0.19242255003237482</v>
      </c>
      <c r="I61">
        <f t="shared" si="1"/>
        <v>4</v>
      </c>
      <c r="J61">
        <f t="shared" si="2"/>
        <v>1.0172103226408131</v>
      </c>
      <c r="K61">
        <f t="shared" si="3"/>
        <v>0.98308086119679472</v>
      </c>
    </row>
    <row r="62" spans="7:11">
      <c r="G62" s="10">
        <v>50</v>
      </c>
      <c r="H62">
        <f t="shared" si="0"/>
        <v>0.19634954084936207</v>
      </c>
      <c r="I62">
        <f t="shared" si="1"/>
        <v>2</v>
      </c>
      <c r="J62">
        <f t="shared" si="2"/>
        <v>1.0179297623161685</v>
      </c>
      <c r="K62">
        <f t="shared" si="3"/>
        <v>0.98238605159223202</v>
      </c>
    </row>
    <row r="63" spans="7:11">
      <c r="G63" s="10">
        <v>51</v>
      </c>
      <c r="H63">
        <f t="shared" si="0"/>
        <v>0.20027653166634932</v>
      </c>
      <c r="I63">
        <f t="shared" si="1"/>
        <v>4</v>
      </c>
      <c r="J63">
        <f t="shared" si="2"/>
        <v>1.0186645469426316</v>
      </c>
      <c r="K63">
        <f t="shared" si="3"/>
        <v>0.98167743542400643</v>
      </c>
    </row>
    <row r="64" spans="7:11">
      <c r="G64" s="10">
        <v>52</v>
      </c>
      <c r="H64">
        <f t="shared" si="0"/>
        <v>0.20420352248333656</v>
      </c>
      <c r="I64">
        <f t="shared" si="1"/>
        <v>2</v>
      </c>
      <c r="J64">
        <f t="shared" si="2"/>
        <v>1.0194147264191924</v>
      </c>
      <c r="K64">
        <f t="shared" si="3"/>
        <v>0.98095502653038114</v>
      </c>
    </row>
    <row r="65" spans="7:11">
      <c r="G65" s="10">
        <v>53</v>
      </c>
      <c r="H65">
        <f t="shared" si="0"/>
        <v>0.20813051330032381</v>
      </c>
      <c r="I65">
        <f t="shared" si="1"/>
        <v>4</v>
      </c>
      <c r="J65">
        <f t="shared" si="2"/>
        <v>1.0201803517589882</v>
      </c>
      <c r="K65">
        <f t="shared" si="3"/>
        <v>0.98021883902763529</v>
      </c>
    </row>
    <row r="66" spans="7:11">
      <c r="G66" s="10">
        <v>54</v>
      </c>
      <c r="H66">
        <f t="shared" si="0"/>
        <v>0.21205750411731103</v>
      </c>
      <c r="I66">
        <f t="shared" si="1"/>
        <v>2</v>
      </c>
      <c r="J66">
        <f t="shared" si="2"/>
        <v>1.0209614750970373</v>
      </c>
      <c r="K66">
        <f t="shared" si="3"/>
        <v>0.97946888731032178</v>
      </c>
    </row>
    <row r="67" spans="7:11">
      <c r="G67" s="10">
        <v>55</v>
      </c>
      <c r="H67">
        <f t="shared" si="0"/>
        <v>0.21598449493429828</v>
      </c>
      <c r="I67">
        <f t="shared" si="1"/>
        <v>4</v>
      </c>
      <c r="J67">
        <f t="shared" si="2"/>
        <v>1.021758149698152</v>
      </c>
      <c r="K67">
        <f t="shared" si="3"/>
        <v>0.978705186051533</v>
      </c>
    </row>
    <row r="68" spans="7:11">
      <c r="G68" s="10">
        <v>56</v>
      </c>
      <c r="H68">
        <f t="shared" si="0"/>
        <v>0.21991148575128552</v>
      </c>
      <c r="I68">
        <f t="shared" si="1"/>
        <v>2</v>
      </c>
      <c r="J68">
        <f t="shared" si="2"/>
        <v>1.0225704299650367</v>
      </c>
      <c r="K68">
        <f t="shared" si="3"/>
        <v>0.97792775020317335</v>
      </c>
    </row>
    <row r="69" spans="7:11">
      <c r="G69" s="10">
        <v>57</v>
      </c>
      <c r="H69">
        <f t="shared" si="0"/>
        <v>0.22383847656827274</v>
      </c>
      <c r="I69">
        <f t="shared" si="1"/>
        <v>4</v>
      </c>
      <c r="J69">
        <f t="shared" si="2"/>
        <v>1.0233983714465709</v>
      </c>
      <c r="K69">
        <f t="shared" si="3"/>
        <v>0.97713659499624039</v>
      </c>
    </row>
    <row r="70" spans="7:11">
      <c r="G70" s="10">
        <v>58</v>
      </c>
      <c r="H70">
        <f t="shared" si="0"/>
        <v>0.22776546738526002</v>
      </c>
      <c r="I70">
        <f t="shared" si="1"/>
        <v>2</v>
      </c>
      <c r="J70">
        <f t="shared" si="2"/>
        <v>1.0242420308462805</v>
      </c>
      <c r="K70">
        <f t="shared" si="3"/>
        <v>0.97633173594111289</v>
      </c>
    </row>
    <row r="71" spans="7:11">
      <c r="G71" s="10">
        <v>59</v>
      </c>
      <c r="H71">
        <f t="shared" si="0"/>
        <v>0.23169245820224724</v>
      </c>
      <c r="I71">
        <f t="shared" si="1"/>
        <v>4</v>
      </c>
      <c r="J71">
        <f t="shared" si="2"/>
        <v>1.0251014660309976</v>
      </c>
      <c r="K71">
        <f t="shared" si="3"/>
        <v>0.97551318882784754</v>
      </c>
    </row>
    <row r="72" spans="7:11">
      <c r="G72" s="10">
        <v>60</v>
      </c>
      <c r="H72">
        <f t="shared" si="0"/>
        <v>0.23561944901923446</v>
      </c>
      <c r="I72">
        <f t="shared" si="1"/>
        <v>2</v>
      </c>
      <c r="J72">
        <f t="shared" si="2"/>
        <v>1.0259767360397134</v>
      </c>
      <c r="K72">
        <f t="shared" si="3"/>
        <v>0.97468096972648322</v>
      </c>
    </row>
    <row r="73" spans="7:11">
      <c r="G73" s="10">
        <v>61</v>
      </c>
      <c r="H73">
        <f t="shared" si="0"/>
        <v>0.23954643983622173</v>
      </c>
      <c r="I73">
        <f t="shared" si="1"/>
        <v>4</v>
      </c>
      <c r="J73">
        <f t="shared" si="2"/>
        <v>1.0268679010926236</v>
      </c>
      <c r="K73">
        <f t="shared" si="3"/>
        <v>0.9738350949873541</v>
      </c>
    </row>
    <row r="74" spans="7:11">
      <c r="G74" s="10">
        <v>62</v>
      </c>
      <c r="H74">
        <f t="shared" si="0"/>
        <v>0.24347343065320895</v>
      </c>
      <c r="I74">
        <f t="shared" si="1"/>
        <v>2</v>
      </c>
      <c r="J74">
        <f t="shared" si="2"/>
        <v>1.0277750226003708</v>
      </c>
      <c r="K74">
        <f t="shared" si="3"/>
        <v>0.97297558124141081</v>
      </c>
    </row>
    <row r="75" spans="7:11">
      <c r="G75" s="10">
        <v>63</v>
      </c>
      <c r="H75">
        <f t="shared" si="0"/>
        <v>0.24740042147019622</v>
      </c>
      <c r="I75">
        <f t="shared" si="1"/>
        <v>4</v>
      </c>
      <c r="J75">
        <f t="shared" si="2"/>
        <v>1.0286981631734857</v>
      </c>
      <c r="K75">
        <f t="shared" si="3"/>
        <v>0.97210244540055046</v>
      </c>
    </row>
    <row r="76" spans="7:11">
      <c r="G76" s="10">
        <v>64</v>
      </c>
      <c r="H76">
        <f t="shared" ref="H76:H139" si="4">G76*PI()/(2*$B$6)</f>
        <v>0.25132741228718347</v>
      </c>
      <c r="I76">
        <f t="shared" ref="I76:I139" si="5">IF(G76&gt;$B$6,0,IF(OR(G76=0,G76=$B$6),1,IF(MOD(G76,2)=1,4,2)))</f>
        <v>2</v>
      </c>
      <c r="J76">
        <f t="shared" ref="J76:J139" si="6">IF(G76&gt;$B$6,0,1/SQRT(1-($E$5^2)*(SIN(H76)^2)))</f>
        <v>1.029637386632027</v>
      </c>
      <c r="K76">
        <f t="shared" ref="K76:K139" si="7">IF(G76&gt;$B$6,0,SQRT(1-($E$5^2)*(SIN(H76)^2)))</f>
        <v>0.9712157046579557</v>
      </c>
    </row>
    <row r="77" spans="7:11">
      <c r="G77" s="10">
        <v>65</v>
      </c>
      <c r="H77">
        <f t="shared" si="4"/>
        <v>0.25525440310417069</v>
      </c>
      <c r="I77">
        <f t="shared" si="5"/>
        <v>4</v>
      </c>
      <c r="J77">
        <f t="shared" si="6"/>
        <v>1.0305927580154262</v>
      </c>
      <c r="K77">
        <f t="shared" si="7"/>
        <v>0.97031537648844202</v>
      </c>
    </row>
    <row r="78" spans="7:11">
      <c r="G78" s="10">
        <v>66</v>
      </c>
      <c r="H78">
        <f t="shared" si="4"/>
        <v>0.25918139392115797</v>
      </c>
      <c r="I78">
        <f t="shared" si="5"/>
        <v>2</v>
      </c>
      <c r="J78">
        <f t="shared" si="6"/>
        <v>1.031564343592537</v>
      </c>
      <c r="K78">
        <f t="shared" si="7"/>
        <v>0.96940147864881543</v>
      </c>
    </row>
    <row r="79" spans="7:11">
      <c r="G79" s="10">
        <v>67</v>
      </c>
      <c r="H79">
        <f t="shared" si="4"/>
        <v>0.26310838473814518</v>
      </c>
      <c r="I79">
        <f t="shared" si="5"/>
        <v>4</v>
      </c>
      <c r="J79">
        <f t="shared" si="6"/>
        <v>1.0325522108718925</v>
      </c>
      <c r="K79">
        <f t="shared" si="7"/>
        <v>0.96847402917823855</v>
      </c>
    </row>
    <row r="80" spans="7:11">
      <c r="G80" s="10">
        <v>68</v>
      </c>
      <c r="H80">
        <f t="shared" si="4"/>
        <v>0.26703537555513246</v>
      </c>
      <c r="I80">
        <f t="shared" si="5"/>
        <v>2</v>
      </c>
      <c r="J80">
        <f t="shared" si="6"/>
        <v>1.033556428612173</v>
      </c>
      <c r="K80">
        <f t="shared" si="7"/>
        <v>0.96753304639860682</v>
      </c>
    </row>
    <row r="81" spans="7:11">
      <c r="G81" s="10">
        <v>69</v>
      </c>
      <c r="H81">
        <f t="shared" si="4"/>
        <v>0.27096236637211968</v>
      </c>
      <c r="I81">
        <f t="shared" si="5"/>
        <v>4</v>
      </c>
      <c r="J81">
        <f t="shared" si="6"/>
        <v>1.0345770668328862</v>
      </c>
      <c r="K81">
        <f t="shared" si="7"/>
        <v>0.96657854891493422</v>
      </c>
    </row>
    <row r="82" spans="7:11">
      <c r="G82" s="10">
        <v>70</v>
      </c>
      <c r="H82">
        <f t="shared" si="4"/>
        <v>0.2748893571891069</v>
      </c>
      <c r="I82">
        <f t="shared" si="5"/>
        <v>2</v>
      </c>
      <c r="J82">
        <f t="shared" si="6"/>
        <v>1.0356141968252628</v>
      </c>
      <c r="K82">
        <f t="shared" si="7"/>
        <v>0.96561055561574927</v>
      </c>
    </row>
    <row r="83" spans="7:11">
      <c r="G83" s="10">
        <v>71</v>
      </c>
      <c r="H83">
        <f t="shared" si="4"/>
        <v>0.27881634800609417</v>
      </c>
      <c r="I83">
        <f t="shared" si="5"/>
        <v>4</v>
      </c>
      <c r="J83">
        <f t="shared" si="6"/>
        <v>1.0366678911633715</v>
      </c>
      <c r="K83">
        <f t="shared" si="7"/>
        <v>0.96462908567350136</v>
      </c>
    </row>
    <row r="84" spans="7:11">
      <c r="G84" s="10">
        <v>72</v>
      </c>
      <c r="H84">
        <f t="shared" si="4"/>
        <v>0.28274333882308139</v>
      </c>
      <c r="I84">
        <f t="shared" si="5"/>
        <v>2</v>
      </c>
      <c r="J84">
        <f t="shared" si="6"/>
        <v>1.0377382237154533</v>
      </c>
      <c r="K84">
        <f t="shared" si="7"/>
        <v>0.96363415854497703</v>
      </c>
    </row>
    <row r="85" spans="7:11">
      <c r="G85" s="10">
        <v>73</v>
      </c>
      <c r="H85">
        <f t="shared" si="4"/>
        <v>0.28667032964006861</v>
      </c>
      <c r="I85">
        <f t="shared" si="5"/>
        <v>4</v>
      </c>
      <c r="J85">
        <f t="shared" si="6"/>
        <v>1.0388252696554801</v>
      </c>
      <c r="K85">
        <f t="shared" si="7"/>
        <v>0.96262579397172721</v>
      </c>
    </row>
    <row r="86" spans="7:11">
      <c r="G86" s="10">
        <v>74</v>
      </c>
      <c r="H86">
        <f t="shared" si="4"/>
        <v>0.29059732045705589</v>
      </c>
      <c r="I86">
        <f t="shared" si="5"/>
        <v>2</v>
      </c>
      <c r="J86">
        <f t="shared" si="6"/>
        <v>1.0399291054749391</v>
      </c>
      <c r="K86">
        <f t="shared" si="7"/>
        <v>0.96160401198050582</v>
      </c>
    </row>
    <row r="87" spans="7:11">
      <c r="G87" s="10">
        <v>75</v>
      </c>
      <c r="H87">
        <f t="shared" si="4"/>
        <v>0.2945243112740431</v>
      </c>
      <c r="I87">
        <f t="shared" si="5"/>
        <v>4</v>
      </c>
      <c r="J87">
        <f t="shared" si="6"/>
        <v>1.0410498089948486</v>
      </c>
      <c r="K87">
        <f t="shared" si="7"/>
        <v>0.96056883288371875</v>
      </c>
    </row>
    <row r="88" spans="7:11">
      <c r="G88" s="10">
        <v>76</v>
      </c>
      <c r="H88">
        <f t="shared" si="4"/>
        <v>0.29845130209103032</v>
      </c>
      <c r="I88">
        <f t="shared" si="5"/>
        <v>2</v>
      </c>
      <c r="J88">
        <f t="shared" si="6"/>
        <v>1.0421874593780029</v>
      </c>
      <c r="K88">
        <f t="shared" si="7"/>
        <v>0.95952027727988476</v>
      </c>
    </row>
    <row r="89" spans="7:11">
      <c r="G89" s="10">
        <v>77</v>
      </c>
      <c r="H89">
        <f t="shared" si="4"/>
        <v>0.3023782929080176</v>
      </c>
      <c r="I89">
        <f t="shared" si="5"/>
        <v>4</v>
      </c>
      <c r="J89">
        <f t="shared" si="6"/>
        <v>1.0433421371414553</v>
      </c>
      <c r="K89">
        <f t="shared" si="7"/>
        <v>0.95845836605410772</v>
      </c>
    </row>
    <row r="90" spans="7:11">
      <c r="G90" s="10">
        <v>78</v>
      </c>
      <c r="H90">
        <f t="shared" si="4"/>
        <v>0.30630528372500482</v>
      </c>
      <c r="I90">
        <f t="shared" si="5"/>
        <v>2</v>
      </c>
      <c r="J90">
        <f t="shared" si="6"/>
        <v>1.0445139241692369</v>
      </c>
      <c r="K90">
        <f t="shared" si="7"/>
        <v>0.95738312037856121</v>
      </c>
    </row>
    <row r="91" spans="7:11">
      <c r="G91" s="10">
        <v>79</v>
      </c>
      <c r="H91">
        <f t="shared" si="4"/>
        <v>0.31023227454199209</v>
      </c>
      <c r="I91">
        <f t="shared" si="5"/>
        <v>4</v>
      </c>
      <c r="J91">
        <f t="shared" si="6"/>
        <v>1.04570290372532</v>
      </c>
      <c r="K91">
        <f t="shared" si="7"/>
        <v>0.95629456171298444</v>
      </c>
    </row>
    <row r="92" spans="7:11">
      <c r="G92" s="10">
        <v>80</v>
      </c>
      <c r="H92">
        <f t="shared" si="4"/>
        <v>0.31415926535897931</v>
      </c>
      <c r="I92">
        <f t="shared" si="5"/>
        <v>2</v>
      </c>
      <c r="J92">
        <f t="shared" si="6"/>
        <v>1.0469091604668217</v>
      </c>
      <c r="K92">
        <f t="shared" si="7"/>
        <v>0.95519271180519161</v>
      </c>
    </row>
    <row r="93" spans="7:11">
      <c r="G93" s="10">
        <v>81</v>
      </c>
      <c r="H93">
        <f t="shared" si="4"/>
        <v>0.31808625617596653</v>
      </c>
      <c r="I93">
        <f t="shared" si="5"/>
        <v>4</v>
      </c>
      <c r="J93">
        <f t="shared" si="6"/>
        <v>1.0481327804574605</v>
      </c>
      <c r="K93">
        <f t="shared" si="7"/>
        <v>0.9540775926915932</v>
      </c>
    </row>
    <row r="94" spans="7:11">
      <c r="G94" s="10">
        <v>82</v>
      </c>
      <c r="H94">
        <f t="shared" si="4"/>
        <v>0.32201324699295375</v>
      </c>
      <c r="I94">
        <f t="shared" si="5"/>
        <v>2</v>
      </c>
      <c r="J94">
        <f t="shared" si="6"/>
        <v>1.0493738511812587</v>
      </c>
      <c r="K94">
        <f t="shared" si="7"/>
        <v>0.95294922669773074</v>
      </c>
    </row>
    <row r="95" spans="7:11">
      <c r="G95" s="10">
        <v>83</v>
      </c>
      <c r="H95">
        <f t="shared" si="4"/>
        <v>0.32594023780994108</v>
      </c>
      <c r="I95">
        <f t="shared" si="5"/>
        <v>4</v>
      </c>
      <c r="J95">
        <f t="shared" si="6"/>
        <v>1.0506324615565037</v>
      </c>
      <c r="K95">
        <f t="shared" si="7"/>
        <v>0.95180763643882449</v>
      </c>
    </row>
    <row r="96" spans="7:11">
      <c r="G96" s="10">
        <v>84</v>
      </c>
      <c r="H96">
        <f t="shared" si="4"/>
        <v>0.3298672286269283</v>
      </c>
      <c r="I96">
        <f t="shared" si="5"/>
        <v>2</v>
      </c>
      <c r="J96">
        <f t="shared" si="6"/>
        <v>1.0519087019499651</v>
      </c>
      <c r="K96">
        <f t="shared" si="7"/>
        <v>0.95065284482033485</v>
      </c>
    </row>
    <row r="97" spans="7:11">
      <c r="G97" s="10">
        <v>85</v>
      </c>
      <c r="H97">
        <f t="shared" si="4"/>
        <v>0.33379421944391552</v>
      </c>
      <c r="I97">
        <f t="shared" si="5"/>
        <v>4</v>
      </c>
      <c r="J97">
        <f t="shared" si="6"/>
        <v>1.0532026641913723</v>
      </c>
      <c r="K97">
        <f t="shared" si="7"/>
        <v>0.94948487503853751</v>
      </c>
    </row>
    <row r="98" spans="7:11">
      <c r="G98" s="10">
        <v>86</v>
      </c>
      <c r="H98">
        <f t="shared" si="4"/>
        <v>0.33772121026090274</v>
      </c>
      <c r="I98">
        <f t="shared" si="5"/>
        <v>2</v>
      </c>
      <c r="J98">
        <f t="shared" si="6"/>
        <v>1.0545144415881595</v>
      </c>
      <c r="K98">
        <f t="shared" si="7"/>
        <v>0.94830375058111327</v>
      </c>
    </row>
    <row r="99" spans="7:11">
      <c r="G99" s="10">
        <v>87</v>
      </c>
      <c r="H99">
        <f t="shared" si="4"/>
        <v>0.34164820107788996</v>
      </c>
      <c r="I99">
        <f t="shared" si="5"/>
        <v>4</v>
      </c>
      <c r="J99">
        <f t="shared" si="6"/>
        <v>1.0558441289404767</v>
      </c>
      <c r="K99">
        <f t="shared" si="7"/>
        <v>0.94710949522775156</v>
      </c>
    </row>
    <row r="100" spans="7:11">
      <c r="G100" s="10">
        <v>88</v>
      </c>
      <c r="H100">
        <f t="shared" si="4"/>
        <v>0.34557519189487723</v>
      </c>
      <c r="I100">
        <f t="shared" si="5"/>
        <v>2</v>
      </c>
      <c r="J100">
        <f t="shared" si="6"/>
        <v>1.0571918225564749</v>
      </c>
      <c r="K100">
        <f t="shared" si="7"/>
        <v>0.9459021330507692</v>
      </c>
    </row>
    <row r="101" spans="7:11">
      <c r="G101" s="10">
        <v>89</v>
      </c>
      <c r="H101">
        <f t="shared" si="4"/>
        <v>0.34950218271186451</v>
      </c>
      <c r="I101">
        <f t="shared" si="5"/>
        <v>4</v>
      </c>
      <c r="J101">
        <f t="shared" si="6"/>
        <v>1.0585576202678657</v>
      </c>
      <c r="K101">
        <f t="shared" si="7"/>
        <v>0.94468168841574462</v>
      </c>
    </row>
    <row r="102" spans="7:11">
      <c r="G102" s="10">
        <v>90</v>
      </c>
      <c r="H102">
        <f t="shared" si="4"/>
        <v>0.35342917352885173</v>
      </c>
      <c r="I102">
        <f t="shared" si="5"/>
        <v>2</v>
      </c>
      <c r="J102">
        <f t="shared" si="6"/>
        <v>1.0599416214457609</v>
      </c>
      <c r="K102">
        <f t="shared" si="7"/>
        <v>0.94344818598216706</v>
      </c>
    </row>
    <row r="103" spans="7:11">
      <c r="G103" s="10">
        <v>91</v>
      </c>
      <c r="H103">
        <f t="shared" si="4"/>
        <v>0.35735616434583894</v>
      </c>
      <c r="I103">
        <f t="shared" si="5"/>
        <v>4</v>
      </c>
      <c r="J103">
        <f t="shared" si="6"/>
        <v>1.0613439270167975</v>
      </c>
      <c r="K103">
        <f t="shared" si="7"/>
        <v>0.94220165070410156</v>
      </c>
    </row>
    <row r="104" spans="7:11">
      <c r="G104" s="10">
        <v>92</v>
      </c>
      <c r="H104">
        <f t="shared" si="4"/>
        <v>0.36128315516282616</v>
      </c>
      <c r="I104">
        <f t="shared" si="5"/>
        <v>2</v>
      </c>
      <c r="J104">
        <f t="shared" si="6"/>
        <v>1.0627646394795469</v>
      </c>
      <c r="K104">
        <f t="shared" si="7"/>
        <v>0.94094210783087051</v>
      </c>
    </row>
    <row r="105" spans="7:11">
      <c r="G105" s="10">
        <v>93</v>
      </c>
      <c r="H105">
        <f t="shared" si="4"/>
        <v>0.36521014597981344</v>
      </c>
      <c r="I105">
        <f t="shared" si="5"/>
        <v>4</v>
      </c>
      <c r="J105">
        <f t="shared" si="6"/>
        <v>1.0642038629212187</v>
      </c>
      <c r="K105">
        <f t="shared" si="7"/>
        <v>0.93966958290775193</v>
      </c>
    </row>
    <row r="106" spans="7:11">
      <c r="G106" s="10">
        <v>94</v>
      </c>
      <c r="H106">
        <f t="shared" si="4"/>
        <v>0.36913713679680071</v>
      </c>
      <c r="I106">
        <f t="shared" si="5"/>
        <v>2</v>
      </c>
      <c r="J106">
        <f t="shared" si="6"/>
        <v>1.0656617030346589</v>
      </c>
      <c r="K106">
        <f t="shared" si="7"/>
        <v>0.93838410177669362</v>
      </c>
    </row>
    <row r="107" spans="7:11">
      <c r="G107" s="10">
        <v>95</v>
      </c>
      <c r="H107">
        <f t="shared" si="4"/>
        <v>0.37306412761378793</v>
      </c>
      <c r="I107">
        <f t="shared" si="5"/>
        <v>4</v>
      </c>
      <c r="J107">
        <f t="shared" si="6"/>
        <v>1.0671382671356469</v>
      </c>
      <c r="K107">
        <f t="shared" si="7"/>
        <v>0.93708569057704616</v>
      </c>
    </row>
    <row r="108" spans="7:11">
      <c r="G108" s="10">
        <v>96</v>
      </c>
      <c r="H108">
        <f t="shared" si="4"/>
        <v>0.37699111843077515</v>
      </c>
      <c r="I108">
        <f t="shared" si="5"/>
        <v>2</v>
      </c>
      <c r="J108">
        <f t="shared" si="6"/>
        <v>1.0686336641804985</v>
      </c>
      <c r="K108">
        <f t="shared" si="7"/>
        <v>0.93577437574631195</v>
      </c>
    </row>
    <row r="109" spans="7:11">
      <c r="G109" s="10">
        <v>97</v>
      </c>
      <c r="H109">
        <f t="shared" si="4"/>
        <v>0.38091810924776243</v>
      </c>
      <c r="I109">
        <f t="shared" si="5"/>
        <v>4</v>
      </c>
      <c r="J109">
        <f t="shared" si="6"/>
        <v>1.0701480047839758</v>
      </c>
      <c r="K109">
        <f t="shared" si="7"/>
        <v>0.93445018402091395</v>
      </c>
    </row>
    <row r="110" spans="7:11">
      <c r="G110" s="10">
        <v>98</v>
      </c>
      <c r="H110">
        <f t="shared" si="4"/>
        <v>0.38484510006474965</v>
      </c>
      <c r="I110">
        <f t="shared" si="5"/>
        <v>2</v>
      </c>
      <c r="J110">
        <f t="shared" si="6"/>
        <v>1.0716814012375093</v>
      </c>
      <c r="K110">
        <f t="shared" si="7"/>
        <v>0.93311314243698162</v>
      </c>
    </row>
    <row r="111" spans="7:11">
      <c r="G111" s="10">
        <v>99</v>
      </c>
      <c r="H111">
        <f t="shared" si="4"/>
        <v>0.38877209088173692</v>
      </c>
      <c r="I111">
        <f t="shared" si="5"/>
        <v>4</v>
      </c>
      <c r="J111">
        <f t="shared" si="6"/>
        <v>1.0732339675277387</v>
      </c>
      <c r="K111">
        <f t="shared" si="7"/>
        <v>0.93176327833115669</v>
      </c>
    </row>
    <row r="112" spans="7:11">
      <c r="G112" s="10">
        <v>100</v>
      </c>
      <c r="H112">
        <f t="shared" si="4"/>
        <v>0.39269908169872414</v>
      </c>
      <c r="I112">
        <f t="shared" si="5"/>
        <v>2</v>
      </c>
      <c r="J112">
        <f t="shared" si="6"/>
        <v>1.0748058193553742</v>
      </c>
      <c r="K112">
        <f t="shared" si="7"/>
        <v>0.9304006193414176</v>
      </c>
    </row>
    <row r="113" spans="7:11">
      <c r="G113" s="10">
        <v>101</v>
      </c>
      <c r="H113">
        <f t="shared" si="4"/>
        <v>0.39662607251571136</v>
      </c>
      <c r="I113">
        <f t="shared" si="5"/>
        <v>4</v>
      </c>
      <c r="J113">
        <f t="shared" si="6"/>
        <v>1.0763970741543836</v>
      </c>
      <c r="K113">
        <f t="shared" si="7"/>
        <v>0.92902519340792433</v>
      </c>
    </row>
    <row r="114" spans="7:11">
      <c r="G114" s="10">
        <v>102</v>
      </c>
      <c r="H114">
        <f t="shared" si="4"/>
        <v>0.40055306333269863</v>
      </c>
      <c r="I114">
        <f t="shared" si="5"/>
        <v>2</v>
      </c>
      <c r="J114">
        <f t="shared" si="6"/>
        <v>1.0780078511115105</v>
      </c>
      <c r="K114">
        <f t="shared" si="7"/>
        <v>0.92763702877388299</v>
      </c>
    </row>
    <row r="115" spans="7:11">
      <c r="G115" s="10">
        <v>103</v>
      </c>
      <c r="H115">
        <f t="shared" si="4"/>
        <v>0.40448005414968585</v>
      </c>
      <c r="I115">
        <f t="shared" si="5"/>
        <v>4</v>
      </c>
      <c r="J115">
        <f t="shared" si="6"/>
        <v>1.0796382711861288</v>
      </c>
      <c r="K115">
        <f t="shared" si="7"/>
        <v>0.92623615398643167</v>
      </c>
    </row>
    <row r="116" spans="7:11">
      <c r="G116" s="10">
        <v>104</v>
      </c>
      <c r="H116">
        <f t="shared" si="4"/>
        <v>0.40840704496667313</v>
      </c>
      <c r="I116">
        <f t="shared" si="5"/>
        <v>2</v>
      </c>
      <c r="J116">
        <f t="shared" si="6"/>
        <v>1.0812884571304362</v>
      </c>
      <c r="K116">
        <f t="shared" si="7"/>
        <v>0.92482259789754662</v>
      </c>
    </row>
    <row r="117" spans="7:11">
      <c r="G117" s="10">
        <v>105</v>
      </c>
      <c r="H117">
        <f t="shared" si="4"/>
        <v>0.41233403578366035</v>
      </c>
      <c r="I117">
        <f t="shared" si="5"/>
        <v>4</v>
      </c>
      <c r="J117">
        <f t="shared" si="6"/>
        <v>1.0829585335099936</v>
      </c>
      <c r="K117">
        <f t="shared" si="7"/>
        <v>0.9233963896649714</v>
      </c>
    </row>
    <row r="118" spans="7:11">
      <c r="G118" s="10">
        <v>106</v>
      </c>
      <c r="H118">
        <f t="shared" si="4"/>
        <v>0.41626102660064762</v>
      </c>
      <c r="I118">
        <f t="shared" si="5"/>
        <v>2</v>
      </c>
      <c r="J118">
        <f t="shared" si="6"/>
        <v>1.0846486267246147</v>
      </c>
      <c r="K118">
        <f t="shared" si="7"/>
        <v>0.92195755875316621</v>
      </c>
    </row>
    <row r="119" spans="7:11">
      <c r="G119" s="10">
        <v>107</v>
      </c>
      <c r="H119">
        <f t="shared" si="4"/>
        <v>0.42018801741763484</v>
      </c>
      <c r="I119">
        <f t="shared" si="5"/>
        <v>4</v>
      </c>
      <c r="J119">
        <f t="shared" si="6"/>
        <v>1.0863588650296101</v>
      </c>
      <c r="K119">
        <f t="shared" si="7"/>
        <v>0.92050613493428235</v>
      </c>
    </row>
    <row r="120" spans="7:11">
      <c r="G120" s="10">
        <v>108</v>
      </c>
      <c r="H120">
        <f t="shared" si="4"/>
        <v>0.42411500823462206</v>
      </c>
      <c r="I120">
        <f t="shared" si="5"/>
        <v>2</v>
      </c>
      <c r="J120">
        <f t="shared" si="6"/>
        <v>1.0880893785573917</v>
      </c>
      <c r="K120">
        <f t="shared" si="7"/>
        <v>0.91904214828915787</v>
      </c>
    </row>
    <row r="121" spans="7:11">
      <c r="G121" s="10">
        <v>109</v>
      </c>
      <c r="H121">
        <f t="shared" si="4"/>
        <v>0.42804199905160928</v>
      </c>
      <c r="I121">
        <f t="shared" si="5"/>
        <v>4</v>
      </c>
      <c r="J121">
        <f t="shared" si="6"/>
        <v>1.0898402993394438</v>
      </c>
      <c r="K121">
        <f t="shared" si="7"/>
        <v>0.91756562920833773</v>
      </c>
    </row>
    <row r="122" spans="7:11">
      <c r="G122" s="10">
        <v>110</v>
      </c>
      <c r="H122">
        <f t="shared" si="4"/>
        <v>0.43196898986859655</v>
      </c>
      <c r="I122">
        <f t="shared" si="5"/>
        <v>2</v>
      </c>
      <c r="J122">
        <f t="shared" si="6"/>
        <v>1.0916117613286633</v>
      </c>
      <c r="K122">
        <f t="shared" si="7"/>
        <v>0.91607660839311822</v>
      </c>
    </row>
    <row r="123" spans="7:11">
      <c r="G123" s="10">
        <v>111</v>
      </c>
      <c r="H123">
        <f t="shared" si="4"/>
        <v>0.43589598068558383</v>
      </c>
      <c r="I123">
        <f t="shared" si="5"/>
        <v>4</v>
      </c>
      <c r="J123">
        <f t="shared" si="6"/>
        <v>1.0934039004220759</v>
      </c>
      <c r="K123">
        <f t="shared" si="7"/>
        <v>0.91457511685661619</v>
      </c>
    </row>
    <row r="124" spans="7:11">
      <c r="G124" s="10">
        <v>112</v>
      </c>
      <c r="H124">
        <f t="shared" si="4"/>
        <v>0.43982297150257105</v>
      </c>
      <c r="I124">
        <f t="shared" si="5"/>
        <v>2</v>
      </c>
      <c r="J124">
        <f t="shared" si="6"/>
        <v>1.0952168544839347</v>
      </c>
      <c r="K124">
        <f t="shared" si="7"/>
        <v>0.91306118592486352</v>
      </c>
    </row>
    <row r="125" spans="7:11">
      <c r="G125" s="10">
        <v>113</v>
      </c>
      <c r="H125">
        <f t="shared" si="4"/>
        <v>0.44374996231955827</v>
      </c>
      <c r="I125">
        <f t="shared" si="5"/>
        <v>4</v>
      </c>
      <c r="J125">
        <f t="shared" si="6"/>
        <v>1.0970507633692046</v>
      </c>
      <c r="K125">
        <f t="shared" si="7"/>
        <v>0.91153484723792777</v>
      </c>
    </row>
    <row r="126" spans="7:11">
      <c r="G126" s="10">
        <v>114</v>
      </c>
      <c r="H126">
        <f t="shared" si="4"/>
        <v>0.44767695313654549</v>
      </c>
      <c r="I126">
        <f t="shared" si="5"/>
        <v>2</v>
      </c>
      <c r="J126">
        <f t="shared" si="6"/>
        <v>1.0989057689474409</v>
      </c>
      <c r="K126">
        <f t="shared" si="7"/>
        <v>0.90999613275105906</v>
      </c>
    </row>
    <row r="127" spans="7:11">
      <c r="G127" s="10">
        <v>115</v>
      </c>
      <c r="H127">
        <f t="shared" si="4"/>
        <v>0.45160394395353282</v>
      </c>
      <c r="I127">
        <f t="shared" si="5"/>
        <v>4</v>
      </c>
      <c r="J127">
        <f t="shared" si="6"/>
        <v>1.1007820151270626</v>
      </c>
      <c r="K127">
        <f t="shared" si="7"/>
        <v>0.90844507473586456</v>
      </c>
    </row>
    <row r="128" spans="7:11">
      <c r="G128" s="10">
        <v>116</v>
      </c>
      <c r="H128">
        <f t="shared" si="4"/>
        <v>0.45553093477052004</v>
      </c>
      <c r="I128">
        <f t="shared" si="5"/>
        <v>2</v>
      </c>
      <c r="J128">
        <f t="shared" si="6"/>
        <v>1.1026796478800334</v>
      </c>
      <c r="K128">
        <f t="shared" si="7"/>
        <v>0.90688170578151039</v>
      </c>
    </row>
    <row r="129" spans="7:11">
      <c r="G129" s="10">
        <v>117</v>
      </c>
      <c r="H129">
        <f t="shared" si="4"/>
        <v>0.45945792558750725</v>
      </c>
      <c r="I129">
        <f t="shared" si="5"/>
        <v>4</v>
      </c>
      <c r="J129">
        <f t="shared" si="6"/>
        <v>1.104598815266949</v>
      </c>
      <c r="K129">
        <f t="shared" si="7"/>
        <v>0.90530605879595238</v>
      </c>
    </row>
    <row r="130" spans="7:11">
      <c r="G130" s="10">
        <v>118</v>
      </c>
      <c r="H130">
        <f t="shared" si="4"/>
        <v>0.46338491640449447</v>
      </c>
      <c r="I130">
        <f t="shared" si="5"/>
        <v>2</v>
      </c>
      <c r="J130">
        <f t="shared" si="6"/>
        <v>1.1065396674625414</v>
      </c>
      <c r="K130">
        <f t="shared" si="7"/>
        <v>0.90371816700719587</v>
      </c>
    </row>
    <row r="131" spans="7:11">
      <c r="G131" s="10">
        <v>119</v>
      </c>
      <c r="H131">
        <f t="shared" si="4"/>
        <v>0.46731190722148169</v>
      </c>
      <c r="I131">
        <f t="shared" si="5"/>
        <v>4</v>
      </c>
      <c r="J131">
        <f t="shared" si="6"/>
        <v>1.1085023567816041</v>
      </c>
      <c r="K131">
        <f t="shared" si="7"/>
        <v>0.9021180639645846</v>
      </c>
    </row>
    <row r="132" spans="7:11">
      <c r="G132" s="10">
        <v>120</v>
      </c>
      <c r="H132">
        <f t="shared" si="4"/>
        <v>0.47123889803846891</v>
      </c>
      <c r="I132">
        <f t="shared" si="5"/>
        <v>2</v>
      </c>
      <c r="J132">
        <f t="shared" si="6"/>
        <v>1.1104870377053451</v>
      </c>
      <c r="K132">
        <f t="shared" si="7"/>
        <v>0.90050578354012134</v>
      </c>
    </row>
    <row r="133" spans="7:11">
      <c r="G133" s="10">
        <v>121</v>
      </c>
      <c r="H133">
        <f t="shared" si="4"/>
        <v>0.47516588885545624</v>
      </c>
      <c r="I133">
        <f t="shared" si="5"/>
        <v>4</v>
      </c>
      <c r="J133">
        <f t="shared" si="6"/>
        <v>1.1124938669081716</v>
      </c>
      <c r="K133">
        <f t="shared" si="7"/>
        <v>0.89888135992981866</v>
      </c>
    </row>
    <row r="134" spans="7:11">
      <c r="G134" s="10">
        <v>122</v>
      </c>
      <c r="H134">
        <f t="shared" si="4"/>
        <v>0.47909287967244346</v>
      </c>
      <c r="I134">
        <f t="shared" si="5"/>
        <v>2</v>
      </c>
      <c r="J134">
        <f t="shared" si="6"/>
        <v>1.1145230032849174</v>
      </c>
      <c r="K134">
        <f t="shared" si="7"/>
        <v>0.89724482765508184</v>
      </c>
    </row>
    <row r="135" spans="7:11">
      <c r="G135" s="10">
        <v>123</v>
      </c>
      <c r="H135">
        <f t="shared" si="4"/>
        <v>0.48301987048943068</v>
      </c>
      <c r="I135">
        <f t="shared" si="5"/>
        <v>4</v>
      </c>
      <c r="J135">
        <f t="shared" si="6"/>
        <v>1.1165746079785124</v>
      </c>
      <c r="K135">
        <f t="shared" si="7"/>
        <v>0.89559622156412522</v>
      </c>
    </row>
    <row r="136" spans="7:11">
      <c r="G136" s="10">
        <v>124</v>
      </c>
      <c r="H136">
        <f t="shared" si="4"/>
        <v>0.4869468613064179</v>
      </c>
      <c r="I136">
        <f t="shared" si="5"/>
        <v>2</v>
      </c>
      <c r="J136">
        <f t="shared" si="6"/>
        <v>1.1186488444081066</v>
      </c>
      <c r="K136">
        <f t="shared" si="7"/>
        <v>0.89393557683342051</v>
      </c>
    </row>
    <row r="137" spans="7:11">
      <c r="G137" s="10">
        <v>125</v>
      </c>
      <c r="H137">
        <f t="shared" si="4"/>
        <v>0.49087385212340512</v>
      </c>
      <c r="I137">
        <f t="shared" si="5"/>
        <v>4</v>
      </c>
      <c r="J137">
        <f t="shared" si="6"/>
        <v>1.1207458782976518</v>
      </c>
      <c r="K137">
        <f t="shared" si="7"/>
        <v>0.89226292896918091</v>
      </c>
    </row>
    <row r="138" spans="7:11">
      <c r="G138" s="10">
        <v>126</v>
      </c>
      <c r="H138">
        <f t="shared" si="4"/>
        <v>0.49480084294039245</v>
      </c>
      <c r="I138">
        <f t="shared" si="5"/>
        <v>2</v>
      </c>
      <c r="J138">
        <f t="shared" si="6"/>
        <v>1.1228658777049487</v>
      </c>
      <c r="K138">
        <f t="shared" si="7"/>
        <v>0.89057831380887886</v>
      </c>
    </row>
    <row r="139" spans="7:11">
      <c r="G139" s="10">
        <v>127</v>
      </c>
      <c r="H139">
        <f t="shared" si="4"/>
        <v>0.49872783375737967</v>
      </c>
      <c r="I139">
        <f t="shared" si="5"/>
        <v>4</v>
      </c>
      <c r="J139">
        <f t="shared" si="6"/>
        <v>1.1250090130511639</v>
      </c>
      <c r="K139">
        <f t="shared" si="7"/>
        <v>0.88888176752280057</v>
      </c>
    </row>
    <row r="140" spans="7:11">
      <c r="G140" s="10">
        <v>128</v>
      </c>
      <c r="H140">
        <f t="shared" ref="H140:H203" si="8">G140*PI()/(2*$B$6)</f>
        <v>0.50265482457436694</v>
      </c>
      <c r="I140">
        <f t="shared" ref="I140:I203" si="9">IF(G140&gt;$B$6,0,IF(OR(G140=0,G140=$B$6),1,IF(MOD(G140,2)=1,4,2)))</f>
        <v>2</v>
      </c>
      <c r="J140">
        <f t="shared" ref="J140:J203" si="10">IF(G140&gt;$B$6,0,1/SQRT(1-($E$5^2)*(SIN(H140)^2)))</f>
        <v>1.1271754571508266</v>
      </c>
      <c r="K140">
        <f t="shared" ref="K140:K203" si="11">IF(G140&gt;$B$6,0,SQRT(1-($E$5^2)*(SIN(H140)^2)))</f>
        <v>0.88717332661563675</v>
      </c>
    </row>
    <row r="141" spans="7:11">
      <c r="G141" s="10">
        <v>129</v>
      </c>
      <c r="H141">
        <f t="shared" si="8"/>
        <v>0.50658181539135416</v>
      </c>
      <c r="I141">
        <f t="shared" si="9"/>
        <v>4</v>
      </c>
      <c r="J141">
        <f t="shared" si="10"/>
        <v>1.1293653852423091</v>
      </c>
      <c r="K141">
        <f t="shared" si="11"/>
        <v>0.88545302792811087</v>
      </c>
    </row>
    <row r="142" spans="7:11">
      <c r="G142" s="10">
        <v>130</v>
      </c>
      <c r="H142">
        <f t="shared" si="8"/>
        <v>0.51050880620834138</v>
      </c>
      <c r="I142">
        <f t="shared" si="9"/>
        <v>2</v>
      </c>
      <c r="J142">
        <f t="shared" si="10"/>
        <v>1.1315789750187979</v>
      </c>
      <c r="K142">
        <f t="shared" si="11"/>
        <v>0.88372090863864616</v>
      </c>
    </row>
    <row r="143" spans="7:11">
      <c r="G143" s="10">
        <v>131</v>
      </c>
      <c r="H143">
        <f t="shared" si="8"/>
        <v>0.5144357970253286</v>
      </c>
      <c r="I143">
        <f t="shared" si="9"/>
        <v>4</v>
      </c>
      <c r="J143">
        <f t="shared" si="10"/>
        <v>1.1338164066597651</v>
      </c>
      <c r="K143">
        <f t="shared" si="11"/>
        <v>0.88197700626507103</v>
      </c>
    </row>
    <row r="144" spans="7:11">
      <c r="G144" s="10">
        <v>132</v>
      </c>
      <c r="H144">
        <f t="shared" si="8"/>
        <v>0.51836278784231593</v>
      </c>
      <c r="I144">
        <f t="shared" si="9"/>
        <v>2</v>
      </c>
      <c r="J144">
        <f t="shared" si="10"/>
        <v>1.1360778628629413</v>
      </c>
      <c r="K144">
        <f t="shared" si="11"/>
        <v>0.8802213586663663</v>
      </c>
    </row>
    <row r="145" spans="7:11">
      <c r="G145" s="10">
        <v>133</v>
      </c>
      <c r="H145">
        <f t="shared" si="8"/>
        <v>0.52228977865930315</v>
      </c>
      <c r="I145">
        <f t="shared" si="9"/>
        <v>4</v>
      </c>
      <c r="J145">
        <f t="shared" si="10"/>
        <v>1.1383635288768028</v>
      </c>
      <c r="K145">
        <f t="shared" si="11"/>
        <v>0.87845400404445229</v>
      </c>
    </row>
    <row r="146" spans="7:11">
      <c r="G146" s="10">
        <v>134</v>
      </c>
      <c r="H146">
        <f t="shared" si="8"/>
        <v>0.52621676947629037</v>
      </c>
      <c r="I146">
        <f t="shared" si="9"/>
        <v>2</v>
      </c>
      <c r="J146">
        <f t="shared" si="10"/>
        <v>1.1406735925335778</v>
      </c>
      <c r="K146">
        <f t="shared" si="11"/>
        <v>0.87667498094601781</v>
      </c>
    </row>
    <row r="147" spans="7:11">
      <c r="G147" s="10">
        <v>135</v>
      </c>
      <c r="H147">
        <f t="shared" si="8"/>
        <v>0.53014376029327759</v>
      </c>
      <c r="I147">
        <f t="shared" si="9"/>
        <v>4</v>
      </c>
      <c r="J147">
        <f t="shared" si="10"/>
        <v>1.1430082442827751</v>
      </c>
      <c r="K147">
        <f t="shared" si="11"/>
        <v>0.874884328264394</v>
      </c>
    </row>
    <row r="148" spans="7:11">
      <c r="G148" s="10">
        <v>136</v>
      </c>
      <c r="H148">
        <f t="shared" si="8"/>
        <v>0.53407075111026492</v>
      </c>
      <c r="I148">
        <f t="shared" si="9"/>
        <v>2</v>
      </c>
      <c r="J148">
        <f t="shared" si="10"/>
        <v>1.1453676772252492</v>
      </c>
      <c r="K148">
        <f t="shared" si="11"/>
        <v>0.87308208524147035</v>
      </c>
    </row>
    <row r="149" spans="7:11">
      <c r="G149" s="10">
        <v>137</v>
      </c>
      <c r="H149">
        <f t="shared" si="8"/>
        <v>0.53799774192725214</v>
      </c>
      <c r="I149">
        <f t="shared" si="9"/>
        <v>4</v>
      </c>
      <c r="J149">
        <f t="shared" si="10"/>
        <v>1.1477520871478033</v>
      </c>
      <c r="K149">
        <f t="shared" si="11"/>
        <v>0.87126829146965756</v>
      </c>
    </row>
    <row r="150" spans="7:11">
      <c r="G150" s="10">
        <v>138</v>
      </c>
      <c r="H150">
        <f t="shared" si="8"/>
        <v>0.54192473274423936</v>
      </c>
      <c r="I150">
        <f t="shared" si="9"/>
        <v>2</v>
      </c>
      <c r="J150">
        <f t="shared" si="10"/>
        <v>1.1501616725583379</v>
      </c>
      <c r="K150">
        <f t="shared" si="11"/>
        <v>0.86944298689389554</v>
      </c>
    </row>
    <row r="151" spans="7:11">
      <c r="G151" s="10">
        <v>139</v>
      </c>
      <c r="H151">
        <f t="shared" si="8"/>
        <v>0.54585172356122658</v>
      </c>
      <c r="I151">
        <f t="shared" si="9"/>
        <v>4</v>
      </c>
      <c r="J151">
        <f t="shared" si="10"/>
        <v>1.1525966347215573</v>
      </c>
      <c r="K151">
        <f t="shared" si="11"/>
        <v>0.86760621181370934</v>
      </c>
    </row>
    <row r="152" spans="7:11">
      <c r="G152" s="10">
        <v>140</v>
      </c>
      <c r="H152">
        <f t="shared" si="8"/>
        <v>0.5497787143782138</v>
      </c>
      <c r="I152">
        <f t="shared" si="9"/>
        <v>2</v>
      </c>
      <c r="J152">
        <f t="shared" si="10"/>
        <v>1.1550571776952323</v>
      </c>
      <c r="K152">
        <f t="shared" si="11"/>
        <v>0.86575800688531368</v>
      </c>
    </row>
    <row r="153" spans="7:11">
      <c r="G153" s="10">
        <v>141</v>
      </c>
      <c r="H153">
        <f t="shared" si="8"/>
        <v>0.55370570519520101</v>
      </c>
      <c r="I153">
        <f t="shared" si="9"/>
        <v>4</v>
      </c>
      <c r="J153">
        <f t="shared" si="10"/>
        <v>1.1575435083670362</v>
      </c>
      <c r="K153">
        <f t="shared" si="11"/>
        <v>0.86389841312376658</v>
      </c>
    </row>
    <row r="154" spans="7:11">
      <c r="G154" s="10">
        <v>142</v>
      </c>
      <c r="H154">
        <f t="shared" si="8"/>
        <v>0.55763269601218834</v>
      </c>
      <c r="I154">
        <f t="shared" si="9"/>
        <v>2</v>
      </c>
      <c r="J154">
        <f t="shared" si="10"/>
        <v>1.1600558364919515</v>
      </c>
      <c r="K154">
        <f t="shared" si="11"/>
        <v>0.86202747190517492</v>
      </c>
    </row>
    <row r="155" spans="7:11">
      <c r="G155" s="10">
        <v>143</v>
      </c>
      <c r="H155">
        <f t="shared" si="8"/>
        <v>0.56155968682917556</v>
      </c>
      <c r="I155">
        <f t="shared" si="9"/>
        <v>4</v>
      </c>
      <c r="J155">
        <f t="shared" si="10"/>
        <v>1.1625943747302643</v>
      </c>
      <c r="K155">
        <f t="shared" si="11"/>
        <v>0.86014522496895085</v>
      </c>
    </row>
    <row r="156" spans="7:11">
      <c r="G156" s="10">
        <v>144</v>
      </c>
      <c r="H156">
        <f t="shared" si="8"/>
        <v>0.56548667764616278</v>
      </c>
      <c r="I156">
        <f t="shared" si="9"/>
        <v>2</v>
      </c>
      <c r="J156">
        <f t="shared" si="10"/>
        <v>1.1651593386861452</v>
      </c>
      <c r="K156">
        <f t="shared" si="11"/>
        <v>0.85825171442012227</v>
      </c>
    </row>
    <row r="157" spans="7:11">
      <c r="G157" s="10">
        <v>145</v>
      </c>
      <c r="H157">
        <f t="shared" si="8"/>
        <v>0.56941366846315</v>
      </c>
      <c r="I157">
        <f t="shared" si="9"/>
        <v>4</v>
      </c>
      <c r="J157">
        <f t="shared" si="10"/>
        <v>1.167750946946829</v>
      </c>
      <c r="K157">
        <f t="shared" si="11"/>
        <v>0.85634698273169785</v>
      </c>
    </row>
    <row r="158" spans="7:11">
      <c r="G158" s="10">
        <v>146</v>
      </c>
      <c r="H158">
        <f t="shared" si="8"/>
        <v>0.57334065928013722</v>
      </c>
      <c r="I158">
        <f t="shared" si="9"/>
        <v>2</v>
      </c>
      <c r="J158">
        <f t="shared" si="10"/>
        <v>1.1703694211224003</v>
      </c>
      <c r="K158">
        <f t="shared" si="11"/>
        <v>0.85443107274708718</v>
      </c>
    </row>
    <row r="159" spans="7:11">
      <c r="G159" s="10">
        <v>147</v>
      </c>
      <c r="H159">
        <f t="shared" si="8"/>
        <v>0.57726765009712455</v>
      </c>
      <c r="I159">
        <f t="shared" si="9"/>
        <v>4</v>
      </c>
      <c r="J159">
        <f t="shared" si="10"/>
        <v>1.1730149858861885</v>
      </c>
      <c r="K159">
        <f t="shared" si="11"/>
        <v>0.85250402768257971</v>
      </c>
    </row>
    <row r="160" spans="7:11">
      <c r="G160" s="10">
        <v>148</v>
      </c>
      <c r="H160">
        <f t="shared" si="8"/>
        <v>0.58119464091411177</v>
      </c>
      <c r="I160">
        <f t="shared" si="9"/>
        <v>2</v>
      </c>
      <c r="J160">
        <f t="shared" si="10"/>
        <v>1.1756878690157821</v>
      </c>
      <c r="K160">
        <f t="shared" si="11"/>
        <v>0.85056589112988135</v>
      </c>
    </row>
    <row r="161" spans="7:11">
      <c r="G161" s="10">
        <v>149</v>
      </c>
      <c r="H161">
        <f t="shared" si="8"/>
        <v>0.58512163173109899</v>
      </c>
      <c r="I161">
        <f t="shared" si="9"/>
        <v>4</v>
      </c>
      <c r="J161">
        <f t="shared" si="10"/>
        <v>1.1783883014346739</v>
      </c>
      <c r="K161">
        <f t="shared" si="11"/>
        <v>0.8486167070587104</v>
      </c>
    </row>
    <row r="162" spans="7:11">
      <c r="G162" s="10">
        <v>150</v>
      </c>
      <c r="H162">
        <f t="shared" si="8"/>
        <v>0.58904862254808621</v>
      </c>
      <c r="I162">
        <f t="shared" si="9"/>
        <v>2</v>
      </c>
      <c r="J162">
        <f t="shared" si="10"/>
        <v>1.181116517254533</v>
      </c>
      <c r="K162">
        <f t="shared" si="11"/>
        <v>0.84665651981945644</v>
      </c>
    </row>
    <row r="163" spans="7:11">
      <c r="G163" s="10">
        <v>151</v>
      </c>
      <c r="H163">
        <f t="shared" si="8"/>
        <v>0.59297561336507343</v>
      </c>
      <c r="I163">
        <f t="shared" si="9"/>
        <v>4</v>
      </c>
      <c r="J163">
        <f t="shared" si="10"/>
        <v>1.1838727538181233</v>
      </c>
      <c r="K163">
        <f t="shared" si="11"/>
        <v>0.84468537414590139</v>
      </c>
    </row>
    <row r="164" spans="7:11">
      <c r="G164" s="10">
        <v>152</v>
      </c>
      <c r="H164">
        <f t="shared" si="8"/>
        <v>0.59690260418206065</v>
      </c>
      <c r="I164">
        <f t="shared" si="9"/>
        <v>2</v>
      </c>
      <c r="J164">
        <f t="shared" si="10"/>
        <v>1.1866572517428648</v>
      </c>
      <c r="K164">
        <f t="shared" si="11"/>
        <v>0.84270331515800545</v>
      </c>
    </row>
    <row r="165" spans="7:11">
      <c r="G165" s="10">
        <v>153</v>
      </c>
      <c r="H165">
        <f t="shared" si="8"/>
        <v>0.60082959499904798</v>
      </c>
      <c r="I165">
        <f t="shared" si="9"/>
        <v>4</v>
      </c>
      <c r="J165">
        <f t="shared" si="10"/>
        <v>1.1894702549650555</v>
      </c>
      <c r="K165">
        <f t="shared" si="11"/>
        <v>0.84071038836475842</v>
      </c>
    </row>
    <row r="166" spans="7:11">
      <c r="G166" s="10">
        <v>154</v>
      </c>
      <c r="H166">
        <f t="shared" si="8"/>
        <v>0.6047565858160352</v>
      </c>
      <c r="I166">
        <f t="shared" si="9"/>
        <v>2</v>
      </c>
      <c r="J166">
        <f t="shared" si="10"/>
        <v>1.19231201078475</v>
      </c>
      <c r="K166">
        <f t="shared" si="11"/>
        <v>0.83870663966709935</v>
      </c>
    </row>
    <row r="167" spans="7:11">
      <c r="G167" s="10">
        <v>155</v>
      </c>
      <c r="H167">
        <f t="shared" si="8"/>
        <v>0.60868357663302242</v>
      </c>
      <c r="I167">
        <f t="shared" si="9"/>
        <v>4</v>
      </c>
      <c r="J167">
        <f t="shared" si="10"/>
        <v>1.1951827699113093</v>
      </c>
      <c r="K167">
        <f t="shared" si="11"/>
        <v>0.8366921153609056</v>
      </c>
    </row>
    <row r="168" spans="7:11">
      <c r="G168" s="10">
        <v>156</v>
      </c>
      <c r="H168">
        <f t="shared" si="8"/>
        <v>0.61261056745000964</v>
      </c>
      <c r="I168">
        <f t="shared" si="9"/>
        <v>2</v>
      </c>
      <c r="J168">
        <f t="shared" si="10"/>
        <v>1.1980827865096266</v>
      </c>
      <c r="K168">
        <f t="shared" si="11"/>
        <v>0.83466686214005215</v>
      </c>
    </row>
    <row r="169" spans="7:11">
      <c r="G169" s="10">
        <v>157</v>
      </c>
      <c r="H169">
        <f t="shared" si="8"/>
        <v>0.61653755826699685</v>
      </c>
      <c r="I169">
        <f t="shared" si="9"/>
        <v>4</v>
      </c>
      <c r="J169">
        <f t="shared" si="10"/>
        <v>1.2010123182470325</v>
      </c>
      <c r="K169">
        <f t="shared" si="11"/>
        <v>0.83263092709954467</v>
      </c>
    </row>
    <row r="170" spans="7:11">
      <c r="G170" s="10">
        <v>158</v>
      </c>
      <c r="H170">
        <f t="shared" si="8"/>
        <v>0.62046454908398418</v>
      </c>
      <c r="I170">
        <f t="shared" si="9"/>
        <v>2</v>
      </c>
      <c r="J170">
        <f t="shared" si="10"/>
        <v>1.2039716263408928</v>
      </c>
      <c r="K170">
        <f t="shared" si="11"/>
        <v>0.83058435773872608</v>
      </c>
    </row>
    <row r="171" spans="7:11">
      <c r="G171" s="10">
        <v>159</v>
      </c>
      <c r="H171">
        <f t="shared" si="8"/>
        <v>0.6243915399009714</v>
      </c>
      <c r="I171">
        <f t="shared" si="9"/>
        <v>4</v>
      </c>
      <c r="J171">
        <f t="shared" si="10"/>
        <v>1.2069609756068993</v>
      </c>
      <c r="K171">
        <f t="shared" si="11"/>
        <v>0.8285272019645602</v>
      </c>
    </row>
    <row r="172" spans="7:11">
      <c r="G172" s="10">
        <v>160</v>
      </c>
      <c r="H172">
        <f t="shared" si="8"/>
        <v>0.62831853071795862</v>
      </c>
      <c r="I172">
        <f t="shared" si="9"/>
        <v>2</v>
      </c>
      <c r="J172">
        <f t="shared" si="10"/>
        <v>1.209980634508061</v>
      </c>
      <c r="K172">
        <f t="shared" si="11"/>
        <v>0.82645950809499324</v>
      </c>
    </row>
    <row r="173" spans="7:11">
      <c r="G173" s="10">
        <v>161</v>
      </c>
      <c r="H173">
        <f t="shared" si="8"/>
        <v>0.63224552153494584</v>
      </c>
      <c r="I173">
        <f t="shared" si="9"/>
        <v>4</v>
      </c>
      <c r="J173">
        <f t="shared" si="10"/>
        <v>1.2130308752044066</v>
      </c>
      <c r="K173">
        <f t="shared" si="11"/>
        <v>0.82438132486239568</v>
      </c>
    </row>
    <row r="174" spans="7:11">
      <c r="G174" s="10">
        <v>162</v>
      </c>
      <c r="H174">
        <f t="shared" si="8"/>
        <v>0.63617251235193306</v>
      </c>
      <c r="I174">
        <f t="shared" si="9"/>
        <v>2</v>
      </c>
      <c r="J174">
        <f t="shared" si="10"/>
        <v>1.2161119736033952</v>
      </c>
      <c r="K174">
        <f t="shared" si="11"/>
        <v>0.82229270141708621</v>
      </c>
    </row>
    <row r="175" spans="7:11">
      <c r="G175" s="10">
        <v>163</v>
      </c>
      <c r="H175">
        <f t="shared" si="8"/>
        <v>0.64009950316892028</v>
      </c>
      <c r="I175">
        <f t="shared" si="9"/>
        <v>4</v>
      </c>
      <c r="J175">
        <f t="shared" si="10"/>
        <v>1.2192242094110521</v>
      </c>
      <c r="K175">
        <f t="shared" si="11"/>
        <v>0.82019368733093911</v>
      </c>
    </row>
    <row r="176" spans="7:11">
      <c r="G176" s="10">
        <v>164</v>
      </c>
      <c r="H176">
        <f t="shared" si="8"/>
        <v>0.6440264939859075</v>
      </c>
      <c r="I176">
        <f t="shared" si="9"/>
        <v>2</v>
      </c>
      <c r="J176">
        <f t="shared" si="10"/>
        <v>1.2223678661838253</v>
      </c>
      <c r="K176">
        <f t="shared" si="11"/>
        <v>0.81808433260107916</v>
      </c>
    </row>
    <row r="177" spans="7:11">
      <c r="G177" s="10">
        <v>165</v>
      </c>
      <c r="H177">
        <f t="shared" si="8"/>
        <v>0.64795348480289472</v>
      </c>
      <c r="I177">
        <f t="shared" si="9"/>
        <v>4</v>
      </c>
      <c r="J177">
        <f t="shared" si="10"/>
        <v>1.2255432313811727</v>
      </c>
      <c r="K177">
        <f t="shared" si="11"/>
        <v>0.81596468765366348</v>
      </c>
    </row>
    <row r="178" spans="7:11">
      <c r="G178" s="10">
        <v>166</v>
      </c>
      <c r="H178">
        <f t="shared" si="8"/>
        <v>0.65188047561988216</v>
      </c>
      <c r="I178">
        <f t="shared" si="9"/>
        <v>2</v>
      </c>
      <c r="J178">
        <f t="shared" si="10"/>
        <v>1.2287505964188847</v>
      </c>
      <c r="K178">
        <f t="shared" si="11"/>
        <v>0.81383480334775515</v>
      </c>
    </row>
    <row r="179" spans="7:11">
      <c r="G179" s="10">
        <v>167</v>
      </c>
      <c r="H179">
        <f t="shared" si="8"/>
        <v>0.65580746643686938</v>
      </c>
      <c r="I179">
        <f t="shared" si="9"/>
        <v>4</v>
      </c>
      <c r="J179">
        <f t="shared" si="10"/>
        <v>1.2319902567231475</v>
      </c>
      <c r="K179">
        <f t="shared" si="11"/>
        <v>0.81169473097928868</v>
      </c>
    </row>
    <row r="180" spans="7:11">
      <c r="G180" s="10">
        <v>168</v>
      </c>
      <c r="H180">
        <f t="shared" si="8"/>
        <v>0.6597344572538566</v>
      </c>
      <c r="I180">
        <f t="shared" si="9"/>
        <v>2</v>
      </c>
      <c r="J180">
        <f t="shared" si="10"/>
        <v>1.235262511785348</v>
      </c>
      <c r="K180">
        <f t="shared" si="11"/>
        <v>0.80954452228513052</v>
      </c>
    </row>
    <row r="181" spans="7:11">
      <c r="G181" s="10">
        <v>169</v>
      </c>
      <c r="H181">
        <f t="shared" si="8"/>
        <v>0.66366144807084382</v>
      </c>
      <c r="I181">
        <f t="shared" si="9"/>
        <v>4</v>
      </c>
      <c r="J181">
        <f t="shared" si="10"/>
        <v>1.2385676652176296</v>
      </c>
      <c r="K181">
        <f t="shared" si="11"/>
        <v>0.80738422944723753</v>
      </c>
    </row>
    <row r="182" spans="7:11">
      <c r="G182" s="10">
        <v>170</v>
      </c>
      <c r="H182">
        <f t="shared" si="8"/>
        <v>0.66758843888783104</v>
      </c>
      <c r="I182">
        <f t="shared" si="9"/>
        <v>2</v>
      </c>
      <c r="J182">
        <f t="shared" si="10"/>
        <v>1.2419060248091964</v>
      </c>
      <c r="K182">
        <f t="shared" si="11"/>
        <v>0.80521390509691559</v>
      </c>
    </row>
    <row r="183" spans="7:11">
      <c r="G183" s="10">
        <v>171</v>
      </c>
      <c r="H183">
        <f t="shared" si="8"/>
        <v>0.67151542970481826</v>
      </c>
      <c r="I183">
        <f t="shared" si="9"/>
        <v>4</v>
      </c>
      <c r="J183">
        <f t="shared" si="10"/>
        <v>1.245277902583376</v>
      </c>
      <c r="K183">
        <f t="shared" si="11"/>
        <v>0.80303360231917897</v>
      </c>
    </row>
    <row r="184" spans="7:11">
      <c r="G184" s="10">
        <v>172</v>
      </c>
      <c r="H184">
        <f t="shared" si="8"/>
        <v>0.67544242052180548</v>
      </c>
      <c r="I184">
        <f t="shared" si="9"/>
        <v>2</v>
      </c>
      <c r="J184">
        <f t="shared" si="10"/>
        <v>1.2486836148554366</v>
      </c>
      <c r="K184">
        <f t="shared" si="11"/>
        <v>0.80084337465721667</v>
      </c>
    </row>
    <row r="185" spans="7:11">
      <c r="G185" s="10">
        <v>173</v>
      </c>
      <c r="H185">
        <f t="shared" si="8"/>
        <v>0.67936941133879269</v>
      </c>
      <c r="I185">
        <f t="shared" si="9"/>
        <v>4</v>
      </c>
      <c r="J185">
        <f t="shared" si="10"/>
        <v>1.2521234822911678</v>
      </c>
      <c r="K185">
        <f t="shared" si="11"/>
        <v>0.79864327611696428</v>
      </c>
    </row>
    <row r="186" spans="7:11">
      <c r="G186" s="10">
        <v>174</v>
      </c>
      <c r="H186">
        <f t="shared" si="8"/>
        <v>0.68329640215577991</v>
      </c>
      <c r="I186">
        <f t="shared" si="9"/>
        <v>2</v>
      </c>
      <c r="J186">
        <f t="shared" si="10"/>
        <v>1.2555978299662209</v>
      </c>
      <c r="K186">
        <f t="shared" si="11"/>
        <v>0.79643336117178765</v>
      </c>
    </row>
    <row r="187" spans="7:11">
      <c r="G187" s="10">
        <v>175</v>
      </c>
      <c r="H187">
        <f t="shared" si="8"/>
        <v>0.68722339297276713</v>
      </c>
      <c r="I187">
        <f t="shared" si="9"/>
        <v>4</v>
      </c>
      <c r="J187">
        <f t="shared" si="10"/>
        <v>1.2591069874262122</v>
      </c>
      <c r="K187">
        <f t="shared" si="11"/>
        <v>0.79421368476727894</v>
      </c>
    </row>
    <row r="188" spans="7:11">
      <c r="G188" s="10">
        <v>176</v>
      </c>
      <c r="H188">
        <f t="shared" si="8"/>
        <v>0.69115038378975446</v>
      </c>
      <c r="I188">
        <f t="shared" si="9"/>
        <v>2</v>
      </c>
      <c r="J188">
        <f t="shared" si="10"/>
        <v>1.2626512887475945</v>
      </c>
      <c r="K188">
        <f t="shared" si="11"/>
        <v>0.79198430232616757</v>
      </c>
    </row>
    <row r="189" spans="7:11">
      <c r="G189" s="10">
        <v>177</v>
      </c>
      <c r="H189">
        <f t="shared" si="8"/>
        <v>0.69507737460674179</v>
      </c>
      <c r="I189">
        <f t="shared" si="9"/>
        <v>4</v>
      </c>
      <c r="J189">
        <f t="shared" si="10"/>
        <v>1.2662310725992867</v>
      </c>
      <c r="K189">
        <f t="shared" si="11"/>
        <v>0.78974526975335202</v>
      </c>
    </row>
    <row r="190" spans="7:11">
      <c r="G190" s="10">
        <v>178</v>
      </c>
      <c r="H190">
        <f t="shared" si="8"/>
        <v>0.69900436542372901</v>
      </c>
      <c r="I190">
        <f t="shared" si="9"/>
        <v>2</v>
      </c>
      <c r="J190">
        <f t="shared" si="10"/>
        <v>1.2698466823050734</v>
      </c>
      <c r="K190">
        <f t="shared" si="11"/>
        <v>0.78749664344105108</v>
      </c>
    </row>
    <row r="191" spans="7:11">
      <c r="G191" s="10">
        <v>179</v>
      </c>
      <c r="H191">
        <f t="shared" si="8"/>
        <v>0.70293135624071623</v>
      </c>
      <c r="I191">
        <f t="shared" si="9"/>
        <v>4</v>
      </c>
      <c r="J191">
        <f t="shared" si="10"/>
        <v>1.273498465906763</v>
      </c>
      <c r="K191">
        <f t="shared" si="11"/>
        <v>0.78523848027408094</v>
      </c>
    </row>
    <row r="192" spans="7:11">
      <c r="G192" s="10">
        <v>180</v>
      </c>
      <c r="H192">
        <f t="shared" si="8"/>
        <v>0.70685834705770345</v>
      </c>
      <c r="I192">
        <f t="shared" si="9"/>
        <v>2</v>
      </c>
      <c r="J192">
        <f t="shared" si="10"/>
        <v>1.2771867762281079</v>
      </c>
      <c r="K192">
        <f t="shared" si="11"/>
        <v>0.78297083763526076</v>
      </c>
    </row>
    <row r="193" spans="7:11">
      <c r="G193" s="10">
        <v>181</v>
      </c>
      <c r="H193">
        <f t="shared" si="8"/>
        <v>0.71078533787469067</v>
      </c>
      <c r="I193">
        <f t="shared" si="9"/>
        <v>4</v>
      </c>
      <c r="J193">
        <f t="shared" si="10"/>
        <v>1.2809119709394827</v>
      </c>
      <c r="K193">
        <f t="shared" si="11"/>
        <v>0.78069377341094848</v>
      </c>
    </row>
    <row r="194" spans="7:11">
      <c r="G194" s="10">
        <v>182</v>
      </c>
      <c r="H194">
        <f t="shared" si="8"/>
        <v>0.71471232869167789</v>
      </c>
      <c r="I194">
        <f t="shared" si="9"/>
        <v>2</v>
      </c>
      <c r="J194">
        <f t="shared" si="10"/>
        <v>1.2846744126233169</v>
      </c>
      <c r="K194">
        <f t="shared" si="11"/>
        <v>0.77840734599671124</v>
      </c>
    </row>
    <row r="195" spans="7:11">
      <c r="G195" s="10">
        <v>183</v>
      </c>
      <c r="H195">
        <f t="shared" si="8"/>
        <v>0.71863931950866511</v>
      </c>
      <c r="I195">
        <f t="shared" si="9"/>
        <v>4</v>
      </c>
      <c r="J195">
        <f t="shared" si="10"/>
        <v>1.2884744688402763</v>
      </c>
      <c r="K195">
        <f t="shared" si="11"/>
        <v>0.77611161430313402</v>
      </c>
    </row>
    <row r="196" spans="7:11">
      <c r="G196" s="10">
        <v>184</v>
      </c>
      <c r="H196">
        <f t="shared" si="8"/>
        <v>0.72256631032565233</v>
      </c>
      <c r="I196">
        <f t="shared" si="9"/>
        <v>2</v>
      </c>
      <c r="J196">
        <f t="shared" si="10"/>
        <v>1.2923125121961885</v>
      </c>
      <c r="K196">
        <f t="shared" si="11"/>
        <v>0.77380663776177072</v>
      </c>
    </row>
    <row r="197" spans="7:11">
      <c r="G197" s="10">
        <v>185</v>
      </c>
      <c r="H197">
        <f t="shared" si="8"/>
        <v>0.72649330114263966</v>
      </c>
      <c r="I197">
        <f t="shared" si="9"/>
        <v>4</v>
      </c>
      <c r="J197">
        <f t="shared" si="10"/>
        <v>1.296188920409709</v>
      </c>
      <c r="K197">
        <f t="shared" si="11"/>
        <v>0.77149247633123774</v>
      </c>
    </row>
    <row r="198" spans="7:11">
      <c r="G198" s="10">
        <v>186</v>
      </c>
      <c r="H198">
        <f t="shared" si="8"/>
        <v>0.73042029195962688</v>
      </c>
      <c r="I198">
        <f t="shared" si="9"/>
        <v>2</v>
      </c>
      <c r="J198">
        <f t="shared" si="10"/>
        <v>1.3001040763807135</v>
      </c>
      <c r="K198">
        <f t="shared" si="11"/>
        <v>0.76916919050345856</v>
      </c>
    </row>
    <row r="199" spans="7:11">
      <c r="G199" s="10">
        <v>187</v>
      </c>
      <c r="H199">
        <f t="shared" si="8"/>
        <v>0.73434728277661421</v>
      </c>
      <c r="I199">
        <f t="shared" si="9"/>
        <v>4</v>
      </c>
      <c r="J199">
        <f t="shared" si="10"/>
        <v>1.3040583682594142</v>
      </c>
      <c r="K199">
        <f t="shared" si="11"/>
        <v>0.7668368413100598</v>
      </c>
    </row>
    <row r="200" spans="7:11">
      <c r="G200" s="10">
        <v>188</v>
      </c>
      <c r="H200">
        <f t="shared" si="8"/>
        <v>0.73827427359360143</v>
      </c>
      <c r="I200">
        <f t="shared" si="9"/>
        <v>2</v>
      </c>
      <c r="J200">
        <f t="shared" si="10"/>
        <v>1.3080521895161852</v>
      </c>
      <c r="K200">
        <f t="shared" si="11"/>
        <v>0.76449549032892505</v>
      </c>
    </row>
    <row r="201" spans="7:11">
      <c r="G201" s="10">
        <v>189</v>
      </c>
      <c r="H201">
        <f t="shared" si="8"/>
        <v>0.74220126441058865</v>
      </c>
      <c r="I201">
        <f t="shared" si="9"/>
        <v>4</v>
      </c>
      <c r="J201">
        <f t="shared" si="10"/>
        <v>1.3120859390120905</v>
      </c>
      <c r="K201">
        <f t="shared" si="11"/>
        <v>0.76214519969090633</v>
      </c>
    </row>
    <row r="202" spans="7:11">
      <c r="G202" s="10">
        <v>190</v>
      </c>
      <c r="H202">
        <f t="shared" si="8"/>
        <v>0.74612825522757587</v>
      </c>
      <c r="I202">
        <f t="shared" si="9"/>
        <v>2</v>
      </c>
      <c r="J202">
        <f t="shared" si="10"/>
        <v>1.3161600210700952</v>
      </c>
      <c r="K202">
        <f t="shared" si="11"/>
        <v>0.7597860320867037</v>
      </c>
    </row>
    <row r="203" spans="7:11">
      <c r="G203" s="10">
        <v>191</v>
      </c>
      <c r="H203">
        <f t="shared" si="8"/>
        <v>0.75005524604456308</v>
      </c>
      <c r="I203">
        <f t="shared" si="9"/>
        <v>4</v>
      </c>
      <c r="J203">
        <f t="shared" si="10"/>
        <v>1.3202748455469548</v>
      </c>
      <c r="K203">
        <f t="shared" si="11"/>
        <v>0.75741805077391033</v>
      </c>
    </row>
    <row r="204" spans="7:11">
      <c r="G204" s="10">
        <v>192</v>
      </c>
      <c r="H204">
        <f t="shared" ref="H204:H267" si="12">G204*PI()/(2*$B$6)</f>
        <v>0.7539822368615503</v>
      </c>
      <c r="I204">
        <f t="shared" ref="I204:I267" si="13">IF(G204&gt;$B$6,0,IF(OR(G204=0,G204=$B$6),1,IF(MOD(G204,2)=1,4,2)))</f>
        <v>2</v>
      </c>
      <c r="J204">
        <f t="shared" ref="J204:J267" si="14">IF(G204&gt;$B$6,0,1/SQRT(1-($E$5^2)*(SIN(H204)^2)))</f>
        <v>1.3244308279057535</v>
      </c>
      <c r="K204">
        <f t="shared" ref="K204:K267" si="15">IF(G204&gt;$B$6,0,SQRT(1-($E$5^2)*(SIN(H204)^2)))</f>
        <v>0.75504131958423426</v>
      </c>
    </row>
    <row r="205" spans="7:11">
      <c r="G205" s="10">
        <v>193</v>
      </c>
      <c r="H205">
        <f t="shared" si="12"/>
        <v>0.75790922767853752</v>
      </c>
      <c r="I205">
        <f t="shared" si="13"/>
        <v>4</v>
      </c>
      <c r="J205">
        <f t="shared" si="14"/>
        <v>1.328628389289092</v>
      </c>
      <c r="K205">
        <f t="shared" si="15"/>
        <v>0.75265590293089335</v>
      </c>
    </row>
    <row r="206" spans="7:11">
      <c r="G206" s="10">
        <v>194</v>
      </c>
      <c r="H206">
        <f t="shared" si="12"/>
        <v>0.76183621849552485</v>
      </c>
      <c r="I206">
        <f t="shared" si="13"/>
        <v>2</v>
      </c>
      <c r="J206">
        <f t="shared" si="14"/>
        <v>1.3328679565928852</v>
      </c>
      <c r="K206">
        <f t="shared" si="15"/>
        <v>0.75026186581619703</v>
      </c>
    </row>
    <row r="207" spans="7:11">
      <c r="G207" s="10">
        <v>195</v>
      </c>
      <c r="H207">
        <f t="shared" si="12"/>
        <v>0.76576320931251207</v>
      </c>
      <c r="I207">
        <f t="shared" si="13"/>
        <v>4</v>
      </c>
      <c r="J207">
        <f t="shared" si="14"/>
        <v>1.3371499625407659</v>
      </c>
      <c r="K207">
        <f t="shared" si="15"/>
        <v>0.74785927383931172</v>
      </c>
    </row>
    <row r="208" spans="7:11">
      <c r="G208" s="10">
        <v>196</v>
      </c>
      <c r="H208">
        <f t="shared" si="12"/>
        <v>0.76969020012949929</v>
      </c>
      <c r="I208">
        <f t="shared" si="13"/>
        <v>2</v>
      </c>
      <c r="J208">
        <f t="shared" si="14"/>
        <v>1.34147484575906</v>
      </c>
      <c r="K208">
        <f t="shared" si="15"/>
        <v>0.74544819320421929</v>
      </c>
    </row>
    <row r="209" spans="7:11">
      <c r="G209" s="10">
        <v>197</v>
      </c>
      <c r="H209">
        <f t="shared" si="12"/>
        <v>0.77361719094648651</v>
      </c>
      <c r="I209">
        <f t="shared" si="13"/>
        <v>4</v>
      </c>
      <c r="J209">
        <f t="shared" si="14"/>
        <v>1.3458430508523147</v>
      </c>
      <c r="K209">
        <f t="shared" si="15"/>
        <v>0.74302869072787181</v>
      </c>
    </row>
    <row r="210" spans="7:11">
      <c r="G210" s="10">
        <v>198</v>
      </c>
      <c r="H210">
        <f t="shared" si="12"/>
        <v>0.77754418176347384</v>
      </c>
      <c r="I210">
        <f t="shared" si="13"/>
        <v>2</v>
      </c>
      <c r="J210">
        <f t="shared" si="14"/>
        <v>1.3502550284793466</v>
      </c>
      <c r="K210">
        <f t="shared" si="15"/>
        <v>0.74060083384854869</v>
      </c>
    </row>
    <row r="211" spans="7:11">
      <c r="G211" s="10">
        <v>199</v>
      </c>
      <c r="H211">
        <f t="shared" si="12"/>
        <v>0.78147117258046106</v>
      </c>
      <c r="I211">
        <f t="shared" si="13"/>
        <v>4</v>
      </c>
      <c r="J211">
        <f t="shared" si="14"/>
        <v>1.354711235429785</v>
      </c>
      <c r="K211">
        <f t="shared" si="15"/>
        <v>0.73816469063441992</v>
      </c>
    </row>
    <row r="212" spans="7:11">
      <c r="G212" s="10">
        <v>200</v>
      </c>
      <c r="H212">
        <f t="shared" si="12"/>
        <v>0.78539816339744828</v>
      </c>
      <c r="I212">
        <f t="shared" si="13"/>
        <v>2</v>
      </c>
      <c r="J212">
        <f t="shared" si="14"/>
        <v>1.3592121347010715</v>
      </c>
      <c r="K212">
        <f t="shared" si="15"/>
        <v>0.73572032979232327</v>
      </c>
    </row>
    <row r="213" spans="7:11">
      <c r="G213" s="10">
        <v>201</v>
      </c>
      <c r="H213">
        <f t="shared" si="12"/>
        <v>0.7893251542144355</v>
      </c>
      <c r="I213">
        <f t="shared" si="13"/>
        <v>4</v>
      </c>
      <c r="J213">
        <f t="shared" si="14"/>
        <v>1.3637581955758906</v>
      </c>
      <c r="K213">
        <f t="shared" si="15"/>
        <v>0.73326782067675711</v>
      </c>
    </row>
    <row r="214" spans="7:11">
      <c r="G214" s="10">
        <v>202</v>
      </c>
      <c r="H214">
        <f t="shared" si="12"/>
        <v>0.79325214503142272</v>
      </c>
      <c r="I214">
        <f t="shared" si="13"/>
        <v>2</v>
      </c>
      <c r="J214">
        <f t="shared" si="14"/>
        <v>1.3683498936999812</v>
      </c>
      <c r="K214">
        <f t="shared" si="15"/>
        <v>0.73080723329909936</v>
      </c>
    </row>
    <row r="215" spans="7:11">
      <c r="G215" s="10">
        <v>203</v>
      </c>
      <c r="H215">
        <f t="shared" si="12"/>
        <v>0.79717913584841005</v>
      </c>
      <c r="I215">
        <f t="shared" si="13"/>
        <v>4</v>
      </c>
      <c r="J215">
        <f t="shared" si="14"/>
        <v>1.3729877111602977</v>
      </c>
      <c r="K215">
        <f t="shared" si="15"/>
        <v>0.72833863833705426</v>
      </c>
    </row>
    <row r="216" spans="7:11">
      <c r="G216" s="10">
        <v>204</v>
      </c>
      <c r="H216">
        <f t="shared" si="12"/>
        <v>0.80110612666539727</v>
      </c>
      <c r="I216">
        <f t="shared" si="13"/>
        <v>2</v>
      </c>
      <c r="J216">
        <f t="shared" si="14"/>
        <v>1.3776721365634714</v>
      </c>
      <c r="K216">
        <f t="shared" si="15"/>
        <v>0.72586210714433541</v>
      </c>
    </row>
    <row r="217" spans="7:11">
      <c r="G217" s="10">
        <v>205</v>
      </c>
      <c r="H217">
        <f t="shared" si="12"/>
        <v>0.80503311748238449</v>
      </c>
      <c r="I217">
        <f t="shared" si="13"/>
        <v>4</v>
      </c>
      <c r="J217">
        <f t="shared" si="14"/>
        <v>1.3824036651145279</v>
      </c>
      <c r="K217">
        <f t="shared" si="15"/>
        <v>0.72337771176058985</v>
      </c>
    </row>
    <row r="218" spans="7:11">
      <c r="G218" s="10">
        <v>206</v>
      </c>
      <c r="H218">
        <f t="shared" si="12"/>
        <v>0.80896010829937171</v>
      </c>
      <c r="I218">
        <f t="shared" si="13"/>
        <v>2</v>
      </c>
      <c r="J218">
        <f t="shared" si="14"/>
        <v>1.3871827986958065</v>
      </c>
      <c r="K218">
        <f t="shared" si="15"/>
        <v>0.72088552492157065</v>
      </c>
    </row>
    <row r="219" spans="7:11">
      <c r="G219" s="10">
        <v>207</v>
      </c>
      <c r="H219">
        <f t="shared" si="12"/>
        <v>0.81288709911635892</v>
      </c>
      <c r="I219">
        <f t="shared" si="13"/>
        <v>4</v>
      </c>
      <c r="J219">
        <f t="shared" si="14"/>
        <v>1.3920100459460292</v>
      </c>
      <c r="K219">
        <f t="shared" si="15"/>
        <v>0.71838562006956364</v>
      </c>
    </row>
    <row r="220" spans="7:11">
      <c r="G220" s="10">
        <v>208</v>
      </c>
      <c r="H220">
        <f t="shared" si="12"/>
        <v>0.81681408993334625</v>
      </c>
      <c r="I220">
        <f t="shared" si="13"/>
        <v>2</v>
      </c>
      <c r="J220">
        <f t="shared" si="14"/>
        <v>1.3968859223394601</v>
      </c>
      <c r="K220">
        <f t="shared" si="15"/>
        <v>0.71587807136407522</v>
      </c>
    </row>
    <row r="221" spans="7:11">
      <c r="G221" s="10">
        <v>209</v>
      </c>
      <c r="H221">
        <f t="shared" si="12"/>
        <v>0.82074108075033347</v>
      </c>
      <c r="I221">
        <f t="shared" si="13"/>
        <v>4</v>
      </c>
      <c r="J221">
        <f t="shared" si="14"/>
        <v>1.4018109502650906</v>
      </c>
      <c r="K221">
        <f t="shared" si="15"/>
        <v>0.71336295369278868</v>
      </c>
    </row>
    <row r="222" spans="7:11">
      <c r="G222" s="10">
        <v>210</v>
      </c>
      <c r="H222">
        <f t="shared" si="12"/>
        <v>0.82466807156732069</v>
      </c>
      <c r="I222">
        <f t="shared" si="13"/>
        <v>2</v>
      </c>
      <c r="J222">
        <f t="shared" si="14"/>
        <v>1.4067856591057895</v>
      </c>
      <c r="K222">
        <f t="shared" si="15"/>
        <v>0.71084034268279428</v>
      </c>
    </row>
    <row r="223" spans="7:11">
      <c r="G223" s="10">
        <v>211</v>
      </c>
      <c r="H223">
        <f t="shared" si="12"/>
        <v>0.82859506238430791</v>
      </c>
      <c r="I223">
        <f t="shared" si="13"/>
        <v>4</v>
      </c>
      <c r="J223">
        <f t="shared" si="14"/>
        <v>1.4118105853173355</v>
      </c>
      <c r="K223">
        <f t="shared" si="15"/>
        <v>0.70831031471210282</v>
      </c>
    </row>
    <row r="224" spans="7:11">
      <c r="G224" s="10">
        <v>212</v>
      </c>
      <c r="H224">
        <f t="shared" si="12"/>
        <v>0.83252205320129524</v>
      </c>
      <c r="I224">
        <f t="shared" si="13"/>
        <v>2</v>
      </c>
      <c r="J224">
        <f t="shared" si="14"/>
        <v>1.416886272507266</v>
      </c>
      <c r="K224">
        <f t="shared" si="15"/>
        <v>0.70577294692144876</v>
      </c>
    </row>
    <row r="225" spans="7:11">
      <c r="G225" s="10">
        <v>213</v>
      </c>
      <c r="H225">
        <f t="shared" si="12"/>
        <v>0.83644904401828246</v>
      </c>
      <c r="I225">
        <f t="shared" si="13"/>
        <v>4</v>
      </c>
      <c r="J225">
        <f t="shared" si="14"/>
        <v>1.422013271513455</v>
      </c>
      <c r="K225">
        <f t="shared" si="15"/>
        <v>0.70322831722638957</v>
      </c>
    </row>
    <row r="226" spans="7:11">
      <c r="G226" s="10">
        <v>214</v>
      </c>
      <c r="H226">
        <f t="shared" si="12"/>
        <v>0.84037603483526968</v>
      </c>
      <c r="I226">
        <f t="shared" si="13"/>
        <v>2</v>
      </c>
      <c r="J226">
        <f t="shared" si="14"/>
        <v>1.4271921404823336</v>
      </c>
      <c r="K226">
        <f t="shared" si="15"/>
        <v>0.70067650432971151</v>
      </c>
    </row>
    <row r="227" spans="7:11">
      <c r="G227" s="10">
        <v>215</v>
      </c>
      <c r="H227">
        <f t="shared" si="12"/>
        <v>0.8443030256522569</v>
      </c>
      <c r="I227">
        <f t="shared" si="13"/>
        <v>4</v>
      </c>
      <c r="J227">
        <f t="shared" si="14"/>
        <v>1.4324234449466617</v>
      </c>
      <c r="K227">
        <f t="shared" si="15"/>
        <v>0.69811758773414689</v>
      </c>
    </row>
    <row r="228" spans="7:11">
      <c r="G228" s="10">
        <v>216</v>
      </c>
      <c r="H228">
        <f t="shared" si="12"/>
        <v>0.84823001646924412</v>
      </c>
      <c r="I228">
        <f t="shared" si="13"/>
        <v>2</v>
      </c>
      <c r="J228">
        <f t="shared" si="14"/>
        <v>1.4377077579027475</v>
      </c>
      <c r="K228">
        <f t="shared" si="15"/>
        <v>0.69555164775541545</v>
      </c>
    </row>
    <row r="229" spans="7:11">
      <c r="G229" s="10">
        <v>217</v>
      </c>
      <c r="H229">
        <f t="shared" si="12"/>
        <v>0.85215700728623134</v>
      </c>
      <c r="I229">
        <f t="shared" si="13"/>
        <v>4</v>
      </c>
      <c r="J229">
        <f t="shared" si="14"/>
        <v>1.4430456598870187</v>
      </c>
      <c r="K229">
        <f t="shared" si="15"/>
        <v>0.69297876553559201</v>
      </c>
    </row>
    <row r="230" spans="7:11">
      <c r="G230" s="10">
        <v>218</v>
      </c>
      <c r="H230">
        <f t="shared" si="12"/>
        <v>0.85608399810321856</v>
      </c>
      <c r="I230">
        <f t="shared" si="13"/>
        <v>2</v>
      </c>
      <c r="J230">
        <f t="shared" si="14"/>
        <v>1.4484377390518195</v>
      </c>
      <c r="K230">
        <f t="shared" si="15"/>
        <v>0.69039902305681633</v>
      </c>
    </row>
    <row r="231" spans="7:11">
      <c r="G231" s="10">
        <v>219</v>
      </c>
      <c r="H231">
        <f t="shared" si="12"/>
        <v>0.86001098892020589</v>
      </c>
      <c r="I231">
        <f t="shared" si="13"/>
        <v>4</v>
      </c>
      <c r="J231">
        <f t="shared" si="14"/>
        <v>1.45388459124033</v>
      </c>
      <c r="K231">
        <f t="shared" si="15"/>
        <v>0.68781250315534714</v>
      </c>
    </row>
    <row r="232" spans="7:11">
      <c r="G232" s="10">
        <v>220</v>
      </c>
      <c r="H232">
        <f t="shared" si="12"/>
        <v>0.86393797973719311</v>
      </c>
      <c r="I232">
        <f t="shared" si="13"/>
        <v>2</v>
      </c>
      <c r="J232">
        <f t="shared" si="14"/>
        <v>1.4593868200604663</v>
      </c>
      <c r="K232">
        <f t="shared" si="15"/>
        <v>0.68521928953597599</v>
      </c>
    </row>
    <row r="233" spans="7:11">
      <c r="G233" s="10">
        <v>221</v>
      </c>
      <c r="H233">
        <f t="shared" si="12"/>
        <v>0.86786497055418044</v>
      </c>
      <c r="I233">
        <f t="shared" si="13"/>
        <v>4</v>
      </c>
      <c r="J233">
        <f t="shared" si="14"/>
        <v>1.4649450369576402</v>
      </c>
      <c r="K233">
        <f t="shared" si="15"/>
        <v>0.68261946678680452</v>
      </c>
    </row>
    <row r="234" spans="7:11">
      <c r="G234" s="10">
        <v>222</v>
      </c>
      <c r="H234">
        <f t="shared" si="12"/>
        <v>0.87179196137116766</v>
      </c>
      <c r="I234">
        <f t="shared" si="13"/>
        <v>2</v>
      </c>
      <c r="J234">
        <f t="shared" si="14"/>
        <v>1.4705598612862234</v>
      </c>
      <c r="K234">
        <f t="shared" si="15"/>
        <v>0.68001312039439943</v>
      </c>
    </row>
    <row r="235" spans="7:11">
      <c r="G235" s="10">
        <v>223</v>
      </c>
      <c r="H235">
        <f t="shared" si="12"/>
        <v>0.87571895218815488</v>
      </c>
      <c r="I235">
        <f t="shared" si="13"/>
        <v>4</v>
      </c>
      <c r="J235">
        <f t="shared" si="14"/>
        <v>1.476231920379578</v>
      </c>
      <c r="K235">
        <f t="shared" si="15"/>
        <v>0.67740033675933098</v>
      </c>
    </row>
    <row r="236" spans="7:11">
      <c r="G236" s="10">
        <v>224</v>
      </c>
      <c r="H236">
        <f t="shared" si="12"/>
        <v>0.87964594300514209</v>
      </c>
      <c r="I236">
        <f t="shared" si="13"/>
        <v>2</v>
      </c>
      <c r="J236">
        <f t="shared" si="14"/>
        <v>1.4819618496184763</v>
      </c>
      <c r="K236">
        <f t="shared" si="15"/>
        <v>0.67478120321211033</v>
      </c>
    </row>
    <row r="237" spans="7:11">
      <c r="G237" s="10">
        <v>225</v>
      </c>
      <c r="H237">
        <f t="shared" si="12"/>
        <v>0.88357293382212931</v>
      </c>
      <c r="I237">
        <f t="shared" si="13"/>
        <v>4</v>
      </c>
      <c r="J237">
        <f t="shared" si="14"/>
        <v>1.4877502924977566</v>
      </c>
      <c r="K237">
        <f t="shared" si="15"/>
        <v>0.67215580802953057</v>
      </c>
    </row>
    <row r="238" spans="7:11">
      <c r="G238" s="10">
        <v>226</v>
      </c>
      <c r="H238">
        <f t="shared" si="12"/>
        <v>0.88749992463911653</v>
      </c>
      <c r="I238">
        <f t="shared" si="13"/>
        <v>2</v>
      </c>
      <c r="J238">
        <f t="shared" si="14"/>
        <v>1.4935979006910212</v>
      </c>
      <c r="K238">
        <f t="shared" si="15"/>
        <v>0.66952424045142578</v>
      </c>
    </row>
    <row r="239" spans="7:11">
      <c r="G239" s="10">
        <v>227</v>
      </c>
      <c r="H239">
        <f t="shared" si="12"/>
        <v>0.89142691545610375</v>
      </c>
      <c r="I239">
        <f t="shared" si="13"/>
        <v>4</v>
      </c>
      <c r="J239">
        <f t="shared" si="14"/>
        <v>1.4995053341131939</v>
      </c>
      <c r="K239">
        <f t="shared" si="15"/>
        <v>0.66688659069785783</v>
      </c>
    </row>
    <row r="240" spans="7:11">
      <c r="G240" s="10">
        <v>228</v>
      </c>
      <c r="H240">
        <f t="shared" si="12"/>
        <v>0.89535390627309097</v>
      </c>
      <c r="I240">
        <f t="shared" si="13"/>
        <v>2</v>
      </c>
      <c r="J240">
        <f t="shared" si="14"/>
        <v>1.5054732609807273</v>
      </c>
      <c r="K240">
        <f t="shared" si="15"/>
        <v>0.66424294998674294</v>
      </c>
    </row>
    <row r="241" spans="7:11">
      <c r="G241" s="10">
        <v>229</v>
      </c>
      <c r="H241">
        <f t="shared" si="12"/>
        <v>0.89928089709007819</v>
      </c>
      <c r="I241">
        <f t="shared" si="13"/>
        <v>4</v>
      </c>
      <c r="J241">
        <f t="shared" si="14"/>
        <v>1.5115023578692521</v>
      </c>
      <c r="K241">
        <f t="shared" si="15"/>
        <v>0.66159341055192844</v>
      </c>
    </row>
    <row r="242" spans="7:11">
      <c r="G242" s="10">
        <v>230</v>
      </c>
      <c r="H242">
        <f t="shared" si="12"/>
        <v>0.90320788790706563</v>
      </c>
      <c r="I242">
        <f t="shared" si="13"/>
        <v>2</v>
      </c>
      <c r="J242">
        <f t="shared" si="14"/>
        <v>1.5175933097684375</v>
      </c>
      <c r="K242">
        <f t="shared" si="15"/>
        <v>0.65893806566173208</v>
      </c>
    </row>
    <row r="243" spans="7:11">
      <c r="G243" s="10">
        <v>231</v>
      </c>
      <c r="H243">
        <f t="shared" si="12"/>
        <v>0.90713487872405285</v>
      </c>
      <c r="I243">
        <f t="shared" si="13"/>
        <v>4</v>
      </c>
      <c r="J243">
        <f t="shared" si="14"/>
        <v>1.5237468101338196</v>
      </c>
      <c r="K243">
        <f t="shared" si="15"/>
        <v>0.65627700963795765</v>
      </c>
    </row>
    <row r="244" spans="7:11">
      <c r="G244" s="10">
        <v>232</v>
      </c>
      <c r="H244">
        <f t="shared" si="12"/>
        <v>0.91106186954104007</v>
      </c>
      <c r="I244">
        <f t="shared" si="13"/>
        <v>2</v>
      </c>
      <c r="J244">
        <f t="shared" si="14"/>
        <v>1.5299635609353524</v>
      </c>
      <c r="K244">
        <f t="shared" si="15"/>
        <v>0.65361033787539624</v>
      </c>
    </row>
    <row r="245" spans="7:11">
      <c r="G245" s="10">
        <v>233</v>
      </c>
      <c r="H245">
        <f t="shared" si="12"/>
        <v>0.91498886035802729</v>
      </c>
      <c r="I245">
        <f t="shared" si="13"/>
        <v>4</v>
      </c>
      <c r="J245">
        <f t="shared" si="14"/>
        <v>1.5362442727024064</v>
      </c>
      <c r="K245">
        <f t="shared" si="15"/>
        <v>0.65093814686182727</v>
      </c>
    </row>
    <row r="246" spans="7:11">
      <c r="G246" s="10">
        <v>234</v>
      </c>
      <c r="H246">
        <f t="shared" si="12"/>
        <v>0.91891585117501451</v>
      </c>
      <c r="I246">
        <f t="shared" si="13"/>
        <v>2</v>
      </c>
      <c r="J246">
        <f t="shared" si="14"/>
        <v>1.5425896645649284</v>
      </c>
      <c r="K246">
        <f t="shared" si="15"/>
        <v>0.64826053419853535</v>
      </c>
    </row>
    <row r="247" spans="7:11">
      <c r="G247" s="10">
        <v>235</v>
      </c>
      <c r="H247">
        <f t="shared" si="12"/>
        <v>0.92284284199200173</v>
      </c>
      <c r="I247">
        <f t="shared" si="13"/>
        <v>4</v>
      </c>
      <c r="J247">
        <f t="shared" si="14"/>
        <v>1.5490004642904729</v>
      </c>
      <c r="K247">
        <f t="shared" si="15"/>
        <v>0.64557759862135022</v>
      </c>
    </row>
    <row r="248" spans="7:11">
      <c r="G248" s="10">
        <v>236</v>
      </c>
      <c r="H248">
        <f t="shared" si="12"/>
        <v>0.92676983280898895</v>
      </c>
      <c r="I248">
        <f t="shared" si="13"/>
        <v>2</v>
      </c>
      <c r="J248">
        <f t="shared" si="14"/>
        <v>1.5554774083167724</v>
      </c>
      <c r="K248">
        <f t="shared" si="15"/>
        <v>0.64288944002223036</v>
      </c>
    </row>
    <row r="249" spans="7:11">
      <c r="G249" s="10">
        <v>237</v>
      </c>
      <c r="H249">
        <f t="shared" si="12"/>
        <v>0.93069682362597617</v>
      </c>
      <c r="I249">
        <f t="shared" si="13"/>
        <v>4</v>
      </c>
      <c r="J249">
        <f t="shared" si="14"/>
        <v>1.5620212417795314</v>
      </c>
      <c r="K249">
        <f t="shared" si="15"/>
        <v>0.64019615947139796</v>
      </c>
    </row>
    <row r="250" spans="7:11">
      <c r="G250" s="10">
        <v>238</v>
      </c>
      <c r="H250">
        <f t="shared" si="12"/>
        <v>0.93462381444296339</v>
      </c>
      <c r="I250">
        <f t="shared" si="13"/>
        <v>2</v>
      </c>
      <c r="J250">
        <f t="shared" si="14"/>
        <v>1.5686327185350706</v>
      </c>
      <c r="K250">
        <f t="shared" si="15"/>
        <v>0.63749785924004532</v>
      </c>
    </row>
    <row r="251" spans="7:11">
      <c r="G251" s="10">
        <v>239</v>
      </c>
      <c r="H251">
        <f t="shared" si="12"/>
        <v>0.9385508052599506</v>
      </c>
      <c r="I251">
        <f t="shared" si="13"/>
        <v>4</v>
      </c>
      <c r="J251">
        <f t="shared" si="14"/>
        <v>1.575312601177463</v>
      </c>
      <c r="K251">
        <f t="shared" si="15"/>
        <v>0.63479464282362297</v>
      </c>
    </row>
    <row r="252" spans="7:11">
      <c r="G252" s="10">
        <v>240</v>
      </c>
      <c r="H252">
        <f t="shared" si="12"/>
        <v>0.94247779607693782</v>
      </c>
      <c r="I252">
        <f t="shared" si="13"/>
        <v>2</v>
      </c>
      <c r="J252">
        <f t="shared" si="14"/>
        <v>1.582061661049762</v>
      </c>
      <c r="K252">
        <f t="shared" si="15"/>
        <v>0.63208661496572738</v>
      </c>
    </row>
    <row r="253" spans="7:11">
      <c r="G253" s="10">
        <v>241</v>
      </c>
      <c r="H253">
        <f t="shared" si="12"/>
        <v>0.94640478689392527</v>
      </c>
      <c r="I253">
        <f t="shared" si="13"/>
        <v>4</v>
      </c>
      <c r="J253">
        <f t="shared" si="14"/>
        <v>1.5888806782489056</v>
      </c>
      <c r="K253">
        <f t="shared" si="15"/>
        <v>0.62937388168260255</v>
      </c>
    </row>
    <row r="254" spans="7:11">
      <c r="G254" s="10">
        <v>242</v>
      </c>
      <c r="H254">
        <f t="shared" si="12"/>
        <v>0.95033177771091248</v>
      </c>
      <c r="I254">
        <f t="shared" si="13"/>
        <v>2</v>
      </c>
      <c r="J254">
        <f t="shared" si="14"/>
        <v>1.5957704416238592</v>
      </c>
      <c r="K254">
        <f t="shared" si="15"/>
        <v>0.62665655028827205</v>
      </c>
    </row>
    <row r="255" spans="7:11">
      <c r="G255" s="10">
        <v>243</v>
      </c>
      <c r="H255">
        <f t="shared" si="12"/>
        <v>0.9542587685278997</v>
      </c>
      <c r="I255">
        <f t="shared" si="13"/>
        <v>4</v>
      </c>
      <c r="J255">
        <f t="shared" si="14"/>
        <v>1.6027317487665393</v>
      </c>
      <c r="K255">
        <f t="shared" si="15"/>
        <v>0.62393472942031558</v>
      </c>
    </row>
    <row r="256" spans="7:11">
      <c r="G256" s="10">
        <v>244</v>
      </c>
      <c r="H256">
        <f t="shared" si="12"/>
        <v>0.95818575934488692</v>
      </c>
      <c r="I256">
        <f t="shared" si="13"/>
        <v>2</v>
      </c>
      <c r="J256">
        <f t="shared" si="14"/>
        <v>1.6097654059950228</v>
      </c>
      <c r="K256">
        <f t="shared" si="15"/>
        <v>0.6212085290663103</v>
      </c>
    </row>
    <row r="257" spans="7:11">
      <c r="G257" s="10">
        <v>245</v>
      </c>
      <c r="H257">
        <f t="shared" si="12"/>
        <v>0.96211275016187414</v>
      </c>
      <c r="I257">
        <f t="shared" si="13"/>
        <v>4</v>
      </c>
      <c r="J257">
        <f t="shared" si="14"/>
        <v>1.6168722283285351</v>
      </c>
      <c r="K257">
        <f t="shared" si="15"/>
        <v>0.61847806059095001</v>
      </c>
    </row>
    <row r="258" spans="7:11">
      <c r="G258" s="10">
        <v>246</v>
      </c>
      <c r="H258">
        <f t="shared" si="12"/>
        <v>0.96603974097886136</v>
      </c>
      <c r="I258">
        <f t="shared" si="13"/>
        <v>2</v>
      </c>
      <c r="J258">
        <f t="shared" si="14"/>
        <v>1.6240530394536723</v>
      </c>
      <c r="K258">
        <f t="shared" si="15"/>
        <v>0.6157434367638619</v>
      </c>
    </row>
    <row r="259" spans="7:11">
      <c r="G259" s="10">
        <v>247</v>
      </c>
      <c r="H259">
        <f t="shared" si="12"/>
        <v>0.96996673179584858</v>
      </c>
      <c r="I259">
        <f t="shared" si="13"/>
        <v>4</v>
      </c>
      <c r="J259">
        <f t="shared" si="14"/>
        <v>1.6313086716812912</v>
      </c>
      <c r="K259">
        <f t="shared" si="15"/>
        <v>0.61300477178813773</v>
      </c>
    </row>
    <row r="260" spans="7:11">
      <c r="G260" s="10">
        <v>248</v>
      </c>
      <c r="H260">
        <f t="shared" si="12"/>
        <v>0.9738937226128358</v>
      </c>
      <c r="I260">
        <f t="shared" si="13"/>
        <v>2</v>
      </c>
      <c r="J260">
        <f t="shared" si="14"/>
        <v>1.6386399658934629</v>
      </c>
      <c r="K260">
        <f t="shared" si="15"/>
        <v>0.61026218132959631</v>
      </c>
    </row>
    <row r="261" spans="7:11">
      <c r="G261" s="10">
        <v>249</v>
      </c>
      <c r="H261">
        <f t="shared" si="12"/>
        <v>0.97782071342982302</v>
      </c>
      <c r="I261">
        <f t="shared" si="13"/>
        <v>4</v>
      </c>
      <c r="J261">
        <f t="shared" si="14"/>
        <v>1.64604777147986</v>
      </c>
      <c r="K261">
        <f t="shared" si="15"/>
        <v>0.60751578254679794</v>
      </c>
    </row>
    <row r="262" spans="7:11">
      <c r="G262" s="10">
        <v>250</v>
      </c>
      <c r="H262">
        <f t="shared" si="12"/>
        <v>0.98174770424681024</v>
      </c>
      <c r="I262">
        <f t="shared" si="13"/>
        <v>2</v>
      </c>
      <c r="J262">
        <f t="shared" si="14"/>
        <v>1.65353294626291</v>
      </c>
      <c r="K262">
        <f t="shared" si="15"/>
        <v>0.6047656941218279</v>
      </c>
    </row>
    <row r="263" spans="7:11">
      <c r="G263" s="10">
        <v>251</v>
      </c>
      <c r="H263">
        <f t="shared" si="12"/>
        <v>0.98567469506379768</v>
      </c>
      <c r="I263">
        <f t="shared" si="13"/>
        <v>4</v>
      </c>
      <c r="J263">
        <f t="shared" si="14"/>
        <v>1.6610963564110202</v>
      </c>
      <c r="K263">
        <f t="shared" si="15"/>
        <v>0.6020120362918675</v>
      </c>
    </row>
    <row r="264" spans="7:11">
      <c r="G264" s="10">
        <v>252</v>
      </c>
      <c r="H264">
        <f t="shared" si="12"/>
        <v>0.9896016858807849</v>
      </c>
      <c r="I264">
        <f t="shared" si="13"/>
        <v>2</v>
      </c>
      <c r="J264">
        <f t="shared" si="14"/>
        <v>1.6687388763391273</v>
      </c>
      <c r="K264">
        <f t="shared" si="15"/>
        <v>0.59925493088157444</v>
      </c>
    </row>
    <row r="265" spans="7:11">
      <c r="G265" s="10">
        <v>253</v>
      </c>
      <c r="H265">
        <f t="shared" si="12"/>
        <v>0.99352867669777212</v>
      </c>
      <c r="I265">
        <f t="shared" si="13"/>
        <v>4</v>
      </c>
      <c r="J265">
        <f t="shared" si="14"/>
        <v>1.6764613885958071</v>
      </c>
      <c r="K265">
        <f t="shared" si="15"/>
        <v>0.5964945013362899</v>
      </c>
    </row>
    <row r="266" spans="7:11">
      <c r="G266" s="10">
        <v>254</v>
      </c>
      <c r="H266">
        <f t="shared" si="12"/>
        <v>0.99745566751475934</v>
      </c>
      <c r="I266">
        <f t="shared" si="13"/>
        <v>2</v>
      </c>
      <c r="J266">
        <f t="shared" si="14"/>
        <v>1.6842647837361227</v>
      </c>
      <c r="K266">
        <f t="shared" si="15"/>
        <v>0.59373087275609282</v>
      </c>
    </row>
    <row r="267" spans="7:11">
      <c r="G267" s="10">
        <v>255</v>
      </c>
      <c r="H267">
        <f t="shared" si="12"/>
        <v>1.0013826583317467</v>
      </c>
      <c r="I267">
        <f t="shared" si="13"/>
        <v>4</v>
      </c>
      <c r="J267">
        <f t="shared" si="14"/>
        <v>1.692149960179353</v>
      </c>
      <c r="K267">
        <f t="shared" si="15"/>
        <v>0.59096417193072459</v>
      </c>
    </row>
    <row r="268" spans="7:11">
      <c r="G268" s="10">
        <v>256</v>
      </c>
      <c r="H268">
        <f t="shared" ref="H268:H331" si="16">G268*PI()/(2*$B$6)</f>
        <v>1.0053096491487339</v>
      </c>
      <c r="I268">
        <f t="shared" ref="I268:I331" si="17">IF(G268&gt;$B$6,0,IF(OR(G268=0,G268=$B$6),1,IF(MOD(G268,2)=1,4,2)))</f>
        <v>2</v>
      </c>
      <c r="J268">
        <f t="shared" ref="J268:J331" si="18">IF(G268&gt;$B$6,0,1/SQRT(1-($E$5^2)*(SIN(H268)^2)))</f>
        <v>1.700117824050708</v>
      </c>
      <c r="K268">
        <f t="shared" ref="K268:K331" si="19">IF(G268&gt;$B$6,0,SQRT(1-($E$5^2)*(SIN(H268)^2)))</f>
        <v>0.58819452737540023</v>
      </c>
    </row>
    <row r="269" spans="7:11">
      <c r="G269" s="10">
        <v>257</v>
      </c>
      <c r="H269">
        <f t="shared" si="16"/>
        <v>1.0092366399657211</v>
      </c>
      <c r="I269">
        <f t="shared" si="17"/>
        <v>4</v>
      </c>
      <c r="J269">
        <f t="shared" si="18"/>
        <v>1.7081692890060733</v>
      </c>
      <c r="K269">
        <f t="shared" si="19"/>
        <v>0.58542206936753127</v>
      </c>
    </row>
    <row r="270" spans="7:11">
      <c r="G270" s="10">
        <v>258</v>
      </c>
      <c r="H270">
        <f t="shared" si="16"/>
        <v>1.0131636307827083</v>
      </c>
      <c r="I270">
        <f t="shared" si="17"/>
        <v>2</v>
      </c>
      <c r="J270">
        <f t="shared" si="18"/>
        <v>1.7163052760388002</v>
      </c>
      <c r="K270">
        <f t="shared" si="19"/>
        <v>0.5826469299843795</v>
      </c>
    </row>
    <row r="271" spans="7:11">
      <c r="G271" s="10">
        <v>259</v>
      </c>
      <c r="H271">
        <f t="shared" si="16"/>
        <v>1.0170906215996955</v>
      </c>
      <c r="I271">
        <f t="shared" si="17"/>
        <v>4</v>
      </c>
      <c r="J271">
        <f t="shared" si="18"/>
        <v>1.7245267132674846</v>
      </c>
      <c r="K271">
        <f t="shared" si="19"/>
        <v>0.57986924314166532</v>
      </c>
    </row>
    <row r="272" spans="7:11">
      <c r="G272" s="10">
        <v>260</v>
      </c>
      <c r="H272">
        <f t="shared" si="16"/>
        <v>1.0210176124166828</v>
      </c>
      <c r="I272">
        <f t="shared" si="17"/>
        <v>2</v>
      </c>
      <c r="J272">
        <f t="shared" si="18"/>
        <v>1.7328345357036528</v>
      </c>
      <c r="K272">
        <f t="shared" si="19"/>
        <v>0.57708914463314853</v>
      </c>
    </row>
    <row r="273" spans="7:11">
      <c r="G273" s="10">
        <v>261</v>
      </c>
      <c r="H273">
        <f t="shared" si="16"/>
        <v>1.02494460323367</v>
      </c>
      <c r="I273">
        <f t="shared" si="17"/>
        <v>4</v>
      </c>
      <c r="J273">
        <f t="shared" si="18"/>
        <v>1.7412296849981825</v>
      </c>
      <c r="K273">
        <f t="shared" si="19"/>
        <v>0.57430677217121062</v>
      </c>
    </row>
    <row r="274" spans="7:11">
      <c r="G274" s="10">
        <v>262</v>
      </c>
      <c r="H274">
        <f t="shared" si="16"/>
        <v>1.0288715940506572</v>
      </c>
      <c r="I274">
        <f t="shared" si="17"/>
        <v>2</v>
      </c>
      <c r="J274">
        <f t="shared" si="18"/>
        <v>1.7497131091652747</v>
      </c>
      <c r="K274">
        <f t="shared" si="19"/>
        <v>0.57152226542845308</v>
      </c>
    </row>
    <row r="275" spans="7:11">
      <c r="G275" s="10">
        <v>263</v>
      </c>
      <c r="H275">
        <f t="shared" si="16"/>
        <v>1.0327985848676446</v>
      </c>
      <c r="I275">
        <f t="shared" si="17"/>
        <v>4</v>
      </c>
      <c r="J275">
        <f t="shared" si="18"/>
        <v>1.758285762282684</v>
      </c>
      <c r="K275">
        <f t="shared" si="19"/>
        <v>0.56873576608034182</v>
      </c>
    </row>
    <row r="276" spans="7:11">
      <c r="G276" s="10">
        <v>264</v>
      </c>
      <c r="H276">
        <f t="shared" si="16"/>
        <v>1.0367255756846319</v>
      </c>
      <c r="I276">
        <f t="shared" si="17"/>
        <v>2</v>
      </c>
      <c r="J276">
        <f t="shared" si="18"/>
        <v>1.766948604166894</v>
      </c>
      <c r="K276">
        <f t="shared" si="19"/>
        <v>0.565947417848916</v>
      </c>
    </row>
    <row r="277" spans="7:11">
      <c r="G277" s="10">
        <v>265</v>
      </c>
      <c r="H277">
        <f t="shared" si="16"/>
        <v>1.0406525665016191</v>
      </c>
      <c r="I277">
        <f t="shared" si="17"/>
        <v>4</v>
      </c>
      <c r="J277">
        <f t="shared" si="18"/>
        <v>1.7757026000218452</v>
      </c>
      <c r="K277">
        <f t="shared" si="19"/>
        <v>0.56315736654758386</v>
      </c>
    </row>
    <row r="278" spans="7:11">
      <c r="G278" s="10">
        <v>266</v>
      </c>
      <c r="H278">
        <f t="shared" si="16"/>
        <v>1.0445795573186063</v>
      </c>
      <c r="I278">
        <f t="shared" si="17"/>
        <v>2</v>
      </c>
      <c r="J278">
        <f t="shared" si="18"/>
        <v>1.7845487200597359</v>
      </c>
      <c r="K278">
        <f t="shared" si="19"/>
        <v>0.56036576012703432</v>
      </c>
    </row>
    <row r="279" spans="7:11">
      <c r="G279" s="10">
        <v>267</v>
      </c>
      <c r="H279">
        <f t="shared" si="16"/>
        <v>1.0485065481355935</v>
      </c>
      <c r="I279">
        <f t="shared" si="17"/>
        <v>4</v>
      </c>
      <c r="J279">
        <f t="shared" si="18"/>
        <v>1.7934879390923875</v>
      </c>
      <c r="K279">
        <f t="shared" si="19"/>
        <v>0.55757274872228024</v>
      </c>
    </row>
    <row r="280" spans="7:11">
      <c r="G280" s="10">
        <v>268</v>
      </c>
      <c r="H280">
        <f t="shared" si="16"/>
        <v>1.0524335389525807</v>
      </c>
      <c r="I280">
        <f t="shared" si="17"/>
        <v>2</v>
      </c>
      <c r="J280">
        <f t="shared" si="18"/>
        <v>1.8025212360915557</v>
      </c>
      <c r="K280">
        <f t="shared" si="19"/>
        <v>0.55477848470086311</v>
      </c>
    </row>
    <row r="281" spans="7:11">
      <c r="G281" s="10">
        <v>269</v>
      </c>
      <c r="H281">
        <f t="shared" si="16"/>
        <v>1.056360529769568</v>
      </c>
      <c r="I281">
        <f t="shared" si="17"/>
        <v>4</v>
      </c>
      <c r="J281">
        <f t="shared" si="18"/>
        <v>1.8116495937165189</v>
      </c>
      <c r="K281">
        <f t="shared" si="19"/>
        <v>0.55198312271223726</v>
      </c>
    </row>
    <row r="282" spans="7:11">
      <c r="G282" s="10">
        <v>270</v>
      </c>
      <c r="H282">
        <f t="shared" si="16"/>
        <v>1.0602875205865552</v>
      </c>
      <c r="I282">
        <f t="shared" si="17"/>
        <v>2</v>
      </c>
      <c r="J282">
        <f t="shared" si="18"/>
        <v>1.8208739978071775</v>
      </c>
      <c r="K282">
        <f t="shared" si="19"/>
        <v>0.54918681973836148</v>
      </c>
    </row>
    <row r="283" spans="7:11">
      <c r="G283" s="10">
        <v>271</v>
      </c>
      <c r="H283">
        <f t="shared" si="16"/>
        <v>1.0642145114035424</v>
      </c>
      <c r="I283">
        <f t="shared" si="17"/>
        <v>4</v>
      </c>
      <c r="J283">
        <f t="shared" si="18"/>
        <v>1.8301954368408349</v>
      </c>
      <c r="K283">
        <f t="shared" si="19"/>
        <v>0.54638973514551836</v>
      </c>
    </row>
    <row r="284" spans="7:11">
      <c r="G284" s="10">
        <v>272</v>
      </c>
      <c r="H284">
        <f t="shared" si="16"/>
        <v>1.0681415022205298</v>
      </c>
      <c r="I284">
        <f t="shared" si="17"/>
        <v>2</v>
      </c>
      <c r="J284">
        <f t="shared" si="18"/>
        <v>1.8396149013507344</v>
      </c>
      <c r="K284">
        <f t="shared" si="19"/>
        <v>0.54359203073738505</v>
      </c>
    </row>
    <row r="285" spans="7:11">
      <c r="G285" s="10">
        <v>273</v>
      </c>
      <c r="H285">
        <f t="shared" si="16"/>
        <v>1.0720684930375171</v>
      </c>
      <c r="I285">
        <f t="shared" si="17"/>
        <v>4</v>
      </c>
      <c r="J285">
        <f t="shared" si="18"/>
        <v>1.8491333833043448</v>
      </c>
      <c r="K285">
        <f t="shared" si="19"/>
        <v>0.54079387080937913</v>
      </c>
    </row>
    <row r="286" spans="7:11">
      <c r="G286" s="10">
        <v>274</v>
      </c>
      <c r="H286">
        <f t="shared" si="16"/>
        <v>1.0759954838545043</v>
      </c>
      <c r="I286">
        <f t="shared" si="17"/>
        <v>2</v>
      </c>
      <c r="J286">
        <f t="shared" si="18"/>
        <v>1.8587518754392967</v>
      </c>
      <c r="K286">
        <f t="shared" si="19"/>
        <v>0.53799542220430063</v>
      </c>
    </row>
    <row r="287" spans="7:11">
      <c r="G287" s="10">
        <v>275</v>
      </c>
      <c r="H287">
        <f t="shared" si="16"/>
        <v>1.0799224746714915</v>
      </c>
      <c r="I287">
        <f t="shared" si="17"/>
        <v>4</v>
      </c>
      <c r="J287">
        <f t="shared" si="18"/>
        <v>1.868471370554774</v>
      </c>
      <c r="K287">
        <f t="shared" si="19"/>
        <v>0.53519685436929476</v>
      </c>
    </row>
    <row r="288" spans="7:11">
      <c r="G288" s="10">
        <v>276</v>
      </c>
      <c r="H288">
        <f t="shared" si="16"/>
        <v>1.0838494654884787</v>
      </c>
      <c r="I288">
        <f t="shared" si="17"/>
        <v>2</v>
      </c>
      <c r="J288">
        <f t="shared" si="18"/>
        <v>1.8782928607560825</v>
      </c>
      <c r="K288">
        <f t="shared" si="19"/>
        <v>0.53239833941415449</v>
      </c>
    </row>
    <row r="289" spans="7:11">
      <c r="G289" s="10">
        <v>277</v>
      </c>
      <c r="H289">
        <f t="shared" si="16"/>
        <v>1.0877764563054659</v>
      </c>
      <c r="I289">
        <f t="shared" si="17"/>
        <v>4</v>
      </c>
      <c r="J289">
        <f t="shared" si="18"/>
        <v>1.8882173366499966</v>
      </c>
      <c r="K289">
        <f t="shared" si="19"/>
        <v>0.52960005217098682</v>
      </c>
    </row>
    <row r="290" spans="7:11">
      <c r="G290" s="10">
        <v>278</v>
      </c>
      <c r="H290">
        <f t="shared" si="16"/>
        <v>1.0917034471224532</v>
      </c>
      <c r="I290">
        <f t="shared" si="17"/>
        <v>2</v>
      </c>
      <c r="J290">
        <f t="shared" si="18"/>
        <v>1.8982457864884148</v>
      </c>
      <c r="K290">
        <f t="shared" si="19"/>
        <v>0.5268021702552601</v>
      </c>
    </row>
    <row r="291" spans="7:11">
      <c r="G291" s="10">
        <v>279</v>
      </c>
      <c r="H291">
        <f t="shared" si="16"/>
        <v>1.0956304379394404</v>
      </c>
      <c r="I291">
        <f t="shared" si="17"/>
        <v>4</v>
      </c>
      <c r="J291">
        <f t="shared" si="18"/>
        <v>1.9083791952577118</v>
      </c>
      <c r="K291">
        <f t="shared" si="19"/>
        <v>0.52400487412825614</v>
      </c>
    </row>
    <row r="292" spans="7:11">
      <c r="G292" s="10">
        <v>280</v>
      </c>
      <c r="H292">
        <f t="shared" si="16"/>
        <v>1.0995574287564276</v>
      </c>
      <c r="I292">
        <f t="shared" si="17"/>
        <v>2</v>
      </c>
      <c r="J292">
        <f t="shared" si="18"/>
        <v>1.918618543711105</v>
      </c>
      <c r="K292">
        <f t="shared" si="19"/>
        <v>0.52120834716094278</v>
      </c>
    </row>
    <row r="293" spans="7:11">
      <c r="G293" s="10">
        <v>281</v>
      </c>
      <c r="H293">
        <f t="shared" si="16"/>
        <v>1.1034844195734148</v>
      </c>
      <c r="I293">
        <f t="shared" si="17"/>
        <v>4</v>
      </c>
      <c r="J293">
        <f t="shared" si="18"/>
        <v>1.9289648073412149</v>
      </c>
      <c r="K293">
        <f t="shared" si="19"/>
        <v>0.51841277569928723</v>
      </c>
    </row>
    <row r="294" spans="7:11">
      <c r="G294" s="10">
        <v>282</v>
      </c>
      <c r="H294">
        <f t="shared" si="16"/>
        <v>1.107411410390402</v>
      </c>
      <c r="I294">
        <f t="shared" si="17"/>
        <v>2</v>
      </c>
      <c r="J294">
        <f t="shared" si="18"/>
        <v>1.9394189552899077</v>
      </c>
      <c r="K294">
        <f t="shared" si="19"/>
        <v>0.51561834913102533</v>
      </c>
    </row>
    <row r="295" spans="7:11">
      <c r="G295" s="10">
        <v>283</v>
      </c>
      <c r="H295">
        <f t="shared" si="16"/>
        <v>1.1113384012073895</v>
      </c>
      <c r="I295">
        <f t="shared" si="17"/>
        <v>4</v>
      </c>
      <c r="J295">
        <f t="shared" si="18"/>
        <v>1.9499819491923749</v>
      </c>
      <c r="K295">
        <f t="shared" si="19"/>
        <v>0.51282525995390393</v>
      </c>
    </row>
    <row r="296" spans="7:11">
      <c r="G296" s="10">
        <v>284</v>
      </c>
      <c r="H296">
        <f t="shared" si="16"/>
        <v>1.1152653920243767</v>
      </c>
      <c r="I296">
        <f t="shared" si="17"/>
        <v>2</v>
      </c>
      <c r="J296">
        <f t="shared" si="18"/>
        <v>1.9606547419523022</v>
      </c>
      <c r="K296">
        <f t="shared" si="19"/>
        <v>0.51003370384541036</v>
      </c>
    </row>
    <row r="297" spans="7:11">
      <c r="G297" s="10">
        <v>285</v>
      </c>
      <c r="H297">
        <f t="shared" si="16"/>
        <v>1.1191923828413639</v>
      </c>
      <c r="I297">
        <f t="shared" si="17"/>
        <v>4</v>
      </c>
      <c r="J297">
        <f t="shared" si="18"/>
        <v>1.9714382764448641</v>
      </c>
      <c r="K297">
        <f t="shared" si="19"/>
        <v>0.50724387973399854</v>
      </c>
    </row>
    <row r="298" spans="7:11">
      <c r="G298" s="10">
        <v>286</v>
      </c>
      <c r="H298">
        <f t="shared" si="16"/>
        <v>1.1231193736583511</v>
      </c>
      <c r="I298">
        <f t="shared" si="17"/>
        <v>2</v>
      </c>
      <c r="J298">
        <f t="shared" si="18"/>
        <v>1.9823334841441336</v>
      </c>
      <c r="K298">
        <f t="shared" si="19"/>
        <v>0.50445598987182871</v>
      </c>
    </row>
    <row r="299" spans="7:11">
      <c r="G299" s="10">
        <v>287</v>
      </c>
      <c r="H299">
        <f t="shared" si="16"/>
        <v>1.1270463644753383</v>
      </c>
      <c r="I299">
        <f t="shared" si="17"/>
        <v>4</v>
      </c>
      <c r="J299">
        <f t="shared" si="18"/>
        <v>1.9933412836714148</v>
      </c>
      <c r="K299">
        <f t="shared" si="19"/>
        <v>0.50167023990902371</v>
      </c>
    </row>
    <row r="300" spans="7:11">
      <c r="G300" s="10">
        <v>288</v>
      </c>
      <c r="H300">
        <f t="shared" si="16"/>
        <v>1.1309733552923256</v>
      </c>
      <c r="I300">
        <f t="shared" si="17"/>
        <v>2</v>
      </c>
      <c r="J300">
        <f t="shared" si="18"/>
        <v>2.0044625792608524</v>
      </c>
      <c r="K300">
        <f t="shared" si="19"/>
        <v>0.49888683896945141</v>
      </c>
    </row>
    <row r="301" spans="7:11">
      <c r="G301" s="10">
        <v>289</v>
      </c>
      <c r="H301">
        <f t="shared" si="16"/>
        <v>1.1349003461093128</v>
      </c>
      <c r="I301">
        <f t="shared" si="17"/>
        <v>4</v>
      </c>
      <c r="J301">
        <f t="shared" si="18"/>
        <v>2.0156982591385559</v>
      </c>
      <c r="K301">
        <f t="shared" si="19"/>
        <v>0.49610599972803848</v>
      </c>
    </row>
    <row r="302" spans="7:11">
      <c r="G302" s="10">
        <v>290</v>
      </c>
      <c r="H302">
        <f t="shared" si="16"/>
        <v>1.1388273369263</v>
      </c>
      <c r="I302">
        <f t="shared" si="17"/>
        <v>2</v>
      </c>
      <c r="J302">
        <f t="shared" si="18"/>
        <v>2.0270491938113797</v>
      </c>
      <c r="K302">
        <f t="shared" si="19"/>
        <v>0.49332793848961298</v>
      </c>
    </row>
    <row r="303" spans="7:11">
      <c r="G303" s="10">
        <v>291</v>
      </c>
      <c r="H303">
        <f t="shared" si="16"/>
        <v>1.1427543277432872</v>
      </c>
      <c r="I303">
        <f t="shared" si="17"/>
        <v>4</v>
      </c>
      <c r="J303">
        <f t="shared" si="18"/>
        <v>2.0385162342613317</v>
      </c>
      <c r="K303">
        <f t="shared" si="19"/>
        <v>0.49055287526927926</v>
      </c>
    </row>
    <row r="304" spans="7:11">
      <c r="G304" s="10">
        <v>292</v>
      </c>
      <c r="H304">
        <f t="shared" si="16"/>
        <v>1.1466813185602744</v>
      </c>
      <c r="I304">
        <f t="shared" si="17"/>
        <v>2</v>
      </c>
      <c r="J304">
        <f t="shared" si="18"/>
        <v>2.0501002100414976</v>
      </c>
      <c r="K304">
        <f t="shared" si="19"/>
        <v>0.48778103387431887</v>
      </c>
    </row>
    <row r="305" spans="7:11">
      <c r="G305" s="10">
        <v>293</v>
      </c>
      <c r="H305">
        <f t="shared" si="16"/>
        <v>1.1506083093772617</v>
      </c>
      <c r="I305">
        <f t="shared" si="17"/>
        <v>4</v>
      </c>
      <c r="J305">
        <f t="shared" si="18"/>
        <v>2.0618019272692529</v>
      </c>
      <c r="K305">
        <f t="shared" si="19"/>
        <v>0.48501264198760691</v>
      </c>
    </row>
    <row r="306" spans="7:11">
      <c r="G306" s="10">
        <v>294</v>
      </c>
      <c r="H306">
        <f t="shared" si="16"/>
        <v>1.1545353001942491</v>
      </c>
      <c r="I306">
        <f t="shared" si="17"/>
        <v>2</v>
      </c>
      <c r="J306">
        <f t="shared" si="18"/>
        <v>2.0736221665123815</v>
      </c>
      <c r="K306">
        <f t="shared" si="19"/>
        <v>0.48224793125253712</v>
      </c>
    </row>
    <row r="307" spans="7:11">
      <c r="G307" s="10">
        <v>295</v>
      </c>
      <c r="H307">
        <f t="shared" si="16"/>
        <v>1.1584622910112363</v>
      </c>
      <c r="I307">
        <f t="shared" si="17"/>
        <v>4</v>
      </c>
      <c r="J307">
        <f t="shared" si="18"/>
        <v>2.0855616805636545</v>
      </c>
      <c r="K307">
        <f t="shared" si="19"/>
        <v>0.47948713735943543</v>
      </c>
    </row>
    <row r="308" spans="7:11">
      <c r="G308" s="10">
        <v>296</v>
      </c>
      <c r="H308">
        <f t="shared" si="16"/>
        <v>1.1623892818282235</v>
      </c>
      <c r="I308">
        <f t="shared" si="17"/>
        <v>2</v>
      </c>
      <c r="J308">
        <f t="shared" si="18"/>
        <v>2.0976211920992842</v>
      </c>
      <c r="K308">
        <f t="shared" si="19"/>
        <v>0.4767305001334427</v>
      </c>
    </row>
    <row r="309" spans="7:11">
      <c r="G309" s="10">
        <v>297</v>
      </c>
      <c r="H309">
        <f t="shared" si="16"/>
        <v>1.1663162726452108</v>
      </c>
      <c r="I309">
        <f t="shared" si="17"/>
        <v>4</v>
      </c>
      <c r="J309">
        <f t="shared" si="18"/>
        <v>2.1098013912165752</v>
      </c>
      <c r="K309">
        <f t="shared" si="19"/>
        <v>0.47397826362384271</v>
      </c>
    </row>
    <row r="310" spans="7:11">
      <c r="G310" s="10">
        <v>298</v>
      </c>
      <c r="H310">
        <f t="shared" si="16"/>
        <v>1.170243263462198</v>
      </c>
      <c r="I310">
        <f t="shared" si="17"/>
        <v>2</v>
      </c>
      <c r="J310">
        <f t="shared" si="18"/>
        <v>2.122102932846007</v>
      </c>
      <c r="K310">
        <f t="shared" si="19"/>
        <v>0.47123067619480369</v>
      </c>
    </row>
    <row r="311" spans="7:11">
      <c r="G311" s="10">
        <v>299</v>
      </c>
      <c r="H311">
        <f t="shared" si="16"/>
        <v>1.1741702542791852</v>
      </c>
      <c r="I311">
        <f t="shared" si="17"/>
        <v>4</v>
      </c>
      <c r="J311">
        <f t="shared" si="18"/>
        <v>2.1345264340328969</v>
      </c>
      <c r="K311">
        <f t="shared" si="19"/>
        <v>0.46848799061749552</v>
      </c>
    </row>
    <row r="312" spans="7:11">
      <c r="G312" s="10">
        <v>300</v>
      </c>
      <c r="H312">
        <f t="shared" si="16"/>
        <v>1.1780972450961724</v>
      </c>
      <c r="I312">
        <f t="shared" si="17"/>
        <v>2</v>
      </c>
      <c r="J312">
        <f t="shared" si="18"/>
        <v>2.1470724710837006</v>
      </c>
      <c r="K312">
        <f t="shared" si="19"/>
        <v>0.4657504641635436</v>
      </c>
    </row>
    <row r="313" spans="7:11">
      <c r="G313" s="10">
        <v>301</v>
      </c>
      <c r="H313">
        <f t="shared" si="16"/>
        <v>1.1820242359131596</v>
      </c>
      <c r="I313">
        <f t="shared" si="17"/>
        <v>4</v>
      </c>
      <c r="J313">
        <f t="shared" si="18"/>
        <v>2.1597415765719732</v>
      </c>
      <c r="K313">
        <f t="shared" si="19"/>
        <v>0.46301835869976599</v>
      </c>
    </row>
    <row r="314" spans="7:11">
      <c r="G314" s="10">
        <v>302</v>
      </c>
      <c r="H314">
        <f t="shared" si="16"/>
        <v>1.1859512267301469</v>
      </c>
      <c r="I314">
        <f t="shared" si="17"/>
        <v>2</v>
      </c>
      <c r="J314">
        <f t="shared" si="18"/>
        <v>2.1725342361989379</v>
      </c>
      <c r="K314">
        <f t="shared" si="19"/>
        <v>0.46029194078414076</v>
      </c>
    </row>
    <row r="315" spans="7:11">
      <c r="G315" s="10">
        <v>303</v>
      </c>
      <c r="H315">
        <f t="shared" si="16"/>
        <v>1.1898782175471341</v>
      </c>
      <c r="I315">
        <f t="shared" si="17"/>
        <v>4</v>
      </c>
      <c r="J315">
        <f t="shared" si="18"/>
        <v>2.1854508855035881</v>
      </c>
      <c r="K315">
        <f t="shared" si="19"/>
        <v>0.45757148176293722</v>
      </c>
    </row>
    <row r="316" spans="7:11">
      <c r="G316" s="10">
        <v>304</v>
      </c>
      <c r="H316">
        <f t="shared" si="16"/>
        <v>1.1938052083641213</v>
      </c>
      <c r="I316">
        <f t="shared" si="17"/>
        <v>2</v>
      </c>
      <c r="J316">
        <f t="shared" si="18"/>
        <v>2.1984919064172384</v>
      </c>
      <c r="K316">
        <f t="shared" si="19"/>
        <v>0.45485725786893849</v>
      </c>
    </row>
    <row r="317" spans="7:11">
      <c r="G317" s="10">
        <v>305</v>
      </c>
      <c r="H317">
        <f t="shared" si="16"/>
        <v>1.1977321991811087</v>
      </c>
      <c r="I317">
        <f t="shared" si="17"/>
        <v>4</v>
      </c>
      <c r="J317">
        <f t="shared" si="18"/>
        <v>2.2116576236574215</v>
      </c>
      <c r="K317">
        <f t="shared" si="19"/>
        <v>0.45214955032067689</v>
      </c>
    </row>
    <row r="318" spans="7:11">
      <c r="G318" s="10">
        <v>306</v>
      </c>
      <c r="H318">
        <f t="shared" si="16"/>
        <v>1.201659189998096</v>
      </c>
      <c r="I318">
        <f t="shared" si="17"/>
        <v>2</v>
      </c>
      <c r="J318">
        <f t="shared" si="18"/>
        <v>2.2249483009560915</v>
      </c>
      <c r="K318">
        <f t="shared" si="19"/>
        <v>0.44944864542258617</v>
      </c>
    </row>
    <row r="319" spans="7:11">
      <c r="G319" s="10">
        <v>307</v>
      </c>
      <c r="H319">
        <f t="shared" si="16"/>
        <v>1.2055861808150832</v>
      </c>
      <c r="I319">
        <f t="shared" si="17"/>
        <v>4</v>
      </c>
      <c r="J319">
        <f t="shared" si="18"/>
        <v>2.2383641371171135</v>
      </c>
      <c r="K319">
        <f t="shared" si="19"/>
        <v>0.44675483466597332</v>
      </c>
    </row>
    <row r="320" spans="7:11">
      <c r="G320" s="10">
        <v>308</v>
      </c>
      <c r="H320">
        <f t="shared" si="16"/>
        <v>1.2095131716320704</v>
      </c>
      <c r="I320">
        <f t="shared" si="17"/>
        <v>2</v>
      </c>
      <c r="J320">
        <f t="shared" si="18"/>
        <v>2.2519052618981119</v>
      </c>
      <c r="K320">
        <f t="shared" si="19"/>
        <v>0.44406841483069698</v>
      </c>
    </row>
    <row r="321" spans="7:11">
      <c r="G321" s="10">
        <v>309</v>
      </c>
      <c r="H321">
        <f t="shared" si="16"/>
        <v>1.2134401624490576</v>
      </c>
      <c r="I321">
        <f t="shared" si="17"/>
        <v>4</v>
      </c>
      <c r="J321">
        <f t="shared" si="18"/>
        <v>2.265571731711884</v>
      </c>
      <c r="K321">
        <f t="shared" si="19"/>
        <v>0.4413896880874269</v>
      </c>
    </row>
    <row r="322" spans="7:11">
      <c r="G322" s="10">
        <v>310</v>
      </c>
      <c r="H322">
        <f t="shared" si="16"/>
        <v>1.2173671532660448</v>
      </c>
      <c r="I322">
        <f t="shared" si="17"/>
        <v>2</v>
      </c>
      <c r="J322">
        <f t="shared" si="18"/>
        <v>2.2793635251427014</v>
      </c>
      <c r="K322">
        <f t="shared" si="19"/>
        <v>0.43871896210034955</v>
      </c>
    </row>
    <row r="323" spans="7:11">
      <c r="G323" s="10">
        <v>311</v>
      </c>
      <c r="H323">
        <f t="shared" si="16"/>
        <v>1.2212941440830321</v>
      </c>
      <c r="I323">
        <f t="shared" si="17"/>
        <v>4</v>
      </c>
      <c r="J323">
        <f t="shared" si="18"/>
        <v>2.2932805382730237</v>
      </c>
      <c r="K323">
        <f t="shared" si="19"/>
        <v>0.43605655013017258</v>
      </c>
    </row>
    <row r="324" spans="7:11">
      <c r="G324" s="10">
        <v>312</v>
      </c>
      <c r="H324">
        <f t="shared" si="16"/>
        <v>1.2252211349000193</v>
      </c>
      <c r="I324">
        <f t="shared" si="17"/>
        <v>2</v>
      </c>
      <c r="J324">
        <f t="shared" si="18"/>
        <v>2.307322579816411</v>
      </c>
      <c r="K324">
        <f t="shared" si="19"/>
        <v>0.43340277113725817</v>
      </c>
    </row>
    <row r="325" spans="7:11">
      <c r="G325" s="10">
        <v>313</v>
      </c>
      <c r="H325">
        <f t="shared" si="16"/>
        <v>1.2291481257170065</v>
      </c>
      <c r="I325">
        <f t="shared" si="17"/>
        <v>4</v>
      </c>
      <c r="J325">
        <f t="shared" si="18"/>
        <v>2.3214893660526301</v>
      </c>
      <c r="K325">
        <f t="shared" si="19"/>
        <v>0.43075794988471605</v>
      </c>
    </row>
    <row r="326" spans="7:11">
      <c r="G326" s="10">
        <v>314</v>
      </c>
      <c r="H326">
        <f t="shared" si="16"/>
        <v>1.2330751165339937</v>
      </c>
      <c r="I326">
        <f t="shared" si="17"/>
        <v>2</v>
      </c>
      <c r="J326">
        <f t="shared" si="18"/>
        <v>2.3357805155613818</v>
      </c>
      <c r="K326">
        <f t="shared" si="19"/>
        <v>0.42812241704125181</v>
      </c>
    </row>
    <row r="327" spans="7:11">
      <c r="G327" s="10">
        <v>315</v>
      </c>
      <c r="H327">
        <f t="shared" si="16"/>
        <v>1.2370021073509812</v>
      </c>
      <c r="I327">
        <f t="shared" si="17"/>
        <v>4</v>
      </c>
      <c r="J327">
        <f t="shared" si="18"/>
        <v>2.3501955437513522</v>
      </c>
      <c r="K327">
        <f t="shared" si="19"/>
        <v>0.42549650928356914</v>
      </c>
    </row>
    <row r="328" spans="7:11">
      <c r="G328" s="10">
        <v>316</v>
      </c>
      <c r="H328">
        <f t="shared" si="16"/>
        <v>1.2409290981679684</v>
      </c>
      <c r="I328">
        <f t="shared" si="17"/>
        <v>2</v>
      </c>
      <c r="J328">
        <f t="shared" si="18"/>
        <v>2.364733857181835</v>
      </c>
      <c r="K328">
        <f t="shared" si="19"/>
        <v>0.42288056939809165</v>
      </c>
    </row>
    <row r="329" spans="7:11">
      <c r="G329" s="10">
        <v>317</v>
      </c>
      <c r="H329">
        <f t="shared" si="16"/>
        <v>1.2448560889849556</v>
      </c>
      <c r="I329">
        <f t="shared" si="17"/>
        <v>4</v>
      </c>
      <c r="J329">
        <f t="shared" si="18"/>
        <v>2.3793947476746578</v>
      </c>
      <c r="K329">
        <f t="shared" si="19"/>
        <v>0.42027494638175655</v>
      </c>
    </row>
    <row r="330" spans="7:11">
      <c r="G330" s="10">
        <v>318</v>
      </c>
      <c r="H330">
        <f t="shared" si="16"/>
        <v>1.2487830798019428</v>
      </c>
      <c r="I330">
        <f t="shared" si="17"/>
        <v>2</v>
      </c>
      <c r="J330">
        <f t="shared" si="18"/>
        <v>2.3941773862146989</v>
      </c>
      <c r="K330">
        <f t="shared" si="19"/>
        <v>0.41767999554161878</v>
      </c>
    </row>
    <row r="331" spans="7:11">
      <c r="G331" s="10">
        <v>319</v>
      </c>
      <c r="H331">
        <f t="shared" si="16"/>
        <v>1.25271007061893</v>
      </c>
      <c r="I331">
        <f t="shared" si="17"/>
        <v>4</v>
      </c>
      <c r="J331">
        <f t="shared" si="18"/>
        <v>2.409080816638018</v>
      </c>
      <c r="K331">
        <f t="shared" si="19"/>
        <v>0.41509607859297371</v>
      </c>
    </row>
    <row r="332" spans="7:11">
      <c r="G332" s="10">
        <v>320</v>
      </c>
      <c r="H332">
        <f t="shared" ref="H332:H395" si="20">G332*PI()/(2*$B$6)</f>
        <v>1.2566370614359172</v>
      </c>
      <c r="I332">
        <f t="shared" ref="I332:I395" si="21">IF(G332&gt;$B$6,0,IF(OR(G332=0,G332=$B$6),1,IF(MOD(G332,2)=1,4,2)))</f>
        <v>2</v>
      </c>
      <c r="J332">
        <f t="shared" ref="J332:J395" si="22">IF(G332&gt;$B$6,0,1/SQRT(1-($E$5^2)*(SIN(H332)^2)))</f>
        <v>2.4241039491073413</v>
      </c>
      <c r="K332">
        <f t="shared" ref="K332:K395" si="23">IF(G332&gt;$B$6,0,SQRT(1-($E$5^2)*(SIN(H332)^2)))</f>
        <v>0.4125235637556891</v>
      </c>
    </row>
    <row r="333" spans="7:11">
      <c r="G333" s="10">
        <v>321</v>
      </c>
      <c r="H333">
        <f t="shared" si="20"/>
        <v>1.2605640522529045</v>
      </c>
      <c r="I333">
        <f t="shared" si="21"/>
        <v>4</v>
      </c>
      <c r="J333">
        <f t="shared" si="22"/>
        <v>2.4392455533754762</v>
      </c>
      <c r="K333">
        <f t="shared" si="23"/>
        <v>0.4099628258484187</v>
      </c>
    </row>
    <row r="334" spans="7:11">
      <c r="G334" s="10">
        <v>322</v>
      </c>
      <c r="H334">
        <f t="shared" si="20"/>
        <v>1.2644910430698917</v>
      </c>
      <c r="I334">
        <f t="shared" si="21"/>
        <v>2</v>
      </c>
      <c r="J334">
        <f t="shared" si="22"/>
        <v>2.4545042518382076</v>
      </c>
      <c r="K334">
        <f t="shared" si="23"/>
        <v>0.40741424638033852</v>
      </c>
    </row>
    <row r="335" spans="7:11">
      <c r="G335" s="10">
        <v>323</v>
      </c>
      <c r="H335">
        <f t="shared" si="20"/>
        <v>1.2684180338868789</v>
      </c>
      <c r="I335">
        <f t="shared" si="21"/>
        <v>4</v>
      </c>
      <c r="J335">
        <f t="shared" si="22"/>
        <v>2.4698785123792515</v>
      </c>
      <c r="K335">
        <f t="shared" si="23"/>
        <v>0.40487821364002752</v>
      </c>
    </row>
    <row r="336" spans="7:11">
      <c r="G336" s="10">
        <v>324</v>
      </c>
      <c r="H336">
        <f t="shared" si="20"/>
        <v>1.2723450247038661</v>
      </c>
      <c r="I336">
        <f t="shared" si="21"/>
        <v>2</v>
      </c>
      <c r="J336">
        <f t="shared" si="22"/>
        <v>2.4853666410110091</v>
      </c>
      <c r="K336">
        <f t="shared" si="23"/>
        <v>0.40235512278108604</v>
      </c>
    </row>
    <row r="337" spans="7:11">
      <c r="G337" s="10">
        <v>325</v>
      </c>
      <c r="H337">
        <f t="shared" si="20"/>
        <v>1.2762720155208533</v>
      </c>
      <c r="I337">
        <f t="shared" si="21"/>
        <v>4</v>
      </c>
      <c r="J337">
        <f t="shared" si="22"/>
        <v>2.5009667743161277</v>
      </c>
      <c r="K337">
        <f t="shared" si="23"/>
        <v>0.39984537590406144</v>
      </c>
    </row>
    <row r="338" spans="7:11">
      <c r="G338" s="10">
        <v>326</v>
      </c>
      <c r="H338">
        <f t="shared" si="20"/>
        <v>1.2801990063378406</v>
      </c>
      <c r="I338">
        <f t="shared" si="21"/>
        <v>2</v>
      </c>
      <c r="J338">
        <f t="shared" si="22"/>
        <v>2.5166768716962937</v>
      </c>
      <c r="K338">
        <f t="shared" si="23"/>
        <v>0.39734938213421844</v>
      </c>
    </row>
    <row r="339" spans="7:11">
      <c r="G339" s="10">
        <v>327</v>
      </c>
      <c r="H339">
        <f t="shared" si="20"/>
        <v>1.284125997154828</v>
      </c>
      <c r="I339">
        <f t="shared" si="21"/>
        <v>4</v>
      </c>
      <c r="J339">
        <f t="shared" si="22"/>
        <v>2.5324947074361908</v>
      </c>
      <c r="K339">
        <f t="shared" si="23"/>
        <v>0.39486755769466741</v>
      </c>
    </row>
    <row r="340" spans="7:11">
      <c r="G340" s="10">
        <v>328</v>
      </c>
      <c r="H340">
        <f t="shared" si="20"/>
        <v>1.288052987971815</v>
      </c>
      <c r="I340">
        <f t="shared" si="21"/>
        <v>2</v>
      </c>
      <c r="J340">
        <f t="shared" si="22"/>
        <v>2.5484178625922089</v>
      </c>
      <c r="K340">
        <f t="shared" si="23"/>
        <v>0.39240032597433466</v>
      </c>
    </row>
    <row r="341" spans="7:11">
      <c r="G341" s="10">
        <v>329</v>
      </c>
      <c r="H341">
        <f t="shared" si="20"/>
        <v>1.2919799787888024</v>
      </c>
      <c r="I341">
        <f t="shared" si="21"/>
        <v>4</v>
      </c>
      <c r="J341">
        <f t="shared" si="22"/>
        <v>2.5644437167173675</v>
      </c>
      <c r="K341">
        <f t="shared" si="23"/>
        <v>0.38994811759021814</v>
      </c>
    </row>
    <row r="342" spans="7:11">
      <c r="G342" s="10">
        <v>330</v>
      </c>
      <c r="H342">
        <f t="shared" si="20"/>
        <v>1.2959069696057894</v>
      </c>
      <c r="I342">
        <f t="shared" si="21"/>
        <v>2</v>
      </c>
      <c r="J342">
        <f t="shared" si="22"/>
        <v>2.5805694394357235</v>
      </c>
      <c r="K342">
        <f t="shared" si="23"/>
        <v>0.3875113704433637</v>
      </c>
    </row>
    <row r="343" spans="7:11">
      <c r="G343" s="10">
        <v>331</v>
      </c>
      <c r="H343">
        <f t="shared" si="20"/>
        <v>1.2998339604227769</v>
      </c>
      <c r="I343">
        <f t="shared" si="21"/>
        <v>4</v>
      </c>
      <c r="J343">
        <f t="shared" si="22"/>
        <v>2.5967919818818213</v>
      </c>
      <c r="K343">
        <f t="shared" si="23"/>
        <v>0.3850905297679364</v>
      </c>
    </row>
    <row r="344" spans="7:11">
      <c r="G344" s="10">
        <v>332</v>
      </c>
      <c r="H344">
        <f t="shared" si="20"/>
        <v>1.3037609512397643</v>
      </c>
      <c r="I344">
        <f t="shared" si="21"/>
        <v>2</v>
      </c>
      <c r="J344">
        <f t="shared" si="22"/>
        <v>2.6131080680228238</v>
      </c>
      <c r="K344">
        <f t="shared" si="23"/>
        <v>0.38268604817275609</v>
      </c>
    </row>
    <row r="345" spans="7:11">
      <c r="G345" s="10">
        <v>333</v>
      </c>
      <c r="H345">
        <f t="shared" si="20"/>
        <v>1.3076879420567513</v>
      </c>
      <c r="I345">
        <f t="shared" si="21"/>
        <v>4</v>
      </c>
      <c r="J345">
        <f t="shared" si="22"/>
        <v>2.629514185883516</v>
      </c>
      <c r="K345">
        <f t="shared" si="23"/>
        <v>0.38029838567461477</v>
      </c>
    </row>
    <row r="346" spans="7:11">
      <c r="G346" s="10">
        <v>334</v>
      </c>
      <c r="H346">
        <f t="shared" si="20"/>
        <v>1.3116149328737388</v>
      </c>
      <c r="I346">
        <f t="shared" si="21"/>
        <v>2</v>
      </c>
      <c r="J346">
        <f t="shared" si="22"/>
        <v>2.6460065786968596</v>
      </c>
      <c r="K346">
        <f t="shared" si="23"/>
        <v>0.37792800972267165</v>
      </c>
    </row>
    <row r="347" spans="7:11">
      <c r="G347" s="10">
        <v>335</v>
      </c>
      <c r="H347">
        <f t="shared" si="20"/>
        <v>1.3155419236907258</v>
      </c>
      <c r="I347">
        <f t="shared" si="21"/>
        <v>4</v>
      </c>
      <c r="J347">
        <f t="shared" si="22"/>
        <v>2.6625812360055372</v>
      </c>
      <c r="K347">
        <f t="shared" si="23"/>
        <v>0.37557539521318867</v>
      </c>
    </row>
    <row r="348" spans="7:11">
      <c r="G348" s="10">
        <v>336</v>
      </c>
      <c r="H348">
        <f t="shared" si="20"/>
        <v>1.3194689145077132</v>
      </c>
      <c r="I348">
        <f t="shared" si="21"/>
        <v>2</v>
      </c>
      <c r="J348">
        <f t="shared" si="22"/>
        <v>2.6792338847428692</v>
      </c>
      <c r="K348">
        <f t="shared" si="23"/>
        <v>0.37324102449382535</v>
      </c>
    </row>
    <row r="349" spans="7:11">
      <c r="G349" s="10">
        <v>337</v>
      </c>
      <c r="H349">
        <f t="shared" si="20"/>
        <v>1.3233959053247002</v>
      </c>
      <c r="I349">
        <f t="shared" si="21"/>
        <v>4</v>
      </c>
      <c r="J349">
        <f t="shared" si="22"/>
        <v>2.6959599803244134</v>
      </c>
      <c r="K349">
        <f t="shared" si="23"/>
        <v>0.37092538735670211</v>
      </c>
    </row>
    <row r="350" spans="7:11">
      <c r="G350" s="10">
        <v>338</v>
      </c>
      <c r="H350">
        <f t="shared" si="20"/>
        <v>1.3273228961416876</v>
      </c>
      <c r="I350">
        <f t="shared" si="21"/>
        <v>2</v>
      </c>
      <c r="J350">
        <f t="shared" si="22"/>
        <v>2.7127546977849235</v>
      </c>
      <c r="K350">
        <f t="shared" si="23"/>
        <v>0.3686289810193828</v>
      </c>
    </row>
    <row r="351" spans="7:11">
      <c r="G351" s="10">
        <v>339</v>
      </c>
      <c r="H351">
        <f t="shared" si="20"/>
        <v>1.3312498869586746</v>
      </c>
      <c r="I351">
        <f t="shared" si="21"/>
        <v>4</v>
      </c>
      <c r="J351">
        <f t="shared" si="22"/>
        <v>2.7296129229985135</v>
      </c>
      <c r="K351">
        <f t="shared" si="23"/>
        <v>0.36635231009292252</v>
      </c>
    </row>
    <row r="352" spans="7:11">
      <c r="G352" s="10">
        <v>340</v>
      </c>
      <c r="H352">
        <f t="shared" si="20"/>
        <v>1.3351768777756621</v>
      </c>
      <c r="I352">
        <f t="shared" si="21"/>
        <v>2</v>
      </c>
      <c r="J352">
        <f t="shared" si="22"/>
        <v>2.7465292440235056</v>
      </c>
      <c r="K352">
        <f t="shared" si="23"/>
        <v>0.36409588653607711</v>
      </c>
    </row>
    <row r="353" spans="7:11">
      <c r="G353" s="10">
        <v>341</v>
      </c>
      <c r="H353">
        <f t="shared" si="20"/>
        <v>1.3391038685926491</v>
      </c>
      <c r="I353">
        <f t="shared" si="21"/>
        <v>4</v>
      </c>
      <c r="J353">
        <f t="shared" si="22"/>
        <v>2.7634979426168851</v>
      </c>
      <c r="K353">
        <f t="shared" si="23"/>
        <v>0.36186022959476255</v>
      </c>
    </row>
    <row r="354" spans="7:11">
      <c r="G354" s="10">
        <v>342</v>
      </c>
      <c r="H354">
        <f t="shared" si="20"/>
        <v>1.3430308594096365</v>
      </c>
      <c r="I354">
        <f t="shared" si="21"/>
        <v>2</v>
      </c>
      <c r="J354">
        <f t="shared" si="22"/>
        <v>2.7805129859671651</v>
      </c>
      <c r="K354">
        <f t="shared" si="23"/>
        <v>0.35964586572580348</v>
      </c>
    </row>
    <row r="355" spans="7:11">
      <c r="G355" s="10">
        <v>343</v>
      </c>
      <c r="H355">
        <f t="shared" si="20"/>
        <v>1.346957850226624</v>
      </c>
      <c r="I355">
        <f t="shared" si="21"/>
        <v>4</v>
      </c>
      <c r="J355">
        <f t="shared" si="22"/>
        <v>2.7975680186980072</v>
      </c>
      <c r="K355">
        <f t="shared" si="23"/>
        <v>0.35745332850402028</v>
      </c>
    </row>
    <row r="356" spans="7:11">
      <c r="G356" s="10">
        <v>344</v>
      </c>
      <c r="H356">
        <f t="shared" si="20"/>
        <v>1.350884841043611</v>
      </c>
      <c r="I356">
        <f t="shared" si="21"/>
        <v>2</v>
      </c>
      <c r="J356">
        <f t="shared" si="22"/>
        <v>2.8146563551990802</v>
      </c>
      <c r="K356">
        <f t="shared" si="23"/>
        <v>0.35528315851164366</v>
      </c>
    </row>
    <row r="357" spans="7:11">
      <c r="G357" s="10">
        <v>345</v>
      </c>
      <c r="H357">
        <f t="shared" si="20"/>
        <v>1.3548118318605984</v>
      </c>
      <c r="I357">
        <f t="shared" si="21"/>
        <v>4</v>
      </c>
      <c r="J357">
        <f t="shared" si="22"/>
        <v>2.8317709723442337</v>
      </c>
      <c r="K357">
        <f t="shared" si="23"/>
        <v>0.3531359032090674</v>
      </c>
    </row>
    <row r="358" spans="7:11">
      <c r="G358" s="10">
        <v>346</v>
      </c>
      <c r="H358">
        <f t="shared" si="20"/>
        <v>1.3587388226775854</v>
      </c>
      <c r="I358">
        <f t="shared" si="21"/>
        <v>2</v>
      </c>
      <c r="J358">
        <f t="shared" si="22"/>
        <v>2.8489045026610951</v>
      </c>
      <c r="K358">
        <f t="shared" si="23"/>
        <v>0.35101211678591659</v>
      </c>
    </row>
    <row r="359" spans="7:11">
      <c r="G359" s="10">
        <v>347</v>
      </c>
      <c r="H359">
        <f t="shared" si="20"/>
        <v>1.3626658134945728</v>
      </c>
      <c r="I359">
        <f t="shared" si="21"/>
        <v>4</v>
      </c>
      <c r="J359">
        <f t="shared" si="22"/>
        <v>2.8660492280200787</v>
      </c>
      <c r="K359">
        <f t="shared" si="23"/>
        <v>0.34891235999139453</v>
      </c>
    </row>
    <row r="360" spans="7:11">
      <c r="G360" s="10">
        <v>348</v>
      </c>
      <c r="H360">
        <f t="shared" si="20"/>
        <v>1.3665928043115598</v>
      </c>
      <c r="I360">
        <f t="shared" si="21"/>
        <v>2</v>
      </c>
      <c r="J360">
        <f t="shared" si="22"/>
        <v>2.8831970739143307</v>
      </c>
      <c r="K360">
        <f t="shared" si="23"/>
        <v>0.34683719994289691</v>
      </c>
    </row>
    <row r="361" spans="7:11">
      <c r="G361" s="10">
        <v>349</v>
      </c>
      <c r="H361">
        <f t="shared" si="20"/>
        <v>1.3705197951285473</v>
      </c>
      <c r="I361">
        <f t="shared" si="21"/>
        <v>4</v>
      </c>
      <c r="J361">
        <f t="shared" si="22"/>
        <v>2.9003396044060805</v>
      </c>
      <c r="K361">
        <f t="shared" si="23"/>
        <v>0.34478720991184614</v>
      </c>
    </row>
    <row r="362" spans="7:11">
      <c r="G362" s="10">
        <v>350</v>
      </c>
      <c r="H362">
        <f t="shared" si="20"/>
        <v>1.3744467859455343</v>
      </c>
      <c r="I362">
        <f t="shared" si="21"/>
        <v>2</v>
      </c>
      <c r="J362">
        <f t="shared" si="22"/>
        <v>2.9174680178180137</v>
      </c>
      <c r="K362">
        <f t="shared" si="23"/>
        <v>0.34276296908574311</v>
      </c>
    </row>
    <row r="363" spans="7:11">
      <c r="G363" s="10">
        <v>351</v>
      </c>
      <c r="H363">
        <f t="shared" si="20"/>
        <v>1.3783737767625217</v>
      </c>
      <c r="I363">
        <f t="shared" si="21"/>
        <v>4</v>
      </c>
      <c r="J363">
        <f t="shared" si="22"/>
        <v>2.9345731432517455</v>
      </c>
      <c r="K363">
        <f t="shared" si="23"/>
        <v>0.34076506230542231</v>
      </c>
    </row>
    <row r="364" spans="7:11">
      <c r="G364" s="10">
        <v>352</v>
      </c>
      <c r="H364">
        <f t="shared" si="20"/>
        <v>1.3823007675795089</v>
      </c>
      <c r="I364">
        <f t="shared" si="21"/>
        <v>2</v>
      </c>
      <c r="J364">
        <f t="shared" si="22"/>
        <v>2.9516454380182622</v>
      </c>
      <c r="K364">
        <f t="shared" si="23"/>
        <v>0.33879407977653342</v>
      </c>
    </row>
    <row r="365" spans="7:11">
      <c r="G365" s="10">
        <v>353</v>
      </c>
      <c r="H365">
        <f t="shared" si="20"/>
        <v>1.3862277583964961</v>
      </c>
      <c r="I365">
        <f t="shared" si="21"/>
        <v>4</v>
      </c>
      <c r="J365">
        <f t="shared" si="22"/>
        <v>2.9686749860677573</v>
      </c>
      <c r="K365">
        <f t="shared" si="23"/>
        <v>0.33685061675430439</v>
      </c>
    </row>
    <row r="366" spans="7:11">
      <c r="G366" s="10">
        <v>354</v>
      </c>
      <c r="H366">
        <f t="shared" si="20"/>
        <v>1.3901547492134836</v>
      </c>
      <c r="I366">
        <f t="shared" si="21"/>
        <v>2</v>
      </c>
      <c r="J366">
        <f t="shared" si="22"/>
        <v>2.9856514975085244</v>
      </c>
      <c r="K366">
        <f t="shared" si="23"/>
        <v>0.33493527320066763</v>
      </c>
    </row>
    <row r="367" spans="7:11">
      <c r="G367" s="10">
        <v>355</v>
      </c>
      <c r="H367">
        <f t="shared" si="20"/>
        <v>1.3940817400304706</v>
      </c>
      <c r="I367">
        <f t="shared" si="21"/>
        <v>4</v>
      </c>
      <c r="J367">
        <f t="shared" si="22"/>
        <v>3.0025643093060199</v>
      </c>
      <c r="K367">
        <f t="shared" si="23"/>
        <v>0.33304865341289863</v>
      </c>
    </row>
    <row r="368" spans="7:11">
      <c r="G368" s="10">
        <v>356</v>
      </c>
      <c r="H368">
        <f t="shared" si="20"/>
        <v>1.398008730847458</v>
      </c>
      <c r="I368">
        <f t="shared" si="21"/>
        <v>2</v>
      </c>
      <c r="J368">
        <f t="shared" si="22"/>
        <v>3.0194023872543947</v>
      </c>
      <c r="K368">
        <f t="shared" si="23"/>
        <v>0.3311913656229572</v>
      </c>
    </row>
    <row r="369" spans="7:11">
      <c r="G369" s="10">
        <v>357</v>
      </c>
      <c r="H369">
        <f t="shared" si="20"/>
        <v>1.401935721664445</v>
      </c>
      <c r="I369">
        <f t="shared" si="21"/>
        <v>4</v>
      </c>
      <c r="J369">
        <f t="shared" si="22"/>
        <v>3.036154329312946</v>
      </c>
      <c r="K369">
        <f t="shared" si="23"/>
        <v>0.32936402156681238</v>
      </c>
    </row>
    <row r="370" spans="7:11">
      <c r="G370" s="10">
        <v>358</v>
      </c>
      <c r="H370">
        <f t="shared" si="20"/>
        <v>1.4058627124814325</v>
      </c>
      <c r="I370">
        <f t="shared" si="21"/>
        <v>2</v>
      </c>
      <c r="J370">
        <f t="shared" si="22"/>
        <v>3.0528083703997728</v>
      </c>
      <c r="K370">
        <f t="shared" si="23"/>
        <v>0.32756723602308768</v>
      </c>
    </row>
    <row r="371" spans="7:11">
      <c r="G371" s="10">
        <v>359</v>
      </c>
      <c r="H371">
        <f t="shared" si="20"/>
        <v>1.4097897032984195</v>
      </c>
      <c r="I371">
        <f t="shared" si="21"/>
        <v>4</v>
      </c>
      <c r="J371">
        <f t="shared" si="22"/>
        <v>3.0693523887333996</v>
      </c>
      <c r="K371">
        <f t="shared" si="23"/>
        <v>0.32580162632048271</v>
      </c>
    </row>
    <row r="372" spans="7:11">
      <c r="G372" s="10">
        <v>360</v>
      </c>
      <c r="H372">
        <f t="shared" si="20"/>
        <v>1.4137166941154069</v>
      </c>
      <c r="I372">
        <f t="shared" si="21"/>
        <v>2</v>
      </c>
      <c r="J372">
        <f t="shared" si="22"/>
        <v>3.0857739138111389</v>
      </c>
      <c r="K372">
        <f t="shared" si="23"/>
        <v>0.32406781181351441</v>
      </c>
    </row>
    <row r="373" spans="7:11">
      <c r="G373" s="10">
        <v>361</v>
      </c>
      <c r="H373">
        <f t="shared" si="20"/>
        <v>1.4176436849323941</v>
      </c>
      <c r="I373">
        <f t="shared" si="21"/>
        <v>4</v>
      </c>
      <c r="J373">
        <f t="shared" si="22"/>
        <v>3.1020601361097082</v>
      </c>
      <c r="K373">
        <f t="shared" si="23"/>
        <v>0.32236641332624177</v>
      </c>
    </row>
    <row r="374" spans="7:11">
      <c r="G374" s="10">
        <v>362</v>
      </c>
      <c r="H374">
        <f t="shared" si="20"/>
        <v>1.4215706757493813</v>
      </c>
      <c r="I374">
        <f t="shared" si="21"/>
        <v>2</v>
      </c>
      <c r="J374">
        <f t="shared" si="22"/>
        <v>3.1181979185892881</v>
      </c>
      <c r="K374">
        <f t="shared" si="23"/>
        <v>0.32069805256377459</v>
      </c>
    </row>
    <row r="375" spans="7:11">
      <c r="G375" s="10">
        <v>363</v>
      </c>
      <c r="H375">
        <f t="shared" si="20"/>
        <v>1.4254976665663688</v>
      </c>
      <c r="I375">
        <f t="shared" si="21"/>
        <v>4</v>
      </c>
      <c r="J375">
        <f t="shared" si="22"/>
        <v>3.1341738100767924</v>
      </c>
      <c r="K375">
        <f t="shared" si="23"/>
        <v>0.31906335149150467</v>
      </c>
    </row>
    <row r="376" spans="7:11">
      <c r="G376" s="10">
        <v>364</v>
      </c>
      <c r="H376">
        <f t="shared" si="20"/>
        <v>1.4294246573833558</v>
      </c>
      <c r="I376">
        <f t="shared" si="21"/>
        <v>2</v>
      </c>
      <c r="J376">
        <f t="shared" si="22"/>
        <v>3.1499740605974296</v>
      </c>
      <c r="K376">
        <f t="shared" si="23"/>
        <v>0.31746293168215434</v>
      </c>
    </row>
    <row r="377" spans="7:11">
      <c r="G377" s="10">
        <v>365</v>
      </c>
      <c r="H377">
        <f t="shared" si="20"/>
        <v>1.4333516482003432</v>
      </c>
      <c r="I377">
        <f t="shared" si="21"/>
        <v>4</v>
      </c>
      <c r="J377">
        <f t="shared" si="22"/>
        <v>3.1655846387156776</v>
      </c>
      <c r="K377">
        <f t="shared" si="23"/>
        <v>0.31589741363090329</v>
      </c>
    </row>
    <row r="378" spans="7:11">
      <c r="G378" s="10">
        <v>366</v>
      </c>
      <c r="H378">
        <f t="shared" si="20"/>
        <v>1.4372786390173302</v>
      </c>
      <c r="I378">
        <f t="shared" si="21"/>
        <v>2</v>
      </c>
      <c r="J378">
        <f t="shared" si="22"/>
        <v>3.1809912509374119</v>
      </c>
      <c r="K378">
        <f t="shared" si="23"/>
        <v>0.31436741603904389</v>
      </c>
    </row>
    <row r="379" spans="7:11">
      <c r="G379" s="10">
        <v>367</v>
      </c>
      <c r="H379">
        <f t="shared" si="20"/>
        <v>1.4412056298343177</v>
      </c>
      <c r="I379">
        <f t="shared" si="21"/>
        <v>4</v>
      </c>
      <c r="J379">
        <f t="shared" si="22"/>
        <v>3.1961793632143585</v>
      </c>
      <c r="K379">
        <f t="shared" si="23"/>
        <v>0.3128735550667946</v>
      </c>
    </row>
    <row r="380" spans="7:11">
      <c r="G380" s="10">
        <v>368</v>
      </c>
      <c r="H380">
        <f t="shared" si="20"/>
        <v>1.4451326206513047</v>
      </c>
      <c r="I380">
        <f t="shared" si="21"/>
        <v>2</v>
      </c>
      <c r="J380">
        <f t="shared" si="22"/>
        <v>3.2111342245798635</v>
      </c>
      <c r="K380">
        <f t="shared" si="23"/>
        <v>0.31141644355611992</v>
      </c>
    </row>
    <row r="381" spans="7:11">
      <c r="G381" s="10">
        <v>369</v>
      </c>
      <c r="H381">
        <f t="shared" si="20"/>
        <v>1.4490596114682921</v>
      </c>
      <c r="I381">
        <f t="shared" si="21"/>
        <v>4</v>
      </c>
      <c r="J381">
        <f t="shared" si="22"/>
        <v>3.2258408929316551</v>
      </c>
      <c r="K381">
        <f t="shared" si="23"/>
        <v>0.3099966902246058</v>
      </c>
    </row>
    <row r="382" spans="7:11">
      <c r="G382" s="10">
        <v>370</v>
      </c>
      <c r="H382">
        <f t="shared" si="20"/>
        <v>1.4529866022852793</v>
      </c>
      <c r="I382">
        <f t="shared" si="21"/>
        <v>2</v>
      </c>
      <c r="J382">
        <f t="shared" si="22"/>
        <v>3.2402842629624113</v>
      </c>
      <c r="K382">
        <f t="shared" si="23"/>
        <v>0.30861489883167093</v>
      </c>
    </row>
    <row r="383" spans="7:11">
      <c r="G383" s="10">
        <v>371</v>
      </c>
      <c r="H383">
        <f t="shared" si="20"/>
        <v>1.4569135931022665</v>
      </c>
      <c r="I383">
        <f t="shared" si="21"/>
        <v>4</v>
      </c>
      <c r="J383">
        <f t="shared" si="22"/>
        <v>3.2544490962229129</v>
      </c>
      <c r="K383">
        <f t="shared" si="23"/>
        <v>0.30727166731862293</v>
      </c>
    </row>
    <row r="384" spans="7:11">
      <c r="G384" s="10">
        <v>372</v>
      </c>
      <c r="H384">
        <f t="shared" si="20"/>
        <v>1.4608405839192538</v>
      </c>
      <c r="I384">
        <f t="shared" si="21"/>
        <v>2</v>
      </c>
      <c r="J384">
        <f t="shared" si="22"/>
        <v>3.2683200532852554</v>
      </c>
      <c r="K384">
        <f t="shared" si="23"/>
        <v>0.30596758692430331</v>
      </c>
    </row>
    <row r="385" spans="7:11">
      <c r="G385" s="10">
        <v>373</v>
      </c>
      <c r="H385">
        <f t="shared" si="20"/>
        <v>1.464767574736241</v>
      </c>
      <c r="I385">
        <f t="shared" si="21"/>
        <v>4</v>
      </c>
      <c r="J385">
        <f t="shared" si="22"/>
        <v>3.281881727955148</v>
      </c>
      <c r="K385">
        <f t="shared" si="23"/>
        <v>0.30470324127831172</v>
      </c>
    </row>
    <row r="386" spans="7:11">
      <c r="G386" s="10">
        <v>374</v>
      </c>
      <c r="H386">
        <f t="shared" si="20"/>
        <v>1.4686945655532284</v>
      </c>
      <c r="I386">
        <f t="shared" si="21"/>
        <v>2</v>
      </c>
      <c r="J386">
        <f t="shared" si="22"/>
        <v>3.2951186834629671</v>
      </c>
      <c r="K386">
        <f t="shared" si="23"/>
        <v>0.30347920547403817</v>
      </c>
    </row>
    <row r="387" spans="7:11">
      <c r="G387" s="10">
        <v>375</v>
      </c>
      <c r="H387">
        <f t="shared" si="20"/>
        <v>1.4726215563702154</v>
      </c>
      <c r="I387">
        <f t="shared" si="21"/>
        <v>4</v>
      </c>
      <c r="J387">
        <f t="shared" si="22"/>
        <v>3.3080154905429326</v>
      </c>
      <c r="K387">
        <f t="shared" si="23"/>
        <v>0.30229604512398267</v>
      </c>
    </row>
    <row r="388" spans="7:11">
      <c r="G388" s="10">
        <v>376</v>
      </c>
      <c r="H388">
        <f t="shared" si="20"/>
        <v>1.4765485471872029</v>
      </c>
      <c r="I388">
        <f t="shared" si="21"/>
        <v>2</v>
      </c>
      <c r="J388">
        <f t="shared" si="22"/>
        <v>3.3205567672889815</v>
      </c>
      <c r="K388">
        <f t="shared" si="23"/>
        <v>0.3011543154000752</v>
      </c>
    </row>
    <row r="389" spans="7:11">
      <c r="G389" s="10">
        <v>377</v>
      </c>
      <c r="H389">
        <f t="shared" si="20"/>
        <v>1.4804755380041899</v>
      </c>
      <c r="I389">
        <f t="shared" si="21"/>
        <v>4</v>
      </c>
      <c r="J389">
        <f t="shared" si="22"/>
        <v>3.3327272206545193</v>
      </c>
      <c r="K389">
        <f t="shared" si="23"/>
        <v>0.30005456006195685</v>
      </c>
    </row>
    <row r="390" spans="7:11">
      <c r="G390" s="10">
        <v>378</v>
      </c>
      <c r="H390">
        <f t="shared" si="20"/>
        <v>1.4844025288211773</v>
      </c>
      <c r="I390">
        <f t="shared" si="21"/>
        <v>2</v>
      </c>
      <c r="J390">
        <f t="shared" si="22"/>
        <v>3.3445116894418412</v>
      </c>
      <c r="K390">
        <f t="shared" si="23"/>
        <v>0.2989973104764026</v>
      </c>
    </row>
    <row r="391" spans="7:11">
      <c r="G391" s="10">
        <v>379</v>
      </c>
      <c r="H391">
        <f t="shared" si="20"/>
        <v>1.4883295196381645</v>
      </c>
      <c r="I391">
        <f t="shared" si="21"/>
        <v>4</v>
      </c>
      <c r="J391">
        <f t="shared" si="22"/>
        <v>3.3558951886055994</v>
      </c>
      <c r="K391">
        <f t="shared" si="23"/>
        <v>0.29798308463128964</v>
      </c>
    </row>
    <row r="392" spans="7:11">
      <c r="G392" s="10">
        <v>380</v>
      </c>
      <c r="H392">
        <f t="shared" si="20"/>
        <v>1.4922565104551517</v>
      </c>
      <c r="I392">
        <f t="shared" si="21"/>
        <v>2</v>
      </c>
      <c r="J392">
        <f t="shared" si="22"/>
        <v>3.3668629546736288</v>
      </c>
      <c r="K392">
        <f t="shared" si="23"/>
        <v>0.29701238614772674</v>
      </c>
    </row>
    <row r="393" spans="7:11">
      <c r="G393" s="10">
        <v>381</v>
      </c>
      <c r="H393">
        <f t="shared" si="20"/>
        <v>1.4961835012721389</v>
      </c>
      <c r="I393">
        <f t="shared" si="21"/>
        <v>4</v>
      </c>
      <c r="J393">
        <f t="shared" si="22"/>
        <v>3.3774004920683178</v>
      </c>
      <c r="K393">
        <f t="shared" si="23"/>
        <v>0.29608570329413336</v>
      </c>
    </row>
    <row r="394" spans="7:11">
      <c r="G394" s="10">
        <v>382</v>
      </c>
      <c r="H394">
        <f t="shared" si="20"/>
        <v>1.5001104920891262</v>
      </c>
      <c r="I394">
        <f t="shared" si="21"/>
        <v>2</v>
      </c>
      <c r="J394">
        <f t="shared" si="22"/>
        <v>3.3874936200922097</v>
      </c>
      <c r="K394">
        <f t="shared" si="23"/>
        <v>0.29520350800624662</v>
      </c>
    </row>
    <row r="395" spans="7:11">
      <c r="G395" s="10">
        <v>383</v>
      </c>
      <c r="H395">
        <f t="shared" si="20"/>
        <v>1.5040374829061134</v>
      </c>
      <c r="I395">
        <f t="shared" si="21"/>
        <v>4</v>
      </c>
      <c r="J395">
        <f t="shared" si="22"/>
        <v>3.3971285203237902</v>
      </c>
      <c r="K395">
        <f t="shared" si="23"/>
        <v>0.29436625491716373</v>
      </c>
    </row>
    <row r="396" spans="7:11">
      <c r="G396" s="10">
        <v>384</v>
      </c>
      <c r="H396">
        <f t="shared" ref="H396:H459" si="24">G396*PI()/(2*$B$6)</f>
        <v>1.5079644737231006</v>
      </c>
      <c r="I396">
        <f t="shared" ref="I396:I412" si="25">IF(G396&gt;$B$6,0,IF(OR(G396=0,G396=$B$6),1,IF(MOD(G396,2)=1,4,2)))</f>
        <v>2</v>
      </c>
      <c r="J396">
        <f t="shared" ref="J396:J412" si="26">IF(G396&gt;$B$6,0,1/SQRT(1-($E$5^2)*(SIN(H396)^2)))</f>
        <v>3.4062917841530052</v>
      </c>
      <c r="K396">
        <f t="shared" ref="K396:K412" si="27">IF(G396&gt;$B$6,0,SQRT(1-($E$5^2)*(SIN(H396)^2)))</f>
        <v>0.29357438040166484</v>
      </c>
    </row>
    <row r="397" spans="7:11">
      <c r="G397" s="10">
        <v>385</v>
      </c>
      <c r="H397">
        <f t="shared" si="24"/>
        <v>1.511891464540088</v>
      </c>
      <c r="I397">
        <f t="shared" si="25"/>
        <v>4</v>
      </c>
      <c r="J397">
        <f t="shared" si="26"/>
        <v>3.4149704601720723</v>
      </c>
      <c r="K397">
        <f t="shared" si="27"/>
        <v>0.29282830163913404</v>
      </c>
    </row>
    <row r="398" spans="7:11">
      <c r="G398" s="10">
        <v>386</v>
      </c>
      <c r="H398">
        <f t="shared" si="24"/>
        <v>1.515818455357075</v>
      </c>
      <c r="I398">
        <f t="shared" si="25"/>
        <v>2</v>
      </c>
      <c r="J398">
        <f t="shared" si="26"/>
        <v>3.4231521011249484</v>
      </c>
      <c r="K398">
        <f t="shared" si="27"/>
        <v>0.29212841569948661</v>
      </c>
    </row>
    <row r="399" spans="7:11">
      <c r="G399" s="10">
        <v>387</v>
      </c>
      <c r="H399">
        <f t="shared" si="24"/>
        <v>1.5197454461740625</v>
      </c>
      <c r="I399">
        <f t="shared" si="25"/>
        <v>4</v>
      </c>
      <c r="J399">
        <f t="shared" si="26"/>
        <v>3.4308248101099355</v>
      </c>
      <c r="K399">
        <f t="shared" si="27"/>
        <v>0.29147509865651128</v>
      </c>
    </row>
    <row r="400" spans="7:11">
      <c r="G400" s="10">
        <v>388</v>
      </c>
      <c r="H400">
        <f t="shared" si="24"/>
        <v>1.5236724369910497</v>
      </c>
      <c r="I400">
        <f t="shared" si="25"/>
        <v>2</v>
      </c>
      <c r="J400">
        <f t="shared" si="26"/>
        <v>3.4379772857233495</v>
      </c>
      <c r="K400">
        <f t="shared" si="27"/>
        <v>0.29086870473305071</v>
      </c>
    </row>
    <row r="401" spans="7:11">
      <c r="G401" s="10">
        <v>389</v>
      </c>
      <c r="H401">
        <f t="shared" si="24"/>
        <v>1.5275994278080369</v>
      </c>
      <c r="I401">
        <f t="shared" si="25"/>
        <v>4</v>
      </c>
      <c r="J401">
        <f t="shared" si="26"/>
        <v>3.4445988658290991</v>
      </c>
      <c r="K401">
        <f t="shared" si="27"/>
        <v>0.29030956548239606</v>
      </c>
    </row>
    <row r="402" spans="7:11">
      <c r="G402" s="10">
        <v>390</v>
      </c>
      <c r="H402">
        <f t="shared" si="24"/>
        <v>1.5315264186250241</v>
      </c>
      <c r="I402">
        <f t="shared" si="25"/>
        <v>2</v>
      </c>
      <c r="J402">
        <f t="shared" si="26"/>
        <v>3.4506795696393451</v>
      </c>
      <c r="K402">
        <f t="shared" si="27"/>
        <v>0.28979798901018128</v>
      </c>
    </row>
    <row r="403" spans="7:11">
      <c r="G403" s="10">
        <v>391</v>
      </c>
      <c r="H403">
        <f t="shared" si="24"/>
        <v>1.5354534094420114</v>
      </c>
      <c r="I403">
        <f t="shared" si="25"/>
        <v>4</v>
      </c>
      <c r="J403">
        <f t="shared" si="26"/>
        <v>3.4562101377948853</v>
      </c>
      <c r="K403">
        <f t="shared" si="27"/>
        <v>0.28933425924096595</v>
      </c>
    </row>
    <row r="404" spans="7:11">
      <c r="G404" s="10">
        <v>392</v>
      </c>
      <c r="H404">
        <f t="shared" si="24"/>
        <v>1.5393804002589986</v>
      </c>
      <c r="I404">
        <f t="shared" si="25"/>
        <v>2</v>
      </c>
      <c r="J404">
        <f t="shared" si="26"/>
        <v>3.4611820701415255</v>
      </c>
      <c r="K404">
        <f t="shared" si="27"/>
        <v>0.28891863523351452</v>
      </c>
    </row>
    <row r="405" spans="7:11">
      <c r="G405" s="10">
        <v>393</v>
      </c>
      <c r="H405">
        <f t="shared" si="24"/>
        <v>1.5433073910759858</v>
      </c>
      <c r="I405">
        <f t="shared" si="25"/>
        <v>4</v>
      </c>
      <c r="J405">
        <f t="shared" si="26"/>
        <v>3.4655876609094554</v>
      </c>
      <c r="K405">
        <f t="shared" si="27"/>
        <v>0.28855135054860376</v>
      </c>
    </row>
    <row r="406" spans="7:11">
      <c r="G406" s="10">
        <v>394</v>
      </c>
      <c r="H406">
        <f t="shared" si="24"/>
        <v>1.547234381892973</v>
      </c>
      <c r="I406">
        <f t="shared" si="25"/>
        <v>2</v>
      </c>
      <c r="J406">
        <f t="shared" si="26"/>
        <v>3.4694200310174401</v>
      </c>
      <c r="K406">
        <f t="shared" si="27"/>
        <v>0.28823261267294309</v>
      </c>
    </row>
    <row r="407" spans="7:11">
      <c r="G407" s="10">
        <v>395</v>
      </c>
      <c r="H407">
        <f t="shared" si="24"/>
        <v>1.5511613727099602</v>
      </c>
      <c r="I407">
        <f t="shared" si="25"/>
        <v>4</v>
      </c>
      <c r="J407">
        <f t="shared" si="26"/>
        <v>3.4726731572415939</v>
      </c>
      <c r="K407">
        <f t="shared" si="27"/>
        <v>0.28796260250253952</v>
      </c>
    </row>
    <row r="408" spans="7:11">
      <c r="G408" s="10">
        <v>396</v>
      </c>
      <c r="H408">
        <f t="shared" si="24"/>
        <v>1.5550883635269477</v>
      </c>
      <c r="I408">
        <f t="shared" si="25"/>
        <v>2</v>
      </c>
      <c r="J408">
        <f t="shared" si="26"/>
        <v>3.475341898010301</v>
      </c>
      <c r="K408">
        <f t="shared" si="27"/>
        <v>0.28774147388851695</v>
      </c>
    </row>
    <row r="409" spans="7:11">
      <c r="G409" s="10">
        <v>397</v>
      </c>
      <c r="H409">
        <f t="shared" si="24"/>
        <v>1.5590153543439349</v>
      </c>
      <c r="I409">
        <f t="shared" si="25"/>
        <v>4</v>
      </c>
      <c r="J409">
        <f t="shared" si="26"/>
        <v>3.4774220156113014</v>
      </c>
      <c r="K409">
        <f t="shared" si="27"/>
        <v>0.28756935324808669</v>
      </c>
    </row>
    <row r="410" spans="7:11">
      <c r="G410" s="10">
        <v>398</v>
      </c>
      <c r="H410">
        <f t="shared" si="24"/>
        <v>1.5629423451609221</v>
      </c>
      <c r="I410">
        <f t="shared" si="25"/>
        <v>2</v>
      </c>
      <c r="J410">
        <f t="shared" si="26"/>
        <v>3.4789101946248144</v>
      </c>
      <c r="K410">
        <f t="shared" si="27"/>
        <v>0.28744633924298402</v>
      </c>
    </row>
    <row r="411" spans="7:11">
      <c r="G411" s="10">
        <v>399</v>
      </c>
      <c r="H411">
        <f t="shared" si="24"/>
        <v>1.5668693359779093</v>
      </c>
      <c r="I411">
        <f t="shared" si="25"/>
        <v>4</v>
      </c>
      <c r="J411">
        <f t="shared" si="26"/>
        <v>3.4798040564265373</v>
      </c>
      <c r="K411">
        <f t="shared" si="27"/>
        <v>0.28737250252731611</v>
      </c>
    </row>
    <row r="412" spans="7:11">
      <c r="G412" s="10">
        <v>400</v>
      </c>
      <c r="H412">
        <f t="shared" si="24"/>
        <v>1.5707963267948966</v>
      </c>
      <c r="I412">
        <f t="shared" si="25"/>
        <v>1</v>
      </c>
      <c r="J412">
        <f t="shared" si="26"/>
        <v>3.4801021696368464</v>
      </c>
      <c r="K412">
        <f t="shared" si="27"/>
        <v>0.28734788556634572</v>
      </c>
    </row>
  </sheetData>
  <mergeCells count="2">
    <mergeCell ref="B8:C8"/>
    <mergeCell ref="A1:E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defaultRowHeight="15"/>
  <cols>
    <col min="1" max="2" width="12" customWidth="1"/>
    <col min="3" max="4" width="14" customWidth="1"/>
  </cols>
  <sheetData>
    <row r="1" spans="1:4">
      <c r="A1" s="24" t="s">
        <v>36</v>
      </c>
      <c r="B1" s="22"/>
      <c r="C1" s="22"/>
      <c r="D1" s="23"/>
    </row>
    <row r="3" spans="1:4">
      <c r="A3" s="1" t="s">
        <v>26</v>
      </c>
      <c r="B3" s="1" t="s">
        <v>37</v>
      </c>
      <c r="C3" s="1" t="s">
        <v>38</v>
      </c>
      <c r="D3" s="1" t="s">
        <v>39</v>
      </c>
    </row>
    <row r="4" spans="1:4">
      <c r="A4" s="11">
        <v>0.1</v>
      </c>
      <c r="B4" s="11">
        <v>0.96</v>
      </c>
      <c r="C4" s="12">
        <v>0.95880712420372771</v>
      </c>
      <c r="D4" s="12">
        <v>-1.1928757962722521E-3</v>
      </c>
    </row>
    <row r="5" spans="1:4">
      <c r="A5" s="11">
        <v>0.2</v>
      </c>
      <c r="B5" s="11">
        <v>0.92</v>
      </c>
      <c r="C5" s="12">
        <v>0.9200926708277769</v>
      </c>
      <c r="D5" s="12">
        <v>9.2670827776863973E-5</v>
      </c>
    </row>
    <row r="6" spans="1:4">
      <c r="A6" s="11">
        <v>0.3</v>
      </c>
      <c r="B6" s="11">
        <v>0.88</v>
      </c>
      <c r="C6" s="12">
        <v>0.88380290872898015</v>
      </c>
      <c r="D6" s="12">
        <v>3.8029087289801482E-3</v>
      </c>
    </row>
    <row r="7" spans="1:4">
      <c r="A7" s="11">
        <v>0.4</v>
      </c>
      <c r="B7" s="11">
        <v>0.85</v>
      </c>
      <c r="C7" s="12">
        <v>0.84985343490295873</v>
      </c>
      <c r="D7" s="12">
        <v>-1.4656509704125131E-4</v>
      </c>
    </row>
    <row r="8" spans="1:4">
      <c r="A8" s="11">
        <v>0.6</v>
      </c>
      <c r="B8" s="11">
        <v>0.79</v>
      </c>
      <c r="C8" s="12">
        <v>0.78852463217862889</v>
      </c>
      <c r="D8" s="12">
        <v>-1.475367821371143E-3</v>
      </c>
    </row>
    <row r="9" spans="1:4">
      <c r="A9" s="11">
        <v>0.8</v>
      </c>
      <c r="B9" s="11">
        <v>0.74</v>
      </c>
      <c r="C9" s="12">
        <v>0.73507906346476459</v>
      </c>
      <c r="D9" s="12">
        <v>-4.9209365352353984E-3</v>
      </c>
    </row>
    <row r="10" spans="1:4">
      <c r="A10" s="11">
        <v>1</v>
      </c>
      <c r="B10" s="11">
        <v>0.69</v>
      </c>
      <c r="C10" s="12">
        <v>0.68842260732037686</v>
      </c>
      <c r="D10" s="12">
        <v>-1.577392679623091E-3</v>
      </c>
    </row>
    <row r="11" spans="1:4">
      <c r="A11" s="11">
        <v>1.5</v>
      </c>
      <c r="B11" s="11">
        <v>0.6</v>
      </c>
      <c r="C11" s="12">
        <v>0.5950458847141592</v>
      </c>
      <c r="D11" s="12">
        <v>-4.9541152858407767E-3</v>
      </c>
    </row>
    <row r="12" spans="1:4">
      <c r="A12" s="11">
        <v>2</v>
      </c>
      <c r="B12" s="11">
        <v>0.52</v>
      </c>
      <c r="C12" s="12">
        <v>0.5255100242519275</v>
      </c>
      <c r="D12" s="12">
        <v>5.5100242519274811E-3</v>
      </c>
    </row>
    <row r="13" spans="1:4">
      <c r="A13" s="11">
        <v>3</v>
      </c>
      <c r="B13" s="11">
        <v>0.43</v>
      </c>
      <c r="C13" s="12">
        <v>0.42919861703412832</v>
      </c>
      <c r="D13" s="12">
        <v>-8.0138296587173308E-4</v>
      </c>
    </row>
    <row r="14" spans="1:4">
      <c r="A14" s="11">
        <v>4</v>
      </c>
      <c r="B14" s="11">
        <v>0.37</v>
      </c>
      <c r="C14" s="12">
        <v>0.36543189740035398</v>
      </c>
      <c r="D14" s="12">
        <v>-4.5681025996459623E-3</v>
      </c>
    </row>
    <row r="15" spans="1:4">
      <c r="A15" s="11">
        <v>5</v>
      </c>
      <c r="B15" s="11">
        <v>0.32</v>
      </c>
      <c r="C15" s="12">
        <v>0.31982546778185811</v>
      </c>
      <c r="D15" s="12">
        <v>-1.7453221814189851E-4</v>
      </c>
    </row>
    <row r="16" spans="1:4">
      <c r="A16" s="11">
        <v>10</v>
      </c>
      <c r="B16" s="11">
        <v>0.2</v>
      </c>
      <c r="C16" s="12">
        <v>0.20332351752191191</v>
      </c>
      <c r="D16" s="12">
        <v>3.3235175219119011E-3</v>
      </c>
    </row>
    <row r="17" spans="1:4">
      <c r="A17" s="11">
        <v>20</v>
      </c>
      <c r="B17" s="11">
        <v>0.12</v>
      </c>
      <c r="C17" s="12">
        <v>0.1236148097047625</v>
      </c>
      <c r="D17" s="12">
        <v>3.614809704762537E-3</v>
      </c>
    </row>
    <row r="20" spans="1:4">
      <c r="A20" s="3" t="s">
        <v>40</v>
      </c>
      <c r="B20" s="25" t="s">
        <v>41</v>
      </c>
      <c r="C20" s="22"/>
      <c r="D20" s="23"/>
    </row>
  </sheetData>
  <mergeCells count="2">
    <mergeCell ref="A1:D1"/>
    <mergeCell ref="B20:D20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1"/>
    </sheetView>
  </sheetViews>
  <sheetFormatPr defaultRowHeight="15"/>
  <cols>
    <col min="1" max="1" width="20" customWidth="1"/>
    <col min="2" max="2" width="100" customWidth="1"/>
  </cols>
  <sheetData>
    <row r="1" spans="1:2">
      <c r="A1" s="24" t="s">
        <v>42</v>
      </c>
      <c r="B1" s="23"/>
    </row>
    <row r="3" spans="1:2" ht="30">
      <c r="A3" s="1" t="s">
        <v>43</v>
      </c>
      <c r="B3" s="2" t="s">
        <v>44</v>
      </c>
    </row>
    <row r="4" spans="1:2" ht="30">
      <c r="A4" s="1" t="s">
        <v>45</v>
      </c>
      <c r="B4" s="2" t="s">
        <v>46</v>
      </c>
    </row>
    <row r="5" spans="1:2">
      <c r="A5" s="1" t="s">
        <v>47</v>
      </c>
      <c r="B5" s="2" t="s">
        <v>48</v>
      </c>
    </row>
    <row r="7" spans="1:2" ht="30">
      <c r="A7" s="13" t="s">
        <v>49</v>
      </c>
      <c r="B7" s="13" t="s">
        <v>50</v>
      </c>
    </row>
    <row r="8" spans="1:2" ht="30">
      <c r="A8" s="13" t="s">
        <v>51</v>
      </c>
      <c r="B8" s="13" t="s">
        <v>52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sqref="A1:E1"/>
    </sheetView>
  </sheetViews>
  <sheetFormatPr defaultRowHeight="15"/>
  <cols>
    <col min="1" max="1" width="26" customWidth="1"/>
    <col min="2" max="3" width="16" customWidth="1"/>
    <col min="4" max="4" width="18" customWidth="1"/>
    <col min="5" max="5" width="20" customWidth="1"/>
  </cols>
  <sheetData>
    <row r="1" spans="1:5">
      <c r="A1" s="26" t="s">
        <v>53</v>
      </c>
      <c r="B1" s="27"/>
      <c r="C1" s="27"/>
      <c r="D1" s="27"/>
      <c r="E1" s="27"/>
    </row>
    <row r="2" spans="1:5">
      <c r="A2" s="14" t="s">
        <v>54</v>
      </c>
      <c r="D2" s="14" t="s">
        <v>55</v>
      </c>
    </row>
    <row r="3" spans="1:5">
      <c r="A3" s="15" t="s">
        <v>56</v>
      </c>
      <c r="B3" s="16">
        <v>100</v>
      </c>
      <c r="D3" s="15" t="s">
        <v>57</v>
      </c>
    </row>
    <row r="4" spans="1:5">
      <c r="A4" s="15" t="s">
        <v>58</v>
      </c>
      <c r="B4" s="16">
        <v>150</v>
      </c>
      <c r="D4" s="15" t="s">
        <v>59</v>
      </c>
    </row>
    <row r="5" spans="1:5">
      <c r="A5" s="15" t="s">
        <v>60</v>
      </c>
      <c r="B5" s="16">
        <v>10</v>
      </c>
      <c r="D5" s="15" t="s">
        <v>61</v>
      </c>
    </row>
    <row r="6" spans="1:5">
      <c r="A6" s="15"/>
    </row>
    <row r="7" spans="1:5">
      <c r="A7" s="14" t="s">
        <v>62</v>
      </c>
      <c r="B7" s="17"/>
      <c r="D7" s="18" t="s">
        <v>63</v>
      </c>
    </row>
    <row r="8" spans="1:5" ht="30">
      <c r="A8" s="15" t="s">
        <v>64</v>
      </c>
      <c r="B8" s="16">
        <f>B3/25.4</f>
        <v>3.9370078740157481</v>
      </c>
      <c r="D8" s="19" t="s">
        <v>65</v>
      </c>
    </row>
    <row r="9" spans="1:5" ht="30">
      <c r="A9" s="15" t="s">
        <v>66</v>
      </c>
      <c r="B9" s="15">
        <f>B4/25.4</f>
        <v>5.9055118110236222</v>
      </c>
      <c r="D9" s="19" t="s">
        <v>67</v>
      </c>
    </row>
    <row r="10" spans="1:5">
      <c r="A10" s="15"/>
    </row>
    <row r="11" spans="1:5" ht="30">
      <c r="A11" s="14" t="s">
        <v>68</v>
      </c>
      <c r="B11" s="17"/>
    </row>
    <row r="12" spans="1:5">
      <c r="A12" s="15" t="s">
        <v>69</v>
      </c>
      <c r="B12" s="16">
        <f>B7^2*B5^2/(9*B7+10*B8)</f>
        <v>0</v>
      </c>
    </row>
    <row r="13" spans="1:5" ht="33.950000000000003" customHeight="1">
      <c r="A13" s="15" t="s">
        <v>70</v>
      </c>
      <c r="B13" s="20">
        <f>0.03937007874*B3^2*B5^2/(9*B3+10*B4)</f>
        <v>16.404199475000002</v>
      </c>
    </row>
    <row r="14" spans="1:5" ht="75">
      <c r="A14" s="15" t="s">
        <v>71</v>
      </c>
      <c r="B14" s="15" t="s">
        <v>72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sqref="A1:E1"/>
    </sheetView>
  </sheetViews>
  <sheetFormatPr defaultRowHeight="15"/>
  <cols>
    <col min="1" max="1" width="28" customWidth="1"/>
    <col min="2" max="3" width="16" customWidth="1"/>
    <col min="4" max="4" width="18" customWidth="1"/>
    <col min="5" max="5" width="22" customWidth="1"/>
  </cols>
  <sheetData>
    <row r="1" spans="1:5">
      <c r="A1" s="26" t="s">
        <v>73</v>
      </c>
      <c r="B1" s="27"/>
      <c r="C1" s="27"/>
      <c r="D1" s="27"/>
      <c r="E1" s="27"/>
    </row>
    <row r="2" spans="1:5">
      <c r="A2" s="14" t="s">
        <v>54</v>
      </c>
      <c r="D2" s="14" t="s">
        <v>55</v>
      </c>
    </row>
    <row r="3" spans="1:5">
      <c r="A3" s="15" t="s">
        <v>74</v>
      </c>
      <c r="B3" s="16">
        <v>100</v>
      </c>
      <c r="D3" s="15" t="s">
        <v>75</v>
      </c>
    </row>
    <row r="4" spans="1:5">
      <c r="A4" s="15" t="s">
        <v>76</v>
      </c>
      <c r="B4" s="16">
        <v>80</v>
      </c>
      <c r="D4" s="15" t="s">
        <v>77</v>
      </c>
    </row>
    <row r="5" spans="1:5">
      <c r="A5" s="15" t="s">
        <v>78</v>
      </c>
      <c r="B5" s="16">
        <v>20</v>
      </c>
      <c r="D5" s="15" t="s">
        <v>79</v>
      </c>
    </row>
    <row r="6" spans="1:5">
      <c r="A6" s="15" t="s">
        <v>80</v>
      </c>
      <c r="B6" s="16">
        <v>50</v>
      </c>
      <c r="D6" s="15" t="s">
        <v>61</v>
      </c>
    </row>
    <row r="7" spans="1:5">
      <c r="A7" s="15"/>
    </row>
    <row r="8" spans="1:5">
      <c r="A8" s="14" t="s">
        <v>62</v>
      </c>
      <c r="B8" s="17"/>
      <c r="D8" s="18" t="s">
        <v>63</v>
      </c>
    </row>
    <row r="9" spans="1:5" ht="30">
      <c r="A9" s="15" t="s">
        <v>81</v>
      </c>
      <c r="B9" s="16">
        <f>B3/25.4</f>
        <v>3.9370078740157481</v>
      </c>
      <c r="D9" s="19" t="s">
        <v>65</v>
      </c>
    </row>
    <row r="10" spans="1:5" ht="30">
      <c r="A10" s="15" t="s">
        <v>82</v>
      </c>
      <c r="B10" s="16">
        <f>B4/25.4</f>
        <v>3.1496062992125986</v>
      </c>
      <c r="D10" s="19" t="s">
        <v>83</v>
      </c>
    </row>
    <row r="11" spans="1:5">
      <c r="A11" s="15" t="s">
        <v>84</v>
      </c>
      <c r="B11" s="15">
        <f>B5/25.4</f>
        <v>0.78740157480314965</v>
      </c>
    </row>
    <row r="12" spans="1:5">
      <c r="A12" s="15"/>
    </row>
    <row r="13" spans="1:5">
      <c r="A13" s="14" t="s">
        <v>68</v>
      </c>
      <c r="B13" s="17"/>
    </row>
    <row r="14" spans="1:5" ht="30">
      <c r="A14" s="15" t="s">
        <v>85</v>
      </c>
      <c r="B14" s="16">
        <f>0.8*B8^2*B6^2/(6*B8+9*B9+10*B10)</f>
        <v>0</v>
      </c>
    </row>
    <row r="15" spans="1:5" ht="33.950000000000003" customHeight="1">
      <c r="A15" s="15" t="s">
        <v>70</v>
      </c>
      <c r="B15" s="20">
        <f>0.03149606299*B3^2*B6^2/(6*B3+9*B4+10*B5)</f>
        <v>518.02735180921047</v>
      </c>
    </row>
    <row r="16" spans="1:5" ht="45">
      <c r="A16" s="15" t="s">
        <v>71</v>
      </c>
      <c r="B16" s="15" t="s">
        <v>86</v>
      </c>
    </row>
  </sheetData>
  <mergeCells count="1">
    <mergeCell ref="A1:E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长冈系数计算</vt:lpstr>
      <vt:lpstr>表格校验</vt:lpstr>
      <vt:lpstr>公式出处</vt:lpstr>
      <vt:lpstr>Wheeler_单层</vt:lpstr>
      <vt:lpstr>Wheeler_多层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王梓安 wangzian</cp:lastModifiedBy>
  <dcterms:created xsi:type="dcterms:W3CDTF">2026-03-24T08:20:05Z</dcterms:created>
  <dcterms:modified xsi:type="dcterms:W3CDTF">2026-03-24T08:22:14Z</dcterms:modified>
</cp:coreProperties>
</file>