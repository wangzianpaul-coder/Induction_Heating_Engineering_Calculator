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710"/>
  </bookViews>
  <sheets>
    <sheet name="单方案反推计算器" sheetId="1" r:id="rId1"/>
    <sheet name="逐步过程" sheetId="2" r:id="rId2"/>
    <sheet name="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OpenAI</author>
  </authors>
  <commentList>
    <comment ref="A5" authorId="0">
      <text>
        <r>
          <rPr>
            <sz val="11"/>
            <color rgb="FF000000"/>
            <rFont val="Calibri"/>
            <scheme val="minor"/>
            <charset val="1"/>
          </rPr>
          <t>截图输入</t>
        </r>
      </text>
    </comment>
    <comment ref="D5" authorId="0">
      <text>
        <r>
          <rPr>
            <sz val="11"/>
            <color rgb="FF000000"/>
            <rFont val="Calibri"/>
            <scheme val="minor"/>
            <charset val="1"/>
          </rPr>
          <t>单层线圈假设；用于估算外径</t>
        </r>
      </text>
    </comment>
    <comment ref="A6" authorId="0">
      <text>
        <r>
          <rPr>
            <sz val="11"/>
            <color rgb="FF000000"/>
            <rFont val="Calibri"/>
            <scheme val="minor"/>
            <charset val="1"/>
          </rPr>
          <t>截图输入</t>
        </r>
      </text>
    </comment>
    <comment ref="D6" authorId="0">
      <text>
        <r>
          <rPr>
            <sz val="11"/>
            <color rgb="FF000000"/>
            <rFont val="Calibri"/>
            <scheme val="minor"/>
            <charset val="1"/>
          </rPr>
          <t>Udc≈1.35×U_LL</t>
        </r>
      </text>
    </comment>
    <comment ref="A7" authorId="0">
      <text>
        <r>
          <rPr>
            <sz val="11"/>
            <color rgb="FF000000"/>
            <rFont val="Calibri"/>
            <scheme val="minor"/>
            <charset val="1"/>
          </rPr>
          <t>截图输入</t>
        </r>
      </text>
    </comment>
    <comment ref="D7" authorId="0">
      <text>
        <r>
          <rPr>
            <sz val="11"/>
            <color rgb="FF000000"/>
            <rFont val="Calibri"/>
            <scheme val="minor"/>
            <charset val="1"/>
          </rPr>
          <t>短线圈分支系数（基于前续短线圈样本校准）</t>
        </r>
      </text>
    </comment>
    <comment ref="A8" authorId="0">
      <text>
        <r>
          <rPr>
            <sz val="11"/>
            <color rgb="FF000000"/>
            <rFont val="Calibri"/>
            <scheme val="minor"/>
            <charset val="1"/>
          </rPr>
          <t>绕组轴向长度</t>
        </r>
      </text>
    </comment>
    <comment ref="D8" authorId="0">
      <text>
        <r>
          <rPr>
            <sz val="11"/>
            <color rgb="FF000000"/>
            <rFont val="Calibri"/>
            <scheme val="minor"/>
            <charset val="1"/>
          </rPr>
          <t>截图右侧输出；几何→Req 原始专有算法仍未知</t>
        </r>
      </text>
    </comment>
    <comment ref="A9" authorId="0">
      <text>
        <r>
          <rPr>
            <sz val="11"/>
            <color rgb="FF000000"/>
            <rFont val="Calibri"/>
            <scheme val="minor"/>
            <charset val="1"/>
          </rPr>
          <t>截图输入</t>
        </r>
      </text>
    </comment>
    <comment ref="D9" authorId="0">
      <text>
        <r>
          <rPr>
            <sz val="11"/>
            <color rgb="FF000000"/>
            <rFont val="Calibri"/>
            <scheme val="minor"/>
            <charset val="1"/>
          </rPr>
          <t>截图右侧输出</t>
        </r>
      </text>
    </comment>
    <comment ref="A10" authorId="0">
      <text>
        <r>
          <rPr>
            <sz val="11"/>
            <color rgb="FF000000"/>
            <rFont val="Calibri"/>
            <scheme val="minor"/>
            <charset val="1"/>
          </rPr>
          <t>截图输入</t>
        </r>
      </text>
    </comment>
    <comment ref="D10" authorId="0">
      <text>
        <r>
          <rPr>
            <sz val="11"/>
            <color rgb="FF000000"/>
            <rFont val="Calibri"/>
            <scheme val="minor"/>
            <charset val="1"/>
          </rPr>
          <t>由截图线圈损耗反推</t>
        </r>
      </text>
    </comment>
    <comment ref="A11" authorId="0">
      <text>
        <r>
          <rPr>
            <sz val="11"/>
            <color rgb="FF000000"/>
            <rFont val="Calibri"/>
            <scheme val="minor"/>
            <charset val="1"/>
          </rPr>
          <t>用于填充系数</t>
        </r>
      </text>
    </comment>
    <comment ref="D11" authorId="0">
      <text>
        <r>
          <rPr>
            <sz val="11"/>
            <color rgb="FF000000"/>
            <rFont val="Calibri"/>
            <scheme val="minor"/>
            <charset val="1"/>
          </rPr>
          <t>使流量接近截图</t>
        </r>
      </text>
    </comment>
    <comment ref="A12" authorId="0">
      <text>
        <r>
          <rPr>
            <sz val="11"/>
            <color rgb="FF000000"/>
            <rFont val="Calibri"/>
            <scheme val="minor"/>
            <charset val="1"/>
          </rPr>
          <t>截图输入</t>
        </r>
      </text>
    </comment>
    <comment ref="D12" authorId="0">
      <text>
        <r>
          <rPr>
            <sz val="11"/>
            <color rgb="FF000000"/>
            <rFont val="Calibri"/>
            <scheme val="minor"/>
            <charset val="1"/>
          </rPr>
          <t>常数</t>
        </r>
      </text>
    </comment>
    <comment ref="A13" authorId="0">
      <text>
        <r>
          <rPr>
            <sz val="11"/>
            <color rgb="FF000000"/>
            <rFont val="Calibri"/>
            <scheme val="minor"/>
            <charset val="1"/>
          </rPr>
          <t>截图输入</t>
        </r>
      </text>
    </comment>
    <comment ref="D13" authorId="0">
      <text>
        <r>
          <rPr>
            <sz val="11"/>
            <color rgb="FF000000"/>
            <rFont val="Calibri"/>
            <scheme val="minor"/>
            <charset val="1"/>
          </rPr>
          <t>近似</t>
        </r>
      </text>
    </comment>
    <comment ref="A14" authorId="0">
      <text>
        <r>
          <rPr>
            <sz val="11"/>
            <color rgb="FF000000"/>
            <rFont val="Calibri"/>
            <scheme val="minor"/>
            <charset val="1"/>
          </rPr>
          <t>截图输入</t>
        </r>
      </text>
    </comment>
    <comment ref="A15" authorId="0">
      <text>
        <r>
          <rPr>
            <sz val="11"/>
            <color rgb="FF000000"/>
            <rFont val="Calibri"/>
            <scheme val="minor"/>
            <charset val="1"/>
          </rPr>
          <t>截图输入</t>
        </r>
      </text>
    </comment>
    <comment ref="A16" authorId="0">
      <text>
        <r>
          <rPr>
            <sz val="11"/>
            <color rgb="FF000000"/>
            <rFont val="Calibri"/>
            <scheme val="minor"/>
            <charset val="1"/>
          </rPr>
          <t>截图输入</t>
        </r>
      </text>
    </comment>
    <comment ref="A17" authorId="0">
      <text>
        <r>
          <rPr>
            <sz val="11"/>
            <color rgb="FF000000"/>
            <rFont val="Calibri"/>
            <scheme val="minor"/>
            <charset val="1"/>
          </rPr>
          <t>截图输入</t>
        </r>
      </text>
    </comment>
    <comment ref="A18" authorId="0">
      <text>
        <r>
          <rPr>
            <sz val="11"/>
            <color rgb="FF000000"/>
            <rFont val="Calibri"/>
            <scheme val="minor"/>
            <charset val="1"/>
          </rPr>
          <t>截图输入</t>
        </r>
      </text>
    </comment>
  </commentList>
</comments>
</file>

<file path=xl/sharedStrings.xml><?xml version="1.0" encoding="utf-8"?>
<sst xmlns="http://schemas.openxmlformats.org/spreadsheetml/2006/main" count="134" uniqueCount="104">
  <si>
    <t>感应线圈匹配反推计算器（单方案：短线圈/Nagaoka分支）</t>
  </si>
  <si>
    <t>说明：本工作簿按当前截图参数建立。空芯电感采用分支：若 l/Dm≥0.4，则用 Wheeler；若 l/Dm&lt;0.4，则用 Nagaoka 形式 L=Kn·μ0·N²·A/l。当前案例属于短线圈，因此走 Nagaoka 分支。</t>
  </si>
  <si>
    <t>基础输入</t>
  </si>
  <si>
    <t>控制/校准参数</t>
  </si>
  <si>
    <t>计算结果</t>
  </si>
  <si>
    <t>电源电压 U_LL</t>
  </si>
  <si>
    <t>V</t>
  </si>
  <si>
    <t>铜管径向宽度 w_rad</t>
  </si>
  <si>
    <t>mm</t>
  </si>
  <si>
    <t>填充系数 k_f</t>
  </si>
  <si>
    <t/>
  </si>
  <si>
    <t>额定功率 P</t>
  </si>
  <si>
    <t>kW</t>
  </si>
  <si>
    <t>整流系数 k_rect</t>
  </si>
  <si>
    <t>-</t>
  </si>
  <si>
    <t>铜管肌肤深度 δ_cu</t>
  </si>
  <si>
    <t>工作频率 f</t>
  </si>
  <si>
    <t>kHz</t>
  </si>
  <si>
    <t>Nagaoka系数 Kn</t>
  </si>
  <si>
    <t>炉料肌肤深度 δ_w</t>
  </si>
  <si>
    <t>线圈高度 L1</t>
  </si>
  <si>
    <t>经验等效电阻 Req</t>
  </si>
  <si>
    <t>Ω</t>
  </si>
  <si>
    <t>估算线圈外径 D_out</t>
  </si>
  <si>
    <t>线圈内径 D1</t>
  </si>
  <si>
    <t>目标品质因数 Q</t>
  </si>
  <si>
    <t>平均直径 D_m</t>
  </si>
  <si>
    <t>线圈匝数 N</t>
  </si>
  <si>
    <t>turn</t>
  </si>
  <si>
    <t>线圈交流电阻 R_cu,ac</t>
  </si>
  <si>
    <t>长径比 l/Dm</t>
  </si>
  <si>
    <t>铜管高度 h_cu</t>
  </si>
  <si>
    <t>冷却安全系数 k_cool</t>
  </si>
  <si>
    <t>Wheeler空芯电感 Lw</t>
  </si>
  <si>
    <t>μH</t>
  </si>
  <si>
    <t>铜电阻率 ρ_cu</t>
  </si>
  <si>
    <t>×10^-6 Ω·cm</t>
  </si>
  <si>
    <t>水比热 c_p</t>
  </si>
  <si>
    <t>J/kg·K</t>
  </si>
  <si>
    <t>理想螺线管电感 Lideal</t>
  </si>
  <si>
    <t>炉料高度 L2</t>
  </si>
  <si>
    <t>水密度 ρ_water</t>
  </si>
  <si>
    <t>kg/L</t>
  </si>
  <si>
    <t>线圈空芯电感 L0</t>
  </si>
  <si>
    <t>炉料直径 D2</t>
  </si>
  <si>
    <t>感应线圈电流 I</t>
  </si>
  <si>
    <t>A</t>
  </si>
  <si>
    <t>炉料相对磁导率 μr,w</t>
  </si>
  <si>
    <t>等效电阻 Req</t>
  </si>
  <si>
    <t>炉料电阻率 ρ_w</t>
  </si>
  <si>
    <t>等效电感 Leq</t>
  </si>
  <si>
    <t>进水温度 T_in</t>
  </si>
  <si>
    <t>°C</t>
  </si>
  <si>
    <t>感应线圈电压 U_L</t>
  </si>
  <si>
    <t>出水温度 T_out</t>
  </si>
  <si>
    <t>有功电压分量 U_R</t>
  </si>
  <si>
    <t>变压器匝数比 n</t>
  </si>
  <si>
    <t>线圈损耗 P_cu</t>
  </si>
  <si>
    <t>冷却水流量 Q_water</t>
  </si>
  <si>
    <t>L/min</t>
  </si>
  <si>
    <t>逐步过程与说明</t>
  </si>
  <si>
    <t>步骤</t>
  </si>
  <si>
    <t>项目</t>
  </si>
  <si>
    <t>结果</t>
  </si>
  <si>
    <t>公式/说明</t>
  </si>
  <si>
    <t>1</t>
  </si>
  <si>
    <t>填充系数</t>
  </si>
  <si>
    <t>k_f=N·h_cu/L1</t>
  </si>
  <si>
    <t>2</t>
  </si>
  <si>
    <t>铜管肌肤深度</t>
  </si>
  <si>
    <t>δ=√(2ρ/ωμ)</t>
  </si>
  <si>
    <t>3</t>
  </si>
  <si>
    <t>炉料肌肤深度</t>
  </si>
  <si>
    <t>δ=√(2ρ/ωμ0μr)</t>
  </si>
  <si>
    <t>4</t>
  </si>
  <si>
    <t>平均直径/长径比</t>
  </si>
  <si>
    <t>D_out=D1+2·w_rad；D_m=(D1+D_out)/2</t>
  </si>
  <si>
    <t>5</t>
  </si>
  <si>
    <t>Wheeler空芯电感</t>
  </si>
  <si>
    <t>若 l/Dm≥0.4，可参考 Wheeler 原式（英寸制）</t>
  </si>
  <si>
    <t>6</t>
  </si>
  <si>
    <t>理想螺线管电感</t>
  </si>
  <si>
    <t>Lideal=μ0·N²·A/l</t>
  </si>
  <si>
    <t>7</t>
  </si>
  <si>
    <t>空芯电感分支结果</t>
  </si>
  <si>
    <t>IF(l/Dm≥0.4, Wheeler, Kn·Lideal)；当前案例因 l/Dm&lt;0.4 走 Nagaoka 分支</t>
  </si>
  <si>
    <t>8</t>
  </si>
  <si>
    <t>等效电阻/电流</t>
  </si>
  <si>
    <t>Req 为校准输入；I=√(P/Req)</t>
  </si>
  <si>
    <t>9</t>
  </si>
  <si>
    <t>等效电感</t>
  </si>
  <si>
    <t>Leq=Q·Req/(2πf)</t>
  </si>
  <si>
    <t>10</t>
  </si>
  <si>
    <t>线圈电压/匝比</t>
  </si>
  <si>
    <t>U_L=IωLeq；n≈1.35U_LL/(IReq)</t>
  </si>
  <si>
    <t>11</t>
  </si>
  <si>
    <t>线圈损耗/水流</t>
  </si>
  <si>
    <t>Pcu=I²Rcu,ac；Qwater=k_cool·Pcu/(ρcpΔT)</t>
  </si>
  <si>
    <t>说明与局限</t>
  </si>
  <si>
    <t>本表按当前单张截图建立，目的是复现该页结果，不声称已完全还原原软件所有内部专有算法。</t>
  </si>
  <si>
    <t>已较强确认的关系：填充系数、铜/炉料肌肤深度、P=I²Req、Q=ωL/Req、线圈电压、变压器匝数比。</t>
  </si>
  <si>
    <t>空芯电感采用分支逻辑：l/Dm≥0.4 走 Wheeler；l/Dm&lt;0.4 走 Nagaoka 形式。当前案例 l/Dm 明显小于 0.4。</t>
  </si>
  <si>
    <t>几何与材料如何正向推出 Req 仍未完全锁定，因此 Req 仍作为校准输入。</t>
  </si>
  <si>
    <t>线圈损耗采用固定交流铜阻 R_cu,ac；冷却水流量采用热平衡+安全系数近似。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</si>
</sst>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31">
    <font>
      <sz val="11"/>
      <color theme="1"/>
      <name val="Calibri"/>
      <charset val="134"/>
      <scheme val="minor"/>
    </font>
    <font>
      <b/>
      <sz val="15"/>
      <color rgb="FFFFFFFF"/>
      <name val="Calibri"/>
      <charset val="134"/>
    </font>
    <font>
      <b/>
      <sz val="11"/>
      <color rgb="FF7030A0"/>
      <name val="Calibri"/>
      <charset val="134"/>
    </font>
    <font>
      <b/>
      <sz val="11"/>
      <color rgb="FFFFFFFF"/>
      <name val="Calibri"/>
      <charset val="134"/>
    </font>
    <font>
      <b/>
      <sz val="16"/>
      <color rgb="FFFFFFFF"/>
      <name val="Calibri"/>
      <charset val="134"/>
    </font>
    <font>
      <i/>
      <sz val="11"/>
      <color rgb="FFC65911"/>
      <name val="Calibri"/>
      <charset val="134"/>
    </font>
    <font>
      <sz val="11"/>
      <color rgb="FF0000FF"/>
      <name val="Calibri"/>
      <charset val="134"/>
    </font>
    <font>
      <sz val="11"/>
      <color rgb="FF666666"/>
      <name val="Calibri"/>
      <charset val="134"/>
    </font>
    <font>
      <sz val="11"/>
      <color rgb="FF7030A0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1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F2FF"/>
        <bgColor indexed="64"/>
      </patternFill>
    </fill>
    <fill>
      <patternFill patternType="solid">
        <fgColor rgb="FFF3E8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C9C9C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7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9" borderId="5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3" borderId="0" xfId="0" applyFont="1" applyFill="1" applyAlignment="1">
      <alignment wrapText="1"/>
    </xf>
    <xf numFmtId="0" fontId="3" fillId="2" borderId="0" xfId="0" applyFont="1" applyFill="1"/>
    <xf numFmtId="0" fontId="2" fillId="0" borderId="1" xfId="0" applyFont="1" applyBorder="1"/>
    <xf numFmtId="0" fontId="0" fillId="0" borderId="1" xfId="0" applyFont="1" applyBorder="1"/>
    <xf numFmtId="0" fontId="0" fillId="0" borderId="1" xfId="0" applyFont="1" applyBorder="1" applyAlignment="1">
      <alignment wrapText="1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wrapText="1"/>
    </xf>
    <xf numFmtId="0" fontId="3" fillId="2" borderId="0" xfId="0" applyFont="1" applyFill="1" applyAlignment="1">
      <alignment horizontal="center"/>
    </xf>
    <xf numFmtId="176" fontId="6" fillId="4" borderId="1" xfId="0" applyNumberFormat="1" applyFont="1" applyFill="1" applyBorder="1"/>
    <xf numFmtId="0" fontId="7" fillId="0" borderId="0" xfId="0" applyFont="1"/>
    <xf numFmtId="176" fontId="8" fillId="5" borderId="1" xfId="0" applyNumberFormat="1" applyFont="1" applyFill="1" applyBorder="1"/>
    <xf numFmtId="176" fontId="9" fillId="6" borderId="1" xfId="0" applyNumberFormat="1" applyFont="1" applyFill="1" applyBorder="1"/>
    <xf numFmtId="2" fontId="9" fillId="6" borderId="1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390525</xdr:colOff>
      <xdr:row>49</xdr:row>
      <xdr:rowOff>114300</xdr:rowOff>
    </xdr:to>
    <xdr:sp>
      <xdr:nvSpPr>
        <xdr:cNvPr id="1048" name="Text Box 24" hidden="1"/>
        <xdr:cNvSpPr txBox="1">
          <a:spLocks noSelect="1" noChangeArrowheads="1"/>
        </xdr:cNvSpPr>
      </xdr:nvSpPr>
      <xdr:spPr>
        <a:xfrm>
          <a:off x="0" y="0"/>
          <a:ext cx="9959975" cy="9220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showGridLines="0" tabSelected="1" workbookViewId="0">
      <selection activeCell="E7" sqref="E7"/>
    </sheetView>
  </sheetViews>
  <sheetFormatPr defaultColWidth="9" defaultRowHeight="14.5"/>
  <cols>
    <col min="1" max="1" width="22" customWidth="1"/>
    <col min="2" max="2" width="14" customWidth="1"/>
    <col min="3" max="3" width="12" customWidth="1"/>
    <col min="4" max="4" width="24" customWidth="1"/>
    <col min="5" max="5" width="14" customWidth="1"/>
    <col min="6" max="6" width="12" customWidth="1"/>
    <col min="7" max="7" width="24" customWidth="1"/>
    <col min="8" max="8" width="15" customWidth="1"/>
    <col min="9" max="9" width="12" customWidth="1"/>
  </cols>
  <sheetData>
    <row r="1" ht="21" spans="1:9">
      <c r="A1" s="8" t="s">
        <v>0</v>
      </c>
    </row>
    <row r="2" spans="1:9">
      <c r="A2" s="9" t="s">
        <v>1</v>
      </c>
    </row>
    <row r="4" spans="1:9">
      <c r="A4" s="10" t="s">
        <v>2</v>
      </c>
      <c r="D4" s="10" t="s">
        <v>3</v>
      </c>
      <c r="G4" s="10" t="s">
        <v>4</v>
      </c>
    </row>
    <row r="5" spans="1:9">
      <c r="A5" t="s">
        <v>5</v>
      </c>
      <c r="B5" s="11">
        <v>380</v>
      </c>
      <c r="C5" s="12" t="s">
        <v>6</v>
      </c>
      <c r="D5" t="s">
        <v>7</v>
      </c>
      <c r="E5" s="13">
        <v>30</v>
      </c>
      <c r="F5" s="12" t="s">
        <v>8</v>
      </c>
      <c r="G5" t="s">
        <v>9</v>
      </c>
      <c r="H5" s="14">
        <f>B10*B11/B8</f>
        <v>0.8</v>
      </c>
      <c r="I5" s="12" t="s">
        <v>10</v>
      </c>
    </row>
    <row r="6" spans="1:9">
      <c r="A6" t="s">
        <v>11</v>
      </c>
      <c r="B6" s="11">
        <v>133</v>
      </c>
      <c r="C6" s="12" t="s">
        <v>12</v>
      </c>
      <c r="D6" t="s">
        <v>13</v>
      </c>
      <c r="E6" s="13">
        <v>1.35</v>
      </c>
      <c r="F6" s="12" t="s">
        <v>14</v>
      </c>
      <c r="G6" t="s">
        <v>15</v>
      </c>
      <c r="H6" s="14">
        <f>SQRT(2*(B12*0.00000001)/(2*PI()*(B7*1000)*(4*PI()*0.0000001)))*1000</f>
        <v>0.711762543417177</v>
      </c>
      <c r="I6" s="12" t="s">
        <v>8</v>
      </c>
    </row>
    <row r="7" spans="1:9">
      <c r="A7" t="s">
        <v>16</v>
      </c>
      <c r="B7" s="11">
        <v>10</v>
      </c>
      <c r="C7" s="12" t="s">
        <v>17</v>
      </c>
      <c r="D7" t="s">
        <v>18</v>
      </c>
      <c r="E7" s="13">
        <v>0.5197</v>
      </c>
      <c r="F7" s="12" t="s">
        <v>14</v>
      </c>
      <c r="G7" t="s">
        <v>19</v>
      </c>
      <c r="H7" s="14">
        <f>SQRT(2*(B16*0.00000001)/(2*PI()*(B7*1000)*(4*PI()*0.0000001)*B15))*1000</f>
        <v>5.73841308061382</v>
      </c>
      <c r="I7" s="12" t="s">
        <v>8</v>
      </c>
    </row>
    <row r="8" spans="1:9">
      <c r="A8" t="s">
        <v>20</v>
      </c>
      <c r="B8" s="11">
        <v>300</v>
      </c>
      <c r="C8" s="12" t="s">
        <v>8</v>
      </c>
      <c r="D8" t="s">
        <v>21</v>
      </c>
      <c r="E8" s="13">
        <v>0.0277493</v>
      </c>
      <c r="F8" s="12" t="s">
        <v>22</v>
      </c>
      <c r="G8" t="s">
        <v>23</v>
      </c>
      <c r="H8" s="14">
        <f>B9+2*E5</f>
        <v>1087</v>
      </c>
      <c r="I8" s="12" t="s">
        <v>8</v>
      </c>
    </row>
    <row r="9" spans="1:9">
      <c r="A9" t="s">
        <v>24</v>
      </c>
      <c r="B9" s="11">
        <v>1027</v>
      </c>
      <c r="C9" s="12" t="s">
        <v>8</v>
      </c>
      <c r="D9" t="s">
        <v>25</v>
      </c>
      <c r="E9" s="13">
        <v>38.0587</v>
      </c>
      <c r="F9" s="12" t="s">
        <v>14</v>
      </c>
      <c r="G9" t="s">
        <v>26</v>
      </c>
      <c r="H9" s="14">
        <f>(B9+H8)/2</f>
        <v>1057</v>
      </c>
      <c r="I9" s="12" t="s">
        <v>8</v>
      </c>
    </row>
    <row r="10" spans="1:9">
      <c r="A10" t="s">
        <v>27</v>
      </c>
      <c r="B10" s="11">
        <v>4</v>
      </c>
      <c r="C10" s="12" t="s">
        <v>28</v>
      </c>
      <c r="D10" t="s">
        <v>29</v>
      </c>
      <c r="E10" s="13">
        <v>0.0060517</v>
      </c>
      <c r="F10" s="12" t="s">
        <v>22</v>
      </c>
      <c r="G10" t="s">
        <v>30</v>
      </c>
      <c r="H10" s="14">
        <f>B8/H9</f>
        <v>0.283822138126774</v>
      </c>
      <c r="I10" s="12" t="s">
        <v>14</v>
      </c>
    </row>
    <row r="11" spans="1:9">
      <c r="A11" t="s">
        <v>31</v>
      </c>
      <c r="B11" s="11">
        <v>60</v>
      </c>
      <c r="C11" s="12" t="s">
        <v>8</v>
      </c>
      <c r="D11" t="s">
        <v>32</v>
      </c>
      <c r="E11" s="13">
        <v>1.722</v>
      </c>
      <c r="F11" s="12" t="s">
        <v>14</v>
      </c>
      <c r="G11" t="s">
        <v>33</v>
      </c>
      <c r="H11" s="14">
        <f>0.8*(((H9/2)/25.4)^2)*(B10^2)/(6*((H9/2)/25.4)+9*(B8/25.4)+10*(E5/25.4))</f>
        <v>22.8092334350282</v>
      </c>
      <c r="I11" s="12" t="s">
        <v>34</v>
      </c>
    </row>
    <row r="12" spans="1:9">
      <c r="A12" t="s">
        <v>35</v>
      </c>
      <c r="B12" s="11">
        <v>2</v>
      </c>
      <c r="C12" s="12" t="s">
        <v>36</v>
      </c>
      <c r="D12" t="s">
        <v>37</v>
      </c>
      <c r="E12" s="13">
        <v>4180</v>
      </c>
      <c r="F12" s="12" t="s">
        <v>38</v>
      </c>
      <c r="G12" t="s">
        <v>39</v>
      </c>
      <c r="H12" s="14">
        <f>(4*PI()*0.0000001*(B10^2)*PI()*((H9/2)/1000)^2/(B8/1000))*1000000</f>
        <v>58.8096301200676</v>
      </c>
      <c r="I12" s="12" t="s">
        <v>34</v>
      </c>
    </row>
    <row r="13" spans="1:9">
      <c r="A13" t="s">
        <v>40</v>
      </c>
      <c r="B13" s="11">
        <v>300</v>
      </c>
      <c r="C13" s="12" t="s">
        <v>8</v>
      </c>
      <c r="D13" t="s">
        <v>41</v>
      </c>
      <c r="E13" s="13">
        <v>1</v>
      </c>
      <c r="F13" s="12" t="s">
        <v>42</v>
      </c>
      <c r="G13" t="s">
        <v>43</v>
      </c>
      <c r="H13" s="14">
        <f>IF(H10&gt;=0.4,H11,E7*H12)</f>
        <v>30.5633647733992</v>
      </c>
      <c r="I13" s="12" t="s">
        <v>34</v>
      </c>
    </row>
    <row r="14" spans="1:9">
      <c r="A14" t="s">
        <v>44</v>
      </c>
      <c r="B14" s="11">
        <v>842</v>
      </c>
      <c r="C14" s="12" t="s">
        <v>8</v>
      </c>
      <c r="G14" t="s">
        <v>45</v>
      </c>
      <c r="H14" s="15">
        <f>SQRT((B6*1000)/E8)</f>
        <v>2189.27241226857</v>
      </c>
      <c r="I14" s="12" t="s">
        <v>46</v>
      </c>
    </row>
    <row r="15" spans="1:9">
      <c r="A15" t="s">
        <v>47</v>
      </c>
      <c r="B15" s="11">
        <v>1</v>
      </c>
      <c r="C15" s="12" t="s">
        <v>14</v>
      </c>
      <c r="G15" t="s">
        <v>48</v>
      </c>
      <c r="H15" s="14">
        <f>E8</f>
        <v>0.0277493</v>
      </c>
      <c r="I15" s="12" t="s">
        <v>22</v>
      </c>
    </row>
    <row r="16" spans="1:9">
      <c r="A16" t="s">
        <v>49</v>
      </c>
      <c r="B16" s="11">
        <v>130</v>
      </c>
      <c r="C16" s="12" t="s">
        <v>36</v>
      </c>
      <c r="G16" t="s">
        <v>50</v>
      </c>
      <c r="H16" s="14">
        <f>(E9*E8)/(2*PI()*(B7*1000))*1000000</f>
        <v>16.8083898894917</v>
      </c>
      <c r="I16" s="12" t="s">
        <v>34</v>
      </c>
    </row>
    <row r="17" spans="1:9">
      <c r="A17" t="s">
        <v>51</v>
      </c>
      <c r="B17" s="11">
        <v>35</v>
      </c>
      <c r="C17" s="12" t="s">
        <v>52</v>
      </c>
      <c r="G17" t="s">
        <v>53</v>
      </c>
      <c r="H17" s="15">
        <f>H14*(2*PI()*(B7*1000)*(H16/1000000))</f>
        <v>2312.09559469799</v>
      </c>
      <c r="I17" s="12" t="s">
        <v>6</v>
      </c>
    </row>
    <row r="18" spans="1:9">
      <c r="A18" t="s">
        <v>54</v>
      </c>
      <c r="B18" s="11">
        <v>55</v>
      </c>
      <c r="C18" s="12" t="s">
        <v>52</v>
      </c>
      <c r="G18" t="s">
        <v>55</v>
      </c>
      <c r="H18" s="15">
        <f>H14*H15</f>
        <v>60.7507769497642</v>
      </c>
      <c r="I18" s="12" t="s">
        <v>6</v>
      </c>
    </row>
    <row r="19" spans="1:9">
      <c r="G19" t="s">
        <v>56</v>
      </c>
      <c r="H19" s="14">
        <f>(E6*B5)/H18</f>
        <v>8.44433644732162</v>
      </c>
      <c r="I19" s="12" t="s">
        <v>14</v>
      </c>
    </row>
    <row r="20" spans="1:9">
      <c r="G20" t="s">
        <v>57</v>
      </c>
      <c r="H20" s="14">
        <f>(H14^2*E10)/1000</f>
        <v>29.0052758087591</v>
      </c>
      <c r="I20" s="12" t="s">
        <v>12</v>
      </c>
    </row>
    <row r="21" spans="1:9">
      <c r="G21" t="s">
        <v>58</v>
      </c>
      <c r="H21" s="14">
        <f>(E11*(H20*1000)/(E12*(B18-B17)))*60/E13</f>
        <v>35.8471901502511</v>
      </c>
      <c r="I21" s="12" t="s">
        <v>59</v>
      </c>
    </row>
  </sheetData>
  <mergeCells count="5">
    <mergeCell ref="A1:I1"/>
    <mergeCell ref="A2:I2"/>
    <mergeCell ref="A4:C4"/>
    <mergeCell ref="D4:F4"/>
    <mergeCell ref="G4:I4"/>
  </mergeCells>
  <pageMargins left="0.7" right="0.7" top="0.75" bottom="0.75" header="0.3" footer="0.3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showGridLines="0" workbookViewId="0">
      <selection activeCell="A1" sqref="A1:D1"/>
    </sheetView>
  </sheetViews>
  <sheetFormatPr defaultColWidth="9" defaultRowHeight="14.5" outlineLevelCol="3"/>
  <cols>
    <col min="1" max="1" width="8" customWidth="1"/>
    <col min="2" max="2" width="26" customWidth="1"/>
    <col min="3" max="3" width="16" customWidth="1"/>
    <col min="4" max="4" width="60" customWidth="1"/>
  </cols>
  <sheetData>
    <row r="1" ht="19.5" spans="1:4">
      <c r="A1" s="1" t="s">
        <v>60</v>
      </c>
    </row>
    <row r="2" spans="1:4">
      <c r="A2" s="4" t="s">
        <v>61</v>
      </c>
      <c r="B2" s="4" t="s">
        <v>62</v>
      </c>
      <c r="C2" s="4" t="s">
        <v>63</v>
      </c>
      <c r="D2" s="4" t="s">
        <v>64</v>
      </c>
    </row>
    <row r="3" spans="1:4">
      <c r="A3" s="5" t="s">
        <v>65</v>
      </c>
      <c r="B3" s="6" t="s">
        <v>66</v>
      </c>
      <c r="C3" s="6">
        <f>单方案反推计算器!H5</f>
        <v>0.8</v>
      </c>
      <c r="D3" s="7" t="s">
        <v>67</v>
      </c>
    </row>
    <row r="4" spans="1:4">
      <c r="A4" s="5" t="s">
        <v>68</v>
      </c>
      <c r="B4" s="6" t="s">
        <v>69</v>
      </c>
      <c r="C4" s="6">
        <f>单方案反推计算器!H6</f>
        <v>0.711762543417177</v>
      </c>
      <c r="D4" s="7" t="s">
        <v>70</v>
      </c>
    </row>
    <row r="5" spans="1:4">
      <c r="A5" s="5" t="s">
        <v>71</v>
      </c>
      <c r="B5" s="6" t="s">
        <v>72</v>
      </c>
      <c r="C5" s="6">
        <f>单方案反推计算器!H7</f>
        <v>5.73841308061382</v>
      </c>
      <c r="D5" s="7" t="s">
        <v>73</v>
      </c>
    </row>
    <row r="6" spans="1:4">
      <c r="A6" s="5" t="s">
        <v>74</v>
      </c>
      <c r="B6" s="6" t="s">
        <v>75</v>
      </c>
      <c r="C6" s="6">
        <f>单方案反推计算器!H10</f>
        <v>0.283822138126774</v>
      </c>
      <c r="D6" s="7" t="s">
        <v>76</v>
      </c>
    </row>
    <row r="7" spans="1:4">
      <c r="A7" s="5" t="s">
        <v>77</v>
      </c>
      <c r="B7" s="6" t="s">
        <v>78</v>
      </c>
      <c r="C7" s="6">
        <f>单方案反推计算器!H11</f>
        <v>22.8092334350282</v>
      </c>
      <c r="D7" s="7" t="s">
        <v>79</v>
      </c>
    </row>
    <row r="8" spans="1:4">
      <c r="A8" s="5" t="s">
        <v>80</v>
      </c>
      <c r="B8" s="6" t="s">
        <v>81</v>
      </c>
      <c r="C8" s="6">
        <f>单方案反推计算器!H12</f>
        <v>58.8096301200676</v>
      </c>
      <c r="D8" s="7" t="s">
        <v>82</v>
      </c>
    </row>
    <row r="9" ht="28.5" spans="1:4">
      <c r="A9" s="5" t="s">
        <v>83</v>
      </c>
      <c r="B9" s="6" t="s">
        <v>84</v>
      </c>
      <c r="C9" s="6">
        <f>单方案反推计算器!H13</f>
        <v>30.5633647733992</v>
      </c>
      <c r="D9" s="7" t="s">
        <v>85</v>
      </c>
    </row>
    <row r="10" spans="1:4">
      <c r="A10" s="5" t="s">
        <v>86</v>
      </c>
      <c r="B10" s="6" t="s">
        <v>87</v>
      </c>
      <c r="C10" s="6">
        <f>单方案反推计算器!H14</f>
        <v>2189.27241226857</v>
      </c>
      <c r="D10" s="7" t="s">
        <v>88</v>
      </c>
    </row>
    <row r="11" spans="1:4">
      <c r="A11" s="5" t="s">
        <v>89</v>
      </c>
      <c r="B11" s="6" t="s">
        <v>90</v>
      </c>
      <c r="C11" s="6">
        <f>单方案反推计算器!H16</f>
        <v>16.8083898894917</v>
      </c>
      <c r="D11" s="7" t="s">
        <v>91</v>
      </c>
    </row>
    <row r="12" spans="1:4">
      <c r="A12" s="5" t="s">
        <v>92</v>
      </c>
      <c r="B12" s="6" t="s">
        <v>93</v>
      </c>
      <c r="C12" s="6">
        <f>单方案反推计算器!H19</f>
        <v>8.44433644732162</v>
      </c>
      <c r="D12" s="7" t="s">
        <v>94</v>
      </c>
    </row>
    <row r="13" spans="1:4">
      <c r="A13" s="5" t="s">
        <v>95</v>
      </c>
      <c r="B13" s="6" t="s">
        <v>96</v>
      </c>
      <c r="C13" s="6">
        <f>单方案反推计算器!H21</f>
        <v>35.8471901502511</v>
      </c>
      <c r="D13" s="7" t="s">
        <v>97</v>
      </c>
    </row>
  </sheetData>
  <mergeCells count="1">
    <mergeCell ref="A1:D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showGridLines="0" workbookViewId="0">
      <selection activeCell="A1" sqref="A1:B1"/>
    </sheetView>
  </sheetViews>
  <sheetFormatPr defaultColWidth="9" defaultRowHeight="14.5" outlineLevelRow="6" outlineLevelCol="1"/>
  <cols>
    <col min="1" max="1" width="14" customWidth="1"/>
    <col min="2" max="2" width="110" customWidth="1"/>
  </cols>
  <sheetData>
    <row r="1" ht="19.5" spans="1:2">
      <c r="A1" s="1" t="s">
        <v>98</v>
      </c>
    </row>
    <row r="3" spans="1:2">
      <c r="A3" s="2" t="s">
        <v>65</v>
      </c>
      <c r="B3" s="3" t="s">
        <v>99</v>
      </c>
    </row>
    <row r="4" spans="1:2">
      <c r="A4" s="2" t="s">
        <v>68</v>
      </c>
      <c r="B4" s="3" t="s">
        <v>100</v>
      </c>
    </row>
    <row r="5" spans="1:2">
      <c r="A5" s="2" t="s">
        <v>71</v>
      </c>
      <c r="B5" s="3" t="s">
        <v>101</v>
      </c>
    </row>
    <row r="6" spans="1:2">
      <c r="A6" s="2" t="s">
        <v>74</v>
      </c>
      <c r="B6" s="3" t="s">
        <v>102</v>
      </c>
    </row>
    <row r="7" spans="1:2">
      <c r="A7" s="2" t="s">
        <v>77</v>
      </c>
      <c r="B7" s="3" t="s">
        <v>103</v>
      </c>
    </row>
  </sheetData>
  <mergeCells count="1">
    <mergeCell ref="A1:B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单方案反推计算器</vt:lpstr>
      <vt:lpstr>逐步过程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PaulWang</cp:lastModifiedBy>
  <dcterms:created xsi:type="dcterms:W3CDTF">2026-07-05T10:21:06Z</dcterms:created>
  <dcterms:modified xsi:type="dcterms:W3CDTF">2026-07-05T10:23:12Z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701F57A3D67D4B1E88A81685EE7C73F3_12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