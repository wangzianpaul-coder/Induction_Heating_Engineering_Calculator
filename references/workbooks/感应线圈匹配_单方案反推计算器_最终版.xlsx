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单方案反推计算器" sheetId="1" r:id="rId1"/>
    <sheet name="逐步过程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  <author>yanglongshan</author>
  </authors>
  <commentList>
    <comment ref="A5" authorId="0">
      <text>
        <r>
          <rPr>
            <sz val="10"/>
            <rFont val="宋体"/>
            <charset val="134"/>
          </rPr>
          <t>截图输入</t>
        </r>
      </text>
    </comment>
    <comment ref="F5" authorId="0">
      <text>
        <r>
          <rPr>
            <sz val="10"/>
            <rFont val="宋体"/>
            <charset val="134"/>
          </rPr>
          <t>单层线圈假设；用于估算外径</t>
        </r>
      </text>
    </comment>
    <comment ref="A6" authorId="0">
      <text>
        <r>
          <rPr>
            <sz val="10"/>
            <rFont val="宋体"/>
            <charset val="134"/>
          </rPr>
          <t>截图输入</t>
        </r>
      </text>
    </comment>
    <comment ref="F6" authorId="0">
      <text>
        <r>
          <rPr>
            <sz val="10"/>
            <rFont val="宋体"/>
            <charset val="134"/>
          </rPr>
          <t xml:space="preserve">对电磁感应加热来说，整流通常为三相桥式三相6脉不控整流电路，同时由于采用串联谐振，可认为负载为无滤波电容（纯阻性负载），此时Udc≈1.35×U_LL
</t>
        </r>
      </text>
    </comment>
    <comment ref="A7" authorId="0">
      <text>
        <r>
          <rPr>
            <sz val="10"/>
            <rFont val="宋体"/>
            <charset val="134"/>
          </rPr>
          <t>截图输入</t>
        </r>
      </text>
    </comment>
    <comment ref="F7" authorId="0">
      <text>
        <r>
          <rPr>
            <sz val="10"/>
            <rFont val="宋体"/>
            <charset val="134"/>
          </rPr>
          <t>长岗系数，需根据径长比来选择</t>
        </r>
      </text>
    </comment>
    <comment ref="A8" authorId="0">
      <text>
        <r>
          <rPr>
            <sz val="10"/>
            <rFont val="宋体"/>
            <charset val="134"/>
          </rPr>
          <t>绕组轴向长度</t>
        </r>
      </text>
    </comment>
    <comment ref="F8" authorId="0">
      <text>
        <r>
          <rPr>
            <sz val="10"/>
            <rFont val="宋体"/>
            <charset val="134"/>
          </rPr>
          <t>截图右侧输出；几何→Req 原始专有算法仍未知</t>
        </r>
      </text>
    </comment>
    <comment ref="A9" authorId="0">
      <text>
        <r>
          <rPr>
            <sz val="10"/>
            <rFont val="宋体"/>
            <charset val="134"/>
          </rPr>
          <t>截图输入</t>
        </r>
      </text>
    </comment>
    <comment ref="F9" authorId="0">
      <text>
        <r>
          <rPr>
            <sz val="10"/>
            <rFont val="宋体"/>
            <charset val="134"/>
          </rPr>
          <t>截图右侧输出</t>
        </r>
      </text>
    </comment>
    <comment ref="A10" authorId="0">
      <text>
        <r>
          <rPr>
            <sz val="10"/>
            <rFont val="宋体"/>
            <charset val="134"/>
          </rPr>
          <t>截图输入</t>
        </r>
      </text>
    </comment>
    <comment ref="F10" authorId="0">
      <text>
        <r>
          <rPr>
            <sz val="10"/>
            <rFont val="宋体"/>
            <charset val="134"/>
          </rPr>
          <t>由截图线圈损耗反推</t>
        </r>
      </text>
    </comment>
    <comment ref="A11" authorId="0">
      <text>
        <r>
          <rPr>
            <sz val="10"/>
            <rFont val="宋体"/>
            <charset val="134"/>
          </rPr>
          <t>用于填充系数</t>
        </r>
      </text>
    </comment>
    <comment ref="F11" authorId="0">
      <text>
        <r>
          <rPr>
            <sz val="10"/>
            <rFont val="宋体"/>
            <charset val="134"/>
          </rPr>
          <t>使流量接近截图</t>
        </r>
      </text>
    </comment>
    <comment ref="A12" authorId="0">
      <text>
        <r>
          <rPr>
            <sz val="10"/>
            <rFont val="宋体"/>
            <charset val="134"/>
          </rPr>
          <t>取2.0，是按出水温度60℃考虑，较55℃有10%裕量，铜的电阻温度系数Ω/℃取0.00393</t>
        </r>
      </text>
    </comment>
    <comment ref="F12" authorId="0">
      <text>
        <r>
          <rPr>
            <sz val="10"/>
            <rFont val="宋体"/>
            <charset val="134"/>
          </rPr>
          <t>常数</t>
        </r>
      </text>
    </comment>
    <comment ref="A13" authorId="0">
      <text>
        <r>
          <rPr>
            <sz val="10"/>
            <rFont val="宋体"/>
            <charset val="134"/>
          </rPr>
          <t>截图输入</t>
        </r>
      </text>
    </comment>
    <comment ref="F13" authorId="0">
      <text>
        <r>
          <rPr>
            <sz val="10"/>
            <rFont val="宋体"/>
            <charset val="134"/>
          </rPr>
          <t>近似</t>
        </r>
      </text>
    </comment>
    <comment ref="A14" authorId="0">
      <text>
        <r>
          <rPr>
            <sz val="10"/>
            <rFont val="宋体"/>
            <charset val="134"/>
          </rPr>
          <t>截图输入</t>
        </r>
      </text>
    </comment>
    <comment ref="F14" authorId="0">
      <text>
        <r>
          <rPr>
            <sz val="10"/>
            <rFont val="宋体"/>
            <charset val="134"/>
          </rPr>
          <t>长岗系数，需根据径长比来选择</t>
        </r>
      </text>
    </comment>
    <comment ref="A15" authorId="0">
      <text>
        <r>
          <rPr>
            <sz val="10"/>
            <rFont val="宋体"/>
            <charset val="134"/>
          </rPr>
          <t>截图输入</t>
        </r>
      </text>
    </comment>
    <comment ref="A16" authorId="0">
      <text>
        <r>
          <rPr>
            <sz val="10"/>
            <rFont val="宋体"/>
            <charset val="134"/>
          </rPr>
          <t>截图输入</t>
        </r>
      </text>
    </comment>
    <comment ref="A17" authorId="0">
      <text>
        <r>
          <rPr>
            <sz val="10"/>
            <rFont val="宋体"/>
            <charset val="134"/>
          </rPr>
          <t>截图输入</t>
        </r>
      </text>
    </comment>
    <comment ref="F17" authorId="0">
      <text>
        <r>
          <rPr>
            <sz val="10"/>
            <rFont val="宋体"/>
            <charset val="134"/>
          </rPr>
          <t>根据等效电阻和等效电感及工作频率计算得出</t>
        </r>
      </text>
    </comment>
    <comment ref="A18" authorId="0">
      <text>
        <r>
          <rPr>
            <sz val="10"/>
            <rFont val="宋体"/>
            <charset val="134"/>
          </rPr>
          <t>截图输入</t>
        </r>
      </text>
    </comment>
    <comment ref="A20" authorId="0">
      <text>
        <r>
          <rPr>
            <sz val="10"/>
            <rFont val="宋体"/>
            <charset val="134"/>
          </rPr>
          <t>截图输入</t>
        </r>
      </text>
    </comment>
    <comment ref="A27" authorId="1">
      <text>
        <r>
          <rPr>
            <b/>
            <sz val="9"/>
            <rFont val="宋体"/>
            <charset val="134"/>
          </rPr>
          <t>yanglongshan:</t>
        </r>
        <r>
          <rPr>
            <sz val="9"/>
            <rFont val="宋体"/>
            <charset val="134"/>
          </rPr>
          <t xml:space="preserve">
为了达到紊流状态（≥1.0 m/s）</t>
        </r>
      </text>
    </comment>
    <comment ref="I28" authorId="0">
      <text>
        <r>
          <rPr>
            <sz val="10"/>
            <rFont val="宋体"/>
            <charset val="134"/>
          </rPr>
          <t>使流量接近截图</t>
        </r>
      </text>
    </comment>
    <comment ref="F54" authorId="1">
      <text>
        <r>
          <rPr>
            <b/>
            <sz val="9"/>
            <rFont val="宋体"/>
            <charset val="134"/>
          </rPr>
          <t>yanglongshan:</t>
        </r>
        <r>
          <rPr>
            <sz val="9"/>
            <rFont val="宋体"/>
            <charset val="134"/>
          </rPr>
          <t xml:space="preserve">
等于工件电阻乘以匝数和折算系数平方，再加上线圈电阻
</t>
        </r>
      </text>
    </comment>
    <comment ref="B58" authorId="1">
      <text>
        <r>
          <rPr>
            <b/>
            <sz val="9"/>
            <rFont val="宋体"/>
            <charset val="134"/>
          </rPr>
          <t>yanglongshan:</t>
        </r>
        <r>
          <rPr>
            <sz val="9"/>
            <rFont val="宋体"/>
            <charset val="134"/>
          </rPr>
          <t xml:space="preserve">
等效为一个单匝空心线圈</t>
        </r>
      </text>
    </comment>
    <comment ref="B65" authorId="1">
      <text>
        <r>
          <rPr>
            <b/>
            <sz val="9"/>
            <rFont val="宋体"/>
            <charset val="134"/>
          </rPr>
          <t>yanglongshan:</t>
        </r>
        <r>
          <rPr>
            <sz val="9"/>
            <rFont val="宋体"/>
            <charset val="134"/>
          </rPr>
          <t xml:space="preserve">
为传给圆柱体工件的有功功率P2和供给感应器的总功率P1之比</t>
        </r>
      </text>
    </comment>
  </commentList>
</comments>
</file>

<file path=xl/sharedStrings.xml><?xml version="1.0" encoding="utf-8"?>
<sst xmlns="http://schemas.openxmlformats.org/spreadsheetml/2006/main" count="240" uniqueCount="183">
  <si>
    <t>感应线圈匹配反推计算器（单方案：短线圈/Nagaoka分支）</t>
  </si>
  <si>
    <t>说明：本工作簿按当前截图参数建立。空芯电感采用分支：若 l/Dm≥0.4，则用 Wheeler；若 l/Dm&lt;0.4，则用 Nagaoka 形式 L=Kn·μ0·N²·A/l。当前案例属于短线圈，因此走 Nagaoka 分支。</t>
  </si>
  <si>
    <t>基础输入</t>
  </si>
  <si>
    <t>控制/校准参数</t>
  </si>
  <si>
    <t>计算结果</t>
  </si>
  <si>
    <t>电源电压 U_LL</t>
  </si>
  <si>
    <t>V</t>
  </si>
  <si>
    <t>铜管径向宽度 w_rad</t>
  </si>
  <si>
    <t>mm</t>
  </si>
  <si>
    <t>填充系数 k_f</t>
  </si>
  <si>
    <t/>
  </si>
  <si>
    <t>额定功率 P</t>
  </si>
  <si>
    <t>kW</t>
  </si>
  <si>
    <t>整流系数 k_rect</t>
  </si>
  <si>
    <t>-</t>
  </si>
  <si>
    <t>铜管肌肤深度 δ_cu</t>
  </si>
  <si>
    <t>cm</t>
  </si>
  <si>
    <t>工作频率 f</t>
  </si>
  <si>
    <t>kHz</t>
  </si>
  <si>
    <t>Nagaoka系数 K</t>
  </si>
  <si>
    <t>炉料肌肤深度 δ_w</t>
  </si>
  <si>
    <t>线圈高度 L1</t>
  </si>
  <si>
    <t>经验等效电阻 Req</t>
  </si>
  <si>
    <t>Ω</t>
  </si>
  <si>
    <t>估算线圈外径 D_out</t>
  </si>
  <si>
    <t>线圈内径 D1</t>
  </si>
  <si>
    <t>需根据保温厚度+保温层与线圈间隙</t>
  </si>
  <si>
    <t>目标品质因数 Q</t>
  </si>
  <si>
    <t>平均直径 D_m</t>
  </si>
  <si>
    <t>线圈匝数 N</t>
  </si>
  <si>
    <t>turn</t>
  </si>
  <si>
    <t>线圈交流电阻 R_cu,ac</t>
  </si>
  <si>
    <t>径长比 l/Dm</t>
  </si>
  <si>
    <t>铜管高度 h_cu</t>
  </si>
  <si>
    <t>冷却安全系数 k_cool</t>
  </si>
  <si>
    <t>Wheeler空芯电感 Lw</t>
  </si>
  <si>
    <t>μH</t>
  </si>
  <si>
    <t>铜电阻率 ρ_cu</t>
  </si>
  <si>
    <t>×10^-6 Ω·cm</t>
  </si>
  <si>
    <t>水比热 c_p</t>
  </si>
  <si>
    <t>J/kg·K</t>
  </si>
  <si>
    <t>理想螺线管电感 Lideal</t>
  </si>
  <si>
    <t>炉料高度 L2</t>
  </si>
  <si>
    <t>水密度 ρ_water</t>
  </si>
  <si>
    <t>kg/L</t>
  </si>
  <si>
    <t>线圈空芯电感 L0</t>
  </si>
  <si>
    <t>炉料直径 D2</t>
  </si>
  <si>
    <t>感应线圈电流 I</t>
  </si>
  <si>
    <t>A</t>
  </si>
  <si>
    <t>炉料相对磁导率 μr,w</t>
  </si>
  <si>
    <t>工件长径比D /lm</t>
  </si>
  <si>
    <t>等效电阻 Req</t>
  </si>
  <si>
    <t>炉料电阻率 ρ_w</t>
  </si>
  <si>
    <t>并联数</t>
  </si>
  <si>
    <t>等效电感 Leq</t>
  </si>
  <si>
    <t>此数还需研究，出入较大</t>
  </si>
  <si>
    <t>建议结合有限元仿真（ANSYS Maxwell、COMSOL）进行验证。</t>
  </si>
  <si>
    <t>进水温度 T_in</t>
  </si>
  <si>
    <t>°C</t>
  </si>
  <si>
    <t>品质因数 Q</t>
  </si>
  <si>
    <t>感应线圈电压 U_L</t>
  </si>
  <si>
    <t>出水温度 T_out</t>
  </si>
  <si>
    <t>K</t>
  </si>
  <si>
    <t>外部串联谐振电容C</t>
  </si>
  <si>
    <t>有功电压分量 U_R</t>
  </si>
  <si>
    <t>炉料匝数</t>
  </si>
  <si>
    <t>变压器匝数比 n</t>
  </si>
  <si>
    <t>20℃下的电阻率</t>
  </si>
  <si>
    <t>线圈损耗 P_cu</t>
  </si>
  <si>
    <t>炉料厚度</t>
  </si>
  <si>
    <t>冷却系统计算</t>
  </si>
  <si>
    <t>线圈宽度</t>
  </si>
  <si>
    <t>冷却水流量 Q_water</t>
  </si>
  <si>
    <t>L/min</t>
  </si>
  <si>
    <t>线圈厚度</t>
  </si>
  <si>
    <t>谐振电容</t>
  </si>
  <si>
    <t>线圈内腔截面积</t>
  </si>
  <si>
    <t>m2</t>
  </si>
  <si>
    <t>冷却水所需最小流量</t>
  </si>
  <si>
    <t>推荐流速低值</t>
  </si>
  <si>
    <t>m/s</t>
  </si>
  <si>
    <t>冷却水所需流速</t>
  </si>
  <si>
    <t>推荐流速高值</t>
  </si>
  <si>
    <t>长冈系数（由2R/I决定，对照表如下）</t>
  </si>
  <si>
    <t>单根管反应所需热负荷</t>
  </si>
  <si>
    <t>KW</t>
  </si>
  <si>
    <t>建议冷却水流量</t>
  </si>
  <si>
    <t>线圈与炉料间隙</t>
  </si>
  <si>
    <t>建议冷却水实际出水温度</t>
  </si>
  <si>
    <t>衰减系数</t>
  </si>
  <si>
    <t>折算系数k</t>
  </si>
  <si>
    <t>保温厚度计算</t>
  </si>
  <si>
    <t>单程管子总长L</t>
  </si>
  <si>
    <t>m</t>
  </si>
  <si>
    <t>允许的热损失功率Qloss</t>
  </si>
  <si>
    <t>W</t>
  </si>
  <si>
    <r>
      <rPr>
        <sz val="8"/>
        <color rgb="FF666666"/>
        <rFont val="Calibri"/>
        <charset val="134"/>
        <scheme val="minor"/>
      </rPr>
      <t>取加热有效功率的百分比</t>
    </r>
    <r>
      <rPr>
        <sz val="12"/>
        <color rgb="FF0F1115"/>
        <rFont val="Segoe UI"/>
        <charset val="134"/>
      </rPr>
      <t>10-30%</t>
    </r>
  </si>
  <si>
    <t>辐射换热,单位面积的热流密度</t>
  </si>
  <si>
    <r>
      <rPr>
        <sz val="11"/>
        <color theme="1"/>
        <rFont val="Calibri"/>
        <charset val="134"/>
        <scheme val="minor"/>
      </rPr>
      <t>W/m</t>
    </r>
    <r>
      <rPr>
        <sz val="8.5"/>
        <color rgb="FF0F1115"/>
        <rFont val="Times New Roman"/>
        <charset val="134"/>
      </rPr>
      <t>2</t>
    </r>
  </si>
  <si>
    <t>保温材料的导热系数λ</t>
  </si>
  <si>
    <r>
      <rPr>
        <sz val="11.5"/>
        <color rgb="FF0F1115"/>
        <rFont val="Segoe UI"/>
        <charset val="134"/>
      </rPr>
      <t>W/(m</t>
    </r>
    <r>
      <rPr>
        <sz val="11.5"/>
        <color rgb="FF0F1115"/>
        <rFont val="宋体"/>
        <charset val="134"/>
      </rPr>
      <t>.</t>
    </r>
    <r>
      <rPr>
        <sz val="11.5"/>
        <color rgb="FF0F1115"/>
        <rFont val="Segoe UI"/>
        <charset val="134"/>
      </rPr>
      <t>K)</t>
    </r>
  </si>
  <si>
    <t>硅酸铝陶瓷纤维</t>
  </si>
  <si>
    <t xml:space="preserve">对流传热,单位面积的热流密度q conv
​
 </t>
  </si>
  <si>
    <r>
      <rPr>
        <sz val="12"/>
        <color rgb="FF0F1115"/>
        <rFont val="宋体"/>
        <charset val="134"/>
      </rPr>
      <t>更精确地，可通过计算瑞利数</t>
    </r>
    <r>
      <rPr>
        <sz val="12"/>
        <color rgb="FF0F1115"/>
        <rFont val="Segoe UI"/>
        <charset val="134"/>
      </rPr>
      <t xml:space="preserve"> (Ra) </t>
    </r>
    <r>
      <rPr>
        <sz val="12"/>
        <color rgb="FF0F1115"/>
        <rFont val="宋体"/>
        <charset val="134"/>
      </rPr>
      <t>和努塞尔数</t>
    </r>
    <r>
      <rPr>
        <sz val="12"/>
        <color rgb="FF0F1115"/>
        <rFont val="Segoe UI"/>
        <charset val="134"/>
      </rPr>
      <t xml:space="preserve"> (Nu) </t>
    </r>
    <r>
      <rPr>
        <sz val="12"/>
        <color rgb="FF0F1115"/>
        <rFont val="宋体"/>
        <charset val="134"/>
      </rPr>
      <t>得到</t>
    </r>
    <r>
      <rPr>
        <sz val="12"/>
        <color rgb="FF0F1115"/>
        <rFont val="Segoe UI"/>
        <charset val="134"/>
      </rPr>
      <t> </t>
    </r>
    <r>
      <rPr>
        <i/>
        <sz val="14.5"/>
        <color rgb="FF0F1115"/>
        <rFont val="KaTeX_Math"/>
        <charset val="134"/>
      </rPr>
      <t>h</t>
    </r>
    <r>
      <rPr>
        <i/>
        <sz val="8.5"/>
        <color rgb="FF0F1115"/>
        <rFont val="KaTeX_Math"/>
        <charset val="134"/>
      </rPr>
      <t>conv</t>
    </r>
    <r>
      <rPr>
        <sz val="12"/>
        <color rgb="FF0F1115"/>
        <rFont val="Times New Roman"/>
        <charset val="134"/>
      </rPr>
      <t>​</t>
    </r>
    <r>
      <rPr>
        <sz val="12"/>
        <color rgb="FF0F1115"/>
        <rFont val="宋体"/>
        <charset val="134"/>
      </rPr>
      <t>，但工程上常用经验值进行估算</t>
    </r>
  </si>
  <si>
    <t>工件外表面温度Tinner</t>
  </si>
  <si>
    <t>单位面积的总热流密度</t>
  </si>
  <si>
    <t>保温层外壁温度Touter</t>
  </si>
  <si>
    <r>
      <rPr>
        <sz val="11"/>
        <color rgb="FF666666"/>
        <rFont val="Calibri"/>
        <charset val="134"/>
        <scheme val="minor"/>
      </rPr>
      <t>°C</t>
    </r>
    <r>
      <rPr>
        <sz val="10"/>
        <color rgb="FF0F1115"/>
        <rFont val="宋体"/>
        <charset val="134"/>
      </rPr>
      <t>，为保护线圈，不超过</t>
    </r>
    <r>
      <rPr>
        <sz val="10"/>
        <color rgb="FF0F1115"/>
        <rFont val="Segoe UI"/>
        <charset val="134"/>
      </rPr>
      <t>100</t>
    </r>
    <r>
      <rPr>
        <sz val="10"/>
        <color rgb="FF0F1115"/>
        <rFont val="宋体"/>
        <charset val="134"/>
      </rPr>
      <t>℃</t>
    </r>
  </si>
  <si>
    <r>
      <rPr>
        <sz val="11"/>
        <color theme="1"/>
        <rFont val="Calibri"/>
        <charset val="134"/>
        <scheme val="minor"/>
      </rPr>
      <t>线圈的受热面积</t>
    </r>
    <r>
      <rPr>
        <sz val="12"/>
        <color rgb="FF0F1115"/>
        <rFont val="Segoe UI"/>
        <charset val="134"/>
      </rPr>
      <t> </t>
    </r>
    <r>
      <rPr>
        <i/>
        <sz val="14.5"/>
        <color rgb="FF0F1115"/>
        <rFont val="KaTeX_Math"/>
        <charset val="134"/>
      </rPr>
      <t>A</t>
    </r>
    <r>
      <rPr>
        <i/>
        <sz val="8.5"/>
        <color rgb="FF0F1115"/>
        <rFont val="KaTeX_Math"/>
        <charset val="134"/>
      </rPr>
      <t>coil</t>
    </r>
  </si>
  <si>
    <r>
      <rPr>
        <sz val="11.5"/>
        <color rgb="FF0F1115"/>
        <rFont val="宋体"/>
        <charset val="134"/>
      </rPr>
      <t>保温层厚度</t>
    </r>
    <r>
      <rPr>
        <sz val="11.5"/>
        <color rgb="FF0F1115"/>
        <rFont val="Segoe UI"/>
        <charset val="134"/>
      </rPr>
      <t>(D2-D1)/2</t>
    </r>
  </si>
  <si>
    <t>总热流密度</t>
  </si>
  <si>
    <t xml:space="preserve">W </t>
  </si>
  <si>
    <t>保温材料表面发射率</t>
  </si>
  <si>
    <r>
      <rPr>
        <sz val="10"/>
        <color rgb="FF0F1115"/>
        <rFont val="宋体"/>
        <charset val="134"/>
      </rPr>
      <t>陶瓷纤维约</t>
    </r>
    <r>
      <rPr>
        <sz val="10"/>
        <color rgb="FF0F1115"/>
        <rFont val="Segoe UI"/>
        <charset val="134"/>
      </rPr>
      <t>0.8~0.9</t>
    </r>
  </si>
  <si>
    <t>瑞利数Ra</t>
  </si>
  <si>
    <t>铜线圈表面发射率</t>
  </si>
  <si>
    <r>
      <rPr>
        <sz val="9"/>
        <color rgb="FF0F1115"/>
        <rFont val="宋体"/>
        <charset val="134"/>
      </rPr>
      <t>未氧化铜约</t>
    </r>
    <r>
      <rPr>
        <sz val="9"/>
        <color rgb="FF0F1115"/>
        <rFont val="Segoe UI"/>
        <charset val="134"/>
      </rPr>
      <t xml:space="preserve"> 0.1~0.2</t>
    </r>
    <r>
      <rPr>
        <sz val="9"/>
        <color rgb="FF0F1115"/>
        <rFont val="宋体"/>
        <charset val="134"/>
      </rPr>
      <t>，氧化后可达</t>
    </r>
    <r>
      <rPr>
        <sz val="9"/>
        <color rgb="FF0F1115"/>
        <rFont val="Segoe UI"/>
        <charset val="134"/>
      </rPr>
      <t xml:space="preserve"> 0.6 </t>
    </r>
    <r>
      <rPr>
        <sz val="9"/>
        <color rgb="FF0F1115"/>
        <rFont val="宋体"/>
        <charset val="134"/>
      </rPr>
      <t>~0.8</t>
    </r>
  </si>
  <si>
    <t>努塞尔数（竖直圆筒，层流）Nu</t>
  </si>
  <si>
    <t>有效发射率</t>
  </si>
  <si>
    <t>对流传热系数h conv</t>
  </si>
  <si>
    <r>
      <rPr>
        <sz val="14.5"/>
        <color rgb="FF0F1115"/>
        <rFont val="Times New Roman"/>
        <charset val="134"/>
      </rPr>
      <t>W/(m</t>
    </r>
    <r>
      <rPr>
        <sz val="8.4"/>
        <color rgb="FF0F1115"/>
        <rFont val="Times New Roman"/>
        <charset val="134"/>
      </rPr>
      <t>2</t>
    </r>
    <r>
      <rPr>
        <sz val="14.5"/>
        <color rgb="FF0F1115"/>
        <rFont val="Times New Roman"/>
        <charset val="134"/>
      </rPr>
      <t>⋅K)</t>
    </r>
  </si>
  <si>
    <r>
      <rPr>
        <sz val="11.5"/>
        <color rgb="FF0F1115"/>
        <rFont val="Segoe UI"/>
        <charset val="134"/>
      </rPr>
      <t xml:space="preserve">Stefan-Boltzmann </t>
    </r>
    <r>
      <rPr>
        <sz val="11.5"/>
        <color rgb="FF0F1115"/>
        <rFont val="宋体"/>
        <charset val="134"/>
      </rPr>
      <t>常数</t>
    </r>
  </si>
  <si>
    <t>×10−8W/(m²·K⁴)</t>
  </si>
  <si>
    <t>线圈与保温层间隙</t>
  </si>
  <si>
    <t>空气导热系数k(常数)</t>
  </si>
  <si>
    <t>W/(m⋅K)</t>
  </si>
  <si>
    <t>感应线圈电阻</t>
  </si>
  <si>
    <t>被加热工件电阻</t>
  </si>
  <si>
    <t>req</t>
  </si>
  <si>
    <t>当线圈内部有磁芯时，磁芯的导磁率最好选用相对导磁率ur，ur=u/u0，u为磁芯的导磁率，即：有磁芯线圈的电感是空心线圈电感的ur倍，ur可通过实际测量来决定，只需把有磁芯的线圈和空心线圈分别进行对比测试，即可求得ur。</t>
  </si>
  <si>
    <t>Leq</t>
  </si>
  <si>
    <t>工件L2</t>
  </si>
  <si>
    <t>计算线圈交流电阻时，由于肌肤效应、圆环效应及邻近效应，电流只在线圈靠近工件的肌肤深度内流动（当线圈厚度大于等于2.5-3倍肌肤深度时），所以截面积S=L*肌肤深度，同样被加热炉管也是，其截面积S=L*肌肤深度，L为其圆周长</t>
  </si>
  <si>
    <t>耦合系数k</t>
  </si>
  <si>
    <t>互感M</t>
  </si>
  <si>
    <t>感应器效率极限值</t>
  </si>
  <si>
    <t>频率下限f</t>
  </si>
  <si>
    <t>kHZ</t>
  </si>
  <si>
    <t>频率上限f</t>
  </si>
  <si>
    <t>逐步过程与说明</t>
  </si>
  <si>
    <t>步骤</t>
  </si>
  <si>
    <t>项目</t>
  </si>
  <si>
    <t>结果</t>
  </si>
  <si>
    <t>公式/说明</t>
  </si>
  <si>
    <t>1</t>
  </si>
  <si>
    <t>填充系数</t>
  </si>
  <si>
    <t>k_f=N·h_cu/L1</t>
  </si>
  <si>
    <t>2</t>
  </si>
  <si>
    <t>铜管肌肤深度</t>
  </si>
  <si>
    <t>δ=√(2ρ/ωμ)</t>
  </si>
  <si>
    <t>3</t>
  </si>
  <si>
    <t>炉料肌肤深度</t>
  </si>
  <si>
    <t>δ=√(2ρ/ωμ0μr)</t>
  </si>
  <si>
    <t>4</t>
  </si>
  <si>
    <t>平均直径/长径比</t>
  </si>
  <si>
    <t>D_out=D1+2·w_rad；D_m=(D1+D_out)/2</t>
  </si>
  <si>
    <t>5</t>
  </si>
  <si>
    <t>Wheeler空芯电感</t>
  </si>
  <si>
    <t>若 l/Dm≥0.4，可参考 Wheeler 原式（英寸制）</t>
  </si>
  <si>
    <t>6</t>
  </si>
  <si>
    <t>理想螺线管电感</t>
  </si>
  <si>
    <t>Lideal=μ0·N²·A/l</t>
  </si>
  <si>
    <t>7</t>
  </si>
  <si>
    <t>空芯电感分支结果</t>
  </si>
  <si>
    <t>IF(l/Dm≥0.4, Wheeler, Kn·Lideal)；当前案例因 l/Dm&lt;0.4 走 Nagaoka 分支</t>
  </si>
  <si>
    <t>8</t>
  </si>
  <si>
    <t>等效电阻/电流</t>
  </si>
  <si>
    <t>Req 为校准输入；I=√(P/Req)</t>
  </si>
  <si>
    <t>9</t>
  </si>
  <si>
    <t>等效电感</t>
  </si>
  <si>
    <t>Leq=Q·Req/(2πf)</t>
  </si>
  <si>
    <t>10</t>
  </si>
  <si>
    <t>线圈电压/匝比</t>
  </si>
  <si>
    <t>U_L=IωLeq；n≈1.35U_LL/(IReq)</t>
  </si>
  <si>
    <t>11</t>
  </si>
  <si>
    <t>线圈损耗/水流</t>
  </si>
  <si>
    <t>Pcu=I²Rcu,ac；Qwater=k_cool·Pcu/(ρcpΔT)</t>
  </si>
  <si>
    <t>说明与局限</t>
  </si>
  <si>
    <t>本表按当前单张截图建立，目的是复现该页结果，不声称已完全还原原软件所有内部专有算法。</t>
  </si>
  <si>
    <t>已较强确认的关系：填充系数、铜/炉料肌肤深度、P=I²Req、Q=ωL/Req、线圈电压、变压器匝数比。</t>
  </si>
  <si>
    <t>空芯电感采用分支逻辑：l/Dm≥0.4 走 Wheeler；l/Dm&lt;0.4 走 Nagaoka 形式。当前案例 l/Dm 明显小于 0.4。</t>
  </si>
  <si>
    <t>几何与材料如何正向推出 Req 仍未完全锁定，因此 Req 仍作为校准输入。</t>
  </si>
  <si>
    <t>线圈损耗采用固定交流铜阻 R_cu,ac；冷却水流量采用热平衡+安全系数近似。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</si>
</sst>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51">
    <font>
      <sz val="11"/>
      <color theme="1"/>
      <name val="Calibri"/>
      <charset val="134"/>
      <scheme val="minor"/>
    </font>
    <font>
      <b/>
      <sz val="15"/>
      <color rgb="FFFFFFFF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i/>
      <sz val="11"/>
      <color rgb="FFC65911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1"/>
      <color rgb="FF666666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name val="Calibri"/>
      <charset val="134"/>
      <scheme val="minor"/>
    </font>
    <font>
      <sz val="8"/>
      <color rgb="FF666666"/>
      <name val="Calibri"/>
      <charset val="134"/>
      <scheme val="minor"/>
    </font>
    <font>
      <sz val="11"/>
      <color rgb="FF0000FF"/>
      <name val="Calibri"/>
      <charset val="134"/>
    </font>
    <font>
      <sz val="11.5"/>
      <color rgb="FF0F1115"/>
      <name val="Segoe UI"/>
      <charset val="134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sz val="14.5"/>
      <color rgb="FF0F1115"/>
      <name val="Times New Roman"/>
      <charset val="134"/>
    </font>
    <font>
      <sz val="10"/>
      <color rgb="FF0F1115"/>
      <name val="宋体"/>
      <charset val="134"/>
    </font>
    <font>
      <sz val="9"/>
      <color rgb="FF0F1115"/>
      <name val="宋体"/>
      <charset val="134"/>
    </font>
    <font>
      <sz val="11"/>
      <color rgb="FF000000"/>
      <name val="Calibri"/>
      <charset val="134"/>
      <scheme val="minor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sz val="10.5"/>
      <color rgb="FF21252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.5"/>
      <color rgb="FF0F1115"/>
      <name val="Times New Roman"/>
      <charset val="134"/>
    </font>
    <font>
      <sz val="8.4"/>
      <color rgb="FF0F1115"/>
      <name val="Times New Roman"/>
      <charset val="134"/>
    </font>
    <font>
      <sz val="10"/>
      <color rgb="FF0F1115"/>
      <name val="Segoe UI"/>
      <charset val="134"/>
    </font>
    <font>
      <sz val="9"/>
      <color rgb="FF0F1115"/>
      <name val="Segoe UI"/>
      <charset val="134"/>
    </font>
    <font>
      <i/>
      <sz val="14.5"/>
      <color rgb="FF0F1115"/>
      <name val="KaTeX_Math"/>
      <charset val="134"/>
    </font>
    <font>
      <i/>
      <sz val="8.5"/>
      <color rgb="FF0F1115"/>
      <name val="KaTeX_Math"/>
      <charset val="134"/>
    </font>
    <font>
      <sz val="12"/>
      <color rgb="FF0F1115"/>
      <name val="Times New Roman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5" applyNumberFormat="0" applyAlignment="0" applyProtection="0">
      <alignment vertical="center"/>
    </xf>
    <xf numFmtId="0" fontId="31" fillId="13" borderId="6" applyNumberFormat="0" applyAlignment="0" applyProtection="0">
      <alignment vertical="center"/>
    </xf>
    <xf numFmtId="0" fontId="32" fillId="13" borderId="5" applyNumberFormat="0" applyAlignment="0" applyProtection="0">
      <alignment vertical="center"/>
    </xf>
    <xf numFmtId="0" fontId="33" fillId="14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49"/>
    <xf numFmtId="0" fontId="1" fillId="2" borderId="0" xfId="49" applyFont="1" applyFill="1" applyAlignment="1">
      <alignment horizontal="center"/>
    </xf>
    <xf numFmtId="0" fontId="2" fillId="0" borderId="0" xfId="49" applyFont="1"/>
    <xf numFmtId="0" fontId="0" fillId="3" borderId="0" xfId="49" applyFill="1" applyAlignment="1">
      <alignment wrapText="1"/>
    </xf>
    <xf numFmtId="0" fontId="3" fillId="2" borderId="0" xfId="49" applyFont="1" applyFill="1"/>
    <xf numFmtId="0" fontId="2" fillId="0" borderId="1" xfId="49" applyFont="1" applyBorder="1"/>
    <xf numFmtId="0" fontId="0" fillId="0" borderId="1" xfId="49" applyBorder="1"/>
    <xf numFmtId="0" fontId="0" fillId="0" borderId="1" xfId="49" applyBorder="1" applyAlignment="1">
      <alignment wrapText="1"/>
    </xf>
    <xf numFmtId="0" fontId="4" fillId="2" borderId="0" xfId="49" applyFont="1" applyFill="1" applyAlignment="1">
      <alignment horizontal="center" vertical="center"/>
    </xf>
    <xf numFmtId="0" fontId="5" fillId="3" borderId="0" xfId="49" applyFont="1" applyFill="1" applyAlignment="1">
      <alignment wrapText="1"/>
    </xf>
    <xf numFmtId="0" fontId="3" fillId="2" borderId="0" xfId="49" applyFont="1" applyFill="1" applyAlignment="1">
      <alignment horizontal="center"/>
    </xf>
    <xf numFmtId="176" fontId="6" fillId="4" borderId="0" xfId="49" applyNumberFormat="1" applyFont="1" applyFill="1" applyAlignment="1"/>
    <xf numFmtId="0" fontId="7" fillId="0" borderId="0" xfId="49" applyFont="1"/>
    <xf numFmtId="176" fontId="8" fillId="5" borderId="1" xfId="49" applyNumberFormat="1" applyFont="1" applyFill="1" applyBorder="1"/>
    <xf numFmtId="176" fontId="9" fillId="6" borderId="1" xfId="49" applyNumberFormat="1" applyFont="1" applyFill="1" applyBorder="1"/>
    <xf numFmtId="176" fontId="8" fillId="7" borderId="1" xfId="49" applyNumberFormat="1" applyFont="1" applyFill="1" applyBorder="1"/>
    <xf numFmtId="0" fontId="10" fillId="0" borderId="0" xfId="49" applyFont="1"/>
    <xf numFmtId="0" fontId="0" fillId="6" borderId="0" xfId="49" applyFill="1"/>
    <xf numFmtId="176" fontId="6" fillId="4" borderId="1" xfId="49" applyNumberFormat="1" applyFont="1" applyFill="1" applyBorder="1"/>
    <xf numFmtId="0" fontId="0" fillId="7" borderId="0" xfId="49" applyFill="1"/>
    <xf numFmtId="176" fontId="11" fillId="4" borderId="0" xfId="49" applyNumberFormat="1" applyFont="1" applyFill="1"/>
    <xf numFmtId="0" fontId="12" fillId="0" borderId="0" xfId="0" applyFont="1">
      <alignment vertical="center"/>
    </xf>
    <xf numFmtId="0" fontId="10" fillId="0" borderId="0" xfId="49" applyFont="1" applyAlignment="1">
      <alignment horizontal="left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0" borderId="0" xfId="49" applyFont="1" applyAlignment="1">
      <alignment shrinkToFit="1"/>
    </xf>
    <xf numFmtId="0" fontId="14" fillId="8" borderId="0" xfId="0" applyFont="1" applyFill="1" applyAlignment="1">
      <alignment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Fill="1" applyAlignment="1"/>
    <xf numFmtId="0" fontId="0" fillId="7" borderId="0" xfId="0" applyFill="1" applyAlignment="1"/>
    <xf numFmtId="176" fontId="18" fillId="9" borderId="1" xfId="49" applyNumberFormat="1" applyFont="1" applyFill="1" applyBorder="1"/>
    <xf numFmtId="176" fontId="18" fillId="7" borderId="1" xfId="49" applyNumberFormat="1" applyFont="1" applyFill="1" applyBorder="1"/>
    <xf numFmtId="2" fontId="18" fillId="7" borderId="1" xfId="49" applyNumberFormat="1" applyFont="1" applyFill="1" applyBorder="1"/>
    <xf numFmtId="176" fontId="9" fillId="10" borderId="1" xfId="49" applyNumberFormat="1" applyFont="1" applyFill="1" applyBorder="1"/>
    <xf numFmtId="0" fontId="19" fillId="0" borderId="0" xfId="0" applyFont="1">
      <alignment vertical="center"/>
    </xf>
    <xf numFmtId="2" fontId="18" fillId="9" borderId="1" xfId="49" applyNumberFormat="1" applyFont="1" applyFill="1" applyBorder="1"/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49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723265</xdr:colOff>
      <xdr:row>63</xdr:row>
      <xdr:rowOff>145415</xdr:rowOff>
    </xdr:from>
    <xdr:to>
      <xdr:col>8</xdr:col>
      <xdr:colOff>695325</xdr:colOff>
      <xdr:row>68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4720" y="12613640"/>
          <a:ext cx="4124960" cy="80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465455</xdr:colOff>
      <xdr:row>28</xdr:row>
      <xdr:rowOff>170815</xdr:rowOff>
    </xdr:from>
    <xdr:to>
      <xdr:col>23</xdr:col>
      <xdr:colOff>170180</xdr:colOff>
      <xdr:row>35</xdr:row>
      <xdr:rowOff>199390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39185" y="5609590"/>
          <a:ext cx="4762500" cy="1362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314325</xdr:colOff>
      <xdr:row>53</xdr:row>
      <xdr:rowOff>0</xdr:rowOff>
    </xdr:from>
    <xdr:to>
      <xdr:col>9</xdr:col>
      <xdr:colOff>161925</xdr:colOff>
      <xdr:row>54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25130" y="10553700"/>
          <a:ext cx="329565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409575</xdr:colOff>
      <xdr:row>49</xdr:row>
      <xdr:rowOff>180975</xdr:rowOff>
    </xdr:from>
    <xdr:to>
      <xdr:col>9</xdr:col>
      <xdr:colOff>238125</xdr:colOff>
      <xdr:row>51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20380" y="9972675"/>
          <a:ext cx="3276600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238125</xdr:colOff>
      <xdr:row>45</xdr:row>
      <xdr:rowOff>171450</xdr:rowOff>
    </xdr:from>
    <xdr:to>
      <xdr:col>11</xdr:col>
      <xdr:colOff>809625</xdr:colOff>
      <xdr:row>48</xdr:row>
      <xdr:rowOff>180975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948930" y="9144000"/>
          <a:ext cx="581977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542925</xdr:colOff>
      <xdr:row>26</xdr:row>
      <xdr:rowOff>0</xdr:rowOff>
    </xdr:from>
    <xdr:to>
      <xdr:col>18</xdr:col>
      <xdr:colOff>438150</xdr:colOff>
      <xdr:row>28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273905" y="5057775"/>
          <a:ext cx="109537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56</xdr:row>
      <xdr:rowOff>66675</xdr:rowOff>
    </xdr:from>
    <xdr:to>
      <xdr:col>0</xdr:col>
      <xdr:colOff>1428750</xdr:colOff>
      <xdr:row>59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3375" y="11201400"/>
          <a:ext cx="109537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377825</xdr:colOff>
      <xdr:row>60</xdr:row>
      <xdr:rowOff>173990</xdr:rowOff>
    </xdr:from>
    <xdr:to>
      <xdr:col>20</xdr:col>
      <xdr:colOff>387350</xdr:colOff>
      <xdr:row>77</xdr:row>
      <xdr:rowOff>170815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194155" y="12070715"/>
          <a:ext cx="5324475" cy="323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571500</xdr:colOff>
      <xdr:row>69</xdr:row>
      <xdr:rowOff>85725</xdr:rowOff>
    </xdr:from>
    <xdr:to>
      <xdr:col>9</xdr:col>
      <xdr:colOff>47625</xdr:colOff>
      <xdr:row>74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862955" y="13696950"/>
          <a:ext cx="5343525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241300</xdr:colOff>
      <xdr:row>60</xdr:row>
      <xdr:rowOff>167640</xdr:rowOff>
    </xdr:from>
    <xdr:to>
      <xdr:col>31</xdr:col>
      <xdr:colOff>193675</xdr:colOff>
      <xdr:row>66</xdr:row>
      <xdr:rowOff>24765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972655" y="12064365"/>
          <a:ext cx="5953125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56515</xdr:colOff>
      <xdr:row>77</xdr:row>
      <xdr:rowOff>86360</xdr:rowOff>
    </xdr:from>
    <xdr:to>
      <xdr:col>6</xdr:col>
      <xdr:colOff>747395</xdr:colOff>
      <xdr:row>95</xdr:row>
      <xdr:rowOff>85090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6515" y="15221585"/>
          <a:ext cx="8401685" cy="3427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609600</xdr:colOff>
      <xdr:row>80</xdr:row>
      <xdr:rowOff>66040</xdr:rowOff>
    </xdr:from>
    <xdr:to>
      <xdr:col>16</xdr:col>
      <xdr:colOff>457200</xdr:colOff>
      <xdr:row>92</xdr:row>
      <xdr:rowOff>142875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253855" y="15772765"/>
          <a:ext cx="7934325" cy="236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590550</xdr:colOff>
      <xdr:row>100</xdr:row>
      <xdr:rowOff>152400</xdr:rowOff>
    </xdr:from>
    <xdr:to>
      <xdr:col>12</xdr:col>
      <xdr:colOff>609600</xdr:colOff>
      <xdr:row>105</xdr:row>
      <xdr:rowOff>76200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234805" y="19669125"/>
          <a:ext cx="519112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97</xdr:row>
      <xdr:rowOff>123825</xdr:rowOff>
    </xdr:from>
    <xdr:to>
      <xdr:col>7</xdr:col>
      <xdr:colOff>409575</xdr:colOff>
      <xdr:row>115</xdr:row>
      <xdr:rowOff>95250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805555" y="19069050"/>
          <a:ext cx="5248275" cy="340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533400</xdr:colOff>
      <xdr:row>108</xdr:row>
      <xdr:rowOff>76200</xdr:rowOff>
    </xdr:from>
    <xdr:to>
      <xdr:col>12</xdr:col>
      <xdr:colOff>142875</xdr:colOff>
      <xdr:row>113</xdr:row>
      <xdr:rowOff>161925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177655" y="21116925"/>
          <a:ext cx="478155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33655</xdr:colOff>
      <xdr:row>38</xdr:row>
      <xdr:rowOff>226695</xdr:rowOff>
    </xdr:from>
    <xdr:to>
      <xdr:col>4</xdr:col>
      <xdr:colOff>662305</xdr:colOff>
      <xdr:row>40</xdr:row>
      <xdr:rowOff>162560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667760" y="7684770"/>
          <a:ext cx="1428750" cy="374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showGridLines="0" tabSelected="1" zoomScale="115" zoomScaleNormal="115" topLeftCell="A25" workbookViewId="0">
      <selection activeCell="F33" sqref="F33"/>
    </sheetView>
  </sheetViews>
  <sheetFormatPr defaultColWidth="9" defaultRowHeight="15"/>
  <cols>
    <col min="1" max="1" width="23.0761904761905" customWidth="1"/>
    <col min="2" max="2" width="14" customWidth="1"/>
    <col min="3" max="3" width="17.4285714285714" customWidth="1"/>
    <col min="4" max="4" width="12" customWidth="1"/>
    <col min="5" max="5" width="12.8571428571429" customWidth="1"/>
    <col min="6" max="6" width="36.2857142857143" customWidth="1"/>
    <col min="7" max="7" width="14" customWidth="1"/>
    <col min="8" max="8" width="12" customWidth="1"/>
    <col min="9" max="9" width="25.7142857142857" customWidth="1"/>
    <col min="10" max="10" width="15" customWidth="1"/>
    <col min="11" max="11" width="12" customWidth="1"/>
    <col min="12" max="13" width="12.8571428571429"/>
    <col min="16" max="16" width="12.8571428571429"/>
  </cols>
  <sheetData>
    <row r="1" ht="21" spans="1:1">
      <c r="A1" s="8" t="s">
        <v>0</v>
      </c>
    </row>
    <row r="2" spans="1:1">
      <c r="A2" s="9" t="s">
        <v>1</v>
      </c>
    </row>
    <row r="4" spans="1:9">
      <c r="A4" s="10" t="s">
        <v>2</v>
      </c>
      <c r="F4" s="10" t="s">
        <v>3</v>
      </c>
      <c r="I4" s="10" t="s">
        <v>4</v>
      </c>
    </row>
    <row r="5" spans="1:11">
      <c r="A5" t="s">
        <v>5</v>
      </c>
      <c r="B5" s="11">
        <v>380</v>
      </c>
      <c r="C5" s="12" t="s">
        <v>6</v>
      </c>
      <c r="D5" s="12"/>
      <c r="E5" s="12"/>
      <c r="F5" t="s">
        <v>7</v>
      </c>
      <c r="G5" s="13">
        <v>30</v>
      </c>
      <c r="H5" s="12" t="s">
        <v>8</v>
      </c>
      <c r="I5" t="s">
        <v>9</v>
      </c>
      <c r="J5" s="32">
        <f>B10*B11/B8</f>
        <v>0.695389266817838</v>
      </c>
      <c r="K5" s="12" t="s">
        <v>10</v>
      </c>
    </row>
    <row r="6" spans="1:13">
      <c r="A6" t="s">
        <v>11</v>
      </c>
      <c r="B6" s="11">
        <v>100</v>
      </c>
      <c r="C6" s="12" t="s">
        <v>12</v>
      </c>
      <c r="D6" s="12"/>
      <c r="E6" s="12"/>
      <c r="F6" t="s">
        <v>13</v>
      </c>
      <c r="G6" s="13">
        <v>1.35</v>
      </c>
      <c r="H6" s="12" t="s">
        <v>14</v>
      </c>
      <c r="I6" t="s">
        <v>15</v>
      </c>
      <c r="J6" s="32">
        <f>SQRT(2*(B12*0.00000001)/(2*PI()*(B7*1000)*(4*PI()*0.0000001)))*1000</f>
        <v>0.711762543417177</v>
      </c>
      <c r="K6" s="12" t="s">
        <v>8</v>
      </c>
      <c r="L6">
        <f>J6/10</f>
        <v>0.0711762543417177</v>
      </c>
      <c r="M6" t="s">
        <v>16</v>
      </c>
    </row>
    <row r="7" spans="1:13">
      <c r="A7" t="s">
        <v>17</v>
      </c>
      <c r="B7" s="11">
        <v>10</v>
      </c>
      <c r="C7" s="12" t="s">
        <v>18</v>
      </c>
      <c r="D7" s="12"/>
      <c r="E7" s="12"/>
      <c r="F7" t="s">
        <v>19</v>
      </c>
      <c r="G7" s="14">
        <v>0.96</v>
      </c>
      <c r="H7" s="12" t="s">
        <v>14</v>
      </c>
      <c r="I7" t="s">
        <v>20</v>
      </c>
      <c r="J7" s="32">
        <f>SQRT(2*(B16*0.00000001)/(2*PI()*(B7*1000)*(4*PI()*0.0000001)*B15))*1000</f>
        <v>8.71727524698821</v>
      </c>
      <c r="K7" s="12" t="s">
        <v>8</v>
      </c>
      <c r="L7">
        <f>J7/10</f>
        <v>0.871727524698821</v>
      </c>
      <c r="M7" t="s">
        <v>16</v>
      </c>
    </row>
    <row r="8" spans="1:11">
      <c r="A8" t="s">
        <v>21</v>
      </c>
      <c r="B8" s="11">
        <v>1323</v>
      </c>
      <c r="C8" s="12" t="s">
        <v>8</v>
      </c>
      <c r="D8" s="12"/>
      <c r="E8" s="12"/>
      <c r="F8" t="s">
        <v>22</v>
      </c>
      <c r="G8" s="15">
        <f>F54</f>
        <v>0.034173935690814</v>
      </c>
      <c r="H8" s="12" t="s">
        <v>23</v>
      </c>
      <c r="I8" t="s">
        <v>24</v>
      </c>
      <c r="J8" s="32">
        <f>B9+2*G5</f>
        <v>271.12736862531</v>
      </c>
      <c r="K8" s="12" t="s">
        <v>8</v>
      </c>
    </row>
    <row r="9" spans="1:11">
      <c r="A9" t="s">
        <v>25</v>
      </c>
      <c r="B9" s="11">
        <f>B14+B40*2+B30*2</f>
        <v>211.12736862531</v>
      </c>
      <c r="C9" s="12" t="s">
        <v>8</v>
      </c>
      <c r="D9" s="16" t="s">
        <v>26</v>
      </c>
      <c r="E9" s="12"/>
      <c r="F9" t="s">
        <v>27</v>
      </c>
      <c r="G9" s="13">
        <v>20.1035</v>
      </c>
      <c r="H9" s="12" t="s">
        <v>14</v>
      </c>
      <c r="I9" t="s">
        <v>28</v>
      </c>
      <c r="J9" s="32">
        <f>(B9+J8)/2</f>
        <v>241.12736862531</v>
      </c>
      <c r="K9" s="12" t="s">
        <v>8</v>
      </c>
    </row>
    <row r="10" spans="1:11">
      <c r="A10" t="s">
        <v>29</v>
      </c>
      <c r="B10" s="11">
        <v>23</v>
      </c>
      <c r="C10" s="12" t="s">
        <v>30</v>
      </c>
      <c r="D10" s="12"/>
      <c r="E10" s="12"/>
      <c r="F10" t="s">
        <v>31</v>
      </c>
      <c r="G10" s="13">
        <f>C49</f>
        <v>0.0107166024095581</v>
      </c>
      <c r="H10" s="12" t="s">
        <v>23</v>
      </c>
      <c r="I10" t="s">
        <v>32</v>
      </c>
      <c r="J10" s="32">
        <f>B9/B8</f>
        <v>0.159582289210363</v>
      </c>
      <c r="K10" s="12" t="s">
        <v>14</v>
      </c>
    </row>
    <row r="11" spans="1:12">
      <c r="A11" t="s">
        <v>33</v>
      </c>
      <c r="B11" s="11">
        <v>40</v>
      </c>
      <c r="C11" s="12" t="s">
        <v>8</v>
      </c>
      <c r="D11" s="12"/>
      <c r="E11" s="12"/>
      <c r="F11" t="s">
        <v>34</v>
      </c>
      <c r="G11" s="13">
        <v>1.6126</v>
      </c>
      <c r="H11" s="12" t="s">
        <v>14</v>
      </c>
      <c r="I11" t="s">
        <v>35</v>
      </c>
      <c r="J11">
        <f>(((B9/25.4)^2)*(B10^2))/(18*(B9/25.4)+40*(B8/25.4))</f>
        <v>16.3671311506659</v>
      </c>
      <c r="K11" s="12" t="s">
        <v>36</v>
      </c>
      <c r="L11">
        <f>(((B9/25.4)^2)*(B10^2))/(18*(B9/25.4)+40*(B8/25.4))</f>
        <v>16.3671311506659</v>
      </c>
    </row>
    <row r="12" spans="1:11">
      <c r="A12" t="s">
        <v>37</v>
      </c>
      <c r="B12" s="11">
        <v>2</v>
      </c>
      <c r="C12" s="12" t="s">
        <v>38</v>
      </c>
      <c r="D12" s="12"/>
      <c r="E12" s="12"/>
      <c r="F12" t="s">
        <v>39</v>
      </c>
      <c r="G12" s="13">
        <v>4180</v>
      </c>
      <c r="H12" s="12" t="s">
        <v>40</v>
      </c>
      <c r="I12" t="s">
        <v>41</v>
      </c>
      <c r="J12" s="32">
        <f>(4*PI()*0.0000001*(B10^2)*PI()*((B9/2)/1000)^2/(B8/1000))*G7*1000000</f>
        <v>16.8871311459269</v>
      </c>
      <c r="K12" s="12" t="s">
        <v>36</v>
      </c>
    </row>
    <row r="13" spans="1:11">
      <c r="A13" t="s">
        <v>42</v>
      </c>
      <c r="B13" s="11">
        <v>1323</v>
      </c>
      <c r="C13" s="12" t="s">
        <v>8</v>
      </c>
      <c r="D13" s="12"/>
      <c r="E13" s="12"/>
      <c r="F13" t="s">
        <v>43</v>
      </c>
      <c r="G13" s="13">
        <v>1</v>
      </c>
      <c r="H13" s="12" t="s">
        <v>44</v>
      </c>
      <c r="I13" t="s">
        <v>45</v>
      </c>
      <c r="J13" s="33">
        <f>IF(J10&gt;=0.4,J11,G7*J12)</f>
        <v>16.2116459000898</v>
      </c>
      <c r="K13" s="12" t="s">
        <v>36</v>
      </c>
    </row>
    <row r="14" spans="1:11">
      <c r="A14" t="s">
        <v>46</v>
      </c>
      <c r="B14" s="11">
        <v>120</v>
      </c>
      <c r="C14" s="12" t="s">
        <v>8</v>
      </c>
      <c r="D14" s="12"/>
      <c r="E14" s="12"/>
      <c r="F14" t="s">
        <v>19</v>
      </c>
      <c r="G14" s="17">
        <v>0.96</v>
      </c>
      <c r="I14" t="s">
        <v>47</v>
      </c>
      <c r="J14" s="34">
        <f>SQRT((B6*1000)/G8)</f>
        <v>1710.6158868016</v>
      </c>
      <c r="K14" s="12" t="s">
        <v>48</v>
      </c>
    </row>
    <row r="15" spans="1:11">
      <c r="A15" t="s">
        <v>49</v>
      </c>
      <c r="B15" s="11">
        <v>1</v>
      </c>
      <c r="C15" s="12" t="s">
        <v>14</v>
      </c>
      <c r="D15" s="12"/>
      <c r="E15" s="12"/>
      <c r="F15" t="s">
        <v>50</v>
      </c>
      <c r="G15">
        <f>B14/B13</f>
        <v>0.090702947845805</v>
      </c>
      <c r="I15" t="s">
        <v>51</v>
      </c>
      <c r="J15" s="33">
        <f>G8</f>
        <v>0.034173935690814</v>
      </c>
      <c r="K15" s="12" t="s">
        <v>23</v>
      </c>
    </row>
    <row r="16" ht="17.25" spans="1:15">
      <c r="A16" t="s">
        <v>52</v>
      </c>
      <c r="B16" s="11">
        <v>300</v>
      </c>
      <c r="C16" s="12" t="s">
        <v>38</v>
      </c>
      <c r="D16" s="12"/>
      <c r="E16" s="12"/>
      <c r="F16" t="s">
        <v>53</v>
      </c>
      <c r="G16">
        <v>1</v>
      </c>
      <c r="I16" t="s">
        <v>54</v>
      </c>
      <c r="J16" s="35">
        <f>(G9*J15)/(2*PI()*(B7*1000))*1000000</f>
        <v>10.9341947208727</v>
      </c>
      <c r="K16" s="12" t="s">
        <v>36</v>
      </c>
      <c r="L16" t="s">
        <v>55</v>
      </c>
      <c r="O16" s="36" t="s">
        <v>56</v>
      </c>
    </row>
    <row r="17" spans="1:11">
      <c r="A17" t="s">
        <v>57</v>
      </c>
      <c r="B17" s="18">
        <v>35</v>
      </c>
      <c r="C17" s="12" t="s">
        <v>58</v>
      </c>
      <c r="D17" s="12"/>
      <c r="E17" s="12"/>
      <c r="F17" t="s">
        <v>59</v>
      </c>
      <c r="G17" s="19">
        <f>2*PI()*B7*1000*J16*0.000001/J15</f>
        <v>20.1035</v>
      </c>
      <c r="I17" t="s">
        <v>60</v>
      </c>
      <c r="J17" s="33">
        <f>J14*(2*PI()*(B7*1000)*(J16/1000000))</f>
        <v>1175.21999854615</v>
      </c>
      <c r="K17" s="12" t="s">
        <v>6</v>
      </c>
    </row>
    <row r="18" spans="1:11">
      <c r="A18" t="s">
        <v>61</v>
      </c>
      <c r="B18" s="18">
        <v>55</v>
      </c>
      <c r="C18" s="12" t="s">
        <v>58</v>
      </c>
      <c r="D18">
        <f>B18+273.15</f>
        <v>328.15</v>
      </c>
      <c r="E18" t="s">
        <v>62</v>
      </c>
      <c r="F18" t="s">
        <v>63</v>
      </c>
      <c r="I18" t="s">
        <v>64</v>
      </c>
      <c r="J18" s="37">
        <f>J14*J15</f>
        <v>58.4584773072426</v>
      </c>
      <c r="K18" s="12" t="s">
        <v>6</v>
      </c>
    </row>
    <row r="19" spans="1:11">
      <c r="A19" t="s">
        <v>65</v>
      </c>
      <c r="B19">
        <v>1</v>
      </c>
      <c r="I19" t="s">
        <v>66</v>
      </c>
      <c r="J19" s="32">
        <f>(G6*B5)/J18</f>
        <v>8.7754594992922</v>
      </c>
      <c r="K19" s="12" t="s">
        <v>14</v>
      </c>
    </row>
    <row r="20" spans="1:13">
      <c r="A20" t="s">
        <v>37</v>
      </c>
      <c r="B20" s="20">
        <v>1.72</v>
      </c>
      <c r="C20" s="12" t="s">
        <v>38</v>
      </c>
      <c r="D20" s="12"/>
      <c r="E20" s="12"/>
      <c r="F20" t="s">
        <v>67</v>
      </c>
      <c r="I20" t="s">
        <v>68</v>
      </c>
      <c r="J20" s="33">
        <f>(J14^2*G10)/1000</f>
        <v>31.358993902592</v>
      </c>
      <c r="K20" s="12" t="s">
        <v>12</v>
      </c>
      <c r="L20">
        <v>24.64</v>
      </c>
      <c r="M20">
        <f>SQRT(800/C49/B8/1000)</f>
        <v>0.237539868738426</v>
      </c>
    </row>
    <row r="21" spans="1:11">
      <c r="A21" t="s">
        <v>69</v>
      </c>
      <c r="B21" s="20">
        <v>9</v>
      </c>
      <c r="C21" t="s">
        <v>8</v>
      </c>
      <c r="K21" s="12"/>
    </row>
    <row r="22" spans="2:11">
      <c r="B22" s="20"/>
      <c r="K22" s="12"/>
    </row>
    <row r="23" spans="1:11">
      <c r="A23" s="19" t="s">
        <v>70</v>
      </c>
      <c r="B23" s="20"/>
      <c r="K23" s="12"/>
    </row>
    <row r="24" spans="1:11">
      <c r="A24" t="s">
        <v>71</v>
      </c>
      <c r="B24" s="20">
        <v>30</v>
      </c>
      <c r="C24" t="s">
        <v>8</v>
      </c>
      <c r="I24" t="s">
        <v>72</v>
      </c>
      <c r="J24" s="32">
        <f>(G11*(J20*1000)/(G12*(B18-B17)))*60/G13</f>
        <v>36.293909258842</v>
      </c>
      <c r="K24" s="12" t="s">
        <v>73</v>
      </c>
    </row>
    <row r="25" spans="1:11">
      <c r="A25" t="s">
        <v>74</v>
      </c>
      <c r="B25" s="20">
        <v>4</v>
      </c>
      <c r="C25" t="s">
        <v>8</v>
      </c>
      <c r="I25" t="s">
        <v>75</v>
      </c>
      <c r="K25">
        <f>B6*0.07</f>
        <v>7</v>
      </c>
    </row>
    <row r="26" spans="1:12">
      <c r="A26" t="s">
        <v>76</v>
      </c>
      <c r="B26">
        <f>(B11-2*B25)*(B24-2*B25)/1000000</f>
        <v>0.000704</v>
      </c>
      <c r="C26" s="12" t="s">
        <v>77</v>
      </c>
      <c r="D26" s="12"/>
      <c r="E26" s="12"/>
      <c r="I26" t="s">
        <v>78</v>
      </c>
      <c r="J26">
        <f>((J20*1000+G40)/(G12*(B18-B17)))*60/G13</f>
        <v>29.6632122961547</v>
      </c>
      <c r="K26" s="12" t="s">
        <v>73</v>
      </c>
      <c r="L26">
        <f>J26*L28</f>
        <v>72</v>
      </c>
    </row>
    <row r="27" spans="1:11">
      <c r="A27" t="s">
        <v>79</v>
      </c>
      <c r="B27">
        <v>1</v>
      </c>
      <c r="C27" s="12" t="s">
        <v>80</v>
      </c>
      <c r="D27" s="12"/>
      <c r="E27" s="12"/>
      <c r="I27" t="s">
        <v>81</v>
      </c>
      <c r="J27">
        <f>(J20*1000+G40)/(G12*(B18-B17))</f>
        <v>0.494386871602579</v>
      </c>
      <c r="K27" s="12" t="s">
        <v>80</v>
      </c>
    </row>
    <row r="28" spans="1:14">
      <c r="A28" t="s">
        <v>82</v>
      </c>
      <c r="B28">
        <v>1.5</v>
      </c>
      <c r="C28" s="12" t="s">
        <v>80</v>
      </c>
      <c r="D28" s="12"/>
      <c r="E28" s="12"/>
      <c r="I28" t="s">
        <v>34</v>
      </c>
      <c r="J28">
        <f>IF(J27&lt;B27,B27/J27,J27)</f>
        <v>2.02270743306442</v>
      </c>
      <c r="L28">
        <f>J28*1.2</f>
        <v>2.4272489196773</v>
      </c>
      <c r="N28" t="s">
        <v>83</v>
      </c>
    </row>
    <row r="29" spans="1:12">
      <c r="A29" t="s">
        <v>84</v>
      </c>
      <c r="B29">
        <v>1020</v>
      </c>
      <c r="C29" s="12" t="s">
        <v>85</v>
      </c>
      <c r="D29" s="12"/>
      <c r="E29" s="12"/>
      <c r="I29" t="s">
        <v>86</v>
      </c>
      <c r="J29" s="19">
        <f>IF(J27&lt;B27,B27*B26*60*1000,J26)</f>
        <v>42.24</v>
      </c>
      <c r="K29" s="12" t="s">
        <v>73</v>
      </c>
      <c r="L29">
        <f>J28*J26</f>
        <v>60</v>
      </c>
    </row>
    <row r="30" spans="1:12">
      <c r="A30" t="s">
        <v>87</v>
      </c>
      <c r="B30" s="18">
        <v>10</v>
      </c>
      <c r="C30" t="s">
        <v>16</v>
      </c>
      <c r="I30" t="s">
        <v>88</v>
      </c>
      <c r="J30" s="19">
        <f>(J20*60*1000+G40)/(G12*G13*J29)+B17</f>
        <v>45.7129423499285</v>
      </c>
      <c r="K30" s="12" t="s">
        <v>58</v>
      </c>
      <c r="L30">
        <v>45</v>
      </c>
    </row>
    <row r="31" spans="1:2">
      <c r="A31" t="s">
        <v>89</v>
      </c>
      <c r="B31">
        <f>2/(B9-B14)</f>
        <v>0.0219473033202949</v>
      </c>
    </row>
    <row r="32" spans="1:2">
      <c r="A32" t="s">
        <v>90</v>
      </c>
      <c r="B32">
        <f>1/((1+B31*B30)^2)</f>
        <v>0.672443187338199</v>
      </c>
    </row>
    <row r="34" spans="1:1">
      <c r="A34" s="19" t="s">
        <v>91</v>
      </c>
    </row>
    <row r="35" spans="1:3">
      <c r="A35" t="s">
        <v>92</v>
      </c>
      <c r="B35" s="18">
        <v>55.2</v>
      </c>
      <c r="C35" t="s">
        <v>93</v>
      </c>
    </row>
    <row r="36" ht="17.25" spans="1:8">
      <c r="A36" t="s">
        <v>94</v>
      </c>
      <c r="B36">
        <f>B29*1000*0.1</f>
        <v>102000</v>
      </c>
      <c r="C36" s="21" t="s">
        <v>95</v>
      </c>
      <c r="D36" s="22" t="s">
        <v>96</v>
      </c>
      <c r="E36" s="21"/>
      <c r="F36" t="s">
        <v>97</v>
      </c>
      <c r="G36">
        <f>B43*B44*0.00000001*(D39^4-D18^4)</f>
        <v>32.7972452828164</v>
      </c>
      <c r="H36" t="s">
        <v>98</v>
      </c>
    </row>
    <row r="37" ht="18" spans="1:9">
      <c r="A37" s="23" t="s">
        <v>99</v>
      </c>
      <c r="B37" s="18">
        <f>0.028+0.00018*(B38+B39)/2</f>
        <v>0.1342</v>
      </c>
      <c r="C37" s="21" t="s">
        <v>100</v>
      </c>
      <c r="D37" s="22" t="s">
        <v>101</v>
      </c>
      <c r="E37" s="21"/>
      <c r="F37" t="s">
        <v>102</v>
      </c>
      <c r="G37">
        <f>G43*(B39-L30)</f>
        <v>358.863323942856</v>
      </c>
      <c r="H37" t="s">
        <v>98</v>
      </c>
      <c r="I37" s="38" t="s">
        <v>103</v>
      </c>
    </row>
    <row r="38" ht="18.75" spans="1:8">
      <c r="A38" s="23" t="s">
        <v>104</v>
      </c>
      <c r="B38" s="18">
        <v>1100</v>
      </c>
      <c r="C38" s="24" t="s">
        <v>58</v>
      </c>
      <c r="D38" s="24"/>
      <c r="E38" s="25"/>
      <c r="F38" t="s">
        <v>105</v>
      </c>
      <c r="G38">
        <f>G36+G37</f>
        <v>391.660569225672</v>
      </c>
      <c r="H38" t="s">
        <v>98</v>
      </c>
    </row>
    <row r="39" ht="18" spans="1:8">
      <c r="A39" s="23" t="s">
        <v>106</v>
      </c>
      <c r="B39" s="18">
        <v>80</v>
      </c>
      <c r="C39" s="26" t="s">
        <v>107</v>
      </c>
      <c r="D39">
        <f>B39+273.15</f>
        <v>353.15</v>
      </c>
      <c r="E39" t="s">
        <v>62</v>
      </c>
      <c r="F39" t="s">
        <v>108</v>
      </c>
      <c r="G39">
        <f>PI()*B9/1000*B35*J5</f>
        <v>25.4601799284981</v>
      </c>
      <c r="H39" t="s">
        <v>77</v>
      </c>
    </row>
    <row r="40" ht="16.5" spans="1:8">
      <c r="A40" s="23" t="s">
        <v>109</v>
      </c>
      <c r="B40" s="19">
        <f>((EXP(2*PI()*B37*B35*(B38-B39)/B36)*B14/1000)-B14/1000)*1000/2</f>
        <v>35.5636843126549</v>
      </c>
      <c r="C40" s="27" t="s">
        <v>8</v>
      </c>
      <c r="D40" s="27"/>
      <c r="E40" s="27"/>
      <c r="F40" t="s">
        <v>110</v>
      </c>
      <c r="G40" s="19">
        <f>G38*G39</f>
        <v>9971.74856338359</v>
      </c>
      <c r="H40" t="s">
        <v>111</v>
      </c>
    </row>
    <row r="41" ht="16.5" spans="1:7">
      <c r="A41" s="23" t="s">
        <v>112</v>
      </c>
      <c r="B41" s="18">
        <v>0.85</v>
      </c>
      <c r="C41" s="28" t="s">
        <v>113</v>
      </c>
      <c r="D41" s="27"/>
      <c r="E41" s="27"/>
      <c r="F41" t="s">
        <v>114</v>
      </c>
      <c r="G41">
        <f>9.81*(1/D39)*(D39-D18)*(B45/1000)^3/(1.8*0.00001*2.6*0.00001)</f>
        <v>1483.8976682386</v>
      </c>
    </row>
    <row r="42" ht="16.5" spans="1:7">
      <c r="A42" s="23" t="s">
        <v>115</v>
      </c>
      <c r="B42" s="18">
        <v>0.15</v>
      </c>
      <c r="C42" s="29" t="s">
        <v>116</v>
      </c>
      <c r="D42" s="27"/>
      <c r="E42" s="27"/>
      <c r="F42" t="s">
        <v>117</v>
      </c>
      <c r="G42">
        <f>0.59*G41^(1/4)</f>
        <v>3.66187065247812</v>
      </c>
    </row>
    <row r="43" ht="18.75" spans="1:8">
      <c r="A43" s="23" t="s">
        <v>118</v>
      </c>
      <c r="B43">
        <f>1/(1/B41+1/B42-1)</f>
        <v>0.146131805157593</v>
      </c>
      <c r="C43" s="27"/>
      <c r="D43" s="27"/>
      <c r="E43" s="27"/>
      <c r="F43" t="s">
        <v>119</v>
      </c>
      <c r="G43">
        <f>G42*B46/(B45/1000)</f>
        <v>10.2532378269387</v>
      </c>
      <c r="H43" s="25" t="s">
        <v>120</v>
      </c>
    </row>
    <row r="44" ht="16.5" spans="1:5">
      <c r="A44" s="21" t="s">
        <v>121</v>
      </c>
      <c r="B44">
        <v>5.67</v>
      </c>
      <c r="C44" t="s">
        <v>122</v>
      </c>
      <c r="D44" s="27"/>
      <c r="E44" s="27"/>
    </row>
    <row r="45" ht="16.5" spans="1:5">
      <c r="A45" s="23" t="s">
        <v>123</v>
      </c>
      <c r="B45">
        <f>(B9-B14-B40*2)/2</f>
        <v>10</v>
      </c>
      <c r="C45" t="s">
        <v>8</v>
      </c>
      <c r="D45" s="27"/>
      <c r="E45" s="27"/>
    </row>
    <row r="46" ht="16.5" spans="1:5">
      <c r="A46" s="23" t="s">
        <v>124</v>
      </c>
      <c r="B46">
        <v>0.028</v>
      </c>
      <c r="C46" t="s">
        <v>125</v>
      </c>
      <c r="D46" s="27"/>
      <c r="E46" s="27"/>
    </row>
    <row r="47" ht="16.5" spans="1:5">
      <c r="A47" s="23"/>
      <c r="D47" s="27"/>
      <c r="E47" s="27"/>
    </row>
    <row r="48" ht="16.5" spans="1:5">
      <c r="A48" s="24"/>
      <c r="D48" s="27"/>
      <c r="E48" s="27"/>
    </row>
    <row r="49" spans="2:6">
      <c r="B49" t="s">
        <v>126</v>
      </c>
      <c r="C49" s="19">
        <f>B12*PI()*(B9)/10*B10/(B11/10*L6)/1000000</f>
        <v>0.0107166024095581</v>
      </c>
      <c r="D49" s="19"/>
      <c r="E49" s="19"/>
      <c r="F49" s="12" t="s">
        <v>23</v>
      </c>
    </row>
    <row r="50" spans="2:6">
      <c r="B50" t="s">
        <v>126</v>
      </c>
      <c r="C50">
        <f>B12*PI()*(B9+B24)/10*B10/(140*L6-4*L6*L6)/1000000</f>
        <v>0.00035040890116886</v>
      </c>
      <c r="F50" s="30">
        <f>B12*B10/J6/10/1000000</f>
        <v>6.46282955255747e-6</v>
      </c>
    </row>
    <row r="51" spans="2:7">
      <c r="B51" s="30" t="s">
        <v>127</v>
      </c>
      <c r="C51" s="30"/>
      <c r="D51" s="30"/>
      <c r="E51" s="30"/>
      <c r="F51" s="31">
        <f>IF(J7&lt;B21,B16*PI()*(B14/10)/(B13/10*L7)/1000000,B16*PI()*(B14/10)/(B13/10*B21/10)/1000000)</f>
        <v>9.80644891451956e-5</v>
      </c>
      <c r="G51" s="12" t="s">
        <v>23</v>
      </c>
    </row>
    <row r="52" spans="2:6">
      <c r="B52" s="30"/>
      <c r="C52" s="30"/>
      <c r="D52" s="30"/>
      <c r="E52" s="30"/>
      <c r="F52" s="30"/>
    </row>
    <row r="53" spans="2:6">
      <c r="B53" s="30"/>
      <c r="C53" s="30"/>
      <c r="D53" s="30"/>
      <c r="E53" s="30"/>
      <c r="F53" s="30"/>
    </row>
    <row r="54" spans="2:6">
      <c r="B54" s="30" t="s">
        <v>128</v>
      </c>
      <c r="C54" s="30"/>
      <c r="D54" s="30"/>
      <c r="E54" s="30"/>
      <c r="F54" s="19">
        <f>F51*B10*B10*B32*B32+C49</f>
        <v>0.034173935690814</v>
      </c>
    </row>
    <row r="55" ht="15.75" spans="14:14">
      <c r="N55" s="39" t="s">
        <v>129</v>
      </c>
    </row>
    <row r="57" spans="2:10">
      <c r="B57" t="s">
        <v>130</v>
      </c>
      <c r="C57">
        <f>J13*(1-C32*C32)</f>
        <v>16.2116459000898</v>
      </c>
      <c r="F57">
        <f>J11-C58*J11*(2*PI()*B7*1000)^2*C32^2/F51^2</f>
        <v>16.3671311506659</v>
      </c>
      <c r="I57">
        <f>2*PI()*B7*1000*G58/1000000</f>
        <v>9.80644891451956e-5</v>
      </c>
      <c r="J57">
        <f>F51/I57</f>
        <v>1</v>
      </c>
    </row>
    <row r="58" spans="2:7">
      <c r="B58" t="s">
        <v>131</v>
      </c>
      <c r="C58" s="19">
        <f>(4*PI()*0.0000001*PI()*((B14+B24)/2000)^2/(B13/1000))*G14*1000000</f>
        <v>0.0161136398385132</v>
      </c>
      <c r="D58" s="19"/>
      <c r="E58" s="19"/>
      <c r="F58" s="12" t="s">
        <v>36</v>
      </c>
      <c r="G58">
        <f>F51*1000000/2/PI()/B7/1000</f>
        <v>0.00156074481892394</v>
      </c>
    </row>
    <row r="59" spans="3:7">
      <c r="C59">
        <f>(4*PI()*0.0000001*(B19^2)*PI()*((B14/2)/1000)^2/(B13/1000))*G7*1000000</f>
        <v>0.0103127294966485</v>
      </c>
      <c r="G59" s="19">
        <f>(J13-C58*F61*B10*B10)*G16</f>
        <v>7.6875304474113</v>
      </c>
    </row>
    <row r="60" spans="7:13">
      <c r="G60">
        <f>J13*(1/(1+(B30/B9)))</f>
        <v>15.4785097894006</v>
      </c>
      <c r="I60">
        <f>J13*(1-F61*F61)</f>
        <v>8.32822153177276e-8</v>
      </c>
      <c r="M60" t="s">
        <v>132</v>
      </c>
    </row>
    <row r="61" spans="2:8">
      <c r="B61" t="s">
        <v>133</v>
      </c>
      <c r="C61">
        <f>1/(SQRT(1+(2*B30/B14/20)))*(1-EXP(-2*B13/((B9+B14)/2)))</f>
        <v>0.995859081332494</v>
      </c>
      <c r="F61">
        <f>(1-EXP(-1.5*B8/1000/(B9/2000))/(1+B30/100/(B14/2000)))</f>
        <v>0.999999997431408</v>
      </c>
      <c r="G61">
        <f>J13-(((2*PI()*B7*1000*C61*C58/1000000)^2)*J13/10)/(F51^2+(2*PI()*B7*1000*C58/1000000)^2)</f>
        <v>14.6188229466717</v>
      </c>
      <c r="H61">
        <f>J13-C58*F61</f>
        <v>16.1955322602927</v>
      </c>
    </row>
    <row r="62" spans="2:6">
      <c r="B62" t="s">
        <v>134</v>
      </c>
      <c r="C62">
        <f>C61*SQRT(J13*C58)</f>
        <v>0.508988850172726</v>
      </c>
      <c r="F62" s="12" t="s">
        <v>36</v>
      </c>
    </row>
    <row r="63" spans="3:6">
      <c r="C63">
        <f>2*PI()*B7*1000</f>
        <v>62831.8530717959</v>
      </c>
      <c r="F63" s="12"/>
    </row>
    <row r="64" spans="3:3">
      <c r="C64">
        <f>J13-((C63*C62*F61*0.000001)^2*C58*0.000001)/(F51^2+(C63*C58*0.000001)^2)</f>
        <v>16.2116299718604</v>
      </c>
    </row>
    <row r="65" spans="2:3">
      <c r="B65" s="40" t="s">
        <v>135</v>
      </c>
      <c r="C65">
        <f>1/(1+((B9/B14)*SQRT(B12/B16/B15)))</f>
        <v>0.874390347510079</v>
      </c>
    </row>
    <row r="70" spans="2:6">
      <c r="B70" t="s">
        <v>136</v>
      </c>
      <c r="C70">
        <f>3*B16*100/B15/(B14/1000)^2/1000</f>
        <v>6250</v>
      </c>
      <c r="F70" t="s">
        <v>137</v>
      </c>
    </row>
    <row r="71" spans="2:6">
      <c r="B71" t="s">
        <v>138</v>
      </c>
      <c r="C71">
        <f>6*B16/B15/(B14/1000)^2/1000</f>
        <v>125</v>
      </c>
      <c r="F71" t="s">
        <v>137</v>
      </c>
    </row>
  </sheetData>
  <mergeCells count="5">
    <mergeCell ref="A1:K1"/>
    <mergeCell ref="A2:K2"/>
    <mergeCell ref="A4:C4"/>
    <mergeCell ref="F4:H4"/>
    <mergeCell ref="I4:K4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workbookViewId="0">
      <selection activeCell="A1" sqref="A1:D1"/>
    </sheetView>
  </sheetViews>
  <sheetFormatPr defaultColWidth="9" defaultRowHeight="15" outlineLevelCol="3"/>
  <cols>
    <col min="1" max="1" width="8" customWidth="1"/>
    <col min="2" max="2" width="26" customWidth="1"/>
    <col min="3" max="3" width="16" customWidth="1"/>
    <col min="4" max="4" width="60" customWidth="1"/>
  </cols>
  <sheetData>
    <row r="1" ht="19.5" spans="1:1">
      <c r="A1" s="1" t="s">
        <v>139</v>
      </c>
    </row>
    <row r="2" spans="1:4">
      <c r="A2" s="4" t="s">
        <v>140</v>
      </c>
      <c r="B2" s="4" t="s">
        <v>141</v>
      </c>
      <c r="C2" s="4" t="s">
        <v>142</v>
      </c>
      <c r="D2" s="4" t="s">
        <v>143</v>
      </c>
    </row>
    <row r="3" spans="1:4">
      <c r="A3" s="5" t="s">
        <v>144</v>
      </c>
      <c r="B3" s="6" t="s">
        <v>145</v>
      </c>
      <c r="C3" s="6">
        <f>单方案反推计算器!J5</f>
        <v>0.695389266817838</v>
      </c>
      <c r="D3" s="7" t="s">
        <v>146</v>
      </c>
    </row>
    <row r="4" spans="1:4">
      <c r="A4" s="5" t="s">
        <v>147</v>
      </c>
      <c r="B4" s="6" t="s">
        <v>148</v>
      </c>
      <c r="C4" s="6">
        <f>单方案反推计算器!J6</f>
        <v>0.711762543417177</v>
      </c>
      <c r="D4" s="7" t="s">
        <v>149</v>
      </c>
    </row>
    <row r="5" spans="1:4">
      <c r="A5" s="5" t="s">
        <v>150</v>
      </c>
      <c r="B5" s="6" t="s">
        <v>151</v>
      </c>
      <c r="C5" s="6">
        <f>单方案反推计算器!J7</f>
        <v>8.71727524698821</v>
      </c>
      <c r="D5" s="7" t="s">
        <v>152</v>
      </c>
    </row>
    <row r="6" spans="1:4">
      <c r="A6" s="5" t="s">
        <v>153</v>
      </c>
      <c r="B6" s="6" t="s">
        <v>154</v>
      </c>
      <c r="C6" s="6">
        <f>单方案反推计算器!J10</f>
        <v>0.159582289210363</v>
      </c>
      <c r="D6" s="7" t="s">
        <v>155</v>
      </c>
    </row>
    <row r="7" spans="1:4">
      <c r="A7" s="5" t="s">
        <v>156</v>
      </c>
      <c r="B7" s="6" t="s">
        <v>157</v>
      </c>
      <c r="C7" s="6">
        <f>单方案反推计算器!J11</f>
        <v>16.3671311506659</v>
      </c>
      <c r="D7" s="7" t="s">
        <v>158</v>
      </c>
    </row>
    <row r="8" spans="1:4">
      <c r="A8" s="5" t="s">
        <v>159</v>
      </c>
      <c r="B8" s="6" t="s">
        <v>160</v>
      </c>
      <c r="C8" s="6">
        <f>单方案反推计算器!J12</f>
        <v>16.8871311459269</v>
      </c>
      <c r="D8" s="7" t="s">
        <v>161</v>
      </c>
    </row>
    <row r="9" ht="30" spans="1:4">
      <c r="A9" s="5" t="s">
        <v>162</v>
      </c>
      <c r="B9" s="6" t="s">
        <v>163</v>
      </c>
      <c r="C9" s="6">
        <f>单方案反推计算器!J13</f>
        <v>16.2116459000898</v>
      </c>
      <c r="D9" s="7" t="s">
        <v>164</v>
      </c>
    </row>
    <row r="10" spans="1:4">
      <c r="A10" s="5" t="s">
        <v>165</v>
      </c>
      <c r="B10" s="6" t="s">
        <v>166</v>
      </c>
      <c r="C10" s="6">
        <f>单方案反推计算器!J14</f>
        <v>1710.6158868016</v>
      </c>
      <c r="D10" s="7" t="s">
        <v>167</v>
      </c>
    </row>
    <row r="11" spans="1:4">
      <c r="A11" s="5" t="s">
        <v>168</v>
      </c>
      <c r="B11" s="6" t="s">
        <v>169</v>
      </c>
      <c r="C11" s="6">
        <f>单方案反推计算器!J16</f>
        <v>10.9341947208727</v>
      </c>
      <c r="D11" s="7" t="s">
        <v>170</v>
      </c>
    </row>
    <row r="12" spans="1:4">
      <c r="A12" s="5" t="s">
        <v>171</v>
      </c>
      <c r="B12" s="6" t="s">
        <v>172</v>
      </c>
      <c r="C12" s="6">
        <f>单方案反推计算器!J19</f>
        <v>8.7754594992922</v>
      </c>
      <c r="D12" s="7" t="s">
        <v>173</v>
      </c>
    </row>
    <row r="13" spans="1:4">
      <c r="A13" s="5" t="s">
        <v>174</v>
      </c>
      <c r="B13" s="6" t="s">
        <v>175</v>
      </c>
      <c r="C13" s="6">
        <f>单方案反推计算器!J24</f>
        <v>36.293909258842</v>
      </c>
      <c r="D13" s="7" t="s">
        <v>176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selection activeCell="A1" sqref="A1:B1"/>
    </sheetView>
  </sheetViews>
  <sheetFormatPr defaultColWidth="9" defaultRowHeight="15" outlineLevelRow="6" outlineLevelCol="1"/>
  <cols>
    <col min="1" max="1" width="14" customWidth="1"/>
    <col min="2" max="2" width="110" customWidth="1"/>
  </cols>
  <sheetData>
    <row r="1" ht="19.5" spans="1:1">
      <c r="A1" s="1" t="s">
        <v>177</v>
      </c>
    </row>
    <row r="3" spans="1:2">
      <c r="A3" s="2" t="s">
        <v>144</v>
      </c>
      <c r="B3" s="3" t="s">
        <v>178</v>
      </c>
    </row>
    <row r="4" spans="1:2">
      <c r="A4" s="2" t="s">
        <v>147</v>
      </c>
      <c r="B4" s="3" t="s">
        <v>179</v>
      </c>
    </row>
    <row r="5" spans="1:2">
      <c r="A5" s="2" t="s">
        <v>150</v>
      </c>
      <c r="B5" s="3" t="s">
        <v>180</v>
      </c>
    </row>
    <row r="6" spans="1:2">
      <c r="A6" s="2" t="s">
        <v>153</v>
      </c>
      <c r="B6" s="3" t="s">
        <v>181</v>
      </c>
    </row>
    <row r="7" spans="1:2">
      <c r="A7" s="2" t="s">
        <v>156</v>
      </c>
      <c r="B7" s="3" t="s">
        <v>182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单方案反推计算器</vt:lpstr>
      <vt:lpstr>逐步过程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yanglongshan</cp:lastModifiedBy>
  <dcterms:created xsi:type="dcterms:W3CDTF">2026-03-19T00:13:00Z</dcterms:created>
  <dcterms:modified xsi:type="dcterms:W3CDTF">2026-03-27T00:50:33Z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3417C37F6A334A2A811F850234E8D95E_12</vt:lpwstr>
  </property>
  <property fmtid="{D5CDD505-2E9C-101B-9397-08002B2CF9AE}" pid="3" name="KSOProductBuildVer">
    <vt:lpwstr>2052-12.8.2.21555</vt:lpwstr>
  </property>
</Properties>
</file>