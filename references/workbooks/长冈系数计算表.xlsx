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aea398e26b4f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7231dd5ca3974f1a"/>
    <x:sheet xmlns:r="http://schemas.openxmlformats.org/officeDocument/2006/relationships" name="长冈系数计算" sheetId="2" r:id="R0ecc7ed5fdd04b98"/>
    <x:sheet xmlns:r="http://schemas.openxmlformats.org/officeDocument/2006/relationships" name="表格校验" sheetId="3" r:id="R7dcb3ddee59a4503"/>
    <x:sheet xmlns:r="http://schemas.openxmlformats.org/officeDocument/2006/relationships" name="公式出处" sheetId="4" r:id="R64053bf4642f44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0000"/>
  </x:numFmts>
  <x:fonts count="5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b/>
    </x:font>
    <x:font/>
    <x:font>
      <x:b/>
      <x:color rgb="000000FF"/>
    </x:font>
  </x:fonts>
  <x:fills count="7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AF7"/>
      </x:patternFill>
    </x:fill>
    <x:fill>
      <x:patternFill patternType="solid">
        <x:fgColor rgb="00FFF2CC"/>
      </x:patternFill>
    </x:fill>
    <x:fill>
      <x:patternFill patternType="solid">
        <x:fgColor rgb="00E7E6E6"/>
      </x:patternFill>
    </x:fill>
    <x:fill>
      <x:patternFill patternType="solid">
        <x:fgColor rgb="00E2F0D9"/>
      </x:patternFill>
    </x:fill>
  </x:fills>
  <x:borders count="2">
    <x:border>
      <x:left/>
      <x:right/>
      <x:top/>
      <x:bottom/>
      <x:diagonal/>
    </x:border>
    <x:border>
      <x:left style="thin">
        <x:color rgb="00BFBFBF"/>
      </x:left>
      <x:right style="thin">
        <x:color rgb="00BFBFBF"/>
      </x:right>
      <x:top style="thin">
        <x:color rgb="00BFBFBF"/>
      </x:top>
      <x:bottom style="thin">
        <x:color rgb="00BFBFBF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3" borderId="1" xfId="0" applyAlignment="1">
      <x:alignment horizontal="center" vertical="center" wrapText="1"/>
    </x:xf>
    <x:xf numFmtId="0" fontId="3" fillId="0" borderId="1" xfId="0" applyAlignment="1">
      <x:alignment horizontal="left" vertical="center" wrapText="1"/>
    </x:xf>
    <x:xf numFmtId="0" fontId="2" fillId="4" borderId="1" xfId="0" applyAlignment="1">
      <x:alignment horizontal="center" vertical="center" wrapText="1"/>
    </x:xf>
    <x:xf numFmtId="0" fontId="2" fillId="6" borderId="1" xfId="0" applyAlignment="1">
      <x:alignment horizontal="center" vertical="center" wrapText="1"/>
    </x:xf>
    <x:xf numFmtId="0" fontId="2" fillId="5" borderId="1" xfId="0" applyAlignment="1">
      <x:alignment horizontal="center" vertical="center" wrapText="1"/>
    </x:xf>
    <x:xf numFmtId="164" fontId="4" fillId="4" borderId="1" xfId="0" applyAlignment="1">
      <x:alignment horizontal="center" vertical="center" wrapText="1"/>
    </x:xf>
    <x:xf numFmtId="0" fontId="3" fillId="5" borderId="1" xfId="0" applyAlignment="1">
      <x:alignment horizontal="center" vertical="center" wrapText="1"/>
    </x:xf>
    <x:xf numFmtId="0" fontId="3" fillId="6" borderId="1" xfId="0" applyAlignment="1">
      <x:alignment horizontal="center" vertical="center" wrapText="1"/>
    </x:xf>
    <x:xf numFmtId="1" fontId="4" fillId="4" borderId="1" xfId="0" applyAlignment="1">
      <x:alignment horizontal="center" vertical="center" wrapText="1"/>
    </x:xf>
    <x:xf numFmtId="0" fontId="3" fillId="4" borderId="1" xfId="0" applyAlignment="1">
      <x:alignment horizontal="left" vertical="center" wrapText="1"/>
    </x:xf>
    <x:xf numFmtId="164" fontId="0" fillId="0" borderId="0" xfId="0"/>
    <x:xf numFmtId="164" fontId="3" fillId="6" borderId="1" xfId="0" applyAlignment="1">
      <x:alignment horizontal="center" vertical="center" wrapText="1"/>
    </x:xf>
    <x:xf numFmtId="164" fontId="3" fillId="0" borderId="1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1e6ca611844d04" /><Relationship Type="http://schemas.openxmlformats.org/officeDocument/2006/relationships/theme" Target="/xl/theme/theme1.xml" Id="R2e685daf86264454" /><Relationship Type="http://schemas.openxmlformats.org/officeDocument/2006/relationships/sharedStrings" Target="/xl/sharedStrings.xml" Id="R097b52f9b9e54c6f" /><Relationship Type="http://schemas.openxmlformats.org/officeDocument/2006/relationships/worksheet" Target="/xl/worksheets/sheet1.xml" Id="R7231dd5ca3974f1a" /><Relationship Type="http://schemas.openxmlformats.org/officeDocument/2006/relationships/worksheet" Target="/xl/worksheets/sheet2.xml" Id="R0ecc7ed5fdd04b98" /><Relationship Type="http://schemas.openxmlformats.org/officeDocument/2006/relationships/worksheet" Target="/xl/worksheets/sheet3.xml" Id="R7dcb3ddee59a4503" /><Relationship Type="http://schemas.openxmlformats.org/officeDocument/2006/relationships/worksheet" Target="/xl/worksheets/sheet4.xml" Id="R64053bf4642f445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28" customWidth="1"/>
    <x:col min="4" max="4" width="22" customWidth="1"/>
    <x:col min="5" max="5" width="22" customWidth="1"/>
    <x:col min="6" max="6" width="26" customWidth="1"/>
  </x:cols>
  <x:sheetData>
    <x:row r="1">
      <x:c r="A1" s="1" t="inlineStr">
        <x:is>
          <x:t xml:space="preserve">长冈系数 Excel 计算表</x:t>
        </x:is>
      </x:c>
    </x:row>
    <x:row r="2"/>
    <x:row r="3">
      <x:c r="A3" s="2" t="inlineStr">
        <x:is>
          <x:t xml:space="preserve">用途</x:t>
        </x:is>
      </x:c>
      <x:c r="B3" s="3" t="inlineStr">
        <x:is>
          <x:t xml:space="preserve">输入线圈半径 R 和长度 l，返回长冈系数 KN。</x:t>
        </x:is>
      </x:c>
    </x:row>
    <x:row r="4">
      <x:c r="A4" s="2" t="inlineStr">
        <x:is>
          <x:t xml:space="preserve">公式定义</x:t>
        </x:is>
      </x:c>
      <x:c r="B4" s="3" t="inlineStr">
        <x:is>
          <x:t xml:space="preserve">本表按你给的图片公式实现，采用 a = R，b = l，因此 2R/l = 2a/b。</x:t>
        </x:is>
      </x:c>
    </x:row>
    <x:row r="5">
      <x:c r="A5" s="2" t="inlineStr">
        <x:is>
          <x:t xml:space="preserve">椭圆积分</x:t>
        </x:is>
      </x:c>
      <x:c r="B5" s="3" t="inlineStr">
        <x:is>
          <x:t xml:space="preserve">第一类完全椭圆积分 F(k) 与第二类完全椭圆积分 E(k) 通过 Simpson 数值积分在表内完成。</x:t>
        </x:is>
      </x:c>
    </x:row>
    <x:row r="6">
      <x:c r="A6" s="2" t="inlineStr">
        <x:is>
          <x:t xml:space="preserve">输入建议</x:t>
        </x:is>
      </x:c>
      <x:c r="B6" s="3" t="inlineStr">
        <x:is>
          <x:t xml:space="preserve">积分分段数 n 建议用偶数，默认 400；n 越大精度越高，但计算稍慢。</x:t>
        </x:is>
      </x:c>
    </x:row>
    <x:row r="7">
      <x:c r="A7" s="2" t="inlineStr">
        <x:is>
          <x:t xml:space="preserve">校验</x:t>
        </x:is>
      </x:c>
      <x:c r="B7" s="3" t="inlineStr">
        <x:is>
          <x:t xml:space="preserve">“表格校验”工作表已用你提供的表 2-1 检查，公式值应与表值非常接近。</x:t>
        </x:is>
      </x:c>
    </x:row>
    <x:row r="8">
      <x:c r="A8" s="2" t="inlineStr">
        <x:is>
          <x:t xml:space="preserve">文献出处</x:t>
        </x:is>
      </x:c>
      <x:c r="B8" s="3" t="inlineStr">
        <x:is>
          <x:t xml:space="preserve">1) H. Nagaoka, The Inductance Coefficients of Solenoids, 1909. 2) 你项目中的透热感应加热文献也采用长冈系数与 2R/l 的关系。</x:t>
        </x:is>
      </x:c>
    </x:row>
  </x:sheetData>
  <x:mergeCells>
    <x:mergeCell ref="B4:F4"/>
    <x:mergeCell ref="B7:F7"/>
    <x:mergeCell ref="B6:F6"/>
    <x:mergeCell ref="A1:F1"/>
    <x:mergeCell ref="B3:F3"/>
    <x:mergeCell ref="B5:F5"/>
    <x:mergeCell ref="B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6" customWidth="1"/>
    <x:col min="3" max="3" width="16" customWidth="1"/>
    <x:col min="4" max="4" width="18" customWidth="1"/>
    <x:col min="5" max="5" width="16" customWidth="1"/>
    <x:col min="6" max="6" width="14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</x:cols>
  <x:sheetData>
    <x:row r="1">
      <x:c r="A1" s="1" t="inlineStr">
        <x:is>
          <x:t xml:space="preserve">长冈系数 KN 计算器</x:t>
        </x:is>
      </x:c>
    </x:row>
    <x:row r="2">
      <x:c r="G2" s="4" t="inlineStr">
        <x:is>
          <x:t xml:space="preserve">积分辅助区</x:t>
        </x:is>
      </x:c>
    </x:row>
    <x:row r="3">
      <x:c r="A3" s="2" t="inlineStr">
        <x:is>
          <x:t xml:space="preserve">输入区</x:t>
        </x:is>
      </x:c>
      <x:c r="D3" s="5" t="inlineStr">
        <x:is>
          <x:t xml:space="preserve">结果区</x:t>
        </x:is>
      </x:c>
      <x:c r="G3" s="6" t="inlineStr">
        <x:is>
          <x:t xml:space="preserve">i</x:t>
        </x:is>
      </x:c>
      <x:c r="H3" s="6" t="inlineStr">
        <x:is>
          <x:t xml:space="preserve">θ</x:t>
        </x:is>
      </x:c>
      <x:c r="I3" s="6" t="inlineStr">
        <x:is>
          <x:t xml:space="preserve">权重</x:t>
        </x:is>
      </x:c>
      <x:c r="J3" s="6" t="inlineStr">
        <x:is>
          <x:t xml:space="preserve">fK</x:t>
        </x:is>
      </x:c>
      <x:c r="K3" s="6" t="inlineStr">
        <x:is>
          <x:t xml:space="preserve">fE</x:t>
        </x:is>
      </x:c>
    </x:row>
    <x:row r="4">
      <x:c r="A4" s="2" t="inlineStr">
        <x:is>
          <x:t xml:space="preserve">线圈半径 R</x:t>
        </x:is>
      </x:c>
      <x:c r="B4" s="7" t="n">
        <x:v>1</x:v>
      </x:c>
      <x:c r="C4" s="8" t="inlineStr">
        <x:is>
          <x:t xml:space="preserve">自定义</x:t>
        </x:is>
      </x:c>
      <x:c r="D4" s="5" t="inlineStr">
        <x:is>
          <x:t xml:space="preserve">2R/l</x:t>
        </x:is>
      </x:c>
      <x:c r="E4" s="9">
        <x:f>2*B4/B5</x:f>
        <x:v>3.3333333333333335</x:v>
      </x:c>
    </x:row>
    <x:row r="5">
      <x:c r="A5" s="2" t="inlineStr">
        <x:is>
          <x:t xml:space="preserve">线圈长度 l</x:t>
        </x:is>
      </x:c>
      <x:c r="B5" s="7" t="n">
        <x:v>0.6</x:v>
      </x:c>
      <x:c r="C5" s="8" t="inlineStr">
        <x:is>
          <x:t xml:space="preserve">自定义</x:t>
        </x:is>
      </x:c>
      <x:c r="D5" s="5" t="inlineStr">
        <x:is>
          <x:t xml:space="preserve">模数 k</x:t>
        </x:is>
      </x:c>
      <x:c r="E5" s="9">
        <x:f>2*B4/SQRT(4*B4^2+B5^2)</x:f>
        <x:v>0.9578262852211513</x:v>
      </x:c>
    </x:row>
    <x:row r="6">
      <x:c r="A6" s="2" t="inlineStr">
        <x:is>
          <x:t xml:space="preserve">积分分段数 n(偶数)</x:t>
        </x:is>
      </x:c>
      <x:c r="B6" s="10" t="n">
        <x:v>400</x:v>
      </x:c>
      <x:c r="C6" s="8" t="inlineStr">
        <x:is>
          <x:t xml:space="preserve">建议 200~800</x:t>
        </x:is>
      </x:c>
      <x:c r="D6" s="5" t="inlineStr">
        <x:is>
          <x:t xml:space="preserve">F(k)=K(k)</x:t>
        </x:is>
      </x:c>
      <x:c r="E6" s="9">
        <x:f>((PI()/(2*$B$6))/3)*SUMPRODUCT($I$12:$I$412,$J$12:$J$412)</x:f>
        <x:v>2.6685602708634293</x:v>
      </x:c>
    </x:row>
    <x:row r="7">
      <x:c r="D7" s="5" t="inlineStr">
        <x:is>
          <x:t xml:space="preserve">E(k)</x:t>
        </x:is>
      </x:c>
      <x:c r="E7" s="9">
        <x:f>((PI()/(2*$B$6))/3)*SUMPRODUCT($I$12:$I$412,$K$12:$K$412)</x:f>
        <x:v>1.090156146087016</x:v>
      </x:c>
    </x:row>
    <x:row r="8">
      <x:c r="A8" s="4" t="inlineStr">
        <x:is>
          <x:t xml:space="preserve">检查提示</x:t>
        </x:is>
      </x:c>
      <x:c r="B8" s="11" t="inlineStr">
        <x:is>
          <x:t xml:space="preserve">当 2R/l 取表 2-1 中数值时，KN 应与“表格校验”页中的公式值接近。</x:t>
        </x:is>
      </x:c>
      <x:c r="D8" s="5" t="inlineStr">
        <x:is>
          <x:t xml:space="preserve">KN</x:t>
        </x:is>
      </x:c>
      <x:c r="E8" s="9">
        <x:f>(((B5*SQRT(4*B4^2+B5^2))/B4^2)*(E6-E7)+((4*SQRT(4*B4^2+B5^2))/B5)*E7-(8*B4/B5))/(3*PI())</x:f>
        <x:v>0.4052688034071925</x:v>
      </x:c>
    </x:row>
    <x:row r="9"/>
    <x:row r="10"/>
    <x:row r="11"/>
    <x:row r="12">
      <x:c r="G12" s="12" t="n">
        <x:v>0</x:v>
      </x:c>
      <x:c r="H12">
        <x:f>G12*PI()/(2*$B$6)</x:f>
        <x:v>0</x:v>
      </x:c>
      <x:c r="I12">
        <x:f>IF(G12&gt;$B$6,0,IF(OR(G12=0,G12=$B$6),1,IF(MOD(G12,2)=1,4,2)))</x:f>
        <x:v>1</x:v>
      </x:c>
      <x:c r="J12">
        <x:f>IF(G12&gt;$B$6,0,1/SQRT(1-($E$5^2)*(SIN(H12)^2)))</x:f>
        <x:v>1</x:v>
      </x:c>
      <x:c r="K12">
        <x:f>IF(G12&gt;$B$6,0,SQRT(1-($E$5^2)*(SIN(H12)^2)))</x:f>
        <x:v>1</x:v>
      </x:c>
    </x:row>
    <x:row r="13">
      <x:c r="G13" s="12" t="n">
        <x:v>1</x:v>
      </x:c>
      <x:c r="H13">
        <x:f>G13*PI()/(2*$B$6)</x:f>
        <x:v>0.003926990816987242</x:v>
      </x:c>
      <x:c r="I13">
        <x:f>IF(G13&gt;$B$6,0,IF(OR(G13=0,G13=$B$6),1,IF(MOD(G13,2)=1,4,2)))</x:f>
        <x:v>4</x:v>
      </x:c>
      <x:c r="J13">
        <x:f>IF(G13&gt;$B$6,0,1/SQRT(1-($E$5^2)*(SIN(H13)^2)))</x:f>
        <x:v>1.0000070740097429</x:v>
      </x:c>
      <x:c r="K13">
        <x:f>IF(G13&gt;$B$6,0,SQRT(1-($E$5^2)*(SIN(H13)^2)))</x:f>
        <x:v>0.9999929260402983</x:v>
      </x:c>
    </x:row>
    <x:row r="14">
      <x:c r="G14" s="12" t="n">
        <x:v>2</x:v>
      </x:c>
      <x:c r="H14">
        <x:f>G14*PI()/(2*$B$6)</x:f>
        <x:v>0.007853981633974483</x:v>
      </x:c>
      <x:c r="I14">
        <x:f>IF(G14&gt;$B$6,0,IF(OR(G14=0,G14=$B$6),1,IF(MOD(G14,2)=1,4,2)))</x:f>
        <x:v>2</x:v>
      </x:c>
      <x:c r="J14">
        <x:f>IF(G14&gt;$B$6,0,1/SQRT(1-($E$5^2)*(SIN(H14)^2)))</x:f>
        <x:v>1.0000282965033642</x:v>
      </x:c>
      <x:c r="K14">
        <x:f>IF(G14&gt;$B$6,0,SQRT(1-($E$5^2)*(SIN(H14)^2)))</x:f>
        <x:v>0.9999717042973052</x:v>
      </x:c>
    </x:row>
    <x:row r="15">
      <x:c r="G15" s="12" t="n">
        <x:v>3</x:v>
      </x:c>
      <x:c r="H15">
        <x:f>G15*PI()/(2*$B$6)</x:f>
        <x:v>0.011780972450961723</x:v>
      </x:c>
      <x:c r="I15">
        <x:f>IF(G15&gt;$B$6,0,IF(OR(G15=0,G15=$B$6),1,IF(MOD(G15,2)=1,4,2)))</x:f>
        <x:v>4</x:v>
      </x:c>
      <x:c r="J15">
        <x:f>IF(G15&gt;$B$6,0,1/SQRT(1-($E$5^2)*(SIN(H15)^2)))</x:f>
        <x:v>1.0000636688741087</x:v>
      </x:c>
      <x:c r="K15">
        <x:f>IF(G15&gt;$B$6,0,SQRT(1-($E$5^2)*(SIN(H15)^2)))</x:f>
        <x:v>0.9999363351793588</x:v>
      </x:c>
    </x:row>
    <x:row r="16">
      <x:c r="G16" s="12" t="n">
        <x:v>4</x:v>
      </x:c>
      <x:c r="H16">
        <x:f>G16*PI()/(2*$B$6)</x:f>
        <x:v>0.015707963267948967</x:v>
      </x:c>
      <x:c r="I16">
        <x:f>IF(G16&gt;$B$6,0,IF(OR(G16=0,G16=$B$6),1,IF(MOD(G16,2)=1,4,2)))</x:f>
        <x:v>2</x:v>
      </x:c>
      <x:c r="J16">
        <x:f>IF(G16&gt;$B$6,0,1/SQRT(1-($E$5^2)*(SIN(H16)^2)))</x:f>
        <x:v>1.0001131934442766</x:v>
      </x:c>
      <x:c r="K16">
        <x:f>IF(G16&gt;$B$6,0,SQRT(1-($E$5^2)*(SIN(H16)^2)))</x:f>
        <x:v>0.999886819367029</x:v>
      </x:c>
    </x:row>
    <x:row r="17">
      <x:c r="G17" s="12" t="n">
        <x:v>5</x:v>
      </x:c>
      <x:c r="H17">
        <x:f>G17*PI()/(2*$B$6)</x:f>
        <x:v>0.019634954084936207</x:v>
      </x:c>
      <x:c r="I17">
        <x:f>IF(G17&gt;$B$6,0,IF(OR(G17=0,G17=$B$6),1,IF(MOD(G17,2)=1,4,2)))</x:f>
        <x:v>4</x:v>
      </x:c>
      <x:c r="J17">
        <x:f>IF(G17&gt;$B$6,0,1/SQRT(1-($E$5^2)*(SIN(H17)^2)))</x:f>
        <x:v>1.000176873465563</x:v>
      </x:c>
      <x:c r="K17">
        <x:f>IF(G17&gt;$B$6,0,SQRT(1-($E$5^2)*(SIN(H17)^2)))</x:f>
        <x:v>0.9998231578131276</x:v>
      </x:c>
    </x:row>
    <x:row r="18">
      <x:c r="G18" s="12" t="n">
        <x:v>6</x:v>
      </x:c>
      <x:c r="H18">
        <x:f>G18*PI()/(2*$B$6)</x:f>
        <x:v>0.023561944901923447</x:v>
      </x:c>
      <x:c r="I18">
        <x:f>IF(G18&gt;$B$6,0,IF(OR(G18=0,G18=$B$6),1,IF(MOD(G18,2)=1,4,2)))</x:f>
        <x:v>2</x:v>
      </x:c>
      <x:c r="J18">
        <x:f>IF(G18&gt;$B$6,0,1/SQRT(1-($E$5^2)*(SIN(H18)^2)))</x:f>
        <x:v>1.00025471311953</x:v>
      </x:c>
      <x:c r="K18">
        <x:f>IF(G18&gt;$B$6,0,SQRT(1-($E$5^2)*(SIN(H18)^2)))</x:f>
        <x:v>0.9997453517427219</x:v>
      </x:c>
    </x:row>
    <x:row r="19">
      <x:c r="G19" s="12" t="n">
        <x:v>7</x:v>
      </x:c>
      <x:c r="H19">
        <x:f>G19*PI()/(2*$B$6)</x:f>
        <x:v>0.02748893571891069</x:v>
      </x:c>
      <x:c r="I19">
        <x:f>IF(G19&gt;$B$6,0,IF(OR(G19=0,G19=$B$6),1,IF(MOD(G19,2)=1,4,2)))</x:f>
        <x:v>4</x:v>
      </x:c>
      <x:c r="J19">
        <x:f>IF(G19&gt;$B$6,0,1/SQRT(1-($E$5^2)*(SIN(H19)^2)))</x:f>
        <x:v>1.000346717518219</x:v>
      </x:c>
      <x:c r="K19">
        <x:f>IF(G19&gt;$B$6,0,SQRT(1-($E$5^2)*(SIN(H19)^2)))</x:f>
        <x:v>0.9996534026531528</x:v>
      </x:c>
    </x:row>
    <x:row r="20">
      <x:c r="G20" s="12" t="n">
        <x:v>8</x:v>
      </x:c>
      <x:c r="H20">
        <x:f>G20*PI()/(2*$B$6)</x:f>
        <x:v>0.031415926535897934</x:v>
      </x:c>
      <x:c r="I20">
        <x:f>IF(G20&gt;$B$6,0,IF(OR(G20=0,G20=$B$6),1,IF(MOD(G20,2)=1,4,2)))</x:f>
        <x:v>2</x:v>
      </x:c>
      <x:c r="J20">
        <x:f>IF(G20&gt;$B$6,0,1/SQRT(1-($E$5^2)*(SIN(H20)^2)))</x:f>
        <x:v>1.0004528927048946</x:v>
      </x:c>
      <x:c r="K20">
        <x:f>IF(G20&gt;$B$6,0,SQRT(1-($E$5^2)*(SIN(H20)^2)))</x:f>
        <x:v>0.999547312314056</x:v>
      </x:c>
    </x:row>
    <x:row r="21">
      <x:c r="G21" s="12" t="n">
        <x:v>9</x:v>
      </x:c>
      <x:c r="H21">
        <x:f>G21*PI()/(2*$B$6)</x:f>
        <x:v>0.035342917352885174</x:v>
      </x:c>
      <x:c r="I21">
        <x:f>IF(G21&gt;$B$6,0,IF(OR(G21=0,G21=$B$6),1,IF(MOD(G21,2)=1,4,2)))</x:f>
        <x:v>4</x:v>
      </x:c>
      <x:c r="J21">
        <x:f>IF(G21&gt;$B$6,0,1/SQRT(1-($E$5^2)*(SIN(H21)^2)))</x:f>
        <x:v>1.0005732456549263</x:v>
      </x:c>
      <x:c r="K21">
        <x:f>IF(G21&gt;$B$6,0,SQRT(1-($E$5^2)*(SIN(H21)^2)))</x:f>
        <x:v>0.9994270827673879</x:v>
      </x:c>
    </x:row>
    <x:row r="22">
      <x:c r="G22" s="12" t="n">
        <x:v>10</x:v>
      </x:c>
      <x:c r="H22">
        <x:f>G22*PI()/(2*$B$6)</x:f>
        <x:v>0.039269908169872414</x:v>
      </x:c>
      <x:c r="I22">
        <x:f>IF(G22&gt;$B$6,0,IF(OR(G22=0,G22=$B$6),1,IF(MOD(G22,2)=1,4,2)))</x:f>
        <x:v>2</x:v>
      </x:c>
      <x:c r="J22">
        <x:f>IF(G22&gt;$B$6,0,1/SQRT(1-($E$5^2)*(SIN(H22)^2)))</x:f>
        <x:v>1.000707784276807</x:v>
      </x:c>
      <x:c r="K22">
        <x:f>IF(G22&gt;$B$6,0,SQRT(1-($E$5^2)*(SIN(H22)^2)))</x:f>
        <x:v>0.9992927163274555</x:v>
      </x:c>
    </x:row>
    <x:row r="23">
      <x:c r="G23" s="12" t="n">
        <x:v>11</x:v>
      </x:c>
      <x:c r="H23">
        <x:f>G23*PI()/(2*$B$6)</x:f>
        <x:v>0.043196898986859654</x:v>
      </x:c>
      <x:c r="I23">
        <x:f>IF(G23&gt;$B$6,0,IF(OR(G23=0,G23=$B$6),1,IF(MOD(G23,2)=1,4,2)))</x:f>
        <x:v>4</x:v>
      </x:c>
      <x:c r="J23">
        <x:f>IF(G23&gt;$B$6,0,1/SQRT(1-($E$5^2)*(SIN(H23)^2)))</x:f>
        <x:v>1.0008565174133068</x:v>
      </x:c>
      <x:c r="K23">
        <x:f>IF(G23&gt;$B$6,0,SQRT(1-($E$5^2)*(SIN(H23)^2)))</x:f>
        <x:v>0.9991442155809501</x:v>
      </x:c>
    </x:row>
    <x:row r="24">
      <x:c r="G24" s="12" t="n">
        <x:v>12</x:v>
      </x:c>
      <x:c r="H24">
        <x:f>G24*PI()/(2*$B$6)</x:f>
        <x:v>0.047123889803846894</x:v>
      </x:c>
      <x:c r="I24">
        <x:f>IF(G24&gt;$B$6,0,IF(OR(G24=0,G24=$B$6),1,IF(MOD(G24,2)=1,4,2)))</x:f>
        <x:v>2</x:v>
      </x:c>
      <x:c r="J24">
        <x:f>IF(G24&gt;$B$6,0,1/SQRT(1-($E$5^2)*(SIN(H24)^2)))</x:f>
        <x:v>1.0010194548427636</x:v>
      </x:c>
      <x:c r="K24">
        <x:f>IF(G24&gt;$B$6,0,SQRT(1-($E$5^2)*(SIN(H24)^2)))</x:f>
        <x:v>0.9989815833869846</x:v>
      </x:c>
    </x:row>
    <x:row r="25">
      <x:c r="G25" s="12" t="n">
        <x:v>13</x:v>
      </x:c>
      <x:c r="H25">
        <x:f>G25*PI()/(2*$B$6)</x:f>
        <x:v>0.05105088062083414</x:v>
      </x:c>
      <x:c r="I25">
        <x:f>IF(G25&gt;$B$6,0,IF(OR(G25=0,G25=$B$6),1,IF(MOD(G25,2)=1,4,2)))</x:f>
        <x:v>4</x:v>
      </x:c>
      <x:c r="J25">
        <x:f>IF(G25&gt;$B$6,0,1/SQRT(1-($E$5^2)*(SIN(H25)^2)))</x:f>
        <x:v>1.0011966072805107</x:v>
      </x:c>
      <x:c r="K25">
        <x:f>IF(G25&gt;$B$6,0,SQRT(1-($E$5^2)*(SIN(H25)^2)))</x:f>
        <x:v>0.9988048228771359</x:v>
      </x:c>
    </x:row>
    <x:row r="26">
      <x:c r="G26" s="12" t="n">
        <x:v>14</x:v>
      </x:c>
      <x:c r="H26">
        <x:f>G26*PI()/(2*$B$6)</x:f>
        <x:v>0.05497787143782138</x:v>
      </x:c>
      <x:c r="I26">
        <x:f>IF(G26&gt;$B$6,0,IF(OR(G26=0,G26=$B$6),1,IF(MOD(G26,2)=1,4,2)))</x:f>
        <x:v>2</x:v>
      </x:c>
      <x:c r="J26">
        <x:f>IF(G26&gt;$B$6,0,1/SQRT(1-($E$5^2)*(SIN(H26)^2)))</x:f>
        <x:v>1.001387986380444</x:v>
      </x:c>
      <x:c r="K26">
        <x:f>IF(G26&gt;$B$6,0,SQRT(1-($E$5^2)*(SIN(H26)^2)))</x:f>
        <x:v>0.9986139374554902</x:v>
      </x:c>
    </x:row>
    <x:row r="27">
      <x:c r="G27" s="12" t="n">
        <x:v>15</x:v>
      </x:c>
      <x:c r="H27">
        <x:f>G27*PI()/(2*$B$6)</x:f>
        <x:v>0.058904862254808614</x:v>
      </x:c>
      <x:c r="I27">
        <x:f>IF(G27&gt;$B$6,0,IF(OR(G27=0,G27=$B$6),1,IF(MOD(G27,2)=1,4,2)))</x:f>
        <x:v>4</x:v>
      </x:c>
      <x:c r="J27">
        <x:f>IF(G27&gt;$B$6,0,1/SQRT(1-($E$5^2)*(SIN(H27)^2)))</x:f>
        <x:v>1.0015936047367224</x:v>
      </x:c>
      <x:c r="K27">
        <x:f>IF(G27&gt;$B$6,0,SQRT(1-($E$5^2)*(SIN(H27)^2)))</x:f>
        <x:v>0.9984089307986933</x:v>
      </x:c>
    </x:row>
    <x:row r="28">
      <x:c r="G28" s="12" t="n">
        <x:v>16</x:v>
      </x:c>
      <x:c r="H28">
        <x:f>G28*PI()/(2*$B$6)</x:f>
        <x:v>0.06283185307179587</x:v>
      </x:c>
      <x:c r="I28">
        <x:f>IF(G28&gt;$B$6,0,IF(OR(G28=0,G28=$B$6),1,IF(MOD(G28,2)=1,4,2)))</x:f>
        <x:v>2</x:v>
      </x:c>
      <x:c r="J28">
        <x:f>IF(G28&gt;$B$6,0,1/SQRT(1-($E$5^2)*(SIN(H28)^2)))</x:f>
        <x:v>1.00181347588561</x:v>
      </x:c>
      <x:c r="K28">
        <x:f>IF(G28&gt;$B$6,0,SQRT(1-($E$5^2)*(SIN(H28)^2)))</x:f>
        <x:v>0.9981898068560049</x:v>
      </x:c>
    </x:row>
    <x:row r="29">
      <x:c r="G29" s="12" t="n">
        <x:v>17</x:v>
      </x:c>
      <x:c r="H29">
        <x:f>G29*PI()/(2*$B$6)</x:f>
        <x:v>0.06675884388878311</x:v>
      </x:c>
      <x:c r="I29">
        <x:f>IF(G29&gt;$B$6,0,IF(OR(G29=0,G29=$B$6),1,IF(MOD(G29,2)=1,4,2)))</x:f>
        <x:v>4</x:v>
      </x:c>
      <x:c r="J29">
        <x:f>IF(G29&gt;$B$6,0,1/SQRT(1-($E$5^2)*(SIN(H29)^2)))</x:f>
        <x:v>1.0020476143074566</x:v>
      </x:c>
      <x:c r="K29">
        <x:f>IF(G29&gt;$B$6,0,SQRT(1-($E$5^2)*(SIN(H29)^2)))</x:f>
        <x:v>0.9979565698493562</x:v>
      </x:c>
    </x:row>
    <x:row r="30">
      <x:c r="G30" s="12" t="n">
        <x:v>18</x:v>
      </x:c>
      <x:c r="H30">
        <x:f>G30*PI()/(2*$B$6)</x:f>
        <x:v>0.07068583470577035</x:v>
      </x:c>
      <x:c r="I30">
        <x:f>IF(G30&gt;$B$6,0,IF(OR(G30=0,G30=$B$6),1,IF(MOD(G30,2)=1,4,2)))</x:f>
        <x:v>2</x:v>
      </x:c>
      <x:c r="J30">
        <x:f>IF(G30&gt;$B$6,0,1/SQRT(1-($E$5^2)*(SIN(H30)^2)))</x:f>
        <x:v>1.0022960354288146</x:v>
      </x:c>
      <x:c r="K30">
        <x:f>IF(G30&gt;$B$6,0,SQRT(1-($E$5^2)*(SIN(H30)^2)))</x:f>
        <x:v>0.9977092242734131</x:v>
      </x:c>
    </x:row>
    <x:row r="31">
      <x:c r="G31" s="12" t="n">
        <x:v>19</x:v>
      </x:c>
      <x:c r="H31">
        <x:f>G31*PI()/(2*$B$6)</x:f>
        <x:v>0.07461282552275758</x:v>
      </x:c>
      <x:c r="I31">
        <x:f>IF(G31&gt;$B$6,0,IF(OR(G31=0,G31=$B$6),1,IF(MOD(G31,2)=1,4,2)))</x:f>
        <x:v>4</x:v>
      </x:c>
      <x:c r="J31">
        <x:f>IF(G31&gt;$B$6,0,1/SQRT(1-($E$5^2)*(SIN(H31)^2)))</x:f>
        <x:v>1.0025587556246989</x:v>
      </x:c>
      <x:c r="K31">
        <x:f>IF(G31&gt;$B$6,0,SQRT(1-($E$5^2)*(SIN(H31)^2)))</x:f>
        <x:v>0.9974477748956424</x:v>
      </x:c>
    </x:row>
    <x:row r="32">
      <x:c r="G32" s="12" t="n">
        <x:v>20</x:v>
      </x:c>
      <x:c r="H32">
        <x:f>G32*PI()/(2*$B$6)</x:f>
        <x:v>0.07853981633974483</x:v>
      </x:c>
      <x:c r="I32">
        <x:f>IF(G32&gt;$B$6,0,IF(OR(G32=0,G32=$B$6),1,IF(MOD(G32,2)=1,4,2)))</x:f>
        <x:v>2</x:v>
      </x:c>
      <x:c r="J32">
        <x:f>IF(G32&gt;$B$6,0,1/SQRT(1-($E$5^2)*(SIN(H32)^2)))</x:f>
        <x:v>1.0028357922209838</x:v>
      </x:c>
      <x:c r="K32">
        <x:f>IF(G32&gt;$B$6,0,SQRT(1-($E$5^2)*(SIN(H32)^2)))</x:f>
        <x:v>0.9971722267563831</x:v>
      </x:c>
    </x:row>
    <x:row r="33">
      <x:c r="G33" s="12" t="n">
        <x:v>21</x:v>
      </x:c>
      <x:c r="H33">
        <x:f>G33*PI()/(2*$B$6)</x:f>
        <x:v>0.08246680715673207</x:v>
      </x:c>
      <x:c r="I33">
        <x:f>IF(G33&gt;$B$6,0,IF(OR(G33=0,G33=$B$6),1,IF(MOD(G33,2)=1,4,2)))</x:f>
        <x:v>4</x:v>
      </x:c>
      <x:c r="J33">
        <x:f>IF(G33&gt;$B$6,0,1/SQRT(1-($E$5^2)*(SIN(H33)^2)))</x:f>
        <x:v>1.0031271634969434</x:v>
      </x:c>
      <x:c r="K33">
        <x:f>IF(G33&gt;$B$6,0,SQRT(1-($E$5^2)*(SIN(H33)^2)))</x:f>
        <x:v>0.9968825851689211</x:v>
      </x:c>
    </x:row>
    <x:row r="34">
      <x:c r="G34" s="12" t="n">
        <x:v>22</x:v>
      </x:c>
      <x:c r="H34">
        <x:f>G34*PI()/(2*$B$6)</x:f>
        <x:v>0.08639379797371931</x:v>
      </x:c>
      <x:c r="I34">
        <x:f>IF(G34&gt;$B$6,0,IF(OR(G34=0,G34=$B$6),1,IF(MOD(G34,2)=1,4,2)))</x:f>
        <x:v>2</x:v>
      </x:c>
      <x:c r="J34">
        <x:f>IF(G34&gt;$B$6,0,1/SQRT(1-($E$5^2)*(SIN(H34)^2)))</x:f>
        <x:v>1.00343288868793</x:v>
      </x:c>
      <x:c r="K34">
        <x:f>IF(G34&gt;$B$6,0,SQRT(1-($E$5^2)*(SIN(H34)^2)))</x:f>
        <x:v>0.9965788557195701</x:v>
      </x:c>
    </x:row>
    <x:row r="35">
      <x:c r="G35" s="12" t="n">
        <x:v>23</x:v>
      </x:c>
      <x:c r="H35">
        <x:f>G35*PI()/(2*$B$6)</x:f>
        <x:v>0.09032078879070654</x:v>
      </x:c>
      <x:c r="I35">
        <x:f>IF(G35&gt;$B$6,0,IF(OR(G35=0,G35=$B$6),1,IF(MOD(G35,2)=1,4,2)))</x:f>
        <x:v>4</x:v>
      </x:c>
      <x:c r="J35">
        <x:f>IF(G35&gt;$B$6,0,1/SQRT(1-($E$5^2)*(SIN(H35)^2)))</x:f>
        <x:v>1.0037529879881977</x:v>
      </x:c>
      <x:c r="K35">
        <x:f>IF(G35&gt;$B$6,0,SQRT(1-($E$5^2)*(SIN(H35)^2)))</x:f>
        <x:v>0.9962610442677537</x:v>
      </x:c>
    </x:row>
    <x:row r="36">
      <x:c r="G36" s="12" t="n">
        <x:v>24</x:v>
      </x:c>
      <x:c r="H36">
        <x:f>G36*PI()/(2*$B$6)</x:f>
        <x:v>0.09424777960769379</x:v>
      </x:c>
      <x:c r="I36">
        <x:f>IF(G36&gt;$B$6,0,IF(OR(G36=0,G36=$B$6),1,IF(MOD(G36,2)=1,4,2)))</x:f>
        <x:v>2</x:v>
      </x:c>
      <x:c r="J36">
        <x:f>IF(G36&gt;$B$6,0,1/SQRT(1-($E$5^2)*(SIN(H36)^2)))</x:f>
        <x:v>1.0040874825538664</x:v>
      </x:c>
      <x:c r="K36">
        <x:f>IF(G36&gt;$B$6,0,SQRT(1-($E$5^2)*(SIN(H36)^2)))</x:f>
        <x:v>0.9959291569460961</x:v>
      </x:c>
    </x:row>
    <x:row r="37">
      <x:c r="G37" s="12" t="n">
        <x:v>25</x:v>
      </x:c>
      <x:c r="H37">
        <x:f>G37*PI()/(2*$B$6)</x:f>
        <x:v>0.09817477042468103</x:v>
      </x:c>
      <x:c r="I37">
        <x:f>IF(G37&gt;$B$6,0,IF(OR(G37=0,G37=$B$6),1,IF(MOD(G37,2)=1,4,2)))</x:f>
        <x:v>4</x:v>
      </x:c>
      <x:c r="J37">
        <x:f>IF(G37&gt;$B$6,0,1/SQRT(1-($E$5^2)*(SIN(H37)^2)))</x:f>
        <x:v>1.0044363945060288</x:v>
      </x:c>
      <x:c r="K37">
        <x:f>IF(G37&gt;$B$6,0,SQRT(1-($E$5^2)*(SIN(H37)^2)))</x:f>
        <x:v>0.9955832001605134</x:v>
      </x:c>
    </x:row>
    <x:row r="38">
      <x:c r="G38" s="12" t="n">
        <x:v>26</x:v>
      </x:c>
      <x:c r="H38">
        <x:f>G38*PI()/(2*$B$6)</x:f>
        <x:v>0.10210176124166828</x:v>
      </x:c>
      <x:c r="I38">
        <x:f>IF(G38&gt;$B$6,0,IF(OR(G38=0,G38=$B$6),1,IF(MOD(G38,2)=1,4,2)))</x:f>
        <x:v>2</x:v>
      </x:c>
      <x:c r="J38">
        <x:f>IF(G38&gt;$B$6,0,1/SQRT(1-($E$5^2)*(SIN(H38)^2)))</x:f>
        <x:v>1.0047997469340042</x:v>
      </x:c>
      <x:c r="K38">
        <x:f>IF(G38&gt;$B$6,0,SQRT(1-($E$5^2)*(SIN(H38)^2)))</x:f>
        <x:v>0.9952231805903117</x:v>
      </x:c>
    </x:row>
    <x:row r="39">
      <x:c r="G39" s="12" t="n">
        <x:v>27</x:v>
      </x:c>
      <x:c r="H39">
        <x:f>G39*PI()/(2*$B$6)</x:f>
        <x:v>0.10602875205865551</x:v>
      </x:c>
      <x:c r="I39">
        <x:f>IF(G39&gt;$B$6,0,IF(OR(G39=0,G39=$B$6),1,IF(MOD(G39,2)=1,4,2)))</x:f>
        <x:v>4</x:v>
      </x:c>
      <x:c r="J39">
        <x:f>IF(G39&gt;$B$6,0,1/SQRT(1-($E$5^2)*(SIN(H39)^2)))</x:f>
        <x:v>1.0051775638987335</x:v>
      </x:c>
      <x:c r="K39">
        <x:f>IF(G39&gt;$B$6,0,SQRT(1-($E$5^2)*(SIN(H39)^2)))</x:f>
        <x:v>0.9948491051882897</x:v>
      </x:c>
    </x:row>
    <x:row r="40">
      <x:c r="G40" s="12" t="n">
        <x:v>28</x:v>
      </x:c>
      <x:c r="H40">
        <x:f>G40*PI()/(2*$B$6)</x:f>
        <x:v>0.10995574287564276</x:v>
      </x:c>
      <x:c r="I40">
        <x:f>IF(G40&gt;$B$6,0,IF(OR(G40=0,G40=$B$6),1,IF(MOD(G40,2)=1,4,2)))</x:f>
        <x:v>2</x:v>
      </x:c>
      <x:c r="J40">
        <x:f>IF(G40&gt;$B$6,0,1/SQRT(1-($E$5^2)*(SIN(H40)^2)))</x:f>
        <x:v>1.0055698704363223</x:v>
      </x:c>
      <x:c r="K40">
        <x:f>IF(G40&gt;$B$6,0,SQRT(1-($E$5^2)*(SIN(H40)^2)))</x:f>
        <x:v>0.9944609811808448</x:v>
      </x:c>
    </x:row>
    <x:row r="41">
      <x:c r="G41" s="12" t="n">
        <x:v>29</x:v>
      </x:c>
      <x:c r="H41">
        <x:f>G41*PI()/(2*$B$6)</x:f>
        <x:v>0.11388273369263001</x:v>
      </x:c>
      <x:c r="I41">
        <x:f>IF(G41&gt;$B$6,0,IF(OR(G41=0,G41=$B$6),1,IF(MOD(G41,2)=1,4,2)))</x:f>
        <x:v>4</x:v>
      </x:c>
      <x:c r="J41">
        <x:f>IF(G41&gt;$B$6,0,1/SQRT(1-($E$5^2)*(SIN(H41)^2)))</x:f>
        <x:v>1.0059766925617286</x:v>
      </x:c>
      <x:c r="K41">
        <x:f>IF(G41&gt;$B$6,0,SQRT(1-($E$5^2)*(SIN(H41)^2)))</x:f>
        <x:v>0.9940588160680852</x:v>
      </x:c>
    </x:row>
    <x:row r="42">
      <x:c r="G42" s="12" t="n">
        <x:v>30</x:v>
      </x:c>
      <x:c r="H42">
        <x:f>G42*PI()/(2*$B$6)</x:f>
        <x:v>0.11780972450961723</x:v>
      </x:c>
      <x:c r="I42">
        <x:f>IF(G42&gt;$B$6,0,IF(OR(G42=0,G42=$B$6),1,IF(MOD(G42,2)=1,4,2)))</x:f>
        <x:v>2</x:v>
      </x:c>
      <x:c r="J42">
        <x:f>IF(G42&gt;$B$6,0,1/SQRT(1-($E$5^2)*(SIN(H42)^2)))</x:f>
        <x:v>1.0063980572726</x:v>
      </x:c>
      <x:c r="K42">
        <x:f>IF(G42&gt;$B$6,0,SQRT(1-($E$5^2)*(SIN(H42)^2)))</x:f>
        <x:v>0.9936426176239459</x:v>
      </x:c>
    </x:row>
    <x:row r="43">
      <x:c r="G43" s="12" t="n">
        <x:v>31</x:v>
      </x:c>
      <x:c r="H43">
        <x:f>G43*PI()/(2*$B$6)</x:f>
        <x:v>0.12173671532660447</x:v>
      </x:c>
      <x:c r="I43">
        <x:f>IF(G43&gt;$B$6,0,IF(OR(G43=0,G43=$B$6),1,IF(MOD(G43,2)=1,4,2)))</x:f>
        <x:v>4</x:v>
      </x:c>
      <x:c r="J43">
        <x:f>IF(G43&gt;$B$6,0,1/SQRT(1-($E$5^2)*(SIN(H43)^2)))</x:f>
        <x:v>1.0068339925532566</x:v>
      </x:c>
      <x:c r="K43">
        <x:f>IF(G43&gt;$B$6,0,SQRT(1-($E$5^2)*(SIN(H43)^2)))</x:f>
        <x:v>0.9932123938963104</x:v>
      </x:c>
    </x:row>
    <x:row r="44">
      <x:c r="G44" s="12" t="n">
        <x:v>32</x:v>
      </x:c>
      <x:c r="H44">
        <x:f>G44*PI()/(2*$B$6)</x:f>
        <x:v>0.12566370614359174</x:v>
      </x:c>
      <x:c r="I44">
        <x:f>IF(G44&gt;$B$6,0,IF(OR(G44=0,G44=$B$6),1,IF(MOD(G44,2)=1,4,2)))</x:f>
        <x:v>2</x:v>
      </x:c>
      <x:c r="J44">
        <x:f>IF(G44&gt;$B$6,0,1/SQRT(1-($E$5^2)*(SIN(H44)^2)))</x:f>
        <x:v>1.007284527378826</x:v>
      </x:c>
      <x:c r="K44">
        <x:f>IF(G44&gt;$B$6,0,SQRT(1-($E$5^2)*(SIN(H44)^2)))</x:f>
        <x:v>0.9927681532071362</x:v>
      </x:c>
    </x:row>
    <x:row r="45">
      <x:c r="G45" s="12" t="n">
        <x:v>33</x:v>
      </x:c>
      <x:c r="H45">
        <x:f>G45*PI()/(2*$B$6)</x:f>
        <x:v>0.12959069696057898</x:v>
      </x:c>
      <x:c r="I45">
        <x:f>IF(G45&gt;$B$6,0,IF(OR(G45=0,G45=$B$6),1,IF(MOD(G45,2)=1,4,2)))</x:f>
        <x:v>4</x:v>
      </x:c>
      <x:c r="J45">
        <x:f>IF(G45&gt;$B$6,0,1/SQRT(1-($E$5^2)*(SIN(H45)^2)))</x:f>
        <x:v>1.0077496917195246</x:v>
      </x:c>
      <x:c r="K45">
        <x:f>IF(G45&gt;$B$6,0,SQRT(1-($E$5^2)*(SIN(H45)^2)))</x:f>
        <x:v>0.9923099041525865</x:v>
      </x:c>
    </x:row>
    <x:row r="46">
      <x:c r="G46" s="12" t="n">
        <x:v>34</x:v>
      </x:c>
      <x:c r="H46">
        <x:f>G46*PI()/(2*$B$6)</x:f>
        <x:v>0.13351768777756623</x:v>
      </x:c>
      <x:c r="I46">
        <x:f>IF(G46&gt;$B$6,0,IF(OR(G46=0,G46=$B$6),1,IF(MOD(G46,2)=1,4,2)))</x:f>
        <x:v>2</x:v>
      </x:c>
      <x:c r="J46">
        <x:f>IF(G46&gt;$B$6,0,1/SQRT(1-($E$5^2)*(SIN(H46)^2)))</x:f>
        <x:v>1.0082295165450945</x:v>
      </x:c>
      <x:c r="K46">
        <x:f>IF(G46&gt;$B$6,0,SQRT(1-($E$5^2)*(SIN(H46)^2)))</x:f>
        <x:v>0.991837655603166</x:v>
      </x:c>
    </x:row>
    <x:row r="47">
      <x:c r="G47" s="12" t="n">
        <x:v>35</x:v>
      </x:c>
      <x:c r="H47">
        <x:f>G47*PI()/(2*$B$6)</x:f>
        <x:v>0.13744467859455345</x:v>
      </x:c>
      <x:c r="I47">
        <x:f>IF(G47&gt;$B$6,0,IF(OR(G47=0,G47=$B$6),1,IF(MOD(G47,2)=1,4,2)))</x:f>
        <x:v>4</x:v>
      </x:c>
      <x:c r="J47">
        <x:f>IF(G47&gt;$B$6,0,1/SQRT(1-($E$5^2)*(SIN(H47)^2)))</x:f>
        <x:v>1.008724033829389</x:v>
      </x:c>
      <x:c r="K47">
        <x:f>IF(G47&gt;$B$6,0,SQRT(1-($E$5^2)*(SIN(H47)^2)))</x:f>
        <x:v>0.9913514167038627</x:v>
      </x:c>
    </x:row>
    <x:row r="48">
      <x:c r="G48" s="12" t="n">
        <x:v>36</x:v>
      </x:c>
      <x:c r="H48">
        <x:f>G48*PI()/(2*$B$6)</x:f>
        <x:v>0.1413716694115407</x:v>
      </x:c>
      <x:c r="I48">
        <x:f>IF(G48&gt;$B$6,0,IF(OR(G48=0,G48=$B$6),1,IF(MOD(G48,2)=1,4,2)))</x:f>
        <x:v>2</x:v>
      </x:c>
      <x:c r="J48">
        <x:f>IF(G48&gt;$B$6,0,1/SQRT(1-($E$5^2)*(SIN(H48)^2)))</x:f>
        <x:v>1.0092332765551135</x:v>
      </x:c>
      <x:c r="K48">
        <x:f>IF(G48&gt;$B$6,0,SQRT(1-($E$5^2)*(SIN(H48)^2)))</x:f>
        <x:v>0.9908511968742943</x:v>
      </x:c>
    </x:row>
    <x:row r="49">
      <x:c r="G49" s="12" t="n">
        <x:v>37</x:v>
      </x:c>
      <x:c r="H49">
        <x:f>G49*PI()/(2*$B$6)</x:f>
        <x:v>0.14529866022852794</x:v>
      </x:c>
      <x:c r="I49">
        <x:f>IF(G49&gt;$B$6,0,IF(OR(G49=0,G49=$B$6),1,IF(MOD(G49,2)=1,4,2)))</x:f>
        <x:v>4</x:v>
      </x:c>
      <x:c r="J49">
        <x:f>IF(G49&gt;$B$6,0,1/SQRT(1-($E$5^2)*(SIN(H49)^2)))</x:f>
        <x:v>1.0097572787187201</x:v>
      </x:c>
      <x:c r="K49">
        <x:f>IF(G49&gt;$B$6,0,SQRT(1-($E$5^2)*(SIN(H49)^2)))</x:f>
        <x:v>0.9903370058088602</x:v>
      </x:c>
    </x:row>
    <x:row r="50">
      <x:c r="G50" s="12" t="n">
        <x:v>38</x:v>
      </x:c>
      <x:c r="H50">
        <x:f>G50*PI()/(2*$B$6)</x:f>
        <x:v>0.14922565104551516</x:v>
      </x:c>
      <x:c r="I50">
        <x:f>IF(G50&gt;$B$6,0,IF(OR(G50=0,G50=$B$6),1,IF(MOD(G50,2)=1,4,2)))</x:f>
        <x:v>2</x:v>
      </x:c>
      <x:c r="J50">
        <x:f>IF(G50&gt;$B$6,0,1/SQRT(1-($E$5^2)*(SIN(H50)^2)))</x:f>
        <x:v>1.010296075335458</x:v>
      </x:c>
      <x:c r="K50">
        <x:f>IF(G50&gt;$B$6,0,SQRT(1-($E$5^2)*(SIN(H50)^2)))</x:f>
        <x:v>0.9898088534768985</x:v>
      </x:c>
    </x:row>
    <x:row r="51">
      <x:c r="G51" s="12" t="n">
        <x:v>39</x:v>
      </x:c>
      <x:c r="H51">
        <x:f>G51*PI()/(2*$B$6)</x:f>
        <x:v>0.1531526418625024</x:v>
      </x:c>
      <x:c r="I51">
        <x:f>IF(G51&gt;$B$6,0,IF(OR(G51=0,G51=$B$6),1,IF(MOD(G51,2)=1,4,2)))</x:f>
        <x:v>4</x:v>
      </x:c>
      <x:c r="J51">
        <x:f>IF(G51&gt;$B$6,0,1/SQRT(1-($E$5^2)*(SIN(H51)^2)))</x:f>
        <x:v>1.0108497024445808</x:v>
      </x:c>
      <x:c r="K51">
        <x:f>IF(G51&gt;$B$6,0,SQRT(1-($E$5^2)*(SIN(H51)^2)))</x:f>
        <x:v>0.9892667501228495</x:v>
      </x:c>
    </x:row>
    <x:row r="52">
      <x:c r="G52" s="12" t="n">
        <x:v>40</x:v>
      </x:c>
      <x:c r="H52">
        <x:f>G52*PI()/(2*$B$6)</x:f>
        <x:v>0.15707963267948966</x:v>
      </x:c>
      <x:c r="I52">
        <x:f>IF(G52&gt;$B$6,0,IF(OR(G52=0,G52=$B$6),1,IF(MOD(G52,2)=1,4,2)))</x:f>
        <x:v>2</x:v>
      </x:c>
      <x:c r="J52">
        <x:f>IF(G52&gt;$B$6,0,1/SQRT(1-($E$5^2)*(SIN(H52)^2)))</x:f>
        <x:v>1.0114181971147123</x:v>
      </x:c>
      <x:c r="K52">
        <x:f>IF(G52&gt;$B$6,0,SQRT(1-($E$5^2)*(SIN(H52)^2)))</x:f>
        <x:v>0.9887107062664237</x:v>
      </x:c>
    </x:row>
    <x:row r="53">
      <x:c r="G53" s="12" t="n">
        <x:v>41</x:v>
      </x:c>
      <x:c r="H53">
        <x:f>G53*PI()/(2*$B$6)</x:f>
        <x:v>0.16100662349647687</x:v>
      </x:c>
      <x:c r="I53">
        <x:f>IF(G53&gt;$B$6,0,IF(OR(G53=0,G53=$B$6),1,IF(MOD(G53,2)=1,4,2)))</x:f>
        <x:v>4</x:v>
      </x:c>
      <x:c r="J53">
        <x:f>IF(G53&gt;$B$6,0,1/SQRT(1-($E$5^2)*(SIN(H53)^2)))</x:f>
        <x:v>1.0120015974493701</x:v>
      </x:c>
      <x:c r="K53">
        <x:f>IF(G53&gt;$B$6,0,SQRT(1-($E$5^2)*(SIN(H53)^2)))</x:f>
        <x:v>0.9881407327027756</x:v>
      </x:c>
    </x:row>
    <x:row r="54">
      <x:c r="G54" s="12" t="n">
        <x:v>42</x:v>
      </x:c>
      <x:c r="H54">
        <x:f>G54*PI()/(2*$B$6)</x:f>
        <x:v>0.16493361431346415</x:v>
      </x:c>
      <x:c r="I54">
        <x:f>IF(G54&gt;$B$6,0,IF(OR(G54=0,G54=$B$6),1,IF(MOD(G54,2)=1,4,2)))</x:f>
        <x:v>2</x:v>
      </x:c>
      <x:c r="J54">
        <x:f>IF(G54&gt;$B$6,0,1/SQRT(1-($E$5^2)*(SIN(H54)^2)))</x:f>
        <x:v>1.012599942592653</x:v>
      </x:c>
      <x:c r="K54">
        <x:f>IF(G54&gt;$B$6,0,SQRT(1-($E$5^2)*(SIN(H54)^2)))</x:f>
        <x:v>0.9875568405026844</x:v>
      </x:c>
    </x:row>
    <x:row r="55">
      <x:c r="G55" s="12" t="n">
        <x:v>43</x:v>
      </x:c>
      <x:c r="H55">
        <x:f>G55*PI()/(2*$B$6)</x:f>
        <x:v>0.16886060513045137</x:v>
      </x:c>
      <x:c r="I55">
        <x:f>IF(G55&gt;$B$6,0,IF(OR(G55=0,G55=$B$6),1,IF(MOD(G55,2)=1,4,2)))</x:f>
        <x:v>4</x:v>
      </x:c>
      <x:c r="J55">
        <x:f>IF(G55&gt;$B$6,0,1/SQRT(1-($E$5^2)*(SIN(H55)^2)))</x:f>
        <x:v>1.0132132727350864</x:v>
      </x:c>
      <x:c r="K55">
        <x:f>IF(G55&gt;$B$6,0,SQRT(1-($E$5^2)*(SIN(H55)^2)))</x:f>
        <x:v>0.9869590410127393</x:v>
      </x:c>
    </x:row>
    <x:row r="56">
      <x:c r="G56" s="12" t="n">
        <x:v>44</x:v>
      </x:c>
      <x:c r="H56">
        <x:f>G56*PI()/(2*$B$6)</x:f>
        <x:v>0.17278759594743862</x:v>
      </x:c>
      <x:c r="I56">
        <x:f>IF(G56&gt;$B$6,0,IF(OR(G56=0,G56=$B$6),1,IF(MOD(G56,2)=1,4,2)))</x:f>
        <x:v>2</x:v>
      </x:c>
      <x:c r="J56">
        <x:f>IF(G56&gt;$B$6,0,1/SQRT(1-($E$5^2)*(SIN(H56)^2)))</x:f>
        <x:v>1.0138416291196355</x:v>
      </x:c>
      <x:c r="K56">
        <x:f>IF(G56&gt;$B$6,0,SQRT(1-($E$5^2)*(SIN(H56)^2)))</x:f>
        <x:v>0.9863473458555309</x:v>
      </x:c>
    </x:row>
    <x:row r="57">
      <x:c r="G57" s="12" t="n">
        <x:v>45</x:v>
      </x:c>
      <x:c r="H57">
        <x:f>G57*PI()/(2*$B$6)</x:f>
        <x:v>0.17671458676442586</x:v>
      </x:c>
      <x:c r="I57">
        <x:f>IF(G57&gt;$B$6,0,IF(OR(G57=0,G57=$B$6),1,IF(MOD(G57,2)=1,4,2)))</x:f>
        <x:v>4</x:v>
      </x:c>
      <x:c r="J57">
        <x:f>IF(G57&gt;$B$6,0,1/SQRT(1-($E$5^2)*(SIN(H57)^2)))</x:f>
        <x:v>1.0144850540478798</x:v>
      </x:c>
      <x:c r="K57">
        <x:f>IF(G57&gt;$B$6,0,SQRT(1-($E$5^2)*(SIN(H57)^2)))</x:f>
        <x:v>0.9857217669298496</x:v>
      </x:c>
    </x:row>
    <x:row r="58">
      <x:c r="G58" s="12" t="n">
        <x:v>46</x:v>
      </x:c>
      <x:c r="H58">
        <x:f>G58*PI()/(2*$B$6)</x:f>
        <x:v>0.18064157758141308</x:v>
      </x:c>
      <x:c r="I58">
        <x:f>IF(G58&gt;$B$6,0,IF(OR(G58=0,G58=$B$6),1,IF(MOD(G58,2)=1,4,2)))</x:f>
        <x:v>2</x:v>
      </x:c>
      <x:c r="J58">
        <x:f>IF(G58&gt;$B$6,0,1/SQRT(1-($E$5^2)*(SIN(H58)^2)))</x:f>
        <x:v>1.0151435908863562</x:v>
      </x:c>
      <x:c r="K58">
        <x:f>IF(G58&gt;$B$6,0,SQRT(1-($E$5^2)*(SIN(H58)^2)))</x:f>
        <x:v>0.9850823164108895</x:v>
      </x:c>
    </x:row>
    <x:row r="59">
      <x:c r="G59" s="12" t="n">
        <x:v>47</x:v>
      </x:c>
      <x:c r="H59">
        <x:f>G59*PI()/(2*$B$6)</x:f>
        <x:v>0.18456856839840036</x:v>
      </x:c>
      <x:c r="I59">
        <x:f>IF(G59&gt;$B$6,0,IF(OR(G59=0,G59=$B$6),1,IF(MOD(G59,2)=1,4,2)))</x:f>
        <x:v>4</x:v>
      </x:c>
      <x:c r="J59">
        <x:f>IF(G59&gt;$B$6,0,1/SQRT(1-($E$5^2)*(SIN(H59)^2)))</x:f>
        <x:v>1.0158172840730693</x:v>
      </x:c>
      <x:c r="K59">
        <x:f>IF(G59&gt;$B$6,0,SQRT(1-($E$5^2)*(SIN(H59)^2)))</x:f>
        <x:v>0.9844290067504586</x:v>
      </x:c>
    </x:row>
    <x:row r="60">
      <x:c r="G60" s="12" t="n">
        <x:v>48</x:v>
      </x:c>
      <x:c r="H60">
        <x:f>G60*PI()/(2*$B$6)</x:f>
        <x:v>0.18849555921538758</x:v>
      </x:c>
      <x:c r="I60">
        <x:f>IF(G60&gt;$B$6,0,IF(OR(G60=0,G60=$B$6),1,IF(MOD(G60,2)=1,4,2)))</x:f>
        <x:v>2</x:v>
      </x:c>
      <x:c r="J60">
        <x:f>IF(G60&gt;$B$6,0,1/SQRT(1-($E$5^2)*(SIN(H60)^2)))</x:f>
        <x:v>1.0165061791241712</x:v>
      </x:c>
      <x:c r="K60">
        <x:f>IF(G60&gt;$B$6,0,SQRT(1-($E$5^2)*(SIN(H60)^2)))</x:f>
        <x:v>0.983761850677196</x:v>
      </x:c>
    </x:row>
    <x:row r="61">
      <x:c r="G61" s="12" t="n">
        <x:v>49</x:v>
      </x:c>
      <x:c r="H61">
        <x:f>G61*PI()/(2*$B$6)</x:f>
        <x:v>0.19242255003237482</x:v>
      </x:c>
      <x:c r="I61">
        <x:f>IF(G61&gt;$B$6,0,IF(OR(G61=0,G61=$B$6),1,IF(MOD(G61,2)=1,4,2)))</x:f>
        <x:v>4</x:v>
      </x:c>
      <x:c r="J61">
        <x:f>IF(G61&gt;$B$6,0,1/SQRT(1-($E$5^2)*(SIN(H61)^2)))</x:f>
        <x:v>1.0172103226408131</x:v>
      </x:c>
      <x:c r="K61">
        <x:f>IF(G61&gt;$B$6,0,SQRT(1-($E$5^2)*(SIN(H61)^2)))</x:f>
        <x:v>0.9830808611967947</x:v>
      </x:c>
    </x:row>
    <x:row r="62">
      <x:c r="G62" s="12" t="n">
        <x:v>50</x:v>
      </x:c>
      <x:c r="H62">
        <x:f>G62*PI()/(2*$B$6)</x:f>
        <x:v>0.19634954084936207</x:v>
      </x:c>
      <x:c r="I62">
        <x:f>IF(G62&gt;$B$6,0,IF(OR(G62=0,G62=$B$6),1,IF(MOD(G62,2)=1,4,2)))</x:f>
        <x:v>2</x:v>
      </x:c>
      <x:c r="J62">
        <x:f>IF(G62&gt;$B$6,0,1/SQRT(1-($E$5^2)*(SIN(H62)^2)))</x:f>
        <x:v>1.0179297623161685</x:v>
      </x:c>
      <x:c r="K62">
        <x:f>IF(G62&gt;$B$6,0,SQRT(1-($E$5^2)*(SIN(H62)^2)))</x:f>
        <x:v>0.982386051592232</x:v>
      </x:c>
    </x:row>
    <x:row r="63">
      <x:c r="G63" s="12" t="n">
        <x:v>51</x:v>
      </x:c>
      <x:c r="H63">
        <x:f>G63*PI()/(2*$B$6)</x:f>
        <x:v>0.20027653166634932</x:v>
      </x:c>
      <x:c r="I63">
        <x:f>IF(G63&gt;$B$6,0,IF(OR(G63=0,G63=$B$6),1,IF(MOD(G63,2)=1,4,2)))</x:f>
        <x:v>4</x:v>
      </x:c>
      <x:c r="J63">
        <x:f>IF(G63&gt;$B$6,0,1/SQRT(1-($E$5^2)*(SIN(H63)^2)))</x:f>
        <x:v>1.0186645469426316</x:v>
      </x:c>
      <x:c r="K63">
        <x:f>IF(G63&gt;$B$6,0,SQRT(1-($E$5^2)*(SIN(H63)^2)))</x:f>
        <x:v>0.9816774354240064</x:v>
      </x:c>
    </x:row>
    <x:row r="64">
      <x:c r="G64" s="12" t="n">
        <x:v>52</x:v>
      </x:c>
      <x:c r="H64">
        <x:f>G64*PI()/(2*$B$6)</x:f>
        <x:v>0.20420352248333656</x:v>
      </x:c>
      <x:c r="I64">
        <x:f>IF(G64&gt;$B$6,0,IF(OR(G64=0,G64=$B$6),1,IF(MOD(G64,2)=1,4,2)))</x:f>
        <x:v>2</x:v>
      </x:c>
      <x:c r="J64">
        <x:f>IF(G64&gt;$B$6,0,1/SQRT(1-($E$5^2)*(SIN(H64)^2)))</x:f>
        <x:v>1.0194147264191924</x:v>
      </x:c>
      <x:c r="K64">
        <x:f>IF(G64&gt;$B$6,0,SQRT(1-($E$5^2)*(SIN(H64)^2)))</x:f>
        <x:v>0.9809550265303811</x:v>
      </x:c>
    </x:row>
    <x:row r="65">
      <x:c r="G65" s="12" t="n">
        <x:v>53</x:v>
      </x:c>
      <x:c r="H65">
        <x:f>G65*PI()/(2*$B$6)</x:f>
        <x:v>0.2081305133003238</x:v>
      </x:c>
      <x:c r="I65">
        <x:f>IF(G65&gt;$B$6,0,IF(OR(G65=0,G65=$B$6),1,IF(MOD(G65,2)=1,4,2)))</x:f>
        <x:v>4</x:v>
      </x:c>
      <x:c r="J65">
        <x:f>IF(G65&gt;$B$6,0,1/SQRT(1-($E$5^2)*(SIN(H65)^2)))</x:f>
        <x:v>1.0201803517589882</x:v>
      </x:c>
      <x:c r="K65">
        <x:f>IF(G65&gt;$B$6,0,SQRT(1-($E$5^2)*(SIN(H65)^2)))</x:f>
        <x:v>0.9802188390276353</x:v>
      </x:c>
    </x:row>
    <x:row r="66">
      <x:c r="G66" s="12" t="n">
        <x:v>54</x:v>
      </x:c>
      <x:c r="H66">
        <x:f>G66*PI()/(2*$B$6)</x:f>
        <x:v>0.21205750411731103</x:v>
      </x:c>
      <x:c r="I66">
        <x:f>IF(G66&gt;$B$6,0,IF(OR(G66=0,G66=$B$6),1,IF(MOD(G66,2)=1,4,2)))</x:f>
        <x:v>2</x:v>
      </x:c>
      <x:c r="J66">
        <x:f>IF(G66&gt;$B$6,0,1/SQRT(1-($E$5^2)*(SIN(H66)^2)))</x:f>
        <x:v>1.0209614750970373</x:v>
      </x:c>
      <x:c r="K66">
        <x:f>IF(G66&gt;$B$6,0,SQRT(1-($E$5^2)*(SIN(H66)^2)))</x:f>
        <x:v>0.9794688873103218</x:v>
      </x:c>
    </x:row>
    <x:row r="67">
      <x:c r="G67" s="12" t="n">
        <x:v>55</x:v>
      </x:c>
      <x:c r="H67">
        <x:f>G67*PI()/(2*$B$6)</x:f>
        <x:v>0.21598449493429828</x:v>
      </x:c>
      <x:c r="I67">
        <x:f>IF(G67&gt;$B$6,0,IF(OR(G67=0,G67=$B$6),1,IF(MOD(G67,2)=1,4,2)))</x:f>
        <x:v>4</x:v>
      </x:c>
      <x:c r="J67">
        <x:f>IF(G67&gt;$B$6,0,1/SQRT(1-($E$5^2)*(SIN(H67)^2)))</x:f>
        <x:v>1.021758149698152</x:v>
      </x:c>
      <x:c r="K67">
        <x:f>IF(G67&gt;$B$6,0,SQRT(1-($E$5^2)*(SIN(H67)^2)))</x:f>
        <x:v>0.978705186051533</x:v>
      </x:c>
    </x:row>
    <x:row r="68">
      <x:c r="G68" s="12" t="n">
        <x:v>56</x:v>
      </x:c>
      <x:c r="H68">
        <x:f>G68*PI()/(2*$B$6)</x:f>
        <x:v>0.21991148575128552</x:v>
      </x:c>
      <x:c r="I68">
        <x:f>IF(G68&gt;$B$6,0,IF(OR(G68=0,G68=$B$6),1,IF(MOD(G68,2)=1,4,2)))</x:f>
        <x:v>2</x:v>
      </x:c>
      <x:c r="J68">
        <x:f>IF(G68&gt;$B$6,0,1/SQRT(1-($E$5^2)*(SIN(H68)^2)))</x:f>
        <x:v>1.0225704299650367</x:v>
      </x:c>
      <x:c r="K68">
        <x:f>IF(G68&gt;$B$6,0,SQRT(1-($E$5^2)*(SIN(H68)^2)))</x:f>
        <x:v>0.9779277502031734</x:v>
      </x:c>
    </x:row>
    <x:row r="69">
      <x:c r="G69" s="12" t="n">
        <x:v>57</x:v>
      </x:c>
      <x:c r="H69">
        <x:f>G69*PI()/(2*$B$6)</x:f>
        <x:v>0.22383847656827274</x:v>
      </x:c>
      <x:c r="I69">
        <x:f>IF(G69&gt;$B$6,0,IF(OR(G69=0,G69=$B$6),1,IF(MOD(G69,2)=1,4,2)))</x:f>
        <x:v>4</x:v>
      </x:c>
      <x:c r="J69">
        <x:f>IF(G69&gt;$B$6,0,1/SQRT(1-($E$5^2)*(SIN(H69)^2)))</x:f>
        <x:v>1.0233983714465709</x:v>
      </x:c>
      <x:c r="K69">
        <x:f>IF(G69&gt;$B$6,0,SQRT(1-($E$5^2)*(SIN(H69)^2)))</x:f>
        <x:v>0.9771365949962404</x:v>
      </x:c>
    </x:row>
    <x:row r="70">
      <x:c r="G70" s="12" t="n">
        <x:v>58</x:v>
      </x:c>
      <x:c r="H70">
        <x:f>G70*PI()/(2*$B$6)</x:f>
        <x:v>0.22776546738526002</x:v>
      </x:c>
      <x:c r="I70">
        <x:f>IF(G70&gt;$B$6,0,IF(OR(G70=0,G70=$B$6),1,IF(MOD(G70,2)=1,4,2)))</x:f>
        <x:v>2</x:v>
      </x:c>
      <x:c r="J70">
        <x:f>IF(G70&gt;$B$6,0,1/SQRT(1-($E$5^2)*(SIN(H70)^2)))</x:f>
        <x:v>1.0242420308462805</x:v>
      </x:c>
      <x:c r="K70">
        <x:f>IF(G70&gt;$B$6,0,SQRT(1-($E$5^2)*(SIN(H70)^2)))</x:f>
        <x:v>0.9763317359411129</x:v>
      </x:c>
    </x:row>
    <x:row r="71">
      <x:c r="G71" s="12" t="n">
        <x:v>59</x:v>
      </x:c>
      <x:c r="H71">
        <x:f>G71*PI()/(2*$B$6)</x:f>
        <x:v>0.23169245820224724</x:v>
      </x:c>
      <x:c r="I71">
        <x:f>IF(G71&gt;$B$6,0,IF(OR(G71=0,G71=$B$6),1,IF(MOD(G71,2)=1,4,2)))</x:f>
        <x:v>4</x:v>
      </x:c>
      <x:c r="J71">
        <x:f>IF(G71&gt;$B$6,0,1/SQRT(1-($E$5^2)*(SIN(H71)^2)))</x:f>
        <x:v>1.0251014660309976</x:v>
      </x:c>
      <x:c r="K71">
        <x:f>IF(G71&gt;$B$6,0,SQRT(1-($E$5^2)*(SIN(H71)^2)))</x:f>
        <x:v>0.9755131888278475</x:v>
      </x:c>
    </x:row>
    <x:row r="72">
      <x:c r="G72" s="12" t="n">
        <x:v>60</x:v>
      </x:c>
      <x:c r="H72">
        <x:f>G72*PI()/(2*$B$6)</x:f>
        <x:v>0.23561944901923446</x:v>
      </x:c>
      <x:c r="I72">
        <x:f>IF(G72&gt;$B$6,0,IF(OR(G72=0,G72=$B$6),1,IF(MOD(G72,2)=1,4,2)))</x:f>
        <x:v>2</x:v>
      </x:c>
      <x:c r="J72">
        <x:f>IF(G72&gt;$B$6,0,1/SQRT(1-($E$5^2)*(SIN(H72)^2)))</x:f>
        <x:v>1.0259767360397134</x:v>
      </x:c>
      <x:c r="K72">
        <x:f>IF(G72&gt;$B$6,0,SQRT(1-($E$5^2)*(SIN(H72)^2)))</x:f>
        <x:v>0.9746809697264832</x:v>
      </x:c>
    </x:row>
    <x:row r="73">
      <x:c r="G73" s="12" t="n">
        <x:v>61</x:v>
      </x:c>
      <x:c r="H73">
        <x:f>G73*PI()/(2*$B$6)</x:f>
        <x:v>0.23954643983622173</x:v>
      </x:c>
      <x:c r="I73">
        <x:f>IF(G73&gt;$B$6,0,IF(OR(G73=0,G73=$B$6),1,IF(MOD(G73,2)=1,4,2)))</x:f>
        <x:v>4</x:v>
      </x:c>
      <x:c r="J73">
        <x:f>IF(G73&gt;$B$6,0,1/SQRT(1-($E$5^2)*(SIN(H73)^2)))</x:f>
        <x:v>1.0268679010926236</x:v>
      </x:c>
      <x:c r="K73">
        <x:f>IF(G73&gt;$B$6,0,SQRT(1-($E$5^2)*(SIN(H73)^2)))</x:f>
        <x:v>0.9738350949873541</x:v>
      </x:c>
    </x:row>
    <x:row r="74">
      <x:c r="G74" s="12" t="n">
        <x:v>62</x:v>
      </x:c>
      <x:c r="H74">
        <x:f>G74*PI()/(2*$B$6)</x:f>
        <x:v>0.24347343065320895</x:v>
      </x:c>
      <x:c r="I74">
        <x:f>IF(G74&gt;$B$6,0,IF(OR(G74=0,G74=$B$6),1,IF(MOD(G74,2)=1,4,2)))</x:f>
        <x:v>2</x:v>
      </x:c>
      <x:c r="J74">
        <x:f>IF(G74&gt;$B$6,0,1/SQRT(1-($E$5^2)*(SIN(H74)^2)))</x:f>
        <x:v>1.0277750226003708</x:v>
      </x:c>
      <x:c r="K74">
        <x:f>IF(G74&gt;$B$6,0,SQRT(1-($E$5^2)*(SIN(H74)^2)))</x:f>
        <x:v>0.9729755812414108</x:v>
      </x:c>
    </x:row>
    <x:row r="75">
      <x:c r="G75" s="12" t="n">
        <x:v>63</x:v>
      </x:c>
      <x:c r="H75">
        <x:f>G75*PI()/(2*$B$6)</x:f>
        <x:v>0.24740042147019622</x:v>
      </x:c>
      <x:c r="I75">
        <x:f>IF(G75&gt;$B$6,0,IF(OR(G75=0,G75=$B$6),1,IF(MOD(G75,2)=1,4,2)))</x:f>
        <x:v>4</x:v>
      </x:c>
      <x:c r="J75">
        <x:f>IF(G75&gt;$B$6,0,1/SQRT(1-($E$5^2)*(SIN(H75)^2)))</x:f>
        <x:v>1.0286981631734857</x:v>
      </x:c>
      <x:c r="K75">
        <x:f>IF(G75&gt;$B$6,0,SQRT(1-($E$5^2)*(SIN(H75)^2)))</x:f>
        <x:v>0.9721024454005505</x:v>
      </x:c>
    </x:row>
    <x:row r="76">
      <x:c r="G76" s="12" t="n">
        <x:v>64</x:v>
      </x:c>
      <x:c r="H76">
        <x:f>G76*PI()/(2*$B$6)</x:f>
        <x:v>0.25132741228718347</x:v>
      </x:c>
      <x:c r="I76">
        <x:f>IF(G76&gt;$B$6,0,IF(OR(G76=0,G76=$B$6),1,IF(MOD(G76,2)=1,4,2)))</x:f>
        <x:v>2</x:v>
      </x:c>
      <x:c r="J76">
        <x:f>IF(G76&gt;$B$6,0,1/SQRT(1-($E$5^2)*(SIN(H76)^2)))</x:f>
        <x:v>1.029637386632027</x:v>
      </x:c>
      <x:c r="K76">
        <x:f>IF(G76&gt;$B$6,0,SQRT(1-($E$5^2)*(SIN(H76)^2)))</x:f>
        <x:v>0.9712157046579557</x:v>
      </x:c>
    </x:row>
    <x:row r="77">
      <x:c r="G77" s="12" t="n">
        <x:v>65</x:v>
      </x:c>
      <x:c r="H77">
        <x:f>G77*PI()/(2*$B$6)</x:f>
        <x:v>0.2552544031041707</x:v>
      </x:c>
      <x:c r="I77">
        <x:f>IF(G77&gt;$B$6,0,IF(OR(G77=0,G77=$B$6),1,IF(MOD(G77,2)=1,4,2)))</x:f>
        <x:v>4</x:v>
      </x:c>
      <x:c r="J77">
        <x:f>IF(G77&gt;$B$6,0,1/SQRT(1-($E$5^2)*(SIN(H77)^2)))</x:f>
        <x:v>1.0305927580154262</x:v>
      </x:c>
      <x:c r="K77">
        <x:f>IF(G77&gt;$B$6,0,SQRT(1-($E$5^2)*(SIN(H77)^2)))</x:f>
        <x:v>0.970315376488442</x:v>
      </x:c>
    </x:row>
    <x:row r="78">
      <x:c r="G78" s="12" t="n">
        <x:v>66</x:v>
      </x:c>
      <x:c r="H78">
        <x:f>G78*PI()/(2*$B$6)</x:f>
        <x:v>0.25918139392115797</x:v>
      </x:c>
      <x:c r="I78">
        <x:f>IF(G78&gt;$B$6,0,IF(OR(G78=0,G78=$B$6),1,IF(MOD(G78,2)=1,4,2)))</x:f>
        <x:v>2</x:v>
      </x:c>
      <x:c r="J78">
        <x:f>IF(G78&gt;$B$6,0,1/SQRT(1-($E$5^2)*(SIN(H78)^2)))</x:f>
        <x:v>1.031564343592537</x:v>
      </x:c>
      <x:c r="K78">
        <x:f>IF(G78&gt;$B$6,0,SQRT(1-($E$5^2)*(SIN(H78)^2)))</x:f>
        <x:v>0.9694014786488154</x:v>
      </x:c>
    </x:row>
    <x:row r="79">
      <x:c r="G79" s="12" t="n">
        <x:v>67</x:v>
      </x:c>
      <x:c r="H79">
        <x:f>G79*PI()/(2*$B$6)</x:f>
        <x:v>0.2631083847381452</x:v>
      </x:c>
      <x:c r="I79">
        <x:f>IF(G79&gt;$B$6,0,IF(OR(G79=0,G79=$B$6),1,IF(MOD(G79,2)=1,4,2)))</x:f>
        <x:v>4</x:v>
      </x:c>
      <x:c r="J79">
        <x:f>IF(G79&gt;$B$6,0,1/SQRT(1-($E$5^2)*(SIN(H79)^2)))</x:f>
        <x:v>1.0325522108718925</x:v>
      </x:c>
      <x:c r="K79">
        <x:f>IF(G79&gt;$B$6,0,SQRT(1-($E$5^2)*(SIN(H79)^2)))</x:f>
        <x:v>0.9684740291782385</x:v>
      </x:c>
    </x:row>
    <x:row r="80">
      <x:c r="G80" s="12" t="n">
        <x:v>68</x:v>
      </x:c>
      <x:c r="H80">
        <x:f>G80*PI()/(2*$B$6)</x:f>
        <x:v>0.26703537555513246</x:v>
      </x:c>
      <x:c r="I80">
        <x:f>IF(G80&gt;$B$6,0,IF(OR(G80=0,G80=$B$6),1,IF(MOD(G80,2)=1,4,2)))</x:f>
        <x:v>2</x:v>
      </x:c>
      <x:c r="J80">
        <x:f>IF(G80&gt;$B$6,0,1/SQRT(1-($E$5^2)*(SIN(H80)^2)))</x:f>
        <x:v>1.033556428612173</x:v>
      </x:c>
      <x:c r="K80">
        <x:f>IF(G80&gt;$B$6,0,SQRT(1-($E$5^2)*(SIN(H80)^2)))</x:f>
        <x:v>0.9675330463986068</x:v>
      </x:c>
    </x:row>
    <x:row r="81">
      <x:c r="G81" s="12" t="n">
        <x:v>69</x:v>
      </x:c>
      <x:c r="H81">
        <x:f>G81*PI()/(2*$B$6)</x:f>
        <x:v>0.2709623663721197</x:v>
      </x:c>
      <x:c r="I81">
        <x:f>IF(G81&gt;$B$6,0,IF(OR(G81=0,G81=$B$6),1,IF(MOD(G81,2)=1,4,2)))</x:f>
        <x:v>4</x:v>
      </x:c>
      <x:c r="J81">
        <x:f>IF(G81&gt;$B$6,0,1/SQRT(1-($E$5^2)*(SIN(H81)^2)))</x:f>
        <x:v>1.0345770668328862</x:v>
      </x:c>
      <x:c r="K81">
        <x:f>IF(G81&gt;$B$6,0,SQRT(1-($E$5^2)*(SIN(H81)^2)))</x:f>
        <x:v>0.9665785489149342</x:v>
      </x:c>
    </x:row>
    <x:row r="82">
      <x:c r="G82" s="12" t="n">
        <x:v>70</x:v>
      </x:c>
      <x:c r="H82">
        <x:f>G82*PI()/(2*$B$6)</x:f>
        <x:v>0.2748893571891069</x:v>
      </x:c>
      <x:c r="I82">
        <x:f>IF(G82&gt;$B$6,0,IF(OR(G82=0,G82=$B$6),1,IF(MOD(G82,2)=1,4,2)))</x:f>
        <x:v>2</x:v>
      </x:c>
      <x:c r="J82">
        <x:f>IF(G82&gt;$B$6,0,1/SQRT(1-($E$5^2)*(SIN(H82)^2)))</x:f>
        <x:v>1.0356141968252628</x:v>
      </x:c>
      <x:c r="K82">
        <x:f>IF(G82&gt;$B$6,0,SQRT(1-($E$5^2)*(SIN(H82)^2)))</x:f>
        <x:v>0.9656105556157493</x:v>
      </x:c>
    </x:row>
    <x:row r="83">
      <x:c r="G83" s="12" t="n">
        <x:v>71</x:v>
      </x:c>
      <x:c r="H83">
        <x:f>G83*PI()/(2*$B$6)</x:f>
        <x:v>0.2788163480060942</x:v>
      </x:c>
      <x:c r="I83">
        <x:f>IF(G83&gt;$B$6,0,IF(OR(G83=0,G83=$B$6),1,IF(MOD(G83,2)=1,4,2)))</x:f>
        <x:v>4</x:v>
      </x:c>
      <x:c r="J83">
        <x:f>IF(G83&gt;$B$6,0,1/SQRT(1-($E$5^2)*(SIN(H83)^2)))</x:f>
        <x:v>1.0366678911633715</x:v>
      </x:c>
      <x:c r="K83">
        <x:f>IF(G83&gt;$B$6,0,SQRT(1-($E$5^2)*(SIN(H83)^2)))</x:f>
        <x:v>0.9646290856735014</x:v>
      </x:c>
    </x:row>
    <x:row r="84">
      <x:c r="G84" s="12" t="n">
        <x:v>72</x:v>
      </x:c>
      <x:c r="H84">
        <x:f>G84*PI()/(2*$B$6)</x:f>
        <x:v>0.2827433388230814</x:v>
      </x:c>
      <x:c r="I84">
        <x:f>IF(G84&gt;$B$6,0,IF(OR(G84=0,G84=$B$6),1,IF(MOD(G84,2)=1,4,2)))</x:f>
        <x:v>2</x:v>
      </x:c>
      <x:c r="J84">
        <x:f>IF(G84&gt;$B$6,0,1/SQRT(1-($E$5^2)*(SIN(H84)^2)))</x:f>
        <x:v>1.0377382237154533</x:v>
      </x:c>
      <x:c r="K84">
        <x:f>IF(G84&gt;$B$6,0,SQRT(1-($E$5^2)*(SIN(H84)^2)))</x:f>
        <x:v>0.963634158544977</x:v>
      </x:c>
    </x:row>
    <x:row r="85">
      <x:c r="G85" s="12" t="n">
        <x:v>73</x:v>
      </x:c>
      <x:c r="H85">
        <x:f>G85*PI()/(2*$B$6)</x:f>
        <x:v>0.2866703296400686</x:v>
      </x:c>
      <x:c r="I85">
        <x:f>IF(G85&gt;$B$6,0,IF(OR(G85=0,G85=$B$6),1,IF(MOD(G85,2)=1,4,2)))</x:f>
        <x:v>4</x:v>
      </x:c>
      <x:c r="J85">
        <x:f>IF(G85&gt;$B$6,0,1/SQRT(1-($E$5^2)*(SIN(H85)^2)))</x:f>
        <x:v>1.03882526965548</x:v>
      </x:c>
      <x:c r="K85">
        <x:f>IF(G85&gt;$B$6,0,SQRT(1-($E$5^2)*(SIN(H85)^2)))</x:f>
        <x:v>0.9626257939717272</x:v>
      </x:c>
    </x:row>
    <x:row r="86">
      <x:c r="G86" s="12" t="n">
        <x:v>74</x:v>
      </x:c>
      <x:c r="H86">
        <x:f>G86*PI()/(2*$B$6)</x:f>
        <x:v>0.2905973204570559</x:v>
      </x:c>
      <x:c r="I86">
        <x:f>IF(G86&gt;$B$6,0,IF(OR(G86=0,G86=$B$6),1,IF(MOD(G86,2)=1,4,2)))</x:f>
        <x:v>2</x:v>
      </x:c>
      <x:c r="J86">
        <x:f>IF(G86&gt;$B$6,0,1/SQRT(1-($E$5^2)*(SIN(H86)^2)))</x:f>
        <x:v>1.039929105474939</x:v>
      </x:c>
      <x:c r="K86">
        <x:f>IF(G86&gt;$B$6,0,SQRT(1-($E$5^2)*(SIN(H86)^2)))</x:f>
        <x:v>0.9616040119805058</x:v>
      </x:c>
    </x:row>
    <x:row r="87">
      <x:c r="G87" s="12" t="n">
        <x:v>75</x:v>
      </x:c>
      <x:c r="H87">
        <x:f>G87*PI()/(2*$B$6)</x:f>
        <x:v>0.2945243112740431</x:v>
      </x:c>
      <x:c r="I87">
        <x:f>IF(G87&gt;$B$6,0,IF(OR(G87=0,G87=$B$6),1,IF(MOD(G87,2)=1,4,2)))</x:f>
        <x:v>4</x:v>
      </x:c>
      <x:c r="J87">
        <x:f>IF(G87&gt;$B$6,0,1/SQRT(1-($E$5^2)*(SIN(H87)^2)))</x:f>
        <x:v>1.0410498089948486</x:v>
      </x:c>
      <x:c r="K87">
        <x:f>IF(G87&gt;$B$6,0,SQRT(1-($E$5^2)*(SIN(H87)^2)))</x:f>
        <x:v>0.9605688328837187</x:v>
      </x:c>
    </x:row>
    <x:row r="88">
      <x:c r="G88" s="12" t="n">
        <x:v>76</x:v>
      </x:c>
      <x:c r="H88">
        <x:f>G88*PI()/(2*$B$6)</x:f>
        <x:v>0.2984513020910303</x:v>
      </x:c>
      <x:c r="I88">
        <x:f>IF(G88&gt;$B$6,0,IF(OR(G88=0,G88=$B$6),1,IF(MOD(G88,2)=1,4,2)))</x:f>
        <x:v>2</x:v>
      </x:c>
      <x:c r="J88">
        <x:f>IF(G88&gt;$B$6,0,1/SQRT(1-($E$5^2)*(SIN(H88)^2)))</x:f>
        <x:v>1.042187459378003</x:v>
      </x:c>
      <x:c r="K88">
        <x:f>IF(G88&gt;$B$6,0,SQRT(1-($E$5^2)*(SIN(H88)^2)))</x:f>
        <x:v>0.9595202772798848</x:v>
      </x:c>
    </x:row>
    <x:row r="89">
      <x:c r="G89" s="12" t="n">
        <x:v>77</x:v>
      </x:c>
      <x:c r="H89">
        <x:f>G89*PI()/(2*$B$6)</x:f>
        <x:v>0.3023782929080176</x:v>
      </x:c>
      <x:c r="I89">
        <x:f>IF(G89&gt;$B$6,0,IF(OR(G89=0,G89=$B$6),1,IF(MOD(G89,2)=1,4,2)))</x:f>
        <x:v>4</x:v>
      </x:c>
      <x:c r="J89">
        <x:f>IF(G89&gt;$B$6,0,1/SQRT(1-($E$5^2)*(SIN(H89)^2)))</x:f>
        <x:v>1.0433421371414553</x:v>
      </x:c>
      <x:c r="K89">
        <x:f>IF(G89&gt;$B$6,0,SQRT(1-($E$5^2)*(SIN(H89)^2)))</x:f>
        <x:v>0.9584583660541077</x:v>
      </x:c>
    </x:row>
    <x:row r="90">
      <x:c r="G90" s="12" t="n">
        <x:v>78</x:v>
      </x:c>
      <x:c r="H90">
        <x:f>G90*PI()/(2*$B$6)</x:f>
        <x:v>0.3063052837250048</x:v>
      </x:c>
      <x:c r="I90">
        <x:f>IF(G90&gt;$B$6,0,IF(OR(G90=0,G90=$B$6),1,IF(MOD(G90,2)=1,4,2)))</x:f>
        <x:v>2</x:v>
      </x:c>
      <x:c r="J90">
        <x:f>IF(G90&gt;$B$6,0,1/SQRT(1-($E$5^2)*(SIN(H90)^2)))</x:f>
        <x:v>1.044513924169237</x:v>
      </x:c>
      <x:c r="K90">
        <x:f>IF(G90&gt;$B$6,0,SQRT(1-($E$5^2)*(SIN(H90)^2)))</x:f>
        <x:v>0.9573831203785612</x:v>
      </x:c>
    </x:row>
    <x:row r="91">
      <x:c r="G91" s="12" t="n">
        <x:v>79</x:v>
      </x:c>
      <x:c r="H91">
        <x:f>G91*PI()/(2*$B$6)</x:f>
        <x:v>0.3102322745419921</x:v>
      </x:c>
      <x:c r="I91">
        <x:f>IF(G91&gt;$B$6,0,IF(OR(G91=0,G91=$B$6),1,IF(MOD(G91,2)=1,4,2)))</x:f>
        <x:v>4</x:v>
      </x:c>
      <x:c r="J91">
        <x:f>IF(G91&gt;$B$6,0,1/SQRT(1-($E$5^2)*(SIN(H91)^2)))</x:f>
        <x:v>1.04570290372532</x:v>
      </x:c>
      <x:c r="K91">
        <x:f>IF(G91&gt;$B$6,0,SQRT(1-($E$5^2)*(SIN(H91)^2)))</x:f>
        <x:v>0.9562945617129844</x:v>
      </x:c>
    </x:row>
    <x:row r="92">
      <x:c r="G92" s="12" t="n">
        <x:v>80</x:v>
      </x:c>
      <x:c r="H92">
        <x:f>G92*PI()/(2*$B$6)</x:f>
        <x:v>0.3141592653589793</x:v>
      </x:c>
      <x:c r="I92">
        <x:f>IF(G92&gt;$B$6,0,IF(OR(G92=0,G92=$B$6),1,IF(MOD(G92,2)=1,4,2)))</x:f>
        <x:v>2</x:v>
      </x:c>
      <x:c r="J92">
        <x:f>IF(G92&gt;$B$6,0,1/SQRT(1-($E$5^2)*(SIN(H92)^2)))</x:f>
        <x:v>1.0469091604668217</x:v>
      </x:c>
      <x:c r="K92">
        <x:f>IF(G92&gt;$B$6,0,SQRT(1-($E$5^2)*(SIN(H92)^2)))</x:f>
        <x:v>0.9551927118051916</x:v>
      </x:c>
    </x:row>
    <x:row r="93">
      <x:c r="G93" s="12" t="n">
        <x:v>81</x:v>
      </x:c>
      <x:c r="H93">
        <x:f>G93*PI()/(2*$B$6)</x:f>
        <x:v>0.31808625617596653</x:v>
      </x:c>
      <x:c r="I93">
        <x:f>IF(G93&gt;$B$6,0,IF(OR(G93=0,G93=$B$6),1,IF(MOD(G93,2)=1,4,2)))</x:f>
        <x:v>4</x:v>
      </x:c>
      <x:c r="J93">
        <x:f>IF(G93&gt;$B$6,0,1/SQRT(1-($E$5^2)*(SIN(H93)^2)))</x:f>
        <x:v>1.0481327804574605</x:v>
      </x:c>
      <x:c r="K93">
        <x:f>IF(G93&gt;$B$6,0,SQRT(1-($E$5^2)*(SIN(H93)^2)))</x:f>
        <x:v>0.9540775926915932</x:v>
      </x:c>
    </x:row>
    <x:row r="94">
      <x:c r="G94" s="12" t="n">
        <x:v>82</x:v>
      </x:c>
      <x:c r="H94">
        <x:f>G94*PI()/(2*$B$6)</x:f>
        <x:v>0.32201324699295375</x:v>
      </x:c>
      <x:c r="I94">
        <x:f>IF(G94&gt;$B$6,0,IF(OR(G94=0,G94=$B$6),1,IF(MOD(G94,2)=1,4,2)))</x:f>
        <x:v>2</x:v>
      </x:c>
      <x:c r="J94">
        <x:f>IF(G94&gt;$B$6,0,1/SQRT(1-($E$5^2)*(SIN(H94)^2)))</x:f>
        <x:v>1.0493738511812587</x:v>
      </x:c>
      <x:c r="K94">
        <x:f>IF(G94&gt;$B$6,0,SQRT(1-($E$5^2)*(SIN(H94)^2)))</x:f>
        <x:v>0.9529492266977307</x:v>
      </x:c>
    </x:row>
    <x:row r="95">
      <x:c r="G95" s="12" t="n">
        <x:v>83</x:v>
      </x:c>
      <x:c r="H95">
        <x:f>G95*PI()/(2*$B$6)</x:f>
        <x:v>0.3259402378099411</x:v>
      </x:c>
      <x:c r="I95">
        <x:f>IF(G95&gt;$B$6,0,IF(OR(G95=0,G95=$B$6),1,IF(MOD(G95,2)=1,4,2)))</x:f>
        <x:v>4</x:v>
      </x:c>
      <x:c r="J95">
        <x:f>IF(G95&gt;$B$6,0,1/SQRT(1-($E$5^2)*(SIN(H95)^2)))</x:f>
        <x:v>1.0506324615565037</x:v>
      </x:c>
      <x:c r="K95">
        <x:f>IF(G95&gt;$B$6,0,SQRT(1-($E$5^2)*(SIN(H95)^2)))</x:f>
        <x:v>0.9518076364388245</x:v>
      </x:c>
    </x:row>
    <x:row r="96">
      <x:c r="G96" s="12" t="n">
        <x:v>84</x:v>
      </x:c>
      <x:c r="H96">
        <x:f>G96*PI()/(2*$B$6)</x:f>
        <x:v>0.3298672286269283</x:v>
      </x:c>
      <x:c r="I96">
        <x:f>IF(G96&gt;$B$6,0,IF(OR(G96=0,G96=$B$6),1,IF(MOD(G96,2)=1,4,2)))</x:f>
        <x:v>2</x:v>
      </x:c>
      <x:c r="J96">
        <x:f>IF(G96&gt;$B$6,0,1/SQRT(1-($E$5^2)*(SIN(H96)^2)))</x:f>
        <x:v>1.051908701949965</x:v>
      </x:c>
      <x:c r="K96">
        <x:f>IF(G96&gt;$B$6,0,SQRT(1-($E$5^2)*(SIN(H96)^2)))</x:f>
        <x:v>0.9506528448203349</x:v>
      </x:c>
    </x:row>
    <x:row r="97">
      <x:c r="G97" s="12" t="n">
        <x:v>85</x:v>
      </x:c>
      <x:c r="H97">
        <x:f>G97*PI()/(2*$B$6)</x:f>
        <x:v>0.3337942194439155</x:v>
      </x:c>
      <x:c r="I97">
        <x:f>IF(G97&gt;$B$6,0,IF(OR(G97=0,G97=$B$6),1,IF(MOD(G97,2)=1,4,2)))</x:f>
        <x:v>4</x:v>
      </x:c>
      <x:c r="J97">
        <x:f>IF(G97&gt;$B$6,0,1/SQRT(1-($E$5^2)*(SIN(H97)^2)))</x:f>
        <x:v>1.0532026641913723</x:v>
      </x:c>
      <x:c r="K97">
        <x:f>IF(G97&gt;$B$6,0,SQRT(1-($E$5^2)*(SIN(H97)^2)))</x:f>
        <x:v>0.9494848750385375</x:v>
      </x:c>
    </x:row>
    <x:row r="98">
      <x:c r="G98" s="12" t="n">
        <x:v>86</x:v>
      </x:c>
      <x:c r="H98">
        <x:f>G98*PI()/(2*$B$6)</x:f>
        <x:v>0.33772121026090274</x:v>
      </x:c>
      <x:c r="I98">
        <x:f>IF(G98&gt;$B$6,0,IF(OR(G98=0,G98=$B$6),1,IF(MOD(G98,2)=1,4,2)))</x:f>
        <x:v>2</x:v>
      </x:c>
      <x:c r="J98">
        <x:f>IF(G98&gt;$B$6,0,1/SQRT(1-($E$5^2)*(SIN(H98)^2)))</x:f>
        <x:v>1.0545144415881595</x:v>
      </x:c>
      <x:c r="K98">
        <x:f>IF(G98&gt;$B$6,0,SQRT(1-($E$5^2)*(SIN(H98)^2)))</x:f>
        <x:v>0.9483037505811133</x:v>
      </x:c>
    </x:row>
    <x:row r="99">
      <x:c r="G99" s="12" t="n">
        <x:v>87</x:v>
      </x:c>
      <x:c r="H99">
        <x:f>G99*PI()/(2*$B$6)</x:f>
        <x:v>0.34164820107788996</x:v>
      </x:c>
      <x:c r="I99">
        <x:f>IF(G99&gt;$B$6,0,IF(OR(G99=0,G99=$B$6),1,IF(MOD(G99,2)=1,4,2)))</x:f>
        <x:v>4</x:v>
      </x:c>
      <x:c r="J99">
        <x:f>IF(G99&gt;$B$6,0,1/SQRT(1-($E$5^2)*(SIN(H99)^2)))</x:f>
        <x:v>1.0558441289404767</x:v>
      </x:c>
      <x:c r="K99">
        <x:f>IF(G99&gt;$B$6,0,SQRT(1-($E$5^2)*(SIN(H99)^2)))</x:f>
        <x:v>0.9471094952277516</x:v>
      </x:c>
    </x:row>
    <x:row r="100">
      <x:c r="G100" s="12" t="n">
        <x:v>88</x:v>
      </x:c>
      <x:c r="H100">
        <x:f>G100*PI()/(2*$B$6)</x:f>
        <x:v>0.34557519189487723</x:v>
      </x:c>
      <x:c r="I100">
        <x:f>IF(G100&gt;$B$6,0,IF(OR(G100=0,G100=$B$6),1,IF(MOD(G100,2)=1,4,2)))</x:f>
        <x:v>2</x:v>
      </x:c>
      <x:c r="J100">
        <x:f>IF(G100&gt;$B$6,0,1/SQRT(1-($E$5^2)*(SIN(H100)^2)))</x:f>
        <x:v>1.057191822556475</x:v>
      </x:c>
      <x:c r="K100">
        <x:f>IF(G100&gt;$B$6,0,SQRT(1-($E$5^2)*(SIN(H100)^2)))</x:f>
        <x:v>0.9459021330507692</x:v>
      </x:c>
    </x:row>
    <x:row r="101">
      <x:c r="G101" s="12" t="n">
        <x:v>89</x:v>
      </x:c>
      <x:c r="H101">
        <x:f>G101*PI()/(2*$B$6)</x:f>
        <x:v>0.3495021827118645</x:v>
      </x:c>
      <x:c r="I101">
        <x:f>IF(G101&gt;$B$6,0,IF(OR(G101=0,G101=$B$6),1,IF(MOD(G101,2)=1,4,2)))</x:f>
        <x:v>4</x:v>
      </x:c>
      <x:c r="J101">
        <x:f>IF(G101&gt;$B$6,0,1/SQRT(1-($E$5^2)*(SIN(H101)^2)))</x:f>
        <x:v>1.0585576202678657</x:v>
      </x:c>
      <x:c r="K101">
        <x:f>IF(G101&gt;$B$6,0,SQRT(1-($E$5^2)*(SIN(H101)^2)))</x:f>
        <x:v>0.9446816884157446</x:v>
      </x:c>
    </x:row>
    <x:row r="102">
      <x:c r="G102" s="12" t="n">
        <x:v>90</x:v>
      </x:c>
      <x:c r="H102">
        <x:f>G102*PI()/(2*$B$6)</x:f>
        <x:v>0.3534291735288517</x:v>
      </x:c>
      <x:c r="I102">
        <x:f>IF(G102&gt;$B$6,0,IF(OR(G102=0,G102=$B$6),1,IF(MOD(G102,2)=1,4,2)))</x:f>
        <x:v>2</x:v>
      </x:c>
      <x:c r="J102">
        <x:f>IF(G102&gt;$B$6,0,1/SQRT(1-($E$5^2)*(SIN(H102)^2)))</x:f>
        <x:v>1.0599416214457609</x:v>
      </x:c>
      <x:c r="K102">
        <x:f>IF(G102&gt;$B$6,0,SQRT(1-($E$5^2)*(SIN(H102)^2)))</x:f>
        <x:v>0.9434481859821671</x:v>
      </x:c>
    </x:row>
    <x:row r="103">
      <x:c r="G103" s="12" t="n">
        <x:v>91</x:v>
      </x:c>
      <x:c r="H103">
        <x:f>G103*PI()/(2*$B$6)</x:f>
        <x:v>0.35735616434583894</x:v>
      </x:c>
      <x:c r="I103">
        <x:f>IF(G103&gt;$B$6,0,IF(OR(G103=0,G103=$B$6),1,IF(MOD(G103,2)=1,4,2)))</x:f>
        <x:v>4</x:v>
      </x:c>
      <x:c r="J103">
        <x:f>IF(G103&gt;$B$6,0,1/SQRT(1-($E$5^2)*(SIN(H103)^2)))</x:f>
        <x:v>1.0613439270167975</x:v>
      </x:c>
      <x:c r="K103">
        <x:f>IF(G103&gt;$B$6,0,SQRT(1-($E$5^2)*(SIN(H103)^2)))</x:f>
        <x:v>0.9422016507041016</x:v>
      </x:c>
    </x:row>
    <x:row r="104">
      <x:c r="G104" s="12" t="n">
        <x:v>92</x:v>
      </x:c>
      <x:c r="H104">
        <x:f>G104*PI()/(2*$B$6)</x:f>
        <x:v>0.36128315516282616</x:v>
      </x:c>
      <x:c r="I104">
        <x:f>IF(G104&gt;$B$6,0,IF(OR(G104=0,G104=$B$6),1,IF(MOD(G104,2)=1,4,2)))</x:f>
        <x:v>2</x:v>
      </x:c>
      <x:c r="J104">
        <x:f>IF(G104&gt;$B$6,0,1/SQRT(1-($E$5^2)*(SIN(H104)^2)))</x:f>
        <x:v>1.062764639479547</x:v>
      </x:c>
      <x:c r="K104">
        <x:f>IF(G104&gt;$B$6,0,SQRT(1-($E$5^2)*(SIN(H104)^2)))</x:f>
        <x:v>0.9409421078308705</x:v>
      </x:c>
    </x:row>
    <x:row r="105">
      <x:c r="G105" s="12" t="n">
        <x:v>93</x:v>
      </x:c>
      <x:c r="H105">
        <x:f>G105*PI()/(2*$B$6)</x:f>
        <x:v>0.36521014597981344</x:v>
      </x:c>
      <x:c r="I105">
        <x:f>IF(G105&gt;$B$6,0,IF(OR(G105=0,G105=$B$6),1,IF(MOD(G105,2)=1,4,2)))</x:f>
        <x:v>4</x:v>
      </x:c>
      <x:c r="J105">
        <x:f>IF(G105&gt;$B$6,0,1/SQRT(1-($E$5^2)*(SIN(H105)^2)))</x:f>
        <x:v>1.0642038629212187</x:v>
      </x:c>
      <x:c r="K105">
        <x:f>IF(G105&gt;$B$6,0,SQRT(1-($E$5^2)*(SIN(H105)^2)))</x:f>
        <x:v>0.9396695829077519</x:v>
      </x:c>
    </x:row>
    <x:row r="106">
      <x:c r="G106" s="12" t="n">
        <x:v>94</x:v>
      </x:c>
      <x:c r="H106">
        <x:f>G106*PI()/(2*$B$6)</x:f>
        <x:v>0.3691371367968007</x:v>
      </x:c>
      <x:c r="I106">
        <x:f>IF(G106&gt;$B$6,0,IF(OR(G106=0,G106=$B$6),1,IF(MOD(G106,2)=1,4,2)))</x:f>
        <x:v>2</x:v>
      </x:c>
      <x:c r="J106">
        <x:f>IF(G106&gt;$B$6,0,1/SQRT(1-($E$5^2)*(SIN(H106)^2)))</x:f>
        <x:v>1.065661703034659</x:v>
      </x:c>
      <x:c r="K106">
        <x:f>IF(G106&gt;$B$6,0,SQRT(1-($E$5^2)*(SIN(H106)^2)))</x:f>
        <x:v>0.9383841017766936</x:v>
      </x:c>
    </x:row>
    <x:row r="107">
      <x:c r="G107" s="12" t="n">
        <x:v>95</x:v>
      </x:c>
      <x:c r="H107">
        <x:f>G107*PI()/(2*$B$6)</x:f>
        <x:v>0.37306412761378793</x:v>
      </x:c>
      <x:c r="I107">
        <x:f>IF(G107&gt;$B$6,0,IF(OR(G107=0,G107=$B$6),1,IF(MOD(G107,2)=1,4,2)))</x:f>
        <x:v>4</x:v>
      </x:c>
      <x:c r="J107">
        <x:f>IF(G107&gt;$B$6,0,1/SQRT(1-($E$5^2)*(SIN(H107)^2)))</x:f>
        <x:v>1.0671382671356469</x:v>
      </x:c>
      <x:c r="K107">
        <x:f>IF(G107&gt;$B$6,0,SQRT(1-($E$5^2)*(SIN(H107)^2)))</x:f>
        <x:v>0.9370856905770462</x:v>
      </x:c>
    </x:row>
    <x:row r="108">
      <x:c r="G108" s="12" t="n">
        <x:v>96</x:v>
      </x:c>
      <x:c r="H108">
        <x:f>G108*PI()/(2*$B$6)</x:f>
        <x:v>0.37699111843077515</x:v>
      </x:c>
      <x:c r="I108">
        <x:f>IF(G108&gt;$B$6,0,IF(OR(G108=0,G108=$B$6),1,IF(MOD(G108,2)=1,4,2)))</x:f>
        <x:v>2</x:v>
      </x:c>
      <x:c r="J108">
        <x:f>IF(G108&gt;$B$6,0,1/SQRT(1-($E$5^2)*(SIN(H108)^2)))</x:f>
        <x:v>1.0686336641804985</x:v>
      </x:c>
      <x:c r="K108">
        <x:f>IF(G108&gt;$B$6,0,SQRT(1-($E$5^2)*(SIN(H108)^2)))</x:f>
        <x:v>0.935774375746312</x:v>
      </x:c>
    </x:row>
    <x:row r="109">
      <x:c r="G109" s="12" t="n">
        <x:v>97</x:v>
      </x:c>
      <x:c r="H109">
        <x:f>G109*PI()/(2*$B$6)</x:f>
        <x:v>0.3809181092477624</x:v>
      </x:c>
      <x:c r="I109">
        <x:f>IF(G109&gt;$B$6,0,IF(OR(G109=0,G109=$B$6),1,IF(MOD(G109,2)=1,4,2)))</x:f>
        <x:v>4</x:v>
      </x:c>
      <x:c r="J109">
        <x:f>IF(G109&gt;$B$6,0,1/SQRT(1-($E$5^2)*(SIN(H109)^2)))</x:f>
        <x:v>1.0701480047839758</x:v>
      </x:c>
      <x:c r="K109">
        <x:f>IF(G109&gt;$B$6,0,SQRT(1-($E$5^2)*(SIN(H109)^2)))</x:f>
        <x:v>0.934450184020914</x:v>
      </x:c>
    </x:row>
    <x:row r="110">
      <x:c r="G110" s="12" t="n">
        <x:v>98</x:v>
      </x:c>
      <x:c r="H110">
        <x:f>G110*PI()/(2*$B$6)</x:f>
        <x:v>0.38484510006474965</x:v>
      </x:c>
      <x:c r="I110">
        <x:f>IF(G110&gt;$B$6,0,IF(OR(G110=0,G110=$B$6),1,IF(MOD(G110,2)=1,4,2)))</x:f>
        <x:v>2</x:v>
      </x:c>
      <x:c r="J110">
        <x:f>IF(G110&gt;$B$6,0,1/SQRT(1-($E$5^2)*(SIN(H110)^2)))</x:f>
        <x:v>1.0716814012375093</x:v>
      </x:c>
      <x:c r="K110">
        <x:f>IF(G110&gt;$B$6,0,SQRT(1-($E$5^2)*(SIN(H110)^2)))</x:f>
        <x:v>0.9331131424369816</x:v>
      </x:c>
    </x:row>
    <x:row r="111">
      <x:c r="G111" s="12" t="n">
        <x:v>99</x:v>
      </x:c>
      <x:c r="H111">
        <x:f>G111*PI()/(2*$B$6)</x:f>
        <x:v>0.3887720908817369</x:v>
      </x:c>
      <x:c r="I111">
        <x:f>IF(G111&gt;$B$6,0,IF(OR(G111=0,G111=$B$6),1,IF(MOD(G111,2)=1,4,2)))</x:f>
        <x:v>4</x:v>
      </x:c>
      <x:c r="J111">
        <x:f>IF(G111&gt;$B$6,0,1/SQRT(1-($E$5^2)*(SIN(H111)^2)))</x:f>
        <x:v>1.0732339675277387</x:v>
      </x:c>
      <x:c r="K111">
        <x:f>IF(G111&gt;$B$6,0,SQRT(1-($E$5^2)*(SIN(H111)^2)))</x:f>
        <x:v>0.9317632783311567</x:v>
      </x:c>
    </x:row>
    <x:row r="112">
      <x:c r="G112" s="12" t="n">
        <x:v>100</x:v>
      </x:c>
      <x:c r="H112">
        <x:f>G112*PI()/(2*$B$6)</x:f>
        <x:v>0.39269908169872414</x:v>
      </x:c>
      <x:c r="I112">
        <x:f>IF(G112&gt;$B$6,0,IF(OR(G112=0,G112=$B$6),1,IF(MOD(G112,2)=1,4,2)))</x:f>
        <x:v>2</x:v>
      </x:c>
      <x:c r="J112">
        <x:f>IF(G112&gt;$B$6,0,1/SQRT(1-($E$5^2)*(SIN(H112)^2)))</x:f>
        <x:v>1.0748058193553742</x:v>
      </x:c>
      <x:c r="K112">
        <x:f>IF(G112&gt;$B$6,0,SQRT(1-($E$5^2)*(SIN(H112)^2)))</x:f>
        <x:v>0.9304006193414176</x:v>
      </x:c>
    </x:row>
    <x:row r="113">
      <x:c r="G113" s="12" t="n">
        <x:v>101</x:v>
      </x:c>
      <x:c r="H113">
        <x:f>G113*PI()/(2*$B$6)</x:f>
        <x:v>0.39662607251571136</x:v>
      </x:c>
      <x:c r="I113">
        <x:f>IF(G113&gt;$B$6,0,IF(OR(G113=0,G113=$B$6),1,IF(MOD(G113,2)=1,4,2)))</x:f>
        <x:v>4</x:v>
      </x:c>
      <x:c r="J113">
        <x:f>IF(G113&gt;$B$6,0,1/SQRT(1-($E$5^2)*(SIN(H113)^2)))</x:f>
        <x:v>1.0763970741543836</x:v>
      </x:c>
      <x:c r="K113">
        <x:f>IF(G113&gt;$B$6,0,SQRT(1-($E$5^2)*(SIN(H113)^2)))</x:f>
        <x:v>0.9290251934079243</x:v>
      </x:c>
    </x:row>
    <x:row r="114">
      <x:c r="G114" s="12" t="n">
        <x:v>102</x:v>
      </x:c>
      <x:c r="H114">
        <x:f>G114*PI()/(2*$B$6)</x:f>
        <x:v>0.40055306333269863</x:v>
      </x:c>
      <x:c r="I114">
        <x:f>IF(G114&gt;$B$6,0,IF(OR(G114=0,G114=$B$6),1,IF(MOD(G114,2)=1,4,2)))</x:f>
        <x:v>2</x:v>
      </x:c>
      <x:c r="J114">
        <x:f>IF(G114&gt;$B$6,0,1/SQRT(1-($E$5^2)*(SIN(H114)^2)))</x:f>
        <x:v>1.0780078511115105</x:v>
      </x:c>
      <x:c r="K114">
        <x:f>IF(G114&gt;$B$6,0,SQRT(1-($E$5^2)*(SIN(H114)^2)))</x:f>
        <x:v>0.927637028773883</x:v>
      </x:c>
    </x:row>
    <x:row r="115">
      <x:c r="G115" s="12" t="n">
        <x:v>103</x:v>
      </x:c>
      <x:c r="H115">
        <x:f>G115*PI()/(2*$B$6)</x:f>
        <x:v>0.40448005414968585</x:v>
      </x:c>
      <x:c r="I115">
        <x:f>IF(G115&gt;$B$6,0,IF(OR(G115=0,G115=$B$6),1,IF(MOD(G115,2)=1,4,2)))</x:f>
        <x:v>4</x:v>
      </x:c>
      <x:c r="J115">
        <x:f>IF(G115&gt;$B$6,0,1/SQRT(1-($E$5^2)*(SIN(H115)^2)))</x:f>
        <x:v>1.0796382711861288</x:v>
      </x:c>
      <x:c r="K115">
        <x:f>IF(G115&gt;$B$6,0,SQRT(1-($E$5^2)*(SIN(H115)^2)))</x:f>
        <x:v>0.9262361539864317</x:v>
      </x:c>
    </x:row>
    <x:row r="116">
      <x:c r="G116" s="12" t="n">
        <x:v>104</x:v>
      </x:c>
      <x:c r="H116">
        <x:f>G116*PI()/(2*$B$6)</x:f>
        <x:v>0.4084070449666731</x:v>
      </x:c>
      <x:c r="I116">
        <x:f>IF(G116&gt;$B$6,0,IF(OR(G116=0,G116=$B$6),1,IF(MOD(G116,2)=1,4,2)))</x:f>
        <x:v>2</x:v>
      </x:c>
      <x:c r="J116">
        <x:f>IF(G116&gt;$B$6,0,1/SQRT(1-($E$5^2)*(SIN(H116)^2)))</x:f>
        <x:v>1.0812884571304362</x:v>
      </x:c>
      <x:c r="K116">
        <x:f>IF(G116&gt;$B$6,0,SQRT(1-($E$5^2)*(SIN(H116)^2)))</x:f>
        <x:v>0.9248225978975466</x:v>
      </x:c>
    </x:row>
    <x:row r="117">
      <x:c r="G117" s="12" t="n">
        <x:v>105</x:v>
      </x:c>
      <x:c r="H117">
        <x:f>G117*PI()/(2*$B$6)</x:f>
        <x:v>0.41233403578366035</x:v>
      </x:c>
      <x:c r="I117">
        <x:f>IF(G117&gt;$B$6,0,IF(OR(G117=0,G117=$B$6),1,IF(MOD(G117,2)=1,4,2)))</x:f>
        <x:v>4</x:v>
      </x:c>
      <x:c r="J117">
        <x:f>IF(G117&gt;$B$6,0,1/SQRT(1-($E$5^2)*(SIN(H117)^2)))</x:f>
        <x:v>1.0829585335099936</x:v>
      </x:c>
      <x:c r="K117">
        <x:f>IF(G117&gt;$B$6,0,SQRT(1-($E$5^2)*(SIN(H117)^2)))</x:f>
        <x:v>0.9233963896649714</x:v>
      </x:c>
    </x:row>
    <x:row r="118">
      <x:c r="G118" s="12" t="n">
        <x:v>106</x:v>
      </x:c>
      <x:c r="H118">
        <x:f>G118*PI()/(2*$B$6)</x:f>
        <x:v>0.4162610266006476</x:v>
      </x:c>
      <x:c r="I118">
        <x:f>IF(G118&gt;$B$6,0,IF(OR(G118=0,G118=$B$6),1,IF(MOD(G118,2)=1,4,2)))</x:f>
        <x:v>2</x:v>
      </x:c>
      <x:c r="J118">
        <x:f>IF(G118&gt;$B$6,0,1/SQRT(1-($E$5^2)*(SIN(H118)^2)))</x:f>
        <x:v>1.0846486267246147</x:v>
      </x:c>
      <x:c r="K118">
        <x:f>IF(G118&gt;$B$6,0,SQRT(1-($E$5^2)*(SIN(H118)^2)))</x:f>
        <x:v>0.9219575587531662</x:v>
      </x:c>
    </x:row>
    <x:row r="119">
      <x:c r="G119" s="12" t="n">
        <x:v>107</x:v>
      </x:c>
      <x:c r="H119">
        <x:f>G119*PI()/(2*$B$6)</x:f>
        <x:v>0.42018801741763484</x:v>
      </x:c>
      <x:c r="I119">
        <x:f>IF(G119&gt;$B$6,0,IF(OR(G119=0,G119=$B$6),1,IF(MOD(G119,2)=1,4,2)))</x:f>
        <x:v>4</x:v>
      </x:c>
      <x:c r="J119">
        <x:f>IF(G119&gt;$B$6,0,1/SQRT(1-($E$5^2)*(SIN(H119)^2)))</x:f>
        <x:v>1.08635886502961</x:v>
      </x:c>
      <x:c r="K119">
        <x:f>IF(G119&gt;$B$6,0,SQRT(1-($E$5^2)*(SIN(H119)^2)))</x:f>
        <x:v>0.9205061349342823</x:v>
      </x:c>
    </x:row>
    <x:row r="120">
      <x:c r="G120" s="12" t="n">
        <x:v>108</x:v>
      </x:c>
      <x:c r="H120">
        <x:f>G120*PI()/(2*$B$6)</x:f>
        <x:v>0.42411500823462206</x:v>
      </x:c>
      <x:c r="I120">
        <x:f>IF(G120&gt;$B$6,0,IF(OR(G120=0,G120=$B$6),1,IF(MOD(G120,2)=1,4,2)))</x:f>
        <x:v>2</x:v>
      </x:c>
      <x:c r="J120">
        <x:f>IF(G120&gt;$B$6,0,1/SQRT(1-($E$5^2)*(SIN(H120)^2)))</x:f>
        <x:v>1.0880893785573917</x:v>
      </x:c>
      <x:c r="K120">
        <x:f>IF(G120&gt;$B$6,0,SQRT(1-($E$5^2)*(SIN(H120)^2)))</x:f>
        <x:v>0.9190421482891579</x:v>
      </x:c>
    </x:row>
    <x:row r="121">
      <x:c r="G121" s="12" t="n">
        <x:v>109</x:v>
      </x:c>
      <x:c r="H121">
        <x:f>G121*PI()/(2*$B$6)</x:f>
        <x:v>0.4280419990516093</x:v>
      </x:c>
      <x:c r="I121">
        <x:f>IF(G121&gt;$B$6,0,IF(OR(G121=0,G121=$B$6),1,IF(MOD(G121,2)=1,4,2)))</x:f>
        <x:v>4</x:v>
      </x:c>
      <x:c r="J121">
        <x:f>IF(G121&gt;$B$6,0,1/SQRT(1-($E$5^2)*(SIN(H121)^2)))</x:f>
        <x:v>1.0898402993394438</x:v>
      </x:c>
      <x:c r="K121">
        <x:f>IF(G121&gt;$B$6,0,SQRT(1-($E$5^2)*(SIN(H121)^2)))</x:f>
        <x:v>0.9175656292083377</x:v>
      </x:c>
    </x:row>
    <x:row r="122">
      <x:c r="G122" s="12" t="n">
        <x:v>110</x:v>
      </x:c>
      <x:c r="H122">
        <x:f>G122*PI()/(2*$B$6)</x:f>
        <x:v>0.43196898986859655</x:v>
      </x:c>
      <x:c r="I122">
        <x:f>IF(G122&gt;$B$6,0,IF(OR(G122=0,G122=$B$6),1,IF(MOD(G122,2)=1,4,2)))</x:f>
        <x:v>2</x:v>
      </x:c>
      <x:c r="J122">
        <x:f>IF(G122&gt;$B$6,0,1/SQRT(1-($E$5^2)*(SIN(H122)^2)))</x:f>
        <x:v>1.0916117613286633</x:v>
      </x:c>
      <x:c r="K122">
        <x:f>IF(G122&gt;$B$6,0,SQRT(1-($E$5^2)*(SIN(H122)^2)))</x:f>
        <x:v>0.9160766083931182</x:v>
      </x:c>
    </x:row>
    <x:row r="123">
      <x:c r="G123" s="12" t="n">
        <x:v>111</x:v>
      </x:c>
      <x:c r="H123">
        <x:f>G123*PI()/(2*$B$6)</x:f>
        <x:v>0.43589598068558383</x:v>
      </x:c>
      <x:c r="I123">
        <x:f>IF(G123&gt;$B$6,0,IF(OR(G123=0,G123=$B$6),1,IF(MOD(G123,2)=1,4,2)))</x:f>
        <x:v>4</x:v>
      </x:c>
      <x:c r="J123">
        <x:f>IF(G123&gt;$B$6,0,1/SQRT(1-($E$5^2)*(SIN(H123)^2)))</x:f>
        <x:v>1.093403900422076</x:v>
      </x:c>
      <x:c r="K123">
        <x:f>IF(G123&gt;$B$6,0,SQRT(1-($E$5^2)*(SIN(H123)^2)))</x:f>
        <x:v>0.9145751168566162</x:v>
      </x:c>
    </x:row>
    <x:row r="124">
      <x:c r="G124" s="12" t="n">
        <x:v>112</x:v>
      </x:c>
      <x:c r="H124">
        <x:f>G124*PI()/(2*$B$6)</x:f>
        <x:v>0.43982297150257105</x:v>
      </x:c>
      <x:c r="I124">
        <x:f>IF(G124&gt;$B$6,0,IF(OR(G124=0,G124=$B$6),1,IF(MOD(G124,2)=1,4,2)))</x:f>
        <x:v>2</x:v>
      </x:c>
      <x:c r="J124">
        <x:f>IF(G124&gt;$B$6,0,1/SQRT(1-($E$5^2)*(SIN(H124)^2)))</x:f>
        <x:v>1.0952168544839347</x:v>
      </x:c>
      <x:c r="K124">
        <x:f>IF(G124&gt;$B$6,0,SQRT(1-($E$5^2)*(SIN(H124)^2)))</x:f>
        <x:v>0.9130611859248635</x:v>
      </x:c>
    </x:row>
    <x:row r="125">
      <x:c r="G125" s="12" t="n">
        <x:v>113</x:v>
      </x:c>
      <x:c r="H125">
        <x:f>G125*PI()/(2*$B$6)</x:f>
        <x:v>0.44374996231955827</x:v>
      </x:c>
      <x:c r="I125">
        <x:f>IF(G125&gt;$B$6,0,IF(OR(G125=0,G125=$B$6),1,IF(MOD(G125,2)=1,4,2)))</x:f>
        <x:v>4</x:v>
      </x:c>
      <x:c r="J125">
        <x:f>IF(G125&gt;$B$6,0,1/SQRT(1-($E$5^2)*(SIN(H125)^2)))</x:f>
        <x:v>1.0970507633692046</x:v>
      </x:c>
      <x:c r="K125">
        <x:f>IF(G125&gt;$B$6,0,SQRT(1-($E$5^2)*(SIN(H125)^2)))</x:f>
        <x:v>0.9115348472379278</x:v>
      </x:c>
    </x:row>
    <x:row r="126">
      <x:c r="G126" s="12" t="n">
        <x:v>114</x:v>
      </x:c>
      <x:c r="H126">
        <x:f>G126*PI()/(2*$B$6)</x:f>
        <x:v>0.4476769531365455</x:v>
      </x:c>
      <x:c r="I126">
        <x:f>IF(G126&gt;$B$6,0,IF(OR(G126=0,G126=$B$6),1,IF(MOD(G126,2)=1,4,2)))</x:f>
        <x:v>2</x:v>
      </x:c>
      <x:c r="J126">
        <x:f>IF(G126&gt;$B$6,0,1/SQRT(1-($E$5^2)*(SIN(H126)^2)))</x:f>
        <x:v>1.0989057689474409</x:v>
      </x:c>
      <x:c r="K126">
        <x:f>IF(G126&gt;$B$6,0,SQRT(1-($E$5^2)*(SIN(H126)^2)))</x:f>
        <x:v>0.9099961327510591</x:v>
      </x:c>
    </x:row>
    <x:row r="127">
      <x:c r="G127" s="12" t="n">
        <x:v>115</x:v>
      </x:c>
      <x:c r="H127">
        <x:f>G127*PI()/(2*$B$6)</x:f>
        <x:v>0.4516039439535328</x:v>
      </x:c>
      <x:c r="I127">
        <x:f>IF(G127&gt;$B$6,0,IF(OR(G127=0,G127=$B$6),1,IF(MOD(G127,2)=1,4,2)))</x:f>
        <x:v>4</x:v>
      </x:c>
      <x:c r="J127">
        <x:f>IF(G127&gt;$B$6,0,1/SQRT(1-($E$5^2)*(SIN(H127)^2)))</x:f>
        <x:v>1.1007820151270626</x:v>
      </x:c>
      <x:c r="K127">
        <x:f>IF(G127&gt;$B$6,0,SQRT(1-($E$5^2)*(SIN(H127)^2)))</x:f>
        <x:v>0.9084450747358646</x:v>
      </x:c>
    </x:row>
    <x:row r="128">
      <x:c r="G128" s="12" t="n">
        <x:v>116</x:v>
      </x:c>
      <x:c r="H128">
        <x:f>G128*PI()/(2*$B$6)</x:f>
        <x:v>0.45553093477052004</x:v>
      </x:c>
      <x:c r="I128">
        <x:f>IF(G128&gt;$B$6,0,IF(OR(G128=0,G128=$B$6),1,IF(MOD(G128,2)=1,4,2)))</x:f>
        <x:v>2</x:v>
      </x:c>
      <x:c r="J128">
        <x:f>IF(G128&gt;$B$6,0,1/SQRT(1-($E$5^2)*(SIN(H128)^2)))</x:f>
        <x:v>1.1026796478800334</x:v>
      </x:c>
      <x:c r="K128">
        <x:f>IF(G128&gt;$B$6,0,SQRT(1-($E$5^2)*(SIN(H128)^2)))</x:f>
        <x:v>0.9068817057815104</x:v>
      </x:c>
    </x:row>
    <x:row r="129">
      <x:c r="G129" s="12" t="n">
        <x:v>117</x:v>
      </x:c>
      <x:c r="H129">
        <x:f>G129*PI()/(2*$B$6)</x:f>
        <x:v>0.45945792558750725</x:v>
      </x:c>
      <x:c r="I129">
        <x:f>IF(G129&gt;$B$6,0,IF(OR(G129=0,G129=$B$6),1,IF(MOD(G129,2)=1,4,2)))</x:f>
        <x:v>4</x:v>
      </x:c>
      <x:c r="J129">
        <x:f>IF(G129&gt;$B$6,0,1/SQRT(1-($E$5^2)*(SIN(H129)^2)))</x:f>
        <x:v>1.104598815266949</x:v>
      </x:c>
      <x:c r="K129">
        <x:f>IF(G129&gt;$B$6,0,SQRT(1-($E$5^2)*(SIN(H129)^2)))</x:f>
        <x:v>0.9053060587959524</x:v>
      </x:c>
    </x:row>
    <x:row r="130">
      <x:c r="G130" s="12" t="n">
        <x:v>118</x:v>
      </x:c>
      <x:c r="H130">
        <x:f>G130*PI()/(2*$B$6)</x:f>
        <x:v>0.4633849164044945</x:v>
      </x:c>
      <x:c r="I130">
        <x:f>IF(G130&gt;$B$6,0,IF(OR(G130=0,G130=$B$6),1,IF(MOD(G130,2)=1,4,2)))</x:f>
        <x:v>2</x:v>
      </x:c>
      <x:c r="J130">
        <x:f>IF(G130&gt;$B$6,0,1/SQRT(1-($E$5^2)*(SIN(H130)^2)))</x:f>
        <x:v>1.1065396674625414</x:v>
      </x:c>
      <x:c r="K130">
        <x:f>IF(G130&gt;$B$6,0,SQRT(1-($E$5^2)*(SIN(H130)^2)))</x:f>
        <x:v>0.9037181670071959</x:v>
      </x:c>
    </x:row>
    <x:row r="131">
      <x:c r="G131" s="12" t="n">
        <x:v>119</x:v>
      </x:c>
      <x:c r="H131">
        <x:f>G131*PI()/(2*$B$6)</x:f>
        <x:v>0.4673119072214817</x:v>
      </x:c>
      <x:c r="I131">
        <x:f>IF(G131&gt;$B$6,0,IF(OR(G131=0,G131=$B$6),1,IF(MOD(G131,2)=1,4,2)))</x:f>
        <x:v>4</x:v>
      </x:c>
      <x:c r="J131">
        <x:f>IF(G131&gt;$B$6,0,1/SQRT(1-($E$5^2)*(SIN(H131)^2)))</x:f>
        <x:v>1.1085023567816041</x:v>
      </x:c>
      <x:c r="K131">
        <x:f>IF(G131&gt;$B$6,0,SQRT(1-($E$5^2)*(SIN(H131)^2)))</x:f>
        <x:v>0.9021180639645846</x:v>
      </x:c>
    </x:row>
    <x:row r="132">
      <x:c r="G132" s="12" t="n">
        <x:v>120</x:v>
      </x:c>
      <x:c r="H132">
        <x:f>G132*PI()/(2*$B$6)</x:f>
        <x:v>0.4712388980384689</x:v>
      </x:c>
      <x:c r="I132">
        <x:f>IF(G132&gt;$B$6,0,IF(OR(G132=0,G132=$B$6),1,IF(MOD(G132,2)=1,4,2)))</x:f>
        <x:v>2</x:v>
      </x:c>
      <x:c r="J132">
        <x:f>IF(G132&gt;$B$6,0,1/SQRT(1-($E$5^2)*(SIN(H132)^2)))</x:f>
        <x:v>1.110487037705345</x:v>
      </x:c>
      <x:c r="K132">
        <x:f>IF(G132&gt;$B$6,0,SQRT(1-($E$5^2)*(SIN(H132)^2)))</x:f>
        <x:v>0.9005057835401213</x:v>
      </x:c>
    </x:row>
    <x:row r="133">
      <x:c r="G133" s="12" t="n">
        <x:v>121</x:v>
      </x:c>
      <x:c r="H133">
        <x:f>G133*PI()/(2*$B$6)</x:f>
        <x:v>0.47516588885545624</x:v>
      </x:c>
      <x:c r="I133">
        <x:f>IF(G133&gt;$B$6,0,IF(OR(G133=0,G133=$B$6),1,IF(MOD(G133,2)=1,4,2)))</x:f>
        <x:v>4</x:v>
      </x:c>
      <x:c r="J133">
        <x:f>IF(G133&gt;$B$6,0,1/SQRT(1-($E$5^2)*(SIN(H133)^2)))</x:f>
        <x:v>1.1124938669081716</x:v>
      </x:c>
      <x:c r="K133">
        <x:f>IF(G133&gt;$B$6,0,SQRT(1-($E$5^2)*(SIN(H133)^2)))</x:f>
        <x:v>0.8988813599298187</x:v>
      </x:c>
    </x:row>
    <x:row r="134">
      <x:c r="G134" s="12" t="n">
        <x:v>122</x:v>
      </x:c>
      <x:c r="H134">
        <x:f>G134*PI()/(2*$B$6)</x:f>
        <x:v>0.47909287967244346</x:v>
      </x:c>
      <x:c r="I134">
        <x:f>IF(G134&gt;$B$6,0,IF(OR(G134=0,G134=$B$6),1,IF(MOD(G134,2)=1,4,2)))</x:f>
        <x:v>2</x:v>
      </x:c>
      <x:c r="J134">
        <x:f>IF(G134&gt;$B$6,0,1/SQRT(1-($E$5^2)*(SIN(H134)^2)))</x:f>
        <x:v>1.1145230032849174</x:v>
      </x:c>
      <x:c r="K134">
        <x:f>IF(G134&gt;$B$6,0,SQRT(1-($E$5^2)*(SIN(H134)^2)))</x:f>
        <x:v>0.8972448276550818</x:v>
      </x:c>
    </x:row>
    <x:row r="135">
      <x:c r="G135" s="12" t="n">
        <x:v>123</x:v>
      </x:c>
      <x:c r="H135">
        <x:f>G135*PI()/(2*$B$6)</x:f>
        <x:v>0.4830198704894307</x:v>
      </x:c>
      <x:c r="I135">
        <x:f>IF(G135&gt;$B$6,0,IF(OR(G135=0,G135=$B$6),1,IF(MOD(G135,2)=1,4,2)))</x:f>
        <x:v>4</x:v>
      </x:c>
      <x:c r="J135">
        <x:f>IF(G135&gt;$B$6,0,1/SQRT(1-($E$5^2)*(SIN(H135)^2)))</x:f>
        <x:v>1.1165746079785124</x:v>
      </x:c>
      <x:c r="K135">
        <x:f>IF(G135&gt;$B$6,0,SQRT(1-($E$5^2)*(SIN(H135)^2)))</x:f>
        <x:v>0.8955962215641252</x:v>
      </x:c>
    </x:row>
    <x:row r="136">
      <x:c r="G136" s="12" t="n">
        <x:v>124</x:v>
      </x:c>
      <x:c r="H136">
        <x:f>G136*PI()/(2*$B$6)</x:f>
        <x:v>0.4869468613064179</x:v>
      </x:c>
      <x:c r="I136">
        <x:f>IF(G136&gt;$B$6,0,IF(OR(G136=0,G136=$B$6),1,IF(MOD(G136,2)=1,4,2)))</x:f>
        <x:v>2</x:v>
      </x:c>
      <x:c r="J136">
        <x:f>IF(G136&gt;$B$6,0,1/SQRT(1-($E$5^2)*(SIN(H136)^2)))</x:f>
        <x:v>1.1186488444081066</x:v>
      </x:c>
      <x:c r="K136">
        <x:f>IF(G136&gt;$B$6,0,SQRT(1-($E$5^2)*(SIN(H136)^2)))</x:f>
        <x:v>0.8939355768334205</x:v>
      </x:c>
    </x:row>
    <x:row r="137">
      <x:c r="G137" s="12" t="n">
        <x:v>125</x:v>
      </x:c>
      <x:c r="H137">
        <x:f>G137*PI()/(2*$B$6)</x:f>
        <x:v>0.4908738521234051</x:v>
      </x:c>
      <x:c r="I137">
        <x:f>IF(G137&gt;$B$6,0,IF(OR(G137=0,G137=$B$6),1,IF(MOD(G137,2)=1,4,2)))</x:f>
        <x:v>4</x:v>
      </x:c>
      <x:c r="J137">
        <x:f>IF(G137&gt;$B$6,0,1/SQRT(1-($E$5^2)*(SIN(H137)^2)))</x:f>
        <x:v>1.1207458782976518</x:v>
      </x:c>
      <x:c r="K137">
        <x:f>IF(G137&gt;$B$6,0,SQRT(1-($E$5^2)*(SIN(H137)^2)))</x:f>
        <x:v>0.8922629289691809</x:v>
      </x:c>
    </x:row>
    <x:row r="138">
      <x:c r="G138" s="12" t="n">
        <x:v>126</x:v>
      </x:c>
      <x:c r="H138">
        <x:f>G138*PI()/(2*$B$6)</x:f>
        <x:v>0.49480084294039245</x:v>
      </x:c>
      <x:c r="I138">
        <x:f>IF(G138&gt;$B$6,0,IF(OR(G138=0,G138=$B$6),1,IF(MOD(G138,2)=1,4,2)))</x:f>
        <x:v>2</x:v>
      </x:c>
      <x:c r="J138">
        <x:f>IF(G138&gt;$B$6,0,1/SQRT(1-($E$5^2)*(SIN(H138)^2)))</x:f>
        <x:v>1.1228658777049487</x:v>
      </x:c>
      <x:c r="K138">
        <x:f>IF(G138&gt;$B$6,0,SQRT(1-($E$5^2)*(SIN(H138)^2)))</x:f>
        <x:v>0.8905783138088789</x:v>
      </x:c>
    </x:row>
    <x:row r="139">
      <x:c r="G139" s="12" t="n">
        <x:v>127</x:v>
      </x:c>
      <x:c r="H139">
        <x:f>G139*PI()/(2*$B$6)</x:f>
        <x:v>0.49872783375737967</x:v>
      </x:c>
      <x:c r="I139">
        <x:f>IF(G139&gt;$B$6,0,IF(OR(G139=0,G139=$B$6),1,IF(MOD(G139,2)=1,4,2)))</x:f>
        <x:v>4</x:v>
      </x:c>
      <x:c r="J139">
        <x:f>IF(G139&gt;$B$6,0,1/SQRT(1-($E$5^2)*(SIN(H139)^2)))</x:f>
        <x:v>1.1250090130511639</x:v>
      </x:c>
      <x:c r="K139">
        <x:f>IF(G139&gt;$B$6,0,SQRT(1-($E$5^2)*(SIN(H139)^2)))</x:f>
        <x:v>0.8888817675228006</x:v>
      </x:c>
    </x:row>
    <x:row r="140">
      <x:c r="G140" s="12" t="n">
        <x:v>128</x:v>
      </x:c>
      <x:c r="H140">
        <x:f>G140*PI()/(2*$B$6)</x:f>
        <x:v>0.5026548245743669</x:v>
      </x:c>
      <x:c r="I140">
        <x:f>IF(G140&gt;$B$6,0,IF(OR(G140=0,G140=$B$6),1,IF(MOD(G140,2)=1,4,2)))</x:f>
        <x:v>2</x:v>
      </x:c>
      <x:c r="J140">
        <x:f>IF(G140&gt;$B$6,0,1/SQRT(1-($E$5^2)*(SIN(H140)^2)))</x:f>
        <x:v>1.1271754571508266</x:v>
      </x:c>
      <x:c r="K140">
        <x:f>IF(G140&gt;$B$6,0,SQRT(1-($E$5^2)*(SIN(H140)^2)))</x:f>
        <x:v>0.8871733266156367</x:v>
      </x:c>
    </x:row>
    <x:row r="141">
      <x:c r="G141" s="12" t="n">
        <x:v>129</x:v>
      </x:c>
      <x:c r="H141">
        <x:f>G141*PI()/(2*$B$6)</x:f>
        <x:v>0.5065818153913542</x:v>
      </x:c>
      <x:c r="I141">
        <x:f>IF(G141&gt;$B$6,0,IF(OR(G141=0,G141=$B$6),1,IF(MOD(G141,2)=1,4,2)))</x:f>
        <x:v>4</x:v>
      </x:c>
      <x:c r="J141">
        <x:f>IF(G141&gt;$B$6,0,1/SQRT(1-($E$5^2)*(SIN(H141)^2)))</x:f>
        <x:v>1.1293653852423091</x:v>
      </x:c>
      <x:c r="K141">
        <x:f>IF(G141&gt;$B$6,0,SQRT(1-($E$5^2)*(SIN(H141)^2)))</x:f>
        <x:v>0.8854530279281109</x:v>
      </x:c>
    </x:row>
    <x:row r="142">
      <x:c r="G142" s="12" t="n">
        <x:v>130</x:v>
      </x:c>
      <x:c r="H142">
        <x:f>G142*PI()/(2*$B$6)</x:f>
        <x:v>0.5105088062083414</x:v>
      </x:c>
      <x:c r="I142">
        <x:f>IF(G142&gt;$B$6,0,IF(OR(G142=0,G142=$B$6),1,IF(MOD(G142,2)=1,4,2)))</x:f>
        <x:v>2</x:v>
      </x:c>
      <x:c r="J142">
        <x:f>IF(G142&gt;$B$6,0,1/SQRT(1-($E$5^2)*(SIN(H142)^2)))</x:f>
        <x:v>1.131578975018798</x:v>
      </x:c>
      <x:c r="K142">
        <x:f>IF(G142&gt;$B$6,0,SQRT(1-($E$5^2)*(SIN(H142)^2)))</x:f>
        <x:v>0.8837209086386462</x:v>
      </x:c>
    </x:row>
    <x:row r="143">
      <x:c r="G143" s="12" t="n">
        <x:v>131</x:v>
      </x:c>
      <x:c r="H143">
        <x:f>G143*PI()/(2*$B$6)</x:f>
        <x:v>0.5144357970253286</x:v>
      </x:c>
      <x:c r="I143">
        <x:f>IF(G143&gt;$B$6,0,IF(OR(G143=0,G143=$B$6),1,IF(MOD(G143,2)=1,4,2)))</x:f>
        <x:v>4</x:v>
      </x:c>
      <x:c r="J143">
        <x:f>IF(G143&gt;$B$6,0,1/SQRT(1-($E$5^2)*(SIN(H143)^2)))</x:f>
        <x:v>1.1338164066597651</x:v>
      </x:c>
      <x:c r="K143">
        <x:f>IF(G143&gt;$B$6,0,SQRT(1-($E$5^2)*(SIN(H143)^2)))</x:f>
        <x:v>0.881977006265071</x:v>
      </x:c>
    </x:row>
    <x:row r="144">
      <x:c r="G144" s="12" t="n">
        <x:v>132</x:v>
      </x:c>
      <x:c r="H144">
        <x:f>G144*PI()/(2*$B$6)</x:f>
        <x:v>0.5183627878423159</x:v>
      </x:c>
      <x:c r="I144">
        <x:f>IF(G144&gt;$B$6,0,IF(OR(G144=0,G144=$B$6),1,IF(MOD(G144,2)=1,4,2)))</x:f>
        <x:v>2</x:v>
      </x:c>
      <x:c r="J144">
        <x:f>IF(G144&gt;$B$6,0,1/SQRT(1-($E$5^2)*(SIN(H144)^2)))</x:f>
        <x:v>1.1360778628629413</x:v>
      </x:c>
      <x:c r="K144">
        <x:f>IF(G144&gt;$B$6,0,SQRT(1-($E$5^2)*(SIN(H144)^2)))</x:f>
        <x:v>0.8802213586663663</x:v>
      </x:c>
    </x:row>
    <x:row r="145">
      <x:c r="G145" s="12" t="n">
        <x:v>133</x:v>
      </x:c>
      <x:c r="H145">
        <x:f>G145*PI()/(2*$B$6)</x:f>
        <x:v>0.5222897786593031</x:v>
      </x:c>
      <x:c r="I145">
        <x:f>IF(G145&gt;$B$6,0,IF(OR(G145=0,G145=$B$6),1,IF(MOD(G145,2)=1,4,2)))</x:f>
        <x:v>4</x:v>
      </x:c>
      <x:c r="J145">
        <x:f>IF(G145&gt;$B$6,0,1/SQRT(1-($E$5^2)*(SIN(H145)^2)))</x:f>
        <x:v>1.1383635288768028</x:v>
      </x:c>
      <x:c r="K145">
        <x:f>IF(G145&gt;$B$6,0,SQRT(1-($E$5^2)*(SIN(H145)^2)))</x:f>
        <x:v>0.8784540040444523</x:v>
      </x:c>
    </x:row>
    <x:row r="146">
      <x:c r="G146" s="12" t="n">
        <x:v>134</x:v>
      </x:c>
      <x:c r="H146">
        <x:f>G146*PI()/(2*$B$6)</x:f>
        <x:v>0.5262167694762904</x:v>
      </x:c>
      <x:c r="I146">
        <x:f>IF(G146&gt;$B$6,0,IF(OR(G146=0,G146=$B$6),1,IF(MOD(G146,2)=1,4,2)))</x:f>
        <x:v>2</x:v>
      </x:c>
      <x:c r="J146">
        <x:f>IF(G146&gt;$B$6,0,1/SQRT(1-($E$5^2)*(SIN(H146)^2)))</x:f>
        <x:v>1.1406735925335778</x:v>
      </x:c>
      <x:c r="K146">
        <x:f>IF(G146&gt;$B$6,0,SQRT(1-($E$5^2)*(SIN(H146)^2)))</x:f>
        <x:v>0.8766749809460178</x:v>
      </x:c>
    </x:row>
    <x:row r="147">
      <x:c r="G147" s="12" t="n">
        <x:v>135</x:v>
      </x:c>
      <x:c r="H147">
        <x:f>G147*PI()/(2*$B$6)</x:f>
        <x:v>0.5301437602932776</x:v>
      </x:c>
      <x:c r="I147">
        <x:f>IF(G147&gt;$B$6,0,IF(OR(G147=0,G147=$B$6),1,IF(MOD(G147,2)=1,4,2)))</x:f>
        <x:v>4</x:v>
      </x:c>
      <x:c r="J147">
        <x:f>IF(G147&gt;$B$6,0,1/SQRT(1-($E$5^2)*(SIN(H147)^2)))</x:f>
        <x:v>1.1430082442827751</x:v>
      </x:c>
      <x:c r="K147">
        <x:f>IF(G147&gt;$B$6,0,SQRT(1-($E$5^2)*(SIN(H147)^2)))</x:f>
        <x:v>0.874884328264394</x:v>
      </x:c>
    </x:row>
    <x:row r="148">
      <x:c r="G148" s="12" t="n">
        <x:v>136</x:v>
      </x:c>
      <x:c r="H148">
        <x:f>G148*PI()/(2*$B$6)</x:f>
        <x:v>0.5340707511102649</x:v>
      </x:c>
      <x:c r="I148">
        <x:f>IF(G148&gt;$B$6,0,IF(OR(G148=0,G148=$B$6),1,IF(MOD(G148,2)=1,4,2)))</x:f>
        <x:v>2</x:v>
      </x:c>
      <x:c r="J148">
        <x:f>IF(G148&gt;$B$6,0,1/SQRT(1-($E$5^2)*(SIN(H148)^2)))</x:f>
        <x:v>1.1453676772252492</x:v>
      </x:c>
      <x:c r="K148">
        <x:f>IF(G148&gt;$B$6,0,SQRT(1-($E$5^2)*(SIN(H148)^2)))</x:f>
        <x:v>0.8730820852414704</x:v>
      </x:c>
    </x:row>
    <x:row r="149">
      <x:c r="G149" s="12" t="n">
        <x:v>137</x:v>
      </x:c>
      <x:c r="H149">
        <x:f>G149*PI()/(2*$B$6)</x:f>
        <x:v>0.5379977419272521</x:v>
      </x:c>
      <x:c r="I149">
        <x:f>IF(G149&gt;$B$6,0,IF(OR(G149=0,G149=$B$6),1,IF(MOD(G149,2)=1,4,2)))</x:f>
        <x:v>4</x:v>
      </x:c>
      <x:c r="J149">
        <x:f>IF(G149&gt;$B$6,0,1/SQRT(1-($E$5^2)*(SIN(H149)^2)))</x:f>
        <x:v>1.1477520871478033</x:v>
      </x:c>
      <x:c r="K149">
        <x:f>IF(G149&gt;$B$6,0,SQRT(1-($E$5^2)*(SIN(H149)^2)))</x:f>
        <x:v>0.8712682914696576</x:v>
      </x:c>
    </x:row>
    <x:row r="150">
      <x:c r="G150" s="12" t="n">
        <x:v>138</x:v>
      </x:c>
      <x:c r="H150">
        <x:f>G150*PI()/(2*$B$6)</x:f>
        <x:v>0.5419247327442394</x:v>
      </x:c>
      <x:c r="I150">
        <x:f>IF(G150&gt;$B$6,0,IF(OR(G150=0,G150=$B$6),1,IF(MOD(G150,2)=1,4,2)))</x:f>
        <x:v>2</x:v>
      </x:c>
      <x:c r="J150">
        <x:f>IF(G150&gt;$B$6,0,1/SQRT(1-($E$5^2)*(SIN(H150)^2)))</x:f>
        <x:v>1.150161672558338</x:v>
      </x:c>
      <x:c r="K150">
        <x:f>IF(G150&gt;$B$6,0,SQRT(1-($E$5^2)*(SIN(H150)^2)))</x:f>
        <x:v>0.8694429868938955</x:v>
      </x:c>
    </x:row>
    <x:row r="151">
      <x:c r="G151" s="12" t="n">
        <x:v>139</x:v>
      </x:c>
      <x:c r="H151">
        <x:f>G151*PI()/(2*$B$6)</x:f>
        <x:v>0.5458517235612266</x:v>
      </x:c>
      <x:c r="I151">
        <x:f>IF(G151&gt;$B$6,0,IF(OR(G151=0,G151=$B$6),1,IF(MOD(G151,2)=1,4,2)))</x:f>
        <x:v>4</x:v>
      </x:c>
      <x:c r="J151">
        <x:f>IF(G151&gt;$B$6,0,1/SQRT(1-($E$5^2)*(SIN(H151)^2)))</x:f>
        <x:v>1.1525966347215573</x:v>
      </x:c>
      <x:c r="K151">
        <x:f>IF(G151&gt;$B$6,0,SQRT(1-($E$5^2)*(SIN(H151)^2)))</x:f>
        <x:v>0.8676062118137093</x:v>
      </x:c>
    </x:row>
    <x:row r="152">
      <x:c r="G152" s="12" t="n">
        <x:v>140</x:v>
      </x:c>
      <x:c r="H152">
        <x:f>G152*PI()/(2*$B$6)</x:f>
        <x:v>0.5497787143782138</x:v>
      </x:c>
      <x:c r="I152">
        <x:f>IF(G152&gt;$B$6,0,IF(OR(G152=0,G152=$B$6),1,IF(MOD(G152,2)=1,4,2)))</x:f>
        <x:v>2</x:v>
      </x:c>
      <x:c r="J152">
        <x:f>IF(G152&gt;$B$6,0,1/SQRT(1-($E$5^2)*(SIN(H152)^2)))</x:f>
        <x:v>1.1550571776952323</x:v>
      </x:c>
      <x:c r="K152">
        <x:f>IF(G152&gt;$B$6,0,SQRT(1-($E$5^2)*(SIN(H152)^2)))</x:f>
        <x:v>0.8657580068853137</x:v>
      </x:c>
    </x:row>
    <x:row r="153">
      <x:c r="G153" s="12" t="n">
        <x:v>141</x:v>
      </x:c>
      <x:c r="H153">
        <x:f>G153*PI()/(2*$B$6)</x:f>
        <x:v>0.553705705195201</x:v>
      </x:c>
      <x:c r="I153">
        <x:f>IF(G153&gt;$B$6,0,IF(OR(G153=0,G153=$B$6),1,IF(MOD(G153,2)=1,4,2)))</x:f>
        <x:v>4</x:v>
      </x:c>
      <x:c r="J153">
        <x:f>IF(G153&gt;$B$6,0,1/SQRT(1-($E$5^2)*(SIN(H153)^2)))</x:f>
        <x:v>1.1575435083670362</x:v>
      </x:c>
      <x:c r="K153">
        <x:f>IF(G153&gt;$B$6,0,SQRT(1-($E$5^2)*(SIN(H153)^2)))</x:f>
        <x:v>0.8638984131237666</x:v>
      </x:c>
    </x:row>
    <x:row r="154">
      <x:c r="G154" s="12" t="n">
        <x:v>142</x:v>
      </x:c>
      <x:c r="H154">
        <x:f>G154*PI()/(2*$B$6)</x:f>
        <x:v>0.5576326960121883</x:v>
      </x:c>
      <x:c r="I154">
        <x:f>IF(G154&gt;$B$6,0,IF(OR(G154=0,G154=$B$6),1,IF(MOD(G154,2)=1,4,2)))</x:f>
        <x:v>2</x:v>
      </x:c>
      <x:c r="J154">
        <x:f>IF(G154&gt;$B$6,0,1/SQRT(1-($E$5^2)*(SIN(H154)^2)))</x:f>
        <x:v>1.1600558364919515</x:v>
      </x:c>
      <x:c r="K154">
        <x:f>IF(G154&gt;$B$6,0,SQRT(1-($E$5^2)*(SIN(H154)^2)))</x:f>
        <x:v>0.8620274719051749</x:v>
      </x:c>
    </x:row>
    <x:row r="155">
      <x:c r="G155" s="12" t="n">
        <x:v>143</x:v>
      </x:c>
      <x:c r="H155">
        <x:f>G155*PI()/(2*$B$6)</x:f>
        <x:v>0.5615596868291756</x:v>
      </x:c>
      <x:c r="I155">
        <x:f>IF(G155&gt;$B$6,0,IF(OR(G155=0,G155=$B$6),1,IF(MOD(G155,2)=1,4,2)))</x:f>
        <x:v>4</x:v>
      </x:c>
      <x:c r="J155">
        <x:f>IF(G155&gt;$B$6,0,1/SQRT(1-($E$5^2)*(SIN(H155)^2)))</x:f>
        <x:v>1.1625943747302643</x:v>
      </x:c>
      <x:c r="K155">
        <x:f>IF(G155&gt;$B$6,0,SQRT(1-($E$5^2)*(SIN(H155)^2)))</x:f>
        <x:v>0.8601452249689509</x:v>
      </x:c>
    </x:row>
    <x:row r="156">
      <x:c r="G156" s="12" t="n">
        <x:v>144</x:v>
      </x:c>
      <x:c r="H156">
        <x:f>G156*PI()/(2*$B$6)</x:f>
        <x:v>0.5654866776461628</x:v>
      </x:c>
      <x:c r="I156">
        <x:f>IF(G156&gt;$B$6,0,IF(OR(G156=0,G156=$B$6),1,IF(MOD(G156,2)=1,4,2)))</x:f>
        <x:v>2</x:v>
      </x:c>
      <x:c r="J156">
        <x:f>IF(G156&gt;$B$6,0,1/SQRT(1-($E$5^2)*(SIN(H156)^2)))</x:f>
        <x:v>1.1651593386861452</x:v>
      </x:c>
      <x:c r="K156">
        <x:f>IF(G156&gt;$B$6,0,SQRT(1-($E$5^2)*(SIN(H156)^2)))</x:f>
        <x:v>0.8582517144201223</x:v>
      </x:c>
    </x:row>
    <x:row r="157">
      <x:c r="G157" s="12" t="n">
        <x:v>145</x:v>
      </x:c>
      <x:c r="H157">
        <x:f>G157*PI()/(2*$B$6)</x:f>
        <x:v>0.56941366846315</x:v>
      </x:c>
      <x:c r="I157">
        <x:f>IF(G157&gt;$B$6,0,IF(OR(G157=0,G157=$B$6),1,IF(MOD(G157,2)=1,4,2)))</x:f>
        <x:v>4</x:v>
      </x:c>
      <x:c r="J157">
        <x:f>IF(G157&gt;$B$6,0,1/SQRT(1-($E$5^2)*(SIN(H157)^2)))</x:f>
        <x:v>1.167750946946829</x:v>
      </x:c>
      <x:c r="K157">
        <x:f>IF(G157&gt;$B$6,0,SQRT(1-($E$5^2)*(SIN(H157)^2)))</x:f>
        <x:v>0.8563469827316978</x:v>
      </x:c>
    </x:row>
    <x:row r="158">
      <x:c r="G158" s="12" t="n">
        <x:v>146</x:v>
      </x:c>
      <x:c r="H158">
        <x:f>G158*PI()/(2*$B$6)</x:f>
        <x:v>0.5733406592801372</x:v>
      </x:c>
      <x:c r="I158">
        <x:f>IF(G158&gt;$B$6,0,IF(OR(G158=0,G158=$B$6),1,IF(MOD(G158,2)=1,4,2)))</x:f>
        <x:v>2</x:v>
      </x:c>
      <x:c r="J158">
        <x:f>IF(G158&gt;$B$6,0,1/SQRT(1-($E$5^2)*(SIN(H158)^2)))</x:f>
        <x:v>1.1703694211224003</x:v>
      </x:c>
      <x:c r="K158">
        <x:f>IF(G158&gt;$B$6,0,SQRT(1-($E$5^2)*(SIN(H158)^2)))</x:f>
        <x:v>0.8544310727470872</x:v>
      </x:c>
    </x:row>
    <x:row r="159">
      <x:c r="G159" s="12" t="n">
        <x:v>147</x:v>
      </x:c>
      <x:c r="H159">
        <x:f>G159*PI()/(2*$B$6)</x:f>
        <x:v>0.5772676500971246</x:v>
      </x:c>
      <x:c r="I159">
        <x:f>IF(G159&gt;$B$6,0,IF(OR(G159=0,G159=$B$6),1,IF(MOD(G159,2)=1,4,2)))</x:f>
        <x:v>4</x:v>
      </x:c>
      <x:c r="J159">
        <x:f>IF(G159&gt;$B$6,0,1/SQRT(1-($E$5^2)*(SIN(H159)^2)))</x:f>
        <x:v>1.1730149858861885</x:v>
      </x:c>
      <x:c r="K159">
        <x:f>IF(G159&gt;$B$6,0,SQRT(1-($E$5^2)*(SIN(H159)^2)))</x:f>
        <x:v>0.8525040276825797</x:v>
      </x:c>
    </x:row>
    <x:row r="160">
      <x:c r="G160" s="12" t="n">
        <x:v>148</x:v>
      </x:c>
      <x:c r="H160">
        <x:f>G160*PI()/(2*$B$6)</x:f>
        <x:v>0.5811946409141118</x:v>
      </x:c>
      <x:c r="I160">
        <x:f>IF(G160&gt;$B$6,0,IF(OR(G160=0,G160=$B$6),1,IF(MOD(G160,2)=1,4,2)))</x:f>
        <x:v>2</x:v>
      </x:c>
      <x:c r="J160">
        <x:f>IF(G160&gt;$B$6,0,1/SQRT(1-($E$5^2)*(SIN(H160)^2)))</x:f>
        <x:v>1.1756878690157821</x:v>
      </x:c>
      <x:c r="K160">
        <x:f>IF(G160&gt;$B$6,0,SQRT(1-($E$5^2)*(SIN(H160)^2)))</x:f>
        <x:v>0.8505658911298813</x:v>
      </x:c>
    </x:row>
    <x:row r="161">
      <x:c r="G161" s="12" t="n">
        <x:v>149</x:v>
      </x:c>
      <x:c r="H161">
        <x:f>G161*PI()/(2*$B$6)</x:f>
        <x:v>0.585121631731099</x:v>
      </x:c>
      <x:c r="I161">
        <x:f>IF(G161&gt;$B$6,0,IF(OR(G161=0,G161=$B$6),1,IF(MOD(G161,2)=1,4,2)))</x:f>
        <x:v>4</x:v>
      </x:c>
      <x:c r="J161">
        <x:f>IF(G161&gt;$B$6,0,1/SQRT(1-($E$5^2)*(SIN(H161)^2)))</x:f>
        <x:v>1.1783883014346739</x:v>
      </x:c>
      <x:c r="K161">
        <x:f>IF(G161&gt;$B$6,0,SQRT(1-($E$5^2)*(SIN(H161)^2)))</x:f>
        <x:v>0.8486167070587104</x:v>
      </x:c>
    </x:row>
    <x:row r="162">
      <x:c r="G162" s="12" t="n">
        <x:v>150</x:v>
      </x:c>
      <x:c r="H162">
        <x:f>G162*PI()/(2*$B$6)</x:f>
        <x:v>0.5890486225480862</x:v>
      </x:c>
      <x:c r="I162">
        <x:f>IF(G162&gt;$B$6,0,IF(OR(G162=0,G162=$B$6),1,IF(MOD(G162,2)=1,4,2)))</x:f>
        <x:v>2</x:v>
      </x:c>
      <x:c r="J162">
        <x:f>IF(G162&gt;$B$6,0,1/SQRT(1-($E$5^2)*(SIN(H162)^2)))</x:f>
        <x:v>1.181116517254533</x:v>
      </x:c>
      <x:c r="K162">
        <x:f>IF(G162&gt;$B$6,0,SQRT(1-($E$5^2)*(SIN(H162)^2)))</x:f>
        <x:v>0.8466565198194564</x:v>
      </x:c>
    </x:row>
    <x:row r="163">
      <x:c r="G163" s="12" t="n">
        <x:v>151</x:v>
      </x:c>
      <x:c r="H163">
        <x:f>G163*PI()/(2*$B$6)</x:f>
        <x:v>0.5929756133650734</x:v>
      </x:c>
      <x:c r="I163">
        <x:f>IF(G163&gt;$B$6,0,IF(OR(G163=0,G163=$B$6),1,IF(MOD(G163,2)=1,4,2)))</x:f>
        <x:v>4</x:v>
      </x:c>
      <x:c r="J163">
        <x:f>IF(G163&gt;$B$6,0,1/SQRT(1-($E$5^2)*(SIN(H163)^2)))</x:f>
        <x:v>1.1838727538181233</x:v>
      </x:c>
      <x:c r="K163">
        <x:f>IF(G163&gt;$B$6,0,SQRT(1-($E$5^2)*(SIN(H163)^2)))</x:f>
        <x:v>0.8446853741459014</x:v>
      </x:c>
    </x:row>
    <x:row r="164">
      <x:c r="G164" s="12" t="n">
        <x:v>152</x:v>
      </x:c>
      <x:c r="H164">
        <x:f>G164*PI()/(2*$B$6)</x:f>
        <x:v>0.5969026041820606</x:v>
      </x:c>
      <x:c r="I164">
        <x:f>IF(G164&gt;$B$6,0,IF(OR(G164=0,G164=$B$6),1,IF(MOD(G164,2)=1,4,2)))</x:f>
        <x:v>2</x:v>
      </x:c>
      <x:c r="J164">
        <x:f>IF(G164&gt;$B$6,0,1/SQRT(1-($E$5^2)*(SIN(H164)^2)))</x:f>
        <x:v>1.1866572517428648</x:v>
      </x:c>
      <x:c r="K164">
        <x:f>IF(G164&gt;$B$6,0,SQRT(1-($E$5^2)*(SIN(H164)^2)))</x:f>
        <x:v>0.8427033151580055</x:v>
      </x:c>
    </x:row>
    <x:row r="165">
      <x:c r="G165" s="12" t="n">
        <x:v>153</x:v>
      </x:c>
      <x:c r="H165">
        <x:f>G165*PI()/(2*$B$6)</x:f>
        <x:v>0.600829594999048</x:v>
      </x:c>
      <x:c r="I165">
        <x:f>IF(G165&gt;$B$6,0,IF(OR(G165=0,G165=$B$6),1,IF(MOD(G165,2)=1,4,2)))</x:f>
        <x:v>4</x:v>
      </x:c>
      <x:c r="J165">
        <x:f>IF(G165&gt;$B$6,0,1/SQRT(1-($E$5^2)*(SIN(H165)^2)))</x:f>
        <x:v>1.1894702549650555</x:v>
      </x:c>
      <x:c r="K165">
        <x:f>IF(G165&gt;$B$6,0,SQRT(1-($E$5^2)*(SIN(H165)^2)))</x:f>
        <x:v>0.8407103883647584</x:v>
      </x:c>
    </x:row>
    <x:row r="166">
      <x:c r="G166" s="12" t="n">
        <x:v>154</x:v>
      </x:c>
      <x:c r="H166">
        <x:f>G166*PI()/(2*$B$6)</x:f>
        <x:v>0.6047565858160352</x:v>
      </x:c>
      <x:c r="I166">
        <x:f>IF(G166&gt;$B$6,0,IF(OR(G166=0,G166=$B$6),1,IF(MOD(G166,2)=1,4,2)))</x:f>
        <x:v>2</x:v>
      </x:c>
      <x:c r="J166">
        <x:f>IF(G166&gt;$B$6,0,1/SQRT(1-($E$5^2)*(SIN(H166)^2)))</x:f>
        <x:v>1.19231201078475</x:v>
      </x:c>
      <x:c r="K166">
        <x:f>IF(G166&gt;$B$6,0,SQRT(1-($E$5^2)*(SIN(H166)^2)))</x:f>
        <x:v>0.8387066396670994</x:v>
      </x:c>
    </x:row>
    <x:row r="167">
      <x:c r="G167" s="12" t="n">
        <x:v>155</x:v>
      </x:c>
      <x:c r="H167">
        <x:f>G167*PI()/(2*$B$6)</x:f>
        <x:v>0.6086835766330224</x:v>
      </x:c>
      <x:c r="I167">
        <x:f>IF(G167&gt;$B$6,0,IF(OR(G167=0,G167=$B$6),1,IF(MOD(G167,2)=1,4,2)))</x:f>
        <x:v>4</x:v>
      </x:c>
      <x:c r="J167">
        <x:f>IF(G167&gt;$B$6,0,1/SQRT(1-($E$5^2)*(SIN(H167)^2)))</x:f>
        <x:v>1.1951827699113093</x:v>
      </x:c>
      <x:c r="K167">
        <x:f>IF(G167&gt;$B$6,0,SQRT(1-($E$5^2)*(SIN(H167)^2)))</x:f>
        <x:v>0.8366921153609056</x:v>
      </x:c>
    </x:row>
    <x:row r="168">
      <x:c r="G168" s="12" t="n">
        <x:v>156</x:v>
      </x:c>
      <x:c r="H168">
        <x:f>G168*PI()/(2*$B$6)</x:f>
        <x:v>0.6126105674500096</x:v>
      </x:c>
      <x:c r="I168">
        <x:f>IF(G168&gt;$B$6,0,IF(OR(G168=0,G168=$B$6),1,IF(MOD(G168,2)=1,4,2)))</x:f>
        <x:v>2</x:v>
      </x:c>
      <x:c r="J168">
        <x:f>IF(G168&gt;$B$6,0,1/SQRT(1-($E$5^2)*(SIN(H168)^2)))</x:f>
        <x:v>1.1980827865096266</x:v>
      </x:c>
      <x:c r="K168">
        <x:f>IF(G168&gt;$B$6,0,SQRT(1-($E$5^2)*(SIN(H168)^2)))</x:f>
        <x:v>0.8346668621400521</x:v>
      </x:c>
    </x:row>
    <x:row r="169">
      <x:c r="G169" s="12" t="n">
        <x:v>157</x:v>
      </x:c>
      <x:c r="H169">
        <x:f>G169*PI()/(2*$B$6)</x:f>
        <x:v>0.6165375582669969</x:v>
      </x:c>
      <x:c r="I169">
        <x:f>IF(G169&gt;$B$6,0,IF(OR(G169=0,G169=$B$6),1,IF(MOD(G169,2)=1,4,2)))</x:f>
        <x:v>4</x:v>
      </x:c>
      <x:c r="J169">
        <x:f>IF(G169&gt;$B$6,0,1/SQRT(1-($E$5^2)*(SIN(H169)^2)))</x:f>
        <x:v>1.2010123182470325</x:v>
      </x:c>
      <x:c r="K169">
        <x:f>IF(G169&gt;$B$6,0,SQRT(1-($E$5^2)*(SIN(H169)^2)))</x:f>
        <x:v>0.8326309270995447</x:v>
      </x:c>
    </x:row>
    <x:row r="170">
      <x:c r="G170" s="12" t="n">
        <x:v>158</x:v>
      </x:c>
      <x:c r="H170">
        <x:f>G170*PI()/(2*$B$6)</x:f>
        <x:v>0.6204645490839842</x:v>
      </x:c>
      <x:c r="I170">
        <x:f>IF(G170&gt;$B$6,0,IF(OR(G170=0,G170=$B$6),1,IF(MOD(G170,2)=1,4,2)))</x:f>
        <x:v>2</x:v>
      </x:c>
      <x:c r="J170">
        <x:f>IF(G170&gt;$B$6,0,1/SQRT(1-($E$5^2)*(SIN(H170)^2)))</x:f>
        <x:v>1.2039716263408928</x:v>
      </x:c>
      <x:c r="K170">
        <x:f>IF(G170&gt;$B$6,0,SQRT(1-($E$5^2)*(SIN(H170)^2)))</x:f>
        <x:v>0.8305843577387261</x:v>
      </x:c>
    </x:row>
    <x:row r="171">
      <x:c r="G171" s="12" t="n">
        <x:v>159</x:v>
      </x:c>
      <x:c r="H171">
        <x:f>G171*PI()/(2*$B$6)</x:f>
        <x:v>0.6243915399009714</x:v>
      </x:c>
      <x:c r="I171">
        <x:f>IF(G171&gt;$B$6,0,IF(OR(G171=0,G171=$B$6),1,IF(MOD(G171,2)=1,4,2)))</x:f>
        <x:v>4</x:v>
      </x:c>
      <x:c r="J171">
        <x:f>IF(G171&gt;$B$6,0,1/SQRT(1-($E$5^2)*(SIN(H171)^2)))</x:f>
        <x:v>1.2069609756068993</x:v>
      </x:c>
      <x:c r="K171">
        <x:f>IF(G171&gt;$B$6,0,SQRT(1-($E$5^2)*(SIN(H171)^2)))</x:f>
        <x:v>0.8285272019645602</x:v>
      </x:c>
    </x:row>
    <x:row r="172">
      <x:c r="G172" s="12" t="n">
        <x:v>160</x:v>
      </x:c>
      <x:c r="H172">
        <x:f>G172*PI()/(2*$B$6)</x:f>
        <x:v>0.6283185307179586</x:v>
      </x:c>
      <x:c r="I172">
        <x:f>IF(G172&gt;$B$6,0,IF(OR(G172=0,G172=$B$6),1,IF(MOD(G172,2)=1,4,2)))</x:f>
        <x:v>2</x:v>
      </x:c>
      <x:c r="J172">
        <x:f>IF(G172&gt;$B$6,0,1/SQRT(1-($E$5^2)*(SIN(H172)^2)))</x:f>
        <x:v>1.209980634508061</x:v>
      </x:c>
      <x:c r="K172">
        <x:f>IF(G172&gt;$B$6,0,SQRT(1-($E$5^2)*(SIN(H172)^2)))</x:f>
        <x:v>0.8264595080949932</x:v>
      </x:c>
    </x:row>
    <x:row r="173">
      <x:c r="G173" s="12" t="n">
        <x:v>161</x:v>
      </x:c>
      <x:c r="H173">
        <x:f>G173*PI()/(2*$B$6)</x:f>
        <x:v>0.6322455215349458</x:v>
      </x:c>
      <x:c r="I173">
        <x:f>IF(G173&gt;$B$6,0,IF(OR(G173=0,G173=$B$6),1,IF(MOD(G173,2)=1,4,2)))</x:f>
        <x:v>4</x:v>
      </x:c>
      <x:c r="J173">
        <x:f>IF(G173&gt;$B$6,0,1/SQRT(1-($E$5^2)*(SIN(H173)^2)))</x:f>
        <x:v>1.2130308752044066</x:v>
      </x:c>
      <x:c r="K173">
        <x:f>IF(G173&gt;$B$6,0,SQRT(1-($E$5^2)*(SIN(H173)^2)))</x:f>
        <x:v>0.8243813248623957</x:v>
      </x:c>
    </x:row>
    <x:row r="174">
      <x:c r="G174" s="12" t="n">
        <x:v>162</x:v>
      </x:c>
      <x:c r="H174">
        <x:f>G174*PI()/(2*$B$6)</x:f>
        <x:v>0.6361725123519331</x:v>
      </x:c>
      <x:c r="I174">
        <x:f>IF(G174&gt;$B$6,0,IF(OR(G174=0,G174=$B$6),1,IF(MOD(G174,2)=1,4,2)))</x:f>
        <x:v>2</x:v>
      </x:c>
      <x:c r="J174">
        <x:f>IF(G174&gt;$B$6,0,1/SQRT(1-($E$5^2)*(SIN(H174)^2)))</x:f>
        <x:v>1.2161119736033952</x:v>
      </x:c>
      <x:c r="K174">
        <x:f>IF(G174&gt;$B$6,0,SQRT(1-($E$5^2)*(SIN(H174)^2)))</x:f>
        <x:v>0.8222927014170862</x:v>
      </x:c>
    </x:row>
    <x:row r="175">
      <x:c r="G175" s="12" t="n">
        <x:v>163</x:v>
      </x:c>
      <x:c r="H175">
        <x:f>G175*PI()/(2*$B$6)</x:f>
        <x:v>0.6400995031689203</x:v>
      </x:c>
      <x:c r="I175">
        <x:f>IF(G175&gt;$B$6,0,IF(OR(G175=0,G175=$B$6),1,IF(MOD(G175,2)=1,4,2)))</x:f>
        <x:v>4</x:v>
      </x:c>
      <x:c r="J175">
        <x:f>IF(G175&gt;$B$6,0,1/SQRT(1-($E$5^2)*(SIN(H175)^2)))</x:f>
        <x:v>1.2192242094110521</x:v>
      </x:c>
      <x:c r="K175">
        <x:f>IF(G175&gt;$B$6,0,SQRT(1-($E$5^2)*(SIN(H175)^2)))</x:f>
        <x:v>0.8201936873309391</x:v>
      </x:c>
    </x:row>
    <x:row r="176">
      <x:c r="G176" s="12" t="n">
        <x:v>164</x:v>
      </x:c>
      <x:c r="H176">
        <x:f>G176*PI()/(2*$B$6)</x:f>
        <x:v>0.6440264939859075</x:v>
      </x:c>
      <x:c r="I176">
        <x:f>IF(G176&gt;$B$6,0,IF(OR(G176=0,G176=$B$6),1,IF(MOD(G176,2)=1,4,2)))</x:f>
        <x:v>2</x:v>
      </x:c>
      <x:c r="J176">
        <x:f>IF(G176&gt;$B$6,0,1/SQRT(1-($E$5^2)*(SIN(H176)^2)))</x:f>
        <x:v>1.2223678661838253</x:v>
      </x:c>
      <x:c r="K176">
        <x:f>IF(G176&gt;$B$6,0,SQRT(1-($E$5^2)*(SIN(H176)^2)))</x:f>
        <x:v>0.8180843326010792</x:v>
      </x:c>
    </x:row>
    <x:row r="177">
      <x:c r="G177" s="12" t="n">
        <x:v>165</x:v>
      </x:c>
      <x:c r="H177">
        <x:f>G177*PI()/(2*$B$6)</x:f>
        <x:v>0.6479534848028947</x:v>
      </x:c>
      <x:c r="I177">
        <x:f>IF(G177&gt;$B$6,0,IF(OR(G177=0,G177=$B$6),1,IF(MOD(G177,2)=1,4,2)))</x:f>
        <x:v>4</x:v>
      </x:c>
      <x:c r="J177">
        <x:f>IF(G177&gt;$B$6,0,1/SQRT(1-($E$5^2)*(SIN(H177)^2)))</x:f>
        <x:v>1.2255432313811727</x:v>
      </x:c>
      <x:c r="K177">
        <x:f>IF(G177&gt;$B$6,0,SQRT(1-($E$5^2)*(SIN(H177)^2)))</x:f>
        <x:v>0.8159646876536635</x:v>
      </x:c>
    </x:row>
    <x:row r="178">
      <x:c r="G178" s="12" t="n">
        <x:v>166</x:v>
      </x:c>
      <x:c r="H178">
        <x:f>G178*PI()/(2*$B$6)</x:f>
        <x:v>0.6518804756198822</x:v>
      </x:c>
      <x:c r="I178">
        <x:f>IF(G178&gt;$B$6,0,IF(OR(G178=0,G178=$B$6),1,IF(MOD(G178,2)=1,4,2)))</x:f>
        <x:v>2</x:v>
      </x:c>
      <x:c r="J178">
        <x:f>IF(G178&gt;$B$6,0,1/SQRT(1-($E$5^2)*(SIN(H178)^2)))</x:f>
        <x:v>1.2287505964188847</x:v>
      </x:c>
      <x:c r="K178">
        <x:f>IF(G178&gt;$B$6,0,SQRT(1-($E$5^2)*(SIN(H178)^2)))</x:f>
        <x:v>0.8138348033477552</x:v>
      </x:c>
    </x:row>
    <x:row r="179">
      <x:c r="G179" s="12" t="n">
        <x:v>167</x:v>
      </x:c>
      <x:c r="H179">
        <x:f>G179*PI()/(2*$B$6)</x:f>
        <x:v>0.6558074664368694</x:v>
      </x:c>
      <x:c r="I179">
        <x:f>IF(G179&gt;$B$6,0,IF(OR(G179=0,G179=$B$6),1,IF(MOD(G179,2)=1,4,2)))</x:f>
        <x:v>4</x:v>
      </x:c>
      <x:c r="J179">
        <x:f>IF(G179&gt;$B$6,0,1/SQRT(1-($E$5^2)*(SIN(H179)^2)))</x:f>
        <x:v>1.2319902567231475</x:v>
      </x:c>
      <x:c r="K179">
        <x:f>IF(G179&gt;$B$6,0,SQRT(1-($E$5^2)*(SIN(H179)^2)))</x:f>
        <x:v>0.8116947309792887</x:v>
      </x:c>
    </x:row>
    <x:row r="180">
      <x:c r="G180" s="12" t="n">
        <x:v>168</x:v>
      </x:c>
      <x:c r="H180">
        <x:f>G180*PI()/(2*$B$6)</x:f>
        <x:v>0.6597344572538566</x:v>
      </x:c>
      <x:c r="I180">
        <x:f>IF(G180&gt;$B$6,0,IF(OR(G180=0,G180=$B$6),1,IF(MOD(G180,2)=1,4,2)))</x:f>
        <x:v>2</x:v>
      </x:c>
      <x:c r="J180">
        <x:f>IF(G180&gt;$B$6,0,1/SQRT(1-($E$5^2)*(SIN(H180)^2)))</x:f>
        <x:v>1.235262511785348</x:v>
      </x:c>
      <x:c r="K180">
        <x:f>IF(G180&gt;$B$6,0,SQRT(1-($E$5^2)*(SIN(H180)^2)))</x:f>
        <x:v>0.8095445222851305</x:v>
      </x:c>
    </x:row>
    <x:row r="181">
      <x:c r="G181" s="12" t="n">
        <x:v>169</x:v>
      </x:c>
      <x:c r="H181">
        <x:f>G181*PI()/(2*$B$6)</x:f>
        <x:v>0.6636614480708438</x:v>
      </x:c>
      <x:c r="I181">
        <x:f>IF(G181&gt;$B$6,0,IF(OR(G181=0,G181=$B$6),1,IF(MOD(G181,2)=1,4,2)))</x:f>
        <x:v>4</x:v>
      </x:c>
      <x:c r="J181">
        <x:f>IF(G181&gt;$B$6,0,1/SQRT(1-($E$5^2)*(SIN(H181)^2)))</x:f>
        <x:v>1.2385676652176296</x:v>
      </x:c>
      <x:c r="K181">
        <x:f>IF(G181&gt;$B$6,0,SQRT(1-($E$5^2)*(SIN(H181)^2)))</x:f>
        <x:v>0.8073842294472375</x:v>
      </x:c>
    </x:row>
    <x:row r="182">
      <x:c r="G182" s="12" t="n">
        <x:v>170</x:v>
      </x:c>
      <x:c r="H182">
        <x:f>G182*PI()/(2*$B$6)</x:f>
        <x:v>0.667588438887831</x:v>
      </x:c>
      <x:c r="I182">
        <x:f>IF(G182&gt;$B$6,0,IF(OR(G182=0,G182=$B$6),1,IF(MOD(G182,2)=1,4,2)))</x:f>
        <x:v>2</x:v>
      </x:c>
      <x:c r="J182">
        <x:f>IF(G182&gt;$B$6,0,1/SQRT(1-($E$5^2)*(SIN(H182)^2)))</x:f>
        <x:v>1.2419060248091964</x:v>
      </x:c>
      <x:c r="K182">
        <x:f>IF(G182&gt;$B$6,0,SQRT(1-($E$5^2)*(SIN(H182)^2)))</x:f>
        <x:v>0.8052139050969156</x:v>
      </x:c>
    </x:row>
    <x:row r="183">
      <x:c r="G183" s="12" t="n">
        <x:v>171</x:v>
      </x:c>
      <x:c r="H183">
        <x:f>G183*PI()/(2*$B$6)</x:f>
        <x:v>0.6715154297048183</x:v>
      </x:c>
      <x:c r="I183">
        <x:f>IF(G183&gt;$B$6,0,IF(OR(G183=0,G183=$B$6),1,IF(MOD(G183,2)=1,4,2)))</x:f>
        <x:v>4</x:v>
      </x:c>
      <x:c r="J183">
        <x:f>IF(G183&gt;$B$6,0,1/SQRT(1-($E$5^2)*(SIN(H183)^2)))</x:f>
        <x:v>1.245277902583376</x:v>
      </x:c>
      <x:c r="K183">
        <x:f>IF(G183&gt;$B$6,0,SQRT(1-($E$5^2)*(SIN(H183)^2)))</x:f>
        <x:v>0.803033602319179</x:v>
      </x:c>
    </x:row>
    <x:row r="184">
      <x:c r="G184" s="12" t="n">
        <x:v>172</x:v>
      </x:c>
      <x:c r="H184">
        <x:f>G184*PI()/(2*$B$6)</x:f>
        <x:v>0.6754424205218055</x:v>
      </x:c>
      <x:c r="I184">
        <x:f>IF(G184&gt;$B$6,0,IF(OR(G184=0,G184=$B$6),1,IF(MOD(G184,2)=1,4,2)))</x:f>
        <x:v>2</x:v>
      </x:c>
      <x:c r="J184">
        <x:f>IF(G184&gt;$B$6,0,1/SQRT(1-($E$5^2)*(SIN(H184)^2)))</x:f>
        <x:v>1.2486836148554366</x:v>
      </x:c>
      <x:c r="K184">
        <x:f>IF(G184&gt;$B$6,0,SQRT(1-($E$5^2)*(SIN(H184)^2)))</x:f>
        <x:v>0.8008433746572167</x:v>
      </x:c>
    </x:row>
    <x:row r="185">
      <x:c r="G185" s="12" t="n">
        <x:v>173</x:v>
      </x:c>
      <x:c r="H185">
        <x:f>G185*PI()/(2*$B$6)</x:f>
        <x:v>0.6793694113387927</x:v>
      </x:c>
      <x:c r="I185">
        <x:f>IF(G185&gt;$B$6,0,IF(OR(G185=0,G185=$B$6),1,IF(MOD(G185,2)=1,4,2)))</x:f>
        <x:v>4</x:v>
      </x:c>
      <x:c r="J185">
        <x:f>IF(G185&gt;$B$6,0,1/SQRT(1-($E$5^2)*(SIN(H185)^2)))</x:f>
        <x:v>1.2521234822911678</x:v>
      </x:c>
      <x:c r="K185">
        <x:f>IF(G185&gt;$B$6,0,SQRT(1-($E$5^2)*(SIN(H185)^2)))</x:f>
        <x:v>0.7986432761169643</x:v>
      </x:c>
    </x:row>
    <x:row r="186">
      <x:c r="G186" s="12" t="n">
        <x:v>174</x:v>
      </x:c>
      <x:c r="H186">
        <x:f>G186*PI()/(2*$B$6)</x:f>
        <x:v>0.6832964021557799</x:v>
      </x:c>
      <x:c r="I186">
        <x:f>IF(G186&gt;$B$6,0,IF(OR(G186=0,G186=$B$6),1,IF(MOD(G186,2)=1,4,2)))</x:f>
        <x:v>2</x:v>
      </x:c>
      <x:c r="J186">
        <x:f>IF(G186&gt;$B$6,0,1/SQRT(1-($E$5^2)*(SIN(H186)^2)))</x:f>
        <x:v>1.255597829966221</x:v>
      </x:c>
      <x:c r="K186">
        <x:f>IF(G186&gt;$B$6,0,SQRT(1-($E$5^2)*(SIN(H186)^2)))</x:f>
        <x:v>0.7964333611717876</x:v>
      </x:c>
    </x:row>
    <x:row r="187">
      <x:c r="G187" s="12" t="n">
        <x:v>175</x:v>
      </x:c>
      <x:c r="H187">
        <x:f>G187*PI()/(2*$B$6)</x:f>
        <x:v>0.6872233929727671</x:v>
      </x:c>
      <x:c r="I187">
        <x:f>IF(G187&gt;$B$6,0,IF(OR(G187=0,G187=$B$6),1,IF(MOD(G187,2)=1,4,2)))</x:f>
        <x:v>4</x:v>
      </x:c>
      <x:c r="J187">
        <x:f>IF(G187&gt;$B$6,0,1/SQRT(1-($E$5^2)*(SIN(H187)^2)))</x:f>
        <x:v>1.2591069874262122</x:v>
      </x:c>
      <x:c r="K187">
        <x:f>IF(G187&gt;$B$6,0,SQRT(1-($E$5^2)*(SIN(H187)^2)))</x:f>
        <x:v>0.7942136847672789</x:v>
      </x:c>
    </x:row>
    <x:row r="188">
      <x:c r="G188" s="12" t="n">
        <x:v>176</x:v>
      </x:c>
      <x:c r="H188">
        <x:f>G188*PI()/(2*$B$6)</x:f>
        <x:v>0.6911503837897545</x:v>
      </x:c>
      <x:c r="I188">
        <x:f>IF(G188&gt;$B$6,0,IF(OR(G188=0,G188=$B$6),1,IF(MOD(G188,2)=1,4,2)))</x:f>
        <x:v>2</x:v>
      </x:c>
      <x:c r="J188">
        <x:f>IF(G188&gt;$B$6,0,1/SQRT(1-($E$5^2)*(SIN(H188)^2)))</x:f>
        <x:v>1.2626512887475945</x:v>
      </x:c>
      <x:c r="K188">
        <x:f>IF(G188&gt;$B$6,0,SQRT(1-($E$5^2)*(SIN(H188)^2)))</x:f>
        <x:v>0.7919843023261676</x:v>
      </x:c>
    </x:row>
    <x:row r="189">
      <x:c r="G189" s="12" t="n">
        <x:v>177</x:v>
      </x:c>
      <x:c r="H189">
        <x:f>G189*PI()/(2*$B$6)</x:f>
        <x:v>0.6950773746067418</x:v>
      </x:c>
      <x:c r="I189">
        <x:f>IF(G189&gt;$B$6,0,IF(OR(G189=0,G189=$B$6),1,IF(MOD(G189,2)=1,4,2)))</x:f>
        <x:v>4</x:v>
      </x:c>
      <x:c r="J189">
        <x:f>IF(G189&gt;$B$6,0,1/SQRT(1-($E$5^2)*(SIN(H189)^2)))</x:f>
        <x:v>1.2662310725992867</x:v>
      </x:c>
      <x:c r="K189">
        <x:f>IF(G189&gt;$B$6,0,SQRT(1-($E$5^2)*(SIN(H189)^2)))</x:f>
        <x:v>0.789745269753352</x:v>
      </x:c>
    </x:row>
    <x:row r="190">
      <x:c r="G190" s="12" t="n">
        <x:v>178</x:v>
      </x:c>
      <x:c r="H190">
        <x:f>G190*PI()/(2*$B$6)</x:f>
        <x:v>0.699004365423729</x:v>
      </x:c>
      <x:c r="I190">
        <x:f>IF(G190&gt;$B$6,0,IF(OR(G190=0,G190=$B$6),1,IF(MOD(G190,2)=1,4,2)))</x:f>
        <x:v>2</x:v>
      </x:c>
      <x:c r="J190">
        <x:f>IF(G190&gt;$B$6,0,1/SQRT(1-($E$5^2)*(SIN(H190)^2)))</x:f>
        <x:v>1.2698466823050734</x:v>
      </x:c>
      <x:c r="K190">
        <x:f>IF(G190&gt;$B$6,0,SQRT(1-($E$5^2)*(SIN(H190)^2)))</x:f>
        <x:v>0.7874966434410511</x:v>
      </x:c>
    </x:row>
    <x:row r="191">
      <x:c r="G191" s="12" t="n">
        <x:v>179</x:v>
      </x:c>
      <x:c r="H191">
        <x:f>G191*PI()/(2*$B$6)</x:f>
        <x:v>0.7029313562407162</x:v>
      </x:c>
      <x:c r="I191">
        <x:f>IF(G191&gt;$B$6,0,IF(OR(G191=0,G191=$B$6),1,IF(MOD(G191,2)=1,4,2)))</x:f>
        <x:v>4</x:v>
      </x:c>
      <x:c r="J191">
        <x:f>IF(G191&gt;$B$6,0,1/SQRT(1-($E$5^2)*(SIN(H191)^2)))</x:f>
        <x:v>1.273498465906763</x:v>
      </x:c>
      <x:c r="K191">
        <x:f>IF(G191&gt;$B$6,0,SQRT(1-($E$5^2)*(SIN(H191)^2)))</x:f>
        <x:v>0.7852384802740809</x:v>
      </x:c>
    </x:row>
    <x:row r="192">
      <x:c r="G192" s="12" t="n">
        <x:v>180</x:v>
      </x:c>
      <x:c r="H192">
        <x:f>G192*PI()/(2*$B$6)</x:f>
        <x:v>0.7068583470577035</x:v>
      </x:c>
      <x:c r="I192">
        <x:f>IF(G192&gt;$B$6,0,IF(OR(G192=0,G192=$B$6),1,IF(MOD(G192,2)=1,4,2)))</x:f>
        <x:v>2</x:v>
      </x:c>
      <x:c r="J192">
        <x:f>IF(G192&gt;$B$6,0,1/SQRT(1-($E$5^2)*(SIN(H192)^2)))</x:f>
        <x:v>1.277186776228108</x:v>
      </x:c>
      <x:c r="K192">
        <x:f>IF(G192&gt;$B$6,0,SQRT(1-($E$5^2)*(SIN(H192)^2)))</x:f>
        <x:v>0.7829708376352608</x:v>
      </x:c>
    </x:row>
    <x:row r="193">
      <x:c r="G193" s="12" t="n">
        <x:v>181</x:v>
      </x:c>
      <x:c r="H193">
        <x:f>G193*PI()/(2*$B$6)</x:f>
        <x:v>0.7107853378746907</x:v>
      </x:c>
      <x:c r="I193">
        <x:f>IF(G193&gt;$B$6,0,IF(OR(G193=0,G193=$B$6),1,IF(MOD(G193,2)=1,4,2)))</x:f>
        <x:v>4</x:v>
      </x:c>
      <x:c r="J193">
        <x:f>IF(G193&gt;$B$6,0,1/SQRT(1-($E$5^2)*(SIN(H193)^2)))</x:f>
        <x:v>1.2809119709394827</x:v>
      </x:c>
      <x:c r="K193">
        <x:f>IF(G193&gt;$B$6,0,SQRT(1-($E$5^2)*(SIN(H193)^2)))</x:f>
        <x:v>0.7806937734109485</x:v>
      </x:c>
    </x:row>
    <x:row r="194">
      <x:c r="G194" s="12" t="n">
        <x:v>182</x:v>
      </x:c>
      <x:c r="H194">
        <x:f>G194*PI()/(2*$B$6)</x:f>
        <x:v>0.7147123286916779</x:v>
      </x:c>
      <x:c r="I194">
        <x:f>IF(G194&gt;$B$6,0,IF(OR(G194=0,G194=$B$6),1,IF(MOD(G194,2)=1,4,2)))</x:f>
        <x:v>2</x:v>
      </x:c>
      <x:c r="J194">
        <x:f>IF(G194&gt;$B$6,0,1/SQRT(1-($E$5^2)*(SIN(H194)^2)))</x:f>
        <x:v>1.284674412623317</x:v>
      </x:c>
      <x:c r="K194">
        <x:f>IF(G194&gt;$B$6,0,SQRT(1-($E$5^2)*(SIN(H194)^2)))</x:f>
        <x:v>0.7784073459967112</x:v>
      </x:c>
    </x:row>
    <x:row r="195">
      <x:c r="G195" s="12" t="n">
        <x:v>183</x:v>
      </x:c>
      <x:c r="H195">
        <x:f>G195*PI()/(2*$B$6)</x:f>
        <x:v>0.7186393195086651</x:v>
      </x:c>
      <x:c r="I195">
        <x:f>IF(G195&gt;$B$6,0,IF(OR(G195=0,G195=$B$6),1,IF(MOD(G195,2)=1,4,2)))</x:f>
        <x:v>4</x:v>
      </x:c>
      <x:c r="J195">
        <x:f>IF(G195&gt;$B$6,0,1/SQRT(1-($E$5^2)*(SIN(H195)^2)))</x:f>
        <x:v>1.2884744688402763</x:v>
      </x:c>
      <x:c r="K195">
        <x:f>IF(G195&gt;$B$6,0,SQRT(1-($E$5^2)*(SIN(H195)^2)))</x:f>
        <x:v>0.776111614303134</x:v>
      </x:c>
    </x:row>
    <x:row r="196">
      <x:c r="G196" s="12" t="n">
        <x:v>184</x:v>
      </x:c>
      <x:c r="H196">
        <x:f>G196*PI()/(2*$B$6)</x:f>
        <x:v>0.7225663103256523</x:v>
      </x:c>
      <x:c r="I196">
        <x:f>IF(G196&gt;$B$6,0,IF(OR(G196=0,G196=$B$6),1,IF(MOD(G196,2)=1,4,2)))</x:f>
        <x:v>2</x:v>
      </x:c>
      <x:c r="J196">
        <x:f>IF(G196&gt;$B$6,0,1/SQRT(1-($E$5^2)*(SIN(H196)^2)))</x:f>
        <x:v>1.2923125121961885</x:v>
      </x:c>
      <x:c r="K196">
        <x:f>IF(G196&gt;$B$6,0,SQRT(1-($E$5^2)*(SIN(H196)^2)))</x:f>
        <x:v>0.7738066377617707</x:v>
      </x:c>
    </x:row>
    <x:row r="197">
      <x:c r="G197" s="12" t="n">
        <x:v>185</x:v>
      </x:c>
      <x:c r="H197">
        <x:f>G197*PI()/(2*$B$6)</x:f>
        <x:v>0.7264933011426397</x:v>
      </x:c>
      <x:c r="I197">
        <x:f>IF(G197&gt;$B$6,0,IF(OR(G197=0,G197=$B$6),1,IF(MOD(G197,2)=1,4,2)))</x:f>
        <x:v>4</x:v>
      </x:c>
      <x:c r="J197">
        <x:f>IF(G197&gt;$B$6,0,1/SQRT(1-($E$5^2)*(SIN(H197)^2)))</x:f>
        <x:v>1.296188920409709</x:v>
      </x:c>
      <x:c r="K197">
        <x:f>IF(G197&gt;$B$6,0,SQRT(1-($E$5^2)*(SIN(H197)^2)))</x:f>
        <x:v>0.7714924763312377</x:v>
      </x:c>
    </x:row>
    <x:row r="198">
      <x:c r="G198" s="12" t="n">
        <x:v>186</x:v>
      </x:c>
      <x:c r="H198">
        <x:f>G198*PI()/(2*$B$6)</x:f>
        <x:v>0.7304202919596269</x:v>
      </x:c>
      <x:c r="I198">
        <x:f>IF(G198&gt;$B$6,0,IF(OR(G198=0,G198=$B$6),1,IF(MOD(G198,2)=1,4,2)))</x:f>
        <x:v>2</x:v>
      </x:c>
      <x:c r="J198">
        <x:f>IF(G198&gt;$B$6,0,1/SQRT(1-($E$5^2)*(SIN(H198)^2)))</x:f>
        <x:v>1.3001040763807135</x:v>
      </x:c>
      <x:c r="K198">
        <x:f>IF(G198&gt;$B$6,0,SQRT(1-($E$5^2)*(SIN(H198)^2)))</x:f>
        <x:v>0.7691691905034586</x:v>
      </x:c>
    </x:row>
    <x:row r="199">
      <x:c r="G199" s="12" t="n">
        <x:v>187</x:v>
      </x:c>
      <x:c r="H199">
        <x:f>G199*PI()/(2*$B$6)</x:f>
        <x:v>0.7343472827766142</x:v>
      </x:c>
      <x:c r="I199">
        <x:f>IF(G199&gt;$B$6,0,IF(OR(G199=0,G199=$B$6),1,IF(MOD(G199,2)=1,4,2)))</x:f>
        <x:v>4</x:v>
      </x:c>
      <x:c r="J199">
        <x:f>IF(G199&gt;$B$6,0,1/SQRT(1-($E$5^2)*(SIN(H199)^2)))</x:f>
        <x:v>1.3040583682594142</x:v>
      </x:c>
      <x:c r="K199">
        <x:f>IF(G199&gt;$B$6,0,SQRT(1-($E$5^2)*(SIN(H199)^2)))</x:f>
        <x:v>0.7668368413100598</x:v>
      </x:c>
    </x:row>
    <x:row r="200">
      <x:c r="G200" s="12" t="n">
        <x:v>188</x:v>
      </x:c>
      <x:c r="H200">
        <x:f>G200*PI()/(2*$B$6)</x:f>
        <x:v>0.7382742735936014</x:v>
      </x:c>
      <x:c r="I200">
        <x:f>IF(G200&gt;$B$6,0,IF(OR(G200=0,G200=$B$6),1,IF(MOD(G200,2)=1,4,2)))</x:f>
        <x:v>2</x:v>
      </x:c>
      <x:c r="J200">
        <x:f>IF(G200&gt;$B$6,0,1/SQRT(1-($E$5^2)*(SIN(H200)^2)))</x:f>
        <x:v>1.3080521895161852</x:v>
      </x:c>
      <x:c r="K200">
        <x:f>IF(G200&gt;$B$6,0,SQRT(1-($E$5^2)*(SIN(H200)^2)))</x:f>
        <x:v>0.764495490328925</x:v>
      </x:c>
    </x:row>
    <x:row r="201">
      <x:c r="G201" s="12" t="n">
        <x:v>189</x:v>
      </x:c>
      <x:c r="H201">
        <x:f>G201*PI()/(2*$B$6)</x:f>
        <x:v>0.7422012644105886</x:v>
      </x:c>
      <x:c r="I201">
        <x:f>IF(G201&gt;$B$6,0,IF(OR(G201=0,G201=$B$6),1,IF(MOD(G201,2)=1,4,2)))</x:f>
        <x:v>4</x:v>
      </x:c>
      <x:c r="J201">
        <x:f>IF(G201&gt;$B$6,0,1/SQRT(1-($E$5^2)*(SIN(H201)^2)))</x:f>
        <x:v>1.3120859390120905</x:v>
      </x:c>
      <x:c r="K201">
        <x:f>IF(G201&gt;$B$6,0,SQRT(1-($E$5^2)*(SIN(H201)^2)))</x:f>
        <x:v>0.7621451996909063</x:v>
      </x:c>
    </x:row>
    <x:row r="202">
      <x:c r="G202" s="12" t="n">
        <x:v>190</x:v>
      </x:c>
      <x:c r="H202">
        <x:f>G202*PI()/(2*$B$6)</x:f>
        <x:v>0.7461282552275759</x:v>
      </x:c>
      <x:c r="I202">
        <x:f>IF(G202&gt;$B$6,0,IF(OR(G202=0,G202=$B$6),1,IF(MOD(G202,2)=1,4,2)))</x:f>
        <x:v>2</x:v>
      </x:c>
      <x:c r="J202">
        <x:f>IF(G202&gt;$B$6,0,1/SQRT(1-($E$5^2)*(SIN(H202)^2)))</x:f>
        <x:v>1.3161600210700952</x:v>
      </x:c>
      <x:c r="K202">
        <x:f>IF(G202&gt;$B$6,0,SQRT(1-($E$5^2)*(SIN(H202)^2)))</x:f>
        <x:v>0.7597860320867037</x:v>
      </x:c>
    </x:row>
    <x:row r="203">
      <x:c r="G203" s="12" t="n">
        <x:v>191</x:v>
      </x:c>
      <x:c r="H203">
        <x:f>G203*PI()/(2*$B$6)</x:f>
        <x:v>0.7500552460445631</x:v>
      </x:c>
      <x:c r="I203">
        <x:f>IF(G203&gt;$B$6,0,IF(OR(G203=0,G203=$B$6),1,IF(MOD(G203,2)=1,4,2)))</x:f>
        <x:v>4</x:v>
      </x:c>
      <x:c r="J203">
        <x:f>IF(G203&gt;$B$6,0,1/SQRT(1-($E$5^2)*(SIN(H203)^2)))</x:f>
        <x:v>1.3202748455469548</x:v>
      </x:c>
      <x:c r="K203">
        <x:f>IF(G203&gt;$B$6,0,SQRT(1-($E$5^2)*(SIN(H203)^2)))</x:f>
        <x:v>0.7574180507739103</x:v>
      </x:c>
    </x:row>
    <x:row r="204">
      <x:c r="G204" s="12" t="n">
        <x:v>192</x:v>
      </x:c>
      <x:c r="H204">
        <x:f>G204*PI()/(2*$B$6)</x:f>
        <x:v>0.7539822368615503</x:v>
      </x:c>
      <x:c r="I204">
        <x:f>IF(G204&gt;$B$6,0,IF(OR(G204=0,G204=$B$6),1,IF(MOD(G204,2)=1,4,2)))</x:f>
        <x:v>2</x:v>
      </x:c>
      <x:c r="J204">
        <x:f>IF(G204&gt;$B$6,0,1/SQRT(1-($E$5^2)*(SIN(H204)^2)))</x:f>
        <x:v>1.3244308279057535</x:v>
      </x:c>
      <x:c r="K204">
        <x:f>IF(G204&gt;$B$6,0,SQRT(1-($E$5^2)*(SIN(H204)^2)))</x:f>
        <x:v>0.7550413195842343</x:v>
      </x:c>
    </x:row>
    <x:row r="205">
      <x:c r="G205" s="12" t="n">
        <x:v>193</x:v>
      </x:c>
      <x:c r="H205">
        <x:f>G205*PI()/(2*$B$6)</x:f>
        <x:v>0.7579092276785375</x:v>
      </x:c>
      <x:c r="I205">
        <x:f>IF(G205&gt;$B$6,0,IF(OR(G205=0,G205=$B$6),1,IF(MOD(G205,2)=1,4,2)))</x:f>
        <x:v>4</x:v>
      </x:c>
      <x:c r="J205">
        <x:f>IF(G205&gt;$B$6,0,1/SQRT(1-($E$5^2)*(SIN(H205)^2)))</x:f>
        <x:v>1.328628389289092</x:v>
      </x:c>
      <x:c r="K205">
        <x:f>IF(G205&gt;$B$6,0,SQRT(1-($E$5^2)*(SIN(H205)^2)))</x:f>
        <x:v>0.7526559029308934</x:v>
      </x:c>
    </x:row>
    <x:row r="206">
      <x:c r="G206" s="12" t="n">
        <x:v>194</x:v>
      </x:c>
      <x:c r="H206">
        <x:f>G206*PI()/(2*$B$6)</x:f>
        <x:v>0.7618362184955249</x:v>
      </x:c>
      <x:c r="I206">
        <x:f>IF(G206&gt;$B$6,0,IF(OR(G206=0,G206=$B$6),1,IF(MOD(G206,2)=1,4,2)))</x:f>
        <x:v>2</x:v>
      </x:c>
      <x:c r="J206">
        <x:f>IF(G206&gt;$B$6,0,1/SQRT(1-($E$5^2)*(SIN(H206)^2)))</x:f>
        <x:v>1.3328679565928852</x:v>
      </x:c>
      <x:c r="K206">
        <x:f>IF(G206&gt;$B$6,0,SQRT(1-($E$5^2)*(SIN(H206)^2)))</x:f>
        <x:v>0.750261865816197</x:v>
      </x:c>
    </x:row>
    <x:row r="207">
      <x:c r="G207" s="12" t="n">
        <x:v>195</x:v>
      </x:c>
      <x:c r="H207">
        <x:f>G207*PI()/(2*$B$6)</x:f>
        <x:v>0.7657632093125121</x:v>
      </x:c>
      <x:c r="I207">
        <x:f>IF(G207&gt;$B$6,0,IF(OR(G207=0,G207=$B$6),1,IF(MOD(G207,2)=1,4,2)))</x:f>
        <x:v>4</x:v>
      </x:c>
      <x:c r="J207">
        <x:f>IF(G207&gt;$B$6,0,1/SQRT(1-($E$5^2)*(SIN(H207)^2)))</x:f>
        <x:v>1.337149962540766</x:v>
      </x:c>
      <x:c r="K207">
        <x:f>IF(G207&gt;$B$6,0,SQRT(1-($E$5^2)*(SIN(H207)^2)))</x:f>
        <x:v>0.7478592738393117</x:v>
      </x:c>
    </x:row>
    <x:row r="208">
      <x:c r="G208" s="12" t="n">
        <x:v>196</x:v>
      </x:c>
      <x:c r="H208">
        <x:f>G208*PI()/(2*$B$6)</x:f>
        <x:v>0.7696902001294993</x:v>
      </x:c>
      <x:c r="I208">
        <x:f>IF(G208&gt;$B$6,0,IF(OR(G208=0,G208=$B$6),1,IF(MOD(G208,2)=1,4,2)))</x:f>
        <x:v>2</x:v>
      </x:c>
      <x:c r="J208">
        <x:f>IF(G208&gt;$B$6,0,1/SQRT(1-($E$5^2)*(SIN(H208)^2)))</x:f>
        <x:v>1.34147484575906</x:v>
      </x:c>
      <x:c r="K208">
        <x:f>IF(G208&gt;$B$6,0,SQRT(1-($E$5^2)*(SIN(H208)^2)))</x:f>
        <x:v>0.7454481932042193</x:v>
      </x:c>
    </x:row>
    <x:row r="209">
      <x:c r="G209" s="12" t="n">
        <x:v>197</x:v>
      </x:c>
      <x:c r="H209">
        <x:f>G209*PI()/(2*$B$6)</x:f>
        <x:v>0.7736171909464865</x:v>
      </x:c>
      <x:c r="I209">
        <x:f>IF(G209&gt;$B$6,0,IF(OR(G209=0,G209=$B$6),1,IF(MOD(G209,2)=1,4,2)))</x:f>
        <x:v>4</x:v>
      </x:c>
      <x:c r="J209">
        <x:f>IF(G209&gt;$B$6,0,1/SQRT(1-($E$5^2)*(SIN(H209)^2)))</x:f>
        <x:v>1.3458430508523147</x:v>
      </x:c>
      <x:c r="K209">
        <x:f>IF(G209&gt;$B$6,0,SQRT(1-($E$5^2)*(SIN(H209)^2)))</x:f>
        <x:v>0.7430286907278718</x:v>
      </x:c>
    </x:row>
    <x:row r="210">
      <x:c r="G210" s="12" t="n">
        <x:v>198</x:v>
      </x:c>
      <x:c r="H210">
        <x:f>G210*PI()/(2*$B$6)</x:f>
        <x:v>0.7775441817634738</x:v>
      </x:c>
      <x:c r="I210">
        <x:f>IF(G210&gt;$B$6,0,IF(OR(G210=0,G210=$B$6),1,IF(MOD(G210,2)=1,4,2)))</x:f>
        <x:v>2</x:v>
      </x:c>
      <x:c r="J210">
        <x:f>IF(G210&gt;$B$6,0,1/SQRT(1-($E$5^2)*(SIN(H210)^2)))</x:f>
        <x:v>1.3502550284793466</x:v>
      </x:c>
      <x:c r="K210">
        <x:f>IF(G210&gt;$B$6,0,SQRT(1-($E$5^2)*(SIN(H210)^2)))</x:f>
        <x:v>0.7406008338485487</x:v>
      </x:c>
    </x:row>
    <x:row r="211">
      <x:c r="G211" s="12" t="n">
        <x:v>199</x:v>
      </x:c>
      <x:c r="H211">
        <x:f>G211*PI()/(2*$B$6)</x:f>
        <x:v>0.7814711725804611</x:v>
      </x:c>
      <x:c r="I211">
        <x:f>IF(G211&gt;$B$6,0,IF(OR(G211=0,G211=$B$6),1,IF(MOD(G211,2)=1,4,2)))</x:f>
        <x:v>4</x:v>
      </x:c>
      <x:c r="J211">
        <x:f>IF(G211&gt;$B$6,0,1/SQRT(1-($E$5^2)*(SIN(H211)^2)))</x:f>
        <x:v>1.354711235429785</x:v>
      </x:c>
      <x:c r="K211">
        <x:f>IF(G211&gt;$B$6,0,SQRT(1-($E$5^2)*(SIN(H211)^2)))</x:f>
        <x:v>0.7381646906344199</x:v>
      </x:c>
    </x:row>
    <x:row r="212">
      <x:c r="G212" s="12" t="n">
        <x:v>200</x:v>
      </x:c>
      <x:c r="H212">
        <x:f>G212*PI()/(2*$B$6)</x:f>
        <x:v>0.7853981633974483</x:v>
      </x:c>
      <x:c r="I212">
        <x:f>IF(G212&gt;$B$6,0,IF(OR(G212=0,G212=$B$6),1,IF(MOD(G212,2)=1,4,2)))</x:f>
        <x:v>2</x:v>
      </x:c>
      <x:c r="J212">
        <x:f>IF(G212&gt;$B$6,0,1/SQRT(1-($E$5^2)*(SIN(H212)^2)))</x:f>
        <x:v>1.3592121347010715</x:v>
      </x:c>
      <x:c r="K212">
        <x:f>IF(G212&gt;$B$6,0,SQRT(1-($E$5^2)*(SIN(H212)^2)))</x:f>
        <x:v>0.7357203297923233</x:v>
      </x:c>
    </x:row>
    <x:row r="213">
      <x:c r="G213" s="12" t="n">
        <x:v>201</x:v>
      </x:c>
      <x:c r="H213">
        <x:f>G213*PI()/(2*$B$6)</x:f>
        <x:v>0.7893251542144355</x:v>
      </x:c>
      <x:c r="I213">
        <x:f>IF(G213&gt;$B$6,0,IF(OR(G213=0,G213=$B$6),1,IF(MOD(G213,2)=1,4,2)))</x:f>
        <x:v>4</x:v>
      </x:c>
      <x:c r="J213">
        <x:f>IF(G213&gt;$B$6,0,1/SQRT(1-($E$5^2)*(SIN(H213)^2)))</x:f>
        <x:v>1.3637581955758906</x:v>
      </x:c>
      <x:c r="K213">
        <x:f>IF(G213&gt;$B$6,0,SQRT(1-($E$5^2)*(SIN(H213)^2)))</x:f>
        <x:v>0.7332678206767571</x:v>
      </x:c>
    </x:row>
    <x:row r="214">
      <x:c r="G214" s="12" t="n">
        <x:v>202</x:v>
      </x:c>
      <x:c r="H214">
        <x:f>G214*PI()/(2*$B$6)</x:f>
        <x:v>0.7932521450314227</x:v>
      </x:c>
      <x:c r="I214">
        <x:f>IF(G214&gt;$B$6,0,IF(OR(G214=0,G214=$B$6),1,IF(MOD(G214,2)=1,4,2)))</x:f>
        <x:v>2</x:v>
      </x:c>
      <x:c r="J214">
        <x:f>IF(G214&gt;$B$6,0,1/SQRT(1-($E$5^2)*(SIN(H214)^2)))</x:f>
        <x:v>1.3683498936999812</x:v>
      </x:c>
      <x:c r="K214">
        <x:f>IF(G214&gt;$B$6,0,SQRT(1-($E$5^2)*(SIN(H214)^2)))</x:f>
        <x:v>0.7308072332990994</x:v>
      </x:c>
    </x:row>
    <x:row r="215">
      <x:c r="G215" s="12" t="n">
        <x:v>203</x:v>
      </x:c>
      <x:c r="H215">
        <x:f>G215*PI()/(2*$B$6)</x:f>
        <x:v>0.79717913584841</x:v>
      </x:c>
      <x:c r="I215">
        <x:f>IF(G215&gt;$B$6,0,IF(OR(G215=0,G215=$B$6),1,IF(MOD(G215,2)=1,4,2)))</x:f>
        <x:v>4</x:v>
      </x:c>
      <x:c r="J215">
        <x:f>IF(G215&gt;$B$6,0,1/SQRT(1-($E$5^2)*(SIN(H215)^2)))</x:f>
        <x:v>1.3729877111602977</x:v>
      </x:c>
      <x:c r="K215">
        <x:f>IF(G215&gt;$B$6,0,SQRT(1-($E$5^2)*(SIN(H215)^2)))</x:f>
        <x:v>0.7283386383370543</x:v>
      </x:c>
    </x:row>
    <x:row r="216">
      <x:c r="G216" s="12" t="n">
        <x:v>204</x:v>
      </x:c>
      <x:c r="H216">
        <x:f>G216*PI()/(2*$B$6)</x:f>
        <x:v>0.8011061266653973</x:v>
      </x:c>
      <x:c r="I216">
        <x:f>IF(G216&gt;$B$6,0,IF(OR(G216=0,G216=$B$6),1,IF(MOD(G216,2)=1,4,2)))</x:f>
        <x:v>2</x:v>
      </x:c>
      <x:c r="J216">
        <x:f>IF(G216&gt;$B$6,0,1/SQRT(1-($E$5^2)*(SIN(H216)^2)))</x:f>
        <x:v>1.3776721365634714</x:v>
      </x:c>
      <x:c r="K216">
        <x:f>IF(G216&gt;$B$6,0,SQRT(1-($E$5^2)*(SIN(H216)^2)))</x:f>
        <x:v>0.7258621071443354</x:v>
      </x:c>
    </x:row>
    <x:row r="217">
      <x:c r="G217" s="12" t="n">
        <x:v>205</x:v>
      </x:c>
      <x:c r="H217">
        <x:f>G217*PI()/(2*$B$6)</x:f>
        <x:v>0.8050331174823845</x:v>
      </x:c>
      <x:c r="I217">
        <x:f>IF(G217&gt;$B$6,0,IF(OR(G217=0,G217=$B$6),1,IF(MOD(G217,2)=1,4,2)))</x:f>
        <x:v>4</x:v>
      </x:c>
      <x:c r="J217">
        <x:f>IF(G217&gt;$B$6,0,1/SQRT(1-($E$5^2)*(SIN(H217)^2)))</x:f>
        <x:v>1.382403665114528</x:v>
      </x:c>
      <x:c r="K217">
        <x:f>IF(G217&gt;$B$6,0,SQRT(1-($E$5^2)*(SIN(H217)^2)))</x:f>
        <x:v>0.7233777117605898</x:v>
      </x:c>
    </x:row>
    <x:row r="218">
      <x:c r="G218" s="12" t="n">
        <x:v>206</x:v>
      </x:c>
      <x:c r="H218">
        <x:f>G218*PI()/(2*$B$6)</x:f>
        <x:v>0.8089601082993717</x:v>
      </x:c>
      <x:c r="I218">
        <x:f>IF(G218&gt;$B$6,0,IF(OR(G218=0,G218=$B$6),1,IF(MOD(G218,2)=1,4,2)))</x:f>
        <x:v>2</x:v>
      </x:c>
      <x:c r="J218">
        <x:f>IF(G218&gt;$B$6,0,1/SQRT(1-($E$5^2)*(SIN(H218)^2)))</x:f>
        <x:v>1.3871827986958065</x:v>
      </x:c>
      <x:c r="K218">
        <x:f>IF(G218&gt;$B$6,0,SQRT(1-($E$5^2)*(SIN(H218)^2)))</x:f>
        <x:v>0.7208855249215707</x:v>
      </x:c>
    </x:row>
    <x:row r="219">
      <x:c r="G219" s="12" t="n">
        <x:v>207</x:v>
      </x:c>
      <x:c r="H219">
        <x:f>G219*PI()/(2*$B$6)</x:f>
        <x:v>0.8128870991163589</x:v>
      </x:c>
      <x:c r="I219">
        <x:f>IF(G219&gt;$B$6,0,IF(OR(G219=0,G219=$B$6),1,IF(MOD(G219,2)=1,4,2)))</x:f>
        <x:v>4</x:v>
      </x:c>
      <x:c r="J219">
        <x:f>IF(G219&gt;$B$6,0,1/SQRT(1-($E$5^2)*(SIN(H219)^2)))</x:f>
        <x:v>1.3920100459460292</x:v>
      </x:c>
      <x:c r="K219">
        <x:f>IF(G219&gt;$B$6,0,SQRT(1-($E$5^2)*(SIN(H219)^2)))</x:f>
        <x:v>0.7183856200695636</x:v>
      </x:c>
    </x:row>
    <x:row r="220">
      <x:c r="G220" s="12" t="n">
        <x:v>208</x:v>
      </x:c>
      <x:c r="H220">
        <x:f>G220*PI()/(2*$B$6)</x:f>
        <x:v>0.8168140899333463</x:v>
      </x:c>
      <x:c r="I220">
        <x:f>IF(G220&gt;$B$6,0,IF(OR(G220=0,G220=$B$6),1,IF(MOD(G220,2)=1,4,2)))</x:f>
        <x:v>2</x:v>
      </x:c>
      <x:c r="J220">
        <x:f>IF(G220&gt;$B$6,0,1/SQRT(1-($E$5^2)*(SIN(H220)^2)))</x:f>
        <x:v>1.39688592233946</x:v>
      </x:c>
      <x:c r="K220">
        <x:f>IF(G220&gt;$B$6,0,SQRT(1-($E$5^2)*(SIN(H220)^2)))</x:f>
        <x:v>0.7158780713640752</x:v>
      </x:c>
    </x:row>
    <x:row r="221">
      <x:c r="G221" s="12" t="n">
        <x:v>209</x:v>
      </x:c>
      <x:c r="H221">
        <x:f>G221*PI()/(2*$B$6)</x:f>
        <x:v>0.8207410807503335</x:v>
      </x:c>
      <x:c r="I221">
        <x:f>IF(G221&gt;$B$6,0,IF(OR(G221=0,G221=$B$6),1,IF(MOD(G221,2)=1,4,2)))</x:f>
        <x:v>4</x:v>
      </x:c>
      <x:c r="J221">
        <x:f>IF(G221&gt;$B$6,0,1/SQRT(1-($E$5^2)*(SIN(H221)^2)))</x:f>
        <x:v>1.4018109502650906</x:v>
      </x:c>
      <x:c r="K221">
        <x:f>IF(G221&gt;$B$6,0,SQRT(1-($E$5^2)*(SIN(H221)^2)))</x:f>
        <x:v>0.7133629536927887</x:v>
      </x:c>
    </x:row>
    <x:row r="222">
      <x:c r="G222" s="12" t="n">
        <x:v>210</x:v>
      </x:c>
      <x:c r="H222">
        <x:f>G222*PI()/(2*$B$6)</x:f>
        <x:v>0.8246680715673207</x:v>
      </x:c>
      <x:c r="I222">
        <x:f>IF(G222&gt;$B$6,0,IF(OR(G222=0,G222=$B$6),1,IF(MOD(G222,2)=1,4,2)))</x:f>
        <x:v>2</x:v>
      </x:c>
      <x:c r="J222">
        <x:f>IF(G222&gt;$B$6,0,1/SQRT(1-($E$5^2)*(SIN(H222)^2)))</x:f>
        <x:v>1.4067856591057895</x:v>
      </x:c>
      <x:c r="K222">
        <x:f>IF(G222&gt;$B$6,0,SQRT(1-($E$5^2)*(SIN(H222)^2)))</x:f>
        <x:v>0.7108403426827943</x:v>
      </x:c>
    </x:row>
    <x:row r="223">
      <x:c r="G223" s="12" t="n">
        <x:v>211</x:v>
      </x:c>
      <x:c r="H223">
        <x:f>G223*PI()/(2*$B$6)</x:f>
        <x:v>0.8285950623843079</x:v>
      </x:c>
      <x:c r="I223">
        <x:f>IF(G223&gt;$B$6,0,IF(OR(G223=0,G223=$B$6),1,IF(MOD(G223,2)=1,4,2)))</x:f>
        <x:v>4</x:v>
      </x:c>
      <x:c r="J223">
        <x:f>IF(G223&gt;$B$6,0,1/SQRT(1-($E$5^2)*(SIN(H223)^2)))</x:f>
        <x:v>1.4118105853173355</x:v>
      </x:c>
      <x:c r="K223">
        <x:f>IF(G223&gt;$B$6,0,SQRT(1-($E$5^2)*(SIN(H223)^2)))</x:f>
        <x:v>0.7083103147121028</x:v>
      </x:c>
    </x:row>
    <x:row r="224">
      <x:c r="G224" s="12" t="n">
        <x:v>212</x:v>
      </x:c>
      <x:c r="H224">
        <x:f>G224*PI()/(2*$B$6)</x:f>
        <x:v>0.8325220532012952</x:v>
      </x:c>
      <x:c r="I224">
        <x:f>IF(G224&gt;$B$6,0,IF(OR(G224=0,G224=$B$6),1,IF(MOD(G224,2)=1,4,2)))</x:f>
        <x:v>2</x:v>
      </x:c>
      <x:c r="J224">
        <x:f>IF(G224&gt;$B$6,0,1/SQRT(1-($E$5^2)*(SIN(H224)^2)))</x:f>
        <x:v>1.416886272507266</x:v>
      </x:c>
      <x:c r="K224">
        <x:f>IF(G224&gt;$B$6,0,SQRT(1-($E$5^2)*(SIN(H224)^2)))</x:f>
        <x:v>0.7057729469214488</x:v>
      </x:c>
    </x:row>
    <x:row r="225">
      <x:c r="G225" s="12" t="n">
        <x:v>213</x:v>
      </x:c>
      <x:c r="H225">
        <x:f>G225*PI()/(2*$B$6)</x:f>
        <x:v>0.8364490440182825</x:v>
      </x:c>
      <x:c r="I225">
        <x:f>IF(G225&gt;$B$6,0,IF(OR(G225=0,G225=$B$6),1,IF(MOD(G225,2)=1,4,2)))</x:f>
        <x:v>4</x:v>
      </x:c>
      <x:c r="J225">
        <x:f>IF(G225&gt;$B$6,0,1/SQRT(1-($E$5^2)*(SIN(H225)^2)))</x:f>
        <x:v>1.422013271513455</x:v>
      </x:c>
      <x:c r="K225">
        <x:f>IF(G225&gt;$B$6,0,SQRT(1-($E$5^2)*(SIN(H225)^2)))</x:f>
        <x:v>0.7032283172263896</x:v>
      </x:c>
    </x:row>
    <x:row r="226">
      <x:c r="G226" s="12" t="n">
        <x:v>214</x:v>
      </x:c>
      <x:c r="H226">
        <x:f>G226*PI()/(2*$B$6)</x:f>
        <x:v>0.8403760348352697</x:v>
      </x:c>
      <x:c r="I226">
        <x:f>IF(G226&gt;$B$6,0,IF(OR(G226=0,G226=$B$6),1,IF(MOD(G226,2)=1,4,2)))</x:f>
        <x:v>2</x:v>
      </x:c>
      <x:c r="J226">
        <x:f>IF(G226&gt;$B$6,0,1/SQRT(1-($E$5^2)*(SIN(H226)^2)))</x:f>
        <x:v>1.4271921404823336</x:v>
      </x:c>
      <x:c r="K226">
        <x:f>IF(G226&gt;$B$6,0,SQRT(1-($E$5^2)*(SIN(H226)^2)))</x:f>
        <x:v>0.7006765043297115</x:v>
      </x:c>
    </x:row>
    <x:row r="227">
      <x:c r="G227" s="12" t="n">
        <x:v>215</x:v>
      </x:c>
      <x:c r="H227">
        <x:f>G227*PI()/(2*$B$6)</x:f>
        <x:v>0.8443030256522569</x:v>
      </x:c>
      <x:c r="I227">
        <x:f>IF(G227&gt;$B$6,0,IF(OR(G227=0,G227=$B$6),1,IF(MOD(G227,2)=1,4,2)))</x:f>
        <x:v>4</x:v>
      </x:c>
      <x:c r="J227">
        <x:f>IF(G227&gt;$B$6,0,1/SQRT(1-($E$5^2)*(SIN(H227)^2)))</x:f>
        <x:v>1.4324234449466617</x:v>
      </x:c>
      <x:c r="K227">
        <x:f>IF(G227&gt;$B$6,0,SQRT(1-($E$5^2)*(SIN(H227)^2)))</x:f>
        <x:v>0.6981175877341469</x:v>
      </x:c>
    </x:row>
    <x:row r="228">
      <x:c r="G228" s="12" t="n">
        <x:v>216</x:v>
      </x:c>
      <x:c r="H228">
        <x:f>G228*PI()/(2*$B$6)</x:f>
        <x:v>0.8482300164692441</x:v>
      </x:c>
      <x:c r="I228">
        <x:f>IF(G228&gt;$B$6,0,IF(OR(G228=0,G228=$B$6),1,IF(MOD(G228,2)=1,4,2)))</x:f>
        <x:v>2</x:v>
      </x:c>
      <x:c r="J228">
        <x:f>IF(G228&gt;$B$6,0,1/SQRT(1-($E$5^2)*(SIN(H228)^2)))</x:f>
        <x:v>1.4377077579027475</x:v>
      </x:c>
      <x:c r="K228">
        <x:f>IF(G228&gt;$B$6,0,SQRT(1-($E$5^2)*(SIN(H228)^2)))</x:f>
        <x:v>0.6955516477554154</x:v>
      </x:c>
    </x:row>
    <x:row r="229">
      <x:c r="G229" s="12" t="n">
        <x:v>217</x:v>
      </x:c>
      <x:c r="H229">
        <x:f>G229*PI()/(2*$B$6)</x:f>
        <x:v>0.8521570072862313</x:v>
      </x:c>
      <x:c r="I229">
        <x:f>IF(G229&gt;$B$6,0,IF(OR(G229=0,G229=$B$6),1,IF(MOD(G229,2)=1,4,2)))</x:f>
        <x:v>4</x:v>
      </x:c>
      <x:c r="J229">
        <x:f>IF(G229&gt;$B$6,0,1/SQRT(1-($E$5^2)*(SIN(H229)^2)))</x:f>
        <x:v>1.4430456598870187</x:v>
      </x:c>
      <x:c r="K229">
        <x:f>IF(G229&gt;$B$6,0,SQRT(1-($E$5^2)*(SIN(H229)^2)))</x:f>
        <x:v>0.692978765535592</x:v>
      </x:c>
    </x:row>
    <x:row r="230">
      <x:c r="G230" s="12" t="n">
        <x:v>218</x:v>
      </x:c>
      <x:c r="H230">
        <x:f>G230*PI()/(2*$B$6)</x:f>
        <x:v>0.8560839981032186</x:v>
      </x:c>
      <x:c r="I230">
        <x:f>IF(G230&gt;$B$6,0,IF(OR(G230=0,G230=$B$6),1,IF(MOD(G230,2)=1,4,2)))</x:f>
        <x:v>2</x:v>
      </x:c>
      <x:c r="J230">
        <x:f>IF(G230&gt;$B$6,0,1/SQRT(1-($E$5^2)*(SIN(H230)^2)))</x:f>
        <x:v>1.4484377390518195</x:v>
      </x:c>
      <x:c r="K230">
        <x:f>IF(G230&gt;$B$6,0,SQRT(1-($E$5^2)*(SIN(H230)^2)))</x:f>
        <x:v>0.6903990230568163</x:v>
      </x:c>
    </x:row>
    <x:row r="231">
      <x:c r="G231" s="12" t="n">
        <x:v>219</x:v>
      </x:c>
      <x:c r="H231">
        <x:f>G231*PI()/(2*$B$6)</x:f>
        <x:v>0.8600109889202059</x:v>
      </x:c>
      <x:c r="I231">
        <x:f>IF(G231&gt;$B$6,0,IF(OR(G231=0,G231=$B$6),1,IF(MOD(G231,2)=1,4,2)))</x:f>
        <x:v>4</x:v>
      </x:c>
      <x:c r="J231">
        <x:f>IF(G231&gt;$B$6,0,1/SQRT(1-($E$5^2)*(SIN(H231)^2)))</x:f>
        <x:v>1.45388459124033</x:v>
      </x:c>
      <x:c r="K231">
        <x:f>IF(G231&gt;$B$6,0,SQRT(1-($E$5^2)*(SIN(H231)^2)))</x:f>
        <x:v>0.6878125031553471</x:v>
      </x:c>
    </x:row>
    <x:row r="232">
      <x:c r="G232" s="12" t="n">
        <x:v>220</x:v>
      </x:c>
      <x:c r="H232">
        <x:f>G232*PI()/(2*$B$6)</x:f>
        <x:v>0.8639379797371931</x:v>
      </x:c>
      <x:c r="I232">
        <x:f>IF(G232&gt;$B$6,0,IF(OR(G232=0,G232=$B$6),1,IF(MOD(G232,2)=1,4,2)))</x:f>
        <x:v>2</x:v>
      </x:c>
      <x:c r="J232">
        <x:f>IF(G232&gt;$B$6,0,1/SQRT(1-($E$5^2)*(SIN(H232)^2)))</x:f>
        <x:v>1.4593868200604663</x:v>
      </x:c>
      <x:c r="K232">
        <x:f>IF(G232&gt;$B$6,0,SQRT(1-($E$5^2)*(SIN(H232)^2)))</x:f>
        <x:v>0.685219289535976</x:v>
      </x:c>
    </x:row>
    <x:row r="233">
      <x:c r="G233" s="12" t="n">
        <x:v>221</x:v>
      </x:c>
      <x:c r="H233">
        <x:f>G233*PI()/(2*$B$6)</x:f>
        <x:v>0.8678649705541804</x:v>
      </x:c>
      <x:c r="I233">
        <x:f>IF(G233&gt;$B$6,0,IF(OR(G233=0,G233=$B$6),1,IF(MOD(G233,2)=1,4,2)))</x:f>
        <x:v>4</x:v>
      </x:c>
      <x:c r="J233">
        <x:f>IF(G233&gt;$B$6,0,1/SQRT(1-($E$5^2)*(SIN(H233)^2)))</x:f>
        <x:v>1.4649450369576402</x:v>
      </x:c>
      <x:c r="K233">
        <x:f>IF(G233&gt;$B$6,0,SQRT(1-($E$5^2)*(SIN(H233)^2)))</x:f>
        <x:v>0.6826194667868045</x:v>
      </x:c>
    </x:row>
    <x:row r="234">
      <x:c r="G234" s="12" t="n">
        <x:v>222</x:v>
      </x:c>
      <x:c r="H234">
        <x:f>G234*PI()/(2*$B$6)</x:f>
        <x:v>0.8717919613711677</x:v>
      </x:c>
      <x:c r="I234">
        <x:f>IF(G234&gt;$B$6,0,IF(OR(G234=0,G234=$B$6),1,IF(MOD(G234,2)=1,4,2)))</x:f>
        <x:v>2</x:v>
      </x:c>
      <x:c r="J234">
        <x:f>IF(G234&gt;$B$6,0,1/SQRT(1-($E$5^2)*(SIN(H234)^2)))</x:f>
        <x:v>1.4705598612862234</x:v>
      </x:c>
      <x:c r="K234">
        <x:f>IF(G234&gt;$B$6,0,SQRT(1-($E$5^2)*(SIN(H234)^2)))</x:f>
        <x:v>0.6800131203943994</x:v>
      </x:c>
    </x:row>
    <x:row r="235">
      <x:c r="G235" s="12" t="n">
        <x:v>223</x:v>
      </x:c>
      <x:c r="H235">
        <x:f>G235*PI()/(2*$B$6)</x:f>
        <x:v>0.8757189521881549</x:v>
      </x:c>
      <x:c r="I235">
        <x:f>IF(G235&gt;$B$6,0,IF(OR(G235=0,G235=$B$6),1,IF(MOD(G235,2)=1,4,2)))</x:f>
        <x:v>4</x:v>
      </x:c>
      <x:c r="J235">
        <x:f>IF(G235&gt;$B$6,0,1/SQRT(1-($E$5^2)*(SIN(H235)^2)))</x:f>
        <x:v>1.476231920379578</x:v>
      </x:c>
      <x:c r="K235">
        <x:f>IF(G235&gt;$B$6,0,SQRT(1-($E$5^2)*(SIN(H235)^2)))</x:f>
        <x:v>0.677400336759331</x:v>
      </x:c>
    </x:row>
    <x:row r="236">
      <x:c r="G236" s="12" t="n">
        <x:v>224</x:v>
      </x:c>
      <x:c r="H236">
        <x:f>G236*PI()/(2*$B$6)</x:f>
        <x:v>0.8796459430051421</x:v>
      </x:c>
      <x:c r="I236">
        <x:f>IF(G236&gt;$B$6,0,IF(OR(G236=0,G236=$B$6),1,IF(MOD(G236,2)=1,4,2)))</x:f>
        <x:v>2</x:v>
      </x:c>
      <x:c r="J236">
        <x:f>IF(G236&gt;$B$6,0,1/SQRT(1-($E$5^2)*(SIN(H236)^2)))</x:f>
        <x:v>1.4819618496184763</x:v>
      </x:c>
      <x:c r="K236">
        <x:f>IF(G236&gt;$B$6,0,SQRT(1-($E$5^2)*(SIN(H236)^2)))</x:f>
        <x:v>0.6747812032121103</x:v>
      </x:c>
    </x:row>
    <x:row r="237">
      <x:c r="G237" s="12" t="n">
        <x:v>225</x:v>
      </x:c>
      <x:c r="H237">
        <x:f>G237*PI()/(2*$B$6)</x:f>
        <x:v>0.8835729338221293</x:v>
      </x:c>
      <x:c r="I237">
        <x:f>IF(G237&gt;$B$6,0,IF(OR(G237=0,G237=$B$6),1,IF(MOD(G237,2)=1,4,2)))</x:f>
        <x:v>4</x:v>
      </x:c>
      <x:c r="J237">
        <x:f>IF(G237&gt;$B$6,0,1/SQRT(1-($E$5^2)*(SIN(H237)^2)))</x:f>
        <x:v>1.4877502924977566</x:v>
      </x:c>
      <x:c r="K237">
        <x:f>IF(G237&gt;$B$6,0,SQRT(1-($E$5^2)*(SIN(H237)^2)))</x:f>
        <x:v>0.6721558080295306</x:v>
      </x:c>
    </x:row>
    <x:row r="238">
      <x:c r="G238" s="12" t="n">
        <x:v>226</x:v>
      </x:c>
      <x:c r="H238">
        <x:f>G238*PI()/(2*$B$6)</x:f>
        <x:v>0.8874999246391165</x:v>
      </x:c>
      <x:c r="I238">
        <x:f>IF(G238&gt;$B$6,0,IF(OR(G238=0,G238=$B$6),1,IF(MOD(G238,2)=1,4,2)))</x:f>
        <x:v>2</x:v>
      </x:c>
      <x:c r="J238">
        <x:f>IF(G238&gt;$B$6,0,1/SQRT(1-($E$5^2)*(SIN(H238)^2)))</x:f>
        <x:v>1.4935979006910212</x:v>
      </x:c>
      <x:c r="K238">
        <x:f>IF(G238&gt;$B$6,0,SQRT(1-($E$5^2)*(SIN(H238)^2)))</x:f>
        <x:v>0.6695242404514258</x:v>
      </x:c>
    </x:row>
    <x:row r="239">
      <x:c r="G239" s="12" t="n">
        <x:v>227</x:v>
      </x:c>
      <x:c r="H239">
        <x:f>G239*PI()/(2*$B$6)</x:f>
        <x:v>0.8914269154561038</x:v>
      </x:c>
      <x:c r="I239">
        <x:f>IF(G239&gt;$B$6,0,IF(OR(G239=0,G239=$B$6),1,IF(MOD(G239,2)=1,4,2)))</x:f>
        <x:v>4</x:v>
      </x:c>
      <x:c r="J239">
        <x:f>IF(G239&gt;$B$6,0,1/SQRT(1-($E$5^2)*(SIN(H239)^2)))</x:f>
        <x:v>1.4995053341131939</x:v>
      </x:c>
      <x:c r="K239">
        <x:f>IF(G239&gt;$B$6,0,SQRT(1-($E$5^2)*(SIN(H239)^2)))</x:f>
        <x:v>0.6668865906978578</x:v>
      </x:c>
    </x:row>
    <x:row r="240">
      <x:c r="G240" s="12" t="n">
        <x:v>228</x:v>
      </x:c>
      <x:c r="H240">
        <x:f>G240*PI()/(2*$B$6)</x:f>
        <x:v>0.895353906273091</x:v>
      </x:c>
      <x:c r="I240">
        <x:f>IF(G240&gt;$B$6,0,IF(OR(G240=0,G240=$B$6),1,IF(MOD(G240,2)=1,4,2)))</x:f>
        <x:v>2</x:v>
      </x:c>
      <x:c r="J240">
        <x:f>IF(G240&gt;$B$6,0,1/SQRT(1-($E$5^2)*(SIN(H240)^2)))</x:f>
        <x:v>1.5054732609807273</x:v>
      </x:c>
      <x:c r="K240">
        <x:f>IF(G240&gt;$B$6,0,SQRT(1-($E$5^2)*(SIN(H240)^2)))</x:f>
        <x:v>0.6642429499867429</x:v>
      </x:c>
    </x:row>
    <x:row r="241">
      <x:c r="G241" s="12" t="n">
        <x:v>229</x:v>
      </x:c>
      <x:c r="H241">
        <x:f>G241*PI()/(2*$B$6)</x:f>
        <x:v>0.8992808970900782</x:v>
      </x:c>
      <x:c r="I241">
        <x:f>IF(G241&gt;$B$6,0,IF(OR(G241=0,G241=$B$6),1,IF(MOD(G241,2)=1,4,2)))</x:f>
        <x:v>4</x:v>
      </x:c>
      <x:c r="J241">
        <x:f>IF(G241&gt;$B$6,0,1/SQRT(1-($E$5^2)*(SIN(H241)^2)))</x:f>
        <x:v>1.5115023578692521</x:v>
      </x:c>
      <x:c r="K241">
        <x:f>IF(G241&gt;$B$6,0,SQRT(1-($E$5^2)*(SIN(H241)^2)))</x:f>
        <x:v>0.6615934105519284</x:v>
      </x:c>
    </x:row>
    <x:row r="242">
      <x:c r="G242" s="12" t="n">
        <x:v>230</x:v>
      </x:c>
      <x:c r="H242">
        <x:f>G242*PI()/(2*$B$6)</x:f>
        <x:v>0.9032078879070656</x:v>
      </x:c>
      <x:c r="I242">
        <x:f>IF(G242&gt;$B$6,0,IF(OR(G242=0,G242=$B$6),1,IF(MOD(G242,2)=1,4,2)))</x:f>
        <x:v>2</x:v>
      </x:c>
      <x:c r="J242">
        <x:f>IF(G242&gt;$B$6,0,1/SQRT(1-($E$5^2)*(SIN(H242)^2)))</x:f>
        <x:v>1.5175933097684375</x:v>
      </x:c>
      <x:c r="K242">
        <x:f>IF(G242&gt;$B$6,0,SQRT(1-($E$5^2)*(SIN(H242)^2)))</x:f>
        <x:v>0.6589380656617321</x:v>
      </x:c>
    </x:row>
    <x:row r="243">
      <x:c r="G243" s="12" t="n">
        <x:v>231</x:v>
      </x:c>
      <x:c r="H243">
        <x:f>G243*PI()/(2*$B$6)</x:f>
        <x:v>0.9071348787240529</x:v>
      </x:c>
      <x:c r="I243">
        <x:f>IF(G243&gt;$B$6,0,IF(OR(G243=0,G243=$B$6),1,IF(MOD(G243,2)=1,4,2)))</x:f>
        <x:v>4</x:v>
      </x:c>
      <x:c r="J243">
        <x:f>IF(G243&gt;$B$6,0,1/SQRT(1-($E$5^2)*(SIN(H243)^2)))</x:f>
        <x:v>1.5237468101338196</x:v>
      </x:c>
      <x:c r="K243">
        <x:f>IF(G243&gt;$B$6,0,SQRT(1-($E$5^2)*(SIN(H243)^2)))</x:f>
        <x:v>0.6562770096379577</x:v>
      </x:c>
    </x:row>
    <x:row r="244">
      <x:c r="G244" s="12" t="n">
        <x:v>232</x:v>
      </x:c>
      <x:c r="H244">
        <x:f>G244*PI()/(2*$B$6)</x:f>
        <x:v>0.9110618695410401</x:v>
      </x:c>
      <x:c r="I244">
        <x:f>IF(G244&gt;$B$6,0,IF(OR(G244=0,G244=$B$6),1,IF(MOD(G244,2)=1,4,2)))</x:f>
        <x:v>2</x:v>
      </x:c>
      <x:c r="J244">
        <x:f>IF(G244&gt;$B$6,0,1/SQRT(1-($E$5^2)*(SIN(H244)^2)))</x:f>
        <x:v>1.5299635609353524</x:v>
      </x:c>
      <x:c r="K244">
        <x:f>IF(G244&gt;$B$6,0,SQRT(1-($E$5^2)*(SIN(H244)^2)))</x:f>
        <x:v>0.6536103378753962</x:v>
      </x:c>
    </x:row>
    <x:row r="245">
      <x:c r="G245" s="12" t="n">
        <x:v>233</x:v>
      </x:c>
      <x:c r="H245">
        <x:f>G245*PI()/(2*$B$6)</x:f>
        <x:v>0.9149888603580273</x:v>
      </x:c>
      <x:c r="I245">
        <x:f>IF(G245&gt;$B$6,0,IF(OR(G245=0,G245=$B$6),1,IF(MOD(G245,2)=1,4,2)))</x:f>
        <x:v>4</x:v>
      </x:c>
      <x:c r="J245">
        <x:f>IF(G245&gt;$B$6,0,1/SQRT(1-($E$5^2)*(SIN(H245)^2)))</x:f>
        <x:v>1.5362442727024064</x:v>
      </x:c>
      <x:c r="K245">
        <x:f>IF(G245&gt;$B$6,0,SQRT(1-($E$5^2)*(SIN(H245)^2)))</x:f>
        <x:v>0.6509381468618273</x:v>
      </x:c>
    </x:row>
    <x:row r="246">
      <x:c r="G246" s="12" t="n">
        <x:v>234</x:v>
      </x:c>
      <x:c r="H246">
        <x:f>G246*PI()/(2*$B$6)</x:f>
        <x:v>0.9189158511750145</x:v>
      </x:c>
      <x:c r="I246">
        <x:f>IF(G246&gt;$B$6,0,IF(OR(G246=0,G246=$B$6),1,IF(MOD(G246,2)=1,4,2)))</x:f>
        <x:v>2</x:v>
      </x:c>
      <x:c r="J246">
        <x:f>IF(G246&gt;$B$6,0,1/SQRT(1-($E$5^2)*(SIN(H246)^2)))</x:f>
        <x:v>1.5425896645649284</x:v>
      </x:c>
      <x:c r="K246">
        <x:f>IF(G246&gt;$B$6,0,SQRT(1-($E$5^2)*(SIN(H246)^2)))</x:f>
        <x:v>0.6482605341985354</x:v>
      </x:c>
    </x:row>
    <x:row r="247">
      <x:c r="G247" s="12" t="n">
        <x:v>235</x:v>
      </x:c>
      <x:c r="H247">
        <x:f>G247*PI()/(2*$B$6)</x:f>
        <x:v>0.9228428419920017</x:v>
      </x:c>
      <x:c r="I247">
        <x:f>IF(G247&gt;$B$6,0,IF(OR(G247=0,G247=$B$6),1,IF(MOD(G247,2)=1,4,2)))</x:f>
        <x:v>4</x:v>
      </x:c>
      <x:c r="J247">
        <x:f>IF(G247&gt;$B$6,0,1/SQRT(1-($E$5^2)*(SIN(H247)^2)))</x:f>
        <x:v>1.549000464290473</x:v>
      </x:c>
      <x:c r="K247">
        <x:f>IF(G247&gt;$B$6,0,SQRT(1-($E$5^2)*(SIN(H247)^2)))</x:f>
        <x:v>0.6455775986213502</x:v>
      </x:c>
    </x:row>
    <x:row r="248">
      <x:c r="G248" s="12" t="n">
        <x:v>236</x:v>
      </x:c>
      <x:c r="H248">
        <x:f>G248*PI()/(2*$B$6)</x:f>
        <x:v>0.926769832808989</x:v>
      </x:c>
      <x:c r="I248">
        <x:f>IF(G248&gt;$B$6,0,IF(OR(G248=0,G248=$B$6),1,IF(MOD(G248,2)=1,4,2)))</x:f>
        <x:v>2</x:v>
      </x:c>
      <x:c r="J248">
        <x:f>IF(G248&gt;$B$6,0,1/SQRT(1-($E$5^2)*(SIN(H248)^2)))</x:f>
        <x:v>1.5554774083167724</x:v>
      </x:c>
      <x:c r="K248">
        <x:f>IF(G248&gt;$B$6,0,SQRT(1-($E$5^2)*(SIN(H248)^2)))</x:f>
        <x:v>0.6428894400222304</x:v>
      </x:c>
    </x:row>
    <x:row r="249">
      <x:c r="G249" s="12" t="n">
        <x:v>237</x:v>
      </x:c>
      <x:c r="H249">
        <x:f>G249*PI()/(2*$B$6)</x:f>
        <x:v>0.9306968236259762</x:v>
      </x:c>
      <x:c r="I249">
        <x:f>IF(G249&gt;$B$6,0,IF(OR(G249=0,G249=$B$6),1,IF(MOD(G249,2)=1,4,2)))</x:f>
        <x:v>4</x:v>
      </x:c>
      <x:c r="J249">
        <x:f>IF(G249&gt;$B$6,0,1/SQRT(1-($E$5^2)*(SIN(H249)^2)))</x:f>
        <x:v>1.5620212417795314</x:v>
      </x:c>
      <x:c r="K249">
        <x:f>IF(G249&gt;$B$6,0,SQRT(1-($E$5^2)*(SIN(H249)^2)))</x:f>
        <x:v>0.640196159471398</x:v>
      </x:c>
    </x:row>
    <x:row r="250">
      <x:c r="G250" s="12" t="n">
        <x:v>238</x:v>
      </x:c>
      <x:c r="H250">
        <x:f>G250*PI()/(2*$B$6)</x:f>
        <x:v>0.9346238144429634</x:v>
      </x:c>
      <x:c r="I250">
        <x:f>IF(G250&gt;$B$6,0,IF(OR(G250=0,G250=$B$6),1,IF(MOD(G250,2)=1,4,2)))</x:f>
        <x:v>2</x:v>
      </x:c>
      <x:c r="J250">
        <x:f>IF(G250&gt;$B$6,0,1/SQRT(1-($E$5^2)*(SIN(H250)^2)))</x:f>
        <x:v>1.5686327185350706</x:v>
      </x:c>
      <x:c r="K250">
        <x:f>IF(G250&gt;$B$6,0,SQRT(1-($E$5^2)*(SIN(H250)^2)))</x:f>
        <x:v>0.6374978592400453</x:v>
      </x:c>
    </x:row>
    <x:row r="251">
      <x:c r="G251" s="12" t="n">
        <x:v>239</x:v>
      </x:c>
      <x:c r="H251">
        <x:f>G251*PI()/(2*$B$6)</x:f>
        <x:v>0.9385508052599506</x:v>
      </x:c>
      <x:c r="I251">
        <x:f>IF(G251&gt;$B$6,0,IF(OR(G251=0,G251=$B$6),1,IF(MOD(G251,2)=1,4,2)))</x:f>
        <x:v>4</x:v>
      </x:c>
      <x:c r="J251">
        <x:f>IF(G251&gt;$B$6,0,1/SQRT(1-($E$5^2)*(SIN(H251)^2)))</x:f>
        <x:v>1.575312601177463</x:v>
      </x:c>
      <x:c r="K251">
        <x:f>IF(G251&gt;$B$6,0,SQRT(1-($E$5^2)*(SIN(H251)^2)))</x:f>
        <x:v>0.634794642823623</x:v>
      </x:c>
    </x:row>
    <x:row r="252">
      <x:c r="G252" s="12" t="n">
        <x:v>240</x:v>
      </x:c>
      <x:c r="H252">
        <x:f>G252*PI()/(2*$B$6)</x:f>
        <x:v>0.9424777960769378</x:v>
      </x:c>
      <x:c r="I252">
        <x:f>IF(G252&gt;$B$6,0,IF(OR(G252=0,G252=$B$6),1,IF(MOD(G252,2)=1,4,2)))</x:f>
        <x:v>2</x:v>
      </x:c>
      <x:c r="J252">
        <x:f>IF(G252&gt;$B$6,0,1/SQRT(1-($E$5^2)*(SIN(H252)^2)))</x:f>
        <x:v>1.582061661049762</x:v>
      </x:c>
      <x:c r="K252">
        <x:f>IF(G252&gt;$B$6,0,SQRT(1-($E$5^2)*(SIN(H252)^2)))</x:f>
        <x:v>0.6320866149657274</x:v>
      </x:c>
    </x:row>
    <x:row r="253">
      <x:c r="G253" s="12" t="n">
        <x:v>241</x:v>
      </x:c>
      <x:c r="H253">
        <x:f>G253*PI()/(2*$B$6)</x:f>
        <x:v>0.9464047868939253</x:v>
      </x:c>
      <x:c r="I253">
        <x:f>IF(G253&gt;$B$6,0,IF(OR(G253=0,G253=$B$6),1,IF(MOD(G253,2)=1,4,2)))</x:f>
        <x:v>4</x:v>
      </x:c>
      <x:c r="J253">
        <x:f>IF(G253&gt;$B$6,0,1/SQRT(1-($E$5^2)*(SIN(H253)^2)))</x:f>
        <x:v>1.5888806782489056</x:v>
      </x:c>
      <x:c r="K253">
        <x:f>IF(G253&gt;$B$6,0,SQRT(1-($E$5^2)*(SIN(H253)^2)))</x:f>
        <x:v>0.6293738816826026</x:v>
      </x:c>
    </x:row>
    <x:row r="254">
      <x:c r="G254" s="12" t="n">
        <x:v>242</x:v>
      </x:c>
      <x:c r="H254">
        <x:f>G254*PI()/(2*$B$6)</x:f>
        <x:v>0.9503317777109125</x:v>
      </x:c>
      <x:c r="I254">
        <x:f>IF(G254&gt;$B$6,0,IF(OR(G254=0,G254=$B$6),1,IF(MOD(G254,2)=1,4,2)))</x:f>
        <x:v>2</x:v>
      </x:c>
      <x:c r="J254">
        <x:f>IF(G254&gt;$B$6,0,1/SQRT(1-($E$5^2)*(SIN(H254)^2)))</x:f>
        <x:v>1.5957704416238592</x:v>
      </x:c>
      <x:c r="K254">
        <x:f>IF(G254&gt;$B$6,0,SQRT(1-($E$5^2)*(SIN(H254)^2)))</x:f>
        <x:v>0.626656550288272</x:v>
      </x:c>
    </x:row>
    <x:row r="255">
      <x:c r="G255" s="12" t="n">
        <x:v>243</x:v>
      </x:c>
      <x:c r="H255">
        <x:f>G255*PI()/(2*$B$6)</x:f>
        <x:v>0.9542587685278997</x:v>
      </x:c>
      <x:c r="I255">
        <x:f>IF(G255&gt;$B$6,0,IF(OR(G255=0,G255=$B$6),1,IF(MOD(G255,2)=1,4,2)))</x:f>
        <x:v>4</x:v>
      </x:c>
      <x:c r="J255">
        <x:f>IF(G255&gt;$B$6,0,1/SQRT(1-($E$5^2)*(SIN(H255)^2)))</x:f>
        <x:v>1.6027317487665393</x:v>
      </x:c>
      <x:c r="K255">
        <x:f>IF(G255&gt;$B$6,0,SQRT(1-($E$5^2)*(SIN(H255)^2)))</x:f>
        <x:v>0.6239347294203156</x:v>
      </x:c>
    </x:row>
    <x:row r="256">
      <x:c r="G256" s="12" t="n">
        <x:v>244</x:v>
      </x:c>
      <x:c r="H256">
        <x:f>G256*PI()/(2*$B$6)</x:f>
        <x:v>0.9581857593448869</x:v>
      </x:c>
      <x:c r="I256">
        <x:f>IF(G256&gt;$B$6,0,IF(OR(G256=0,G256=$B$6),1,IF(MOD(G256,2)=1,4,2)))</x:f>
        <x:v>2</x:v>
      </x:c>
      <x:c r="J256">
        <x:f>IF(G256&gt;$B$6,0,1/SQRT(1-($E$5^2)*(SIN(H256)^2)))</x:f>
        <x:v>1.6097654059950228</x:v>
      </x:c>
      <x:c r="K256">
        <x:f>IF(G256&gt;$B$6,0,SQRT(1-($E$5^2)*(SIN(H256)^2)))</x:f>
        <x:v>0.6212085290663103</x:v>
      </x:c>
    </x:row>
    <x:row r="257">
      <x:c r="G257" s="12" t="n">
        <x:v>245</x:v>
      </x:c>
      <x:c r="H257">
        <x:f>G257*PI()/(2*$B$6)</x:f>
        <x:v>0.9621127501618741</x:v>
      </x:c>
      <x:c r="I257">
        <x:f>IF(G257&gt;$B$6,0,IF(OR(G257=0,G257=$B$6),1,IF(MOD(G257,2)=1,4,2)))</x:f>
        <x:v>4</x:v>
      </x:c>
      <x:c r="J257">
        <x:f>IF(G257&gt;$B$6,0,1/SQRT(1-($E$5^2)*(SIN(H257)^2)))</x:f>
        <x:v>1.616872228328535</x:v>
      </x:c>
      <x:c r="K257">
        <x:f>IF(G257&gt;$B$6,0,SQRT(1-($E$5^2)*(SIN(H257)^2)))</x:f>
        <x:v>0.61847806059095</x:v>
      </x:c>
    </x:row>
    <x:row r="258">
      <x:c r="G258" s="12" t="n">
        <x:v>246</x:v>
      </x:c>
      <x:c r="H258">
        <x:f>G258*PI()/(2*$B$6)</x:f>
        <x:v>0.9660397409788614</x:v>
      </x:c>
      <x:c r="I258">
        <x:f>IF(G258&gt;$B$6,0,IF(OR(G258=0,G258=$B$6),1,IF(MOD(G258,2)=1,4,2)))</x:f>
        <x:v>2</x:v>
      </x:c>
      <x:c r="J258">
        <x:f>IF(G258&gt;$B$6,0,1/SQRT(1-($E$5^2)*(SIN(H258)^2)))</x:f>
        <x:v>1.6240530394536723</x:v>
      </x:c>
      <x:c r="K258">
        <x:f>IF(G258&gt;$B$6,0,SQRT(1-($E$5^2)*(SIN(H258)^2)))</x:f>
        <x:v>0.6157434367638619</x:v>
      </x:c>
    </x:row>
    <x:row r="259">
      <x:c r="G259" s="12" t="n">
        <x:v>247</x:v>
      </x:c>
      <x:c r="H259">
        <x:f>G259*PI()/(2*$B$6)</x:f>
        <x:v>0.9699667317958486</x:v>
      </x:c>
      <x:c r="I259">
        <x:f>IF(G259&gt;$B$6,0,IF(OR(G259=0,G259=$B$6),1,IF(MOD(G259,2)=1,4,2)))</x:f>
        <x:v>4</x:v>
      </x:c>
      <x:c r="J259">
        <x:f>IF(G259&gt;$B$6,0,1/SQRT(1-($E$5^2)*(SIN(H259)^2)))</x:f>
        <x:v>1.6313086716812912</x:v>
      </x:c>
      <x:c r="K259">
        <x:f>IF(G259&gt;$B$6,0,SQRT(1-($E$5^2)*(SIN(H259)^2)))</x:f>
        <x:v>0.6130047717881377</x:v>
      </x:c>
    </x:row>
    <x:row r="260">
      <x:c r="G260" s="12" t="n">
        <x:v>248</x:v>
      </x:c>
      <x:c r="H260">
        <x:f>G260*PI()/(2*$B$6)</x:f>
        <x:v>0.9738937226128358</x:v>
      </x:c>
      <x:c r="I260">
        <x:f>IF(G260&gt;$B$6,0,IF(OR(G260=0,G260=$B$6),1,IF(MOD(G260,2)=1,4,2)))</x:f>
        <x:v>2</x:v>
      </x:c>
      <x:c r="J260">
        <x:f>IF(G260&gt;$B$6,0,1/SQRT(1-($E$5^2)*(SIN(H260)^2)))</x:f>
        <x:v>1.638639965893463</x:v>
      </x:c>
      <x:c r="K260">
        <x:f>IF(G260&gt;$B$6,0,SQRT(1-($E$5^2)*(SIN(H260)^2)))</x:f>
        <x:v>0.6102621813295963</x:v>
      </x:c>
    </x:row>
    <x:row r="261">
      <x:c r="G261" s="12" t="n">
        <x:v>249</x:v>
      </x:c>
      <x:c r="H261">
        <x:f>G261*PI()/(2*$B$6)</x:f>
        <x:v>0.977820713429823</x:v>
      </x:c>
      <x:c r="I261">
        <x:f>IF(G261&gt;$B$6,0,IF(OR(G261=0,G261=$B$6),1,IF(MOD(G261,2)=1,4,2)))</x:f>
        <x:v>4</x:v>
      </x:c>
      <x:c r="J261">
        <x:f>IF(G261&gt;$B$6,0,1/SQRT(1-($E$5^2)*(SIN(H261)^2)))</x:f>
        <x:v>1.64604777147986</x:v>
      </x:c>
      <x:c r="K261">
        <x:f>IF(G261&gt;$B$6,0,SQRT(1-($E$5^2)*(SIN(H261)^2)))</x:f>
        <x:v>0.6075157825467979</x:v>
      </x:c>
    </x:row>
    <x:row r="262">
      <x:c r="G262" s="12" t="n">
        <x:v>250</x:v>
      </x:c>
      <x:c r="H262">
        <x:f>G262*PI()/(2*$B$6)</x:f>
        <x:v>0.9817477042468102</x:v>
      </x:c>
      <x:c r="I262">
        <x:f>IF(G262&gt;$B$6,0,IF(OR(G262=0,G262=$B$6),1,IF(MOD(G262,2)=1,4,2)))</x:f>
        <x:v>2</x:v>
      </x:c>
      <x:c r="J262">
        <x:f>IF(G262&gt;$B$6,0,1/SQRT(1-($E$5^2)*(SIN(H262)^2)))</x:f>
        <x:v>1.65353294626291</x:v>
      </x:c>
      <x:c r="K262">
        <x:f>IF(G262&gt;$B$6,0,SQRT(1-($E$5^2)*(SIN(H262)^2)))</x:f>
        <x:v>0.6047656941218279</x:v>
      </x:c>
    </x:row>
    <x:row r="263">
      <x:c r="G263" s="12" t="n">
        <x:v>251</x:v>
      </x:c>
      <x:c r="H263">
        <x:f>G263*PI()/(2*$B$6)</x:f>
        <x:v>0.9856746950637977</x:v>
      </x:c>
      <x:c r="I263">
        <x:f>IF(G263&gt;$B$6,0,IF(OR(G263=0,G263=$B$6),1,IF(MOD(G263,2)=1,4,2)))</x:f>
        <x:v>4</x:v>
      </x:c>
      <x:c r="J263">
        <x:f>IF(G263&gt;$B$6,0,1/SQRT(1-($E$5^2)*(SIN(H263)^2)))</x:f>
        <x:v>1.6610963564110202</x:v>
      </x:c>
      <x:c r="K263">
        <x:f>IF(G263&gt;$B$6,0,SQRT(1-($E$5^2)*(SIN(H263)^2)))</x:f>
        <x:v>0.6020120362918675</x:v>
      </x:c>
    </x:row>
    <x:row r="264">
      <x:c r="G264" s="12" t="n">
        <x:v>252</x:v>
      </x:c>
      <x:c r="H264">
        <x:f>G264*PI()/(2*$B$6)</x:f>
        <x:v>0.9896016858807849</x:v>
      </x:c>
      <x:c r="I264">
        <x:f>IF(G264&gt;$B$6,0,IF(OR(G264=0,G264=$B$6),1,IF(MOD(G264,2)=1,4,2)))</x:f>
        <x:v>2</x:v>
      </x:c>
      <x:c r="J264">
        <x:f>IF(G264&gt;$B$6,0,1/SQRT(1-($E$5^2)*(SIN(H264)^2)))</x:f>
        <x:v>1.6687388763391273</x:v>
      </x:c>
      <x:c r="K264">
        <x:f>IF(G264&gt;$B$6,0,SQRT(1-($E$5^2)*(SIN(H264)^2)))</x:f>
        <x:v>0.5992549308815744</x:v>
      </x:c>
    </x:row>
    <x:row r="265">
      <x:c r="G265" s="12" t="n">
        <x:v>253</x:v>
      </x:c>
      <x:c r="H265">
        <x:f>G265*PI()/(2*$B$6)</x:f>
        <x:v>0.9935286766977721</x:v>
      </x:c>
      <x:c r="I265">
        <x:f>IF(G265&gt;$B$6,0,IF(OR(G265=0,G265=$B$6),1,IF(MOD(G265,2)=1,4,2)))</x:f>
        <x:v>4</x:v>
      </x:c>
      <x:c r="J265">
        <x:f>IF(G265&gt;$B$6,0,1/SQRT(1-($E$5^2)*(SIN(H265)^2)))</x:f>
        <x:v>1.676461388595807</x:v>
      </x:c>
      <x:c r="K265">
        <x:f>IF(G265&gt;$B$6,0,SQRT(1-($E$5^2)*(SIN(H265)^2)))</x:f>
        <x:v>0.5964945013362899</x:v>
      </x:c>
    </x:row>
    <x:row r="266">
      <x:c r="G266" s="12" t="n">
        <x:v>254</x:v>
      </x:c>
      <x:c r="H266">
        <x:f>G266*PI()/(2*$B$6)</x:f>
        <x:v>0.9974556675147593</x:v>
      </x:c>
      <x:c r="I266">
        <x:f>IF(G266&gt;$B$6,0,IF(OR(G266=0,G266=$B$6),1,IF(MOD(G266,2)=1,4,2)))</x:f>
        <x:v>2</x:v>
      </x:c>
      <x:c r="J266">
        <x:f>IF(G266&gt;$B$6,0,1/SQRT(1-($E$5^2)*(SIN(H266)^2)))</x:f>
        <x:v>1.6842647837361227</x:v>
      </x:c>
      <x:c r="K266">
        <x:f>IF(G266&gt;$B$6,0,SQRT(1-($E$5^2)*(SIN(H266)^2)))</x:f>
        <x:v>0.5937308727560928</x:v>
      </x:c>
    </x:row>
    <x:row r="267">
      <x:c r="G267" s="12" t="n">
        <x:v>255</x:v>
      </x:c>
      <x:c r="H267">
        <x:f>G267*PI()/(2*$B$6)</x:f>
        <x:v>1.0013826583317467</x:v>
      </x:c>
      <x:c r="I267">
        <x:f>IF(G267&gt;$B$6,0,IF(OR(G267=0,G267=$B$6),1,IF(MOD(G267,2)=1,4,2)))</x:f>
        <x:v>4</x:v>
      </x:c>
      <x:c r="J267">
        <x:f>IF(G267&gt;$B$6,0,1/SQRT(1-($E$5^2)*(SIN(H267)^2)))</x:f>
        <x:v>1.692149960179353</x:v>
      </x:c>
      <x:c r="K267">
        <x:f>IF(G267&gt;$B$6,0,SQRT(1-($E$5^2)*(SIN(H267)^2)))</x:f>
        <x:v>0.5909641719307246</x:v>
      </x:c>
    </x:row>
    <x:row r="268">
      <x:c r="G268" s="12" t="n">
        <x:v>256</x:v>
      </x:c>
      <x:c r="H268">
        <x:f>G268*PI()/(2*$B$6)</x:f>
        <x:v>1.0053096491487339</x:v>
      </x:c>
      <x:c r="I268">
        <x:f>IF(G268&gt;$B$6,0,IF(OR(G268=0,G268=$B$6),1,IF(MOD(G268,2)=1,4,2)))</x:f>
        <x:v>2</x:v>
      </x:c>
      <x:c r="J268">
        <x:f>IF(G268&gt;$B$6,0,1/SQRT(1-($E$5^2)*(SIN(H268)^2)))</x:f>
        <x:v>1.700117824050708</x:v>
      </x:c>
      <x:c r="K268">
        <x:f>IF(G268&gt;$B$6,0,SQRT(1-($E$5^2)*(SIN(H268)^2)))</x:f>
        <x:v>0.5881945273754002</x:v>
      </x:c>
    </x:row>
    <x:row r="269">
      <x:c r="G269" s="12" t="n">
        <x:v>257</x:v>
      </x:c>
      <x:c r="H269">
        <x:f>G269*PI()/(2*$B$6)</x:f>
        <x:v>1.009236639965721</x:v>
      </x:c>
      <x:c r="I269">
        <x:f>IF(G269&gt;$B$6,0,IF(OR(G269=0,G269=$B$6),1,IF(MOD(G269,2)=1,4,2)))</x:f>
        <x:v>4</x:v>
      </x:c>
      <x:c r="J269">
        <x:f>IF(G269&gt;$B$6,0,1/SQRT(1-($E$5^2)*(SIN(H269)^2)))</x:f>
        <x:v>1.7081692890060733</x:v>
      </x:c>
      <x:c r="K269">
        <x:f>IF(G269&gt;$B$6,0,SQRT(1-($E$5^2)*(SIN(H269)^2)))</x:f>
        <x:v>0.5854220693675313</x:v>
      </x:c>
    </x:row>
    <x:row r="270">
      <x:c r="G270" s="12" t="n">
        <x:v>258</x:v>
      </x:c>
      <x:c r="H270">
        <x:f>G270*PI()/(2*$B$6)</x:f>
        <x:v>1.0131636307827083</x:v>
      </x:c>
      <x:c r="I270">
        <x:f>IF(G270&gt;$B$6,0,IF(OR(G270=0,G270=$B$6),1,IF(MOD(G270,2)=1,4,2)))</x:f>
        <x:v>2</x:v>
      </x:c>
      <x:c r="J270">
        <x:f>IF(G270&gt;$B$6,0,1/SQRT(1-($E$5^2)*(SIN(H270)^2)))</x:f>
        <x:v>1.7163052760388002</x:v>
      </x:c>
      <x:c r="K270">
        <x:f>IF(G270&gt;$B$6,0,SQRT(1-($E$5^2)*(SIN(H270)^2)))</x:f>
        <x:v>0.5826469299843795</x:v>
      </x:c>
    </x:row>
    <x:row r="271">
      <x:c r="G271" s="12" t="n">
        <x:v>259</x:v>
      </x:c>
      <x:c r="H271">
        <x:f>G271*PI()/(2*$B$6)</x:f>
        <x:v>1.0170906215996955</x:v>
      </x:c>
      <x:c r="I271">
        <x:f>IF(G271&gt;$B$6,0,IF(OR(G271=0,G271=$B$6),1,IF(MOD(G271,2)=1,4,2)))</x:f>
        <x:v>4</x:v>
      </x:c>
      <x:c r="J271">
        <x:f>IF(G271&gt;$B$6,0,1/SQRT(1-($E$5^2)*(SIN(H271)^2)))</x:f>
        <x:v>1.7245267132674846</x:v>
      </x:c>
      <x:c r="K271">
        <x:f>IF(G271&gt;$B$6,0,SQRT(1-($E$5^2)*(SIN(H271)^2)))</x:f>
        <x:v>0.5798692431416653</x:v>
      </x:c>
    </x:row>
    <x:row r="272">
      <x:c r="G272" s="12" t="n">
        <x:v>260</x:v>
      </x:c>
      <x:c r="H272">
        <x:f>G272*PI()/(2*$B$6)</x:f>
        <x:v>1.0210176124166828</x:v>
      </x:c>
      <x:c r="I272">
        <x:f>IF(G272&gt;$B$6,0,IF(OR(G272=0,G272=$B$6),1,IF(MOD(G272,2)=1,4,2)))</x:f>
        <x:v>2</x:v>
      </x:c>
      <x:c r="J272">
        <x:f>IF(G272&gt;$B$6,0,1/SQRT(1-($E$5^2)*(SIN(H272)^2)))</x:f>
        <x:v>1.7328345357036528</x:v>
      </x:c>
      <x:c r="K272">
        <x:f>IF(G272&gt;$B$6,0,SQRT(1-($E$5^2)*(SIN(H272)^2)))</x:f>
        <x:v>0.5770891446331485</x:v>
      </x:c>
    </x:row>
    <x:row r="273">
      <x:c r="G273" s="12" t="n">
        <x:v>261</x:v>
      </x:c>
      <x:c r="H273">
        <x:f>G273*PI()/(2*$B$6)</x:f>
        <x:v>1.02494460323367</x:v>
      </x:c>
      <x:c r="I273">
        <x:f>IF(G273&gt;$B$6,0,IF(OR(G273=0,G273=$B$6),1,IF(MOD(G273,2)=1,4,2)))</x:f>
        <x:v>4</x:v>
      </x:c>
      <x:c r="J273">
        <x:f>IF(G273&gt;$B$6,0,1/SQRT(1-($E$5^2)*(SIN(H273)^2)))</x:f>
        <x:v>1.7412296849981825</x:v>
      </x:c>
      <x:c r="K273">
        <x:f>IF(G273&gt;$B$6,0,SQRT(1-($E$5^2)*(SIN(H273)^2)))</x:f>
        <x:v>0.5743067721712106</x:v>
      </x:c>
    </x:row>
    <x:row r="274">
      <x:c r="G274" s="12" t="n">
        <x:v>262</x:v>
      </x:c>
      <x:c r="H274">
        <x:f>G274*PI()/(2*$B$6)</x:f>
        <x:v>1.0288715940506572</x:v>
      </x:c>
      <x:c r="I274">
        <x:f>IF(G274&gt;$B$6,0,IF(OR(G274=0,G274=$B$6),1,IF(MOD(G274,2)=1,4,2)))</x:f>
        <x:v>2</x:v>
      </x:c>
      <x:c r="J274">
        <x:f>IF(G274&gt;$B$6,0,1/SQRT(1-($E$5^2)*(SIN(H274)^2)))</x:f>
        <x:v>1.7497131091652747</x:v>
      </x:c>
      <x:c r="K274">
        <x:f>IF(G274&gt;$B$6,0,SQRT(1-($E$5^2)*(SIN(H274)^2)))</x:f>
        <x:v>0.5715222654284531</x:v>
      </x:c>
    </x:row>
    <x:row r="275">
      <x:c r="G275" s="12" t="n">
        <x:v>263</x:v>
      </x:c>
      <x:c r="H275">
        <x:f>G275*PI()/(2*$B$6)</x:f>
        <x:v>1.0327985848676446</x:v>
      </x:c>
      <x:c r="I275">
        <x:f>IF(G275&gt;$B$6,0,IF(OR(G275=0,G275=$B$6),1,IF(MOD(G275,2)=1,4,2)))</x:f>
        <x:v>4</x:v>
      </x:c>
      <x:c r="J275">
        <x:f>IF(G275&gt;$B$6,0,1/SQRT(1-($E$5^2)*(SIN(H275)^2)))</x:f>
        <x:v>1.758285762282684</x:v>
      </x:c>
      <x:c r="K275">
        <x:f>IF(G275&gt;$B$6,0,SQRT(1-($E$5^2)*(SIN(H275)^2)))</x:f>
        <x:v>0.5687357660803418</x:v>
      </x:c>
    </x:row>
    <x:row r="276">
      <x:c r="G276" s="12" t="n">
        <x:v>264</x:v>
      </x:c>
      <x:c r="H276">
        <x:f>G276*PI()/(2*$B$6)</x:f>
        <x:v>1.0367255756846319</x:v>
      </x:c>
      <x:c r="I276">
        <x:f>IF(G276&gt;$B$6,0,IF(OR(G276=0,G276=$B$6),1,IF(MOD(G276,2)=1,4,2)))</x:f>
        <x:v>2</x:v>
      </x:c>
      <x:c r="J276">
        <x:f>IF(G276&gt;$B$6,0,1/SQRT(1-($E$5^2)*(SIN(H276)^2)))</x:f>
        <x:v>1.766948604166894</x:v>
      </x:c>
      <x:c r="K276">
        <x:f>IF(G276&gt;$B$6,0,SQRT(1-($E$5^2)*(SIN(H276)^2)))</x:f>
        <x:v>0.565947417848916</x:v>
      </x:c>
    </x:row>
    <x:row r="277">
      <x:c r="G277" s="12" t="n">
        <x:v>265</x:v>
      </x:c>
      <x:c r="H277">
        <x:f>G277*PI()/(2*$B$6)</x:f>
        <x:v>1.040652566501619</x:v>
      </x:c>
      <x:c r="I277">
        <x:f>IF(G277&gt;$B$6,0,IF(OR(G277=0,G277=$B$6),1,IF(MOD(G277,2)=1,4,2)))</x:f>
        <x:v>4</x:v>
      </x:c>
      <x:c r="J277">
        <x:f>IF(G277&gt;$B$6,0,1/SQRT(1-($E$5^2)*(SIN(H277)^2)))</x:f>
        <x:v>1.7757026000218452</x:v>
      </x:c>
      <x:c r="K277">
        <x:f>IF(G277&gt;$B$6,0,SQRT(1-($E$5^2)*(SIN(H277)^2)))</x:f>
        <x:v>0.5631573665475839</x:v>
      </x:c>
    </x:row>
    <x:row r="278">
      <x:c r="G278" s="12" t="n">
        <x:v>266</x:v>
      </x:c>
      <x:c r="H278">
        <x:f>G278*PI()/(2*$B$6)</x:f>
        <x:v>1.0445795573186063</x:v>
      </x:c>
      <x:c r="I278">
        <x:f>IF(G278&gt;$B$6,0,IF(OR(G278=0,G278=$B$6),1,IF(MOD(G278,2)=1,4,2)))</x:f>
        <x:v>2</x:v>
      </x:c>
      <x:c r="J278">
        <x:f>IF(G278&gt;$B$6,0,1/SQRT(1-($E$5^2)*(SIN(H278)^2)))</x:f>
        <x:v>1.7845487200597359</x:v>
      </x:c>
      <x:c r="K278">
        <x:f>IF(G278&gt;$B$6,0,SQRT(1-($E$5^2)*(SIN(H278)^2)))</x:f>
        <x:v>0.5603657601270343</x:v>
      </x:c>
    </x:row>
    <x:row r="279">
      <x:c r="G279" s="12" t="n">
        <x:v>267</x:v>
      </x:c>
      <x:c r="H279">
        <x:f>G279*PI()/(2*$B$6)</x:f>
        <x:v>1.0485065481355935</x:v>
      </x:c>
      <x:c r="I279">
        <x:f>IF(G279&gt;$B$6,0,IF(OR(G279=0,G279=$B$6),1,IF(MOD(G279,2)=1,4,2)))</x:f>
        <x:v>4</x:v>
      </x:c>
      <x:c r="J279">
        <x:f>IF(G279&gt;$B$6,0,1/SQRT(1-($E$5^2)*(SIN(H279)^2)))</x:f>
        <x:v>1.7934879390923875</x:v>
      </x:c>
      <x:c r="K279">
        <x:f>IF(G279&gt;$B$6,0,SQRT(1-($E$5^2)*(SIN(H279)^2)))</x:f>
        <x:v>0.5575727487222802</x:v>
      </x:c>
    </x:row>
    <x:row r="280">
      <x:c r="G280" s="12" t="n">
        <x:v>268</x:v>
      </x:c>
      <x:c r="H280">
        <x:f>G280*PI()/(2*$B$6)</x:f>
        <x:v>1.0524335389525807</x:v>
      </x:c>
      <x:c r="I280">
        <x:f>IF(G280&gt;$B$6,0,IF(OR(G280=0,G280=$B$6),1,IF(MOD(G280,2)=1,4,2)))</x:f>
        <x:v>2</x:v>
      </x:c>
      <x:c r="J280">
        <x:f>IF(G280&gt;$B$6,0,1/SQRT(1-($E$5^2)*(SIN(H280)^2)))</x:f>
        <x:v>1.8025212360915557</x:v>
      </x:c>
      <x:c r="K280">
        <x:f>IF(G280&gt;$B$6,0,SQRT(1-($E$5^2)*(SIN(H280)^2)))</x:f>
        <x:v>0.5547784847008631</x:v>
      </x:c>
    </x:row>
    <x:row r="281">
      <x:c r="G281" s="12" t="n">
        <x:v>269</x:v>
      </x:c>
      <x:c r="H281">
        <x:f>G281*PI()/(2*$B$6)</x:f>
        <x:v>1.056360529769568</x:v>
      </x:c>
      <x:c r="I281">
        <x:f>IF(G281&gt;$B$6,0,IF(OR(G281=0,G281=$B$6),1,IF(MOD(G281,2)=1,4,2)))</x:f>
        <x:v>4</x:v>
      </x:c>
      <x:c r="J281">
        <x:f>IF(G281&gt;$B$6,0,1/SQRT(1-($E$5^2)*(SIN(H281)^2)))</x:f>
        <x:v>1.811649593716519</x:v>
      </x:c>
      <x:c r="K281">
        <x:f>IF(G281&gt;$B$6,0,SQRT(1-($E$5^2)*(SIN(H281)^2)))</x:f>
        <x:v>0.5519831227122373</x:v>
      </x:c>
    </x:row>
    <x:row r="282">
      <x:c r="G282" s="12" t="n">
        <x:v>270</x:v>
      </x:c>
      <x:c r="H282">
        <x:f>G282*PI()/(2*$B$6)</x:f>
        <x:v>1.0602875205865552</x:v>
      </x:c>
      <x:c r="I282">
        <x:f>IF(G282&gt;$B$6,0,IF(OR(G282=0,G282=$B$6),1,IF(MOD(G282,2)=1,4,2)))</x:f>
        <x:v>2</x:v>
      </x:c>
      <x:c r="J282">
        <x:f>IF(G282&gt;$B$6,0,1/SQRT(1-($E$5^2)*(SIN(H282)^2)))</x:f>
        <x:v>1.8208739978071775</x:v>
      </x:c>
      <x:c r="K282">
        <x:f>IF(G282&gt;$B$6,0,SQRT(1-($E$5^2)*(SIN(H282)^2)))</x:f>
        <x:v>0.5491868197383615</x:v>
      </x:c>
    </x:row>
    <x:row r="283">
      <x:c r="G283" s="12" t="n">
        <x:v>271</x:v>
      </x:c>
      <x:c r="H283">
        <x:f>G283*PI()/(2*$B$6)</x:f>
        <x:v>1.0642145114035424</x:v>
      </x:c>
      <x:c r="I283">
        <x:f>IF(G283&gt;$B$6,0,IF(OR(G283=0,G283=$B$6),1,IF(MOD(G283,2)=1,4,2)))</x:f>
        <x:v>4</x:v>
      </x:c>
      <x:c r="J283">
        <x:f>IF(G283&gt;$B$6,0,1/SQRT(1-($E$5^2)*(SIN(H283)^2)))</x:f>
        <x:v>1.8301954368408349</x:v>
      </x:c>
      <x:c r="K283">
        <x:f>IF(G283&gt;$B$6,0,SQRT(1-($E$5^2)*(SIN(H283)^2)))</x:f>
        <x:v>0.5463897351455184</x:v>
      </x:c>
    </x:row>
    <x:row r="284">
      <x:c r="G284" s="12" t="n">
        <x:v>272</x:v>
      </x:c>
      <x:c r="H284">
        <x:f>G284*PI()/(2*$B$6)</x:f>
        <x:v>1.0681415022205298</x:v>
      </x:c>
      <x:c r="I284">
        <x:f>IF(G284&gt;$B$6,0,IF(OR(G284=0,G284=$B$6),1,IF(MOD(G284,2)=1,4,2)))</x:f>
        <x:v>2</x:v>
      </x:c>
      <x:c r="J284">
        <x:f>IF(G284&gt;$B$6,0,1/SQRT(1-($E$5^2)*(SIN(H284)^2)))</x:f>
        <x:v>1.8396149013507344</x:v>
      </x:c>
      <x:c r="K284">
        <x:f>IF(G284&gt;$B$6,0,SQRT(1-($E$5^2)*(SIN(H284)^2)))</x:f>
        <x:v>0.543592030737385</x:v>
      </x:c>
    </x:row>
    <x:row r="285">
      <x:c r="G285" s="12" t="n">
        <x:v>273</x:v>
      </x:c>
      <x:c r="H285">
        <x:f>G285*PI()/(2*$B$6)</x:f>
        <x:v>1.072068493037517</x:v>
      </x:c>
      <x:c r="I285">
        <x:f>IF(G285&gt;$B$6,0,IF(OR(G285=0,G285=$B$6),1,IF(MOD(G285,2)=1,4,2)))</x:f>
        <x:v>4</x:v>
      </x:c>
      <x:c r="J285">
        <x:f>IF(G285&gt;$B$6,0,1/SQRT(1-($E$5^2)*(SIN(H285)^2)))</x:f>
        <x:v>1.8491333833043448</x:v>
      </x:c>
      <x:c r="K285">
        <x:f>IF(G285&gt;$B$6,0,SQRT(1-($E$5^2)*(SIN(H285)^2)))</x:f>
        <x:v>0.5407938708093791</x:v>
      </x:c>
    </x:row>
    <x:row r="286">
      <x:c r="G286" s="12" t="n">
        <x:v>274</x:v>
      </x:c>
      <x:c r="H286">
        <x:f>G286*PI()/(2*$B$6)</x:f>
        <x:v>1.0759954838545043</x:v>
      </x:c>
      <x:c r="I286">
        <x:f>IF(G286&gt;$B$6,0,IF(OR(G286=0,G286=$B$6),1,IF(MOD(G286,2)=1,4,2)))</x:f>
        <x:v>2</x:v>
      </x:c>
      <x:c r="J286">
        <x:f>IF(G286&gt;$B$6,0,1/SQRT(1-($E$5^2)*(SIN(H286)^2)))</x:f>
        <x:v>1.8587518754392967</x:v>
      </x:c>
      <x:c r="K286">
        <x:f>IF(G286&gt;$B$6,0,SQRT(1-($E$5^2)*(SIN(H286)^2)))</x:f>
        <x:v>0.5379954222043006</x:v>
      </x:c>
    </x:row>
    <x:row r="287">
      <x:c r="G287" s="12" t="n">
        <x:v>275</x:v>
      </x:c>
      <x:c r="H287">
        <x:f>G287*PI()/(2*$B$6)</x:f>
        <x:v>1.0799224746714915</x:v>
      </x:c>
      <x:c r="I287">
        <x:f>IF(G287&gt;$B$6,0,IF(OR(G287=0,G287=$B$6),1,IF(MOD(G287,2)=1,4,2)))</x:f>
        <x:v>4</x:v>
      </x:c>
      <x:c r="J287">
        <x:f>IF(G287&gt;$B$6,0,1/SQRT(1-($E$5^2)*(SIN(H287)^2)))</x:f>
        <x:v>1.868471370554774</x:v>
      </x:c>
      <x:c r="K287">
        <x:f>IF(G287&gt;$B$6,0,SQRT(1-($E$5^2)*(SIN(H287)^2)))</x:f>
        <x:v>0.5351968543692948</x:v>
      </x:c>
    </x:row>
    <x:row r="288">
      <x:c r="G288" s="12" t="n">
        <x:v>276</x:v>
      </x:c>
      <x:c r="H288">
        <x:f>G288*PI()/(2*$B$6)</x:f>
        <x:v>1.0838494654884787</x:v>
      </x:c>
      <x:c r="I288">
        <x:f>IF(G288&gt;$B$6,0,IF(OR(G288=0,G288=$B$6),1,IF(MOD(G288,2)=1,4,2)))</x:f>
        <x:v>2</x:v>
      </x:c>
      <x:c r="J288">
        <x:f>IF(G288&gt;$B$6,0,1/SQRT(1-($E$5^2)*(SIN(H288)^2)))</x:f>
        <x:v>1.8782928607560825</x:v>
      </x:c>
      <x:c r="K288">
        <x:f>IF(G288&gt;$B$6,0,SQRT(1-($E$5^2)*(SIN(H288)^2)))</x:f>
        <x:v>0.5323983394141545</x:v>
      </x:c>
    </x:row>
    <x:row r="289">
      <x:c r="G289" s="12" t="n">
        <x:v>277</x:v>
      </x:c>
      <x:c r="H289">
        <x:f>G289*PI()/(2*$B$6)</x:f>
        <x:v>1.087776456305466</x:v>
      </x:c>
      <x:c r="I289">
        <x:f>IF(G289&gt;$B$6,0,IF(OR(G289=0,G289=$B$6),1,IF(MOD(G289,2)=1,4,2)))</x:f>
        <x:v>4</x:v>
      </x:c>
      <x:c r="J289">
        <x:f>IF(G289&gt;$B$6,0,1/SQRT(1-($E$5^2)*(SIN(H289)^2)))</x:f>
        <x:v>1.8882173366499966</x:v>
      </x:c>
      <x:c r="K289">
        <x:f>IF(G289&gt;$B$6,0,SQRT(1-($E$5^2)*(SIN(H289)^2)))</x:f>
        <x:v>0.5296000521709868</x:v>
      </x:c>
    </x:row>
    <x:row r="290">
      <x:c r="G290" s="12" t="n">
        <x:v>278</x:v>
      </x:c>
      <x:c r="H290">
        <x:f>G290*PI()/(2*$B$6)</x:f>
        <x:v>1.0917034471224532</x:v>
      </x:c>
      <x:c r="I290">
        <x:f>IF(G290&gt;$B$6,0,IF(OR(G290=0,G290=$B$6),1,IF(MOD(G290,2)=1,4,2)))</x:f>
        <x:v>2</x:v>
      </x:c>
      <x:c r="J290">
        <x:f>IF(G290&gt;$B$6,0,1/SQRT(1-($E$5^2)*(SIN(H290)^2)))</x:f>
        <x:v>1.8982457864884148</x:v>
      </x:c>
      <x:c r="K290">
        <x:f>IF(G290&gt;$B$6,0,SQRT(1-($E$5^2)*(SIN(H290)^2)))</x:f>
        <x:v>0.5268021702552601</x:v>
      </x:c>
    </x:row>
    <x:row r="291">
      <x:c r="G291" s="12" t="n">
        <x:v>279</x:v>
      </x:c>
      <x:c r="H291">
        <x:f>G291*PI()/(2*$B$6)</x:f>
        <x:v>1.0956304379394404</x:v>
      </x:c>
      <x:c r="I291">
        <x:f>IF(G291&gt;$B$6,0,IF(OR(G291=0,G291=$B$6),1,IF(MOD(G291,2)=1,4,2)))</x:f>
        <x:v>4</x:v>
      </x:c>
      <x:c r="J291">
        <x:f>IF(G291&gt;$B$6,0,1/SQRT(1-($E$5^2)*(SIN(H291)^2)))</x:f>
        <x:v>1.9083791952577118</x:v>
      </x:c>
      <x:c r="K291">
        <x:f>IF(G291&gt;$B$6,0,SQRT(1-($E$5^2)*(SIN(H291)^2)))</x:f>
        <x:v>0.5240048741282561</x:v>
      </x:c>
    </x:row>
    <x:row r="292">
      <x:c r="G292" s="12" t="n">
        <x:v>280</x:v>
      </x:c>
      <x:c r="H292">
        <x:f>G292*PI()/(2*$B$6)</x:f>
        <x:v>1.0995574287564276</x:v>
      </x:c>
      <x:c r="I292">
        <x:f>IF(G292&gt;$B$6,0,IF(OR(G292=0,G292=$B$6),1,IF(MOD(G292,2)=1,4,2)))</x:f>
        <x:v>2</x:v>
      </x:c>
      <x:c r="J292">
        <x:f>IF(G292&gt;$B$6,0,1/SQRT(1-($E$5^2)*(SIN(H292)^2)))</x:f>
        <x:v>1.918618543711105</x:v>
      </x:c>
      <x:c r="K292">
        <x:f>IF(G292&gt;$B$6,0,SQRT(1-($E$5^2)*(SIN(H292)^2)))</x:f>
        <x:v>0.5212083471609428</x:v>
      </x:c>
    </x:row>
    <x:row r="293">
      <x:c r="G293" s="12" t="n">
        <x:v>281</x:v>
      </x:c>
      <x:c r="H293">
        <x:f>G293*PI()/(2*$B$6)</x:f>
        <x:v>1.1034844195734148</x:v>
      </x:c>
      <x:c r="I293">
        <x:f>IF(G293&gt;$B$6,0,IF(OR(G293=0,G293=$B$6),1,IF(MOD(G293,2)=1,4,2)))</x:f>
        <x:v>4</x:v>
      </x:c>
      <x:c r="J293">
        <x:f>IF(G293&gt;$B$6,0,1/SQRT(1-($E$5^2)*(SIN(H293)^2)))</x:f>
        <x:v>1.928964807341215</x:v>
      </x:c>
      <x:c r="K293">
        <x:f>IF(G293&gt;$B$6,0,SQRT(1-($E$5^2)*(SIN(H293)^2)))</x:f>
        <x:v>0.5184127756992872</x:v>
      </x:c>
    </x:row>
    <x:row r="294">
      <x:c r="G294" s="12" t="n">
        <x:v>282</x:v>
      </x:c>
      <x:c r="H294">
        <x:f>G294*PI()/(2*$B$6)</x:f>
        <x:v>1.107411410390402</x:v>
      </x:c>
      <x:c r="I294">
        <x:f>IF(G294&gt;$B$6,0,IF(OR(G294=0,G294=$B$6),1,IF(MOD(G294,2)=1,4,2)))</x:f>
        <x:v>2</x:v>
      </x:c>
      <x:c r="J294">
        <x:f>IF(G294&gt;$B$6,0,1/SQRT(1-($E$5^2)*(SIN(H294)^2)))</x:f>
        <x:v>1.9394189552899077</x:v>
      </x:c>
      <x:c r="K294">
        <x:f>IF(G294&gt;$B$6,0,SQRT(1-($E$5^2)*(SIN(H294)^2)))</x:f>
        <x:v>0.5156183491310253</x:v>
      </x:c>
    </x:row>
    <x:row r="295">
      <x:c r="G295" s="12" t="n">
        <x:v>283</x:v>
      </x:c>
      <x:c r="H295">
        <x:f>G295*PI()/(2*$B$6)</x:f>
        <x:v>1.1113384012073895</x:v>
      </x:c>
      <x:c r="I295">
        <x:f>IF(G295&gt;$B$6,0,IF(OR(G295=0,G295=$B$6),1,IF(MOD(G295,2)=1,4,2)))</x:f>
        <x:v>4</x:v>
      </x:c>
      <x:c r="J295">
        <x:f>IF(G295&gt;$B$6,0,1/SQRT(1-($E$5^2)*(SIN(H295)^2)))</x:f>
        <x:v>1.9499819491923749</x:v>
      </x:c>
      <x:c r="K295">
        <x:f>IF(G295&gt;$B$6,0,SQRT(1-($E$5^2)*(SIN(H295)^2)))</x:f>
        <x:v>0.5128252599539039</x:v>
      </x:c>
    </x:row>
    <x:row r="296">
      <x:c r="G296" s="12" t="n">
        <x:v>284</x:v>
      </x:c>
      <x:c r="H296">
        <x:f>G296*PI()/(2*$B$6)</x:f>
        <x:v>1.1152653920243767</x:v>
      </x:c>
      <x:c r="I296">
        <x:f>IF(G296&gt;$B$6,0,IF(OR(G296=0,G296=$B$6),1,IF(MOD(G296,2)=1,4,2)))</x:f>
        <x:v>2</x:v>
      </x:c>
      <x:c r="J296">
        <x:f>IF(G296&gt;$B$6,0,1/SQRT(1-($E$5^2)*(SIN(H296)^2)))</x:f>
        <x:v>1.9606547419523022</x:v>
      </x:c>
      <x:c r="K296">
        <x:f>IF(G296&gt;$B$6,0,SQRT(1-($E$5^2)*(SIN(H296)^2)))</x:f>
        <x:v>0.5100337038454104</x:v>
      </x:c>
    </x:row>
    <x:row r="297">
      <x:c r="G297" s="12" t="n">
        <x:v>285</x:v>
      </x:c>
      <x:c r="H297">
        <x:f>G297*PI()/(2*$B$6)</x:f>
        <x:v>1.119192382841364</x:v>
      </x:c>
      <x:c r="I297">
        <x:f>IF(G297&gt;$B$6,0,IF(OR(G297=0,G297=$B$6),1,IF(MOD(G297,2)=1,4,2)))</x:f>
        <x:v>4</x:v>
      </x:c>
      <x:c r="J297">
        <x:f>IF(G297&gt;$B$6,0,1/SQRT(1-($E$5^2)*(SIN(H297)^2)))</x:f>
        <x:v>1.9714382764448641</x:v>
      </x:c>
      <x:c r="K297">
        <x:f>IF(G297&gt;$B$6,0,SQRT(1-($E$5^2)*(SIN(H297)^2)))</x:f>
        <x:v>0.5072438797339985</x:v>
      </x:c>
    </x:row>
    <x:row r="298">
      <x:c r="G298" s="12" t="n">
        <x:v>286</x:v>
      </x:c>
      <x:c r="H298">
        <x:f>G298*PI()/(2*$B$6)</x:f>
        <x:v>1.1231193736583511</x:v>
      </x:c>
      <x:c r="I298">
        <x:f>IF(G298&gt;$B$6,0,IF(OR(G298=0,G298=$B$6),1,IF(MOD(G298,2)=1,4,2)))</x:f>
        <x:v>2</x:v>
      </x:c>
      <x:c r="J298">
        <x:f>IF(G298&gt;$B$6,0,1/SQRT(1-($E$5^2)*(SIN(H298)^2)))</x:f>
        <x:v>1.9823334841441336</x:v>
      </x:c>
      <x:c r="K298">
        <x:f>IF(G298&gt;$B$6,0,SQRT(1-($E$5^2)*(SIN(H298)^2)))</x:f>
        <x:v>0.5044559898718287</x:v>
      </x:c>
    </x:row>
    <x:row r="299">
      <x:c r="G299" s="12" t="n">
        <x:v>287</x:v>
      </x:c>
      <x:c r="H299">
        <x:f>G299*PI()/(2*$B$6)</x:f>
        <x:v>1.1270463644753383</x:v>
      </x:c>
      <x:c r="I299">
        <x:f>IF(G299&gt;$B$6,0,IF(OR(G299=0,G299=$B$6),1,IF(MOD(G299,2)=1,4,2)))</x:f>
        <x:v>4</x:v>
      </x:c>
      <x:c r="J299">
        <x:f>IF(G299&gt;$B$6,0,1/SQRT(1-($E$5^2)*(SIN(H299)^2)))</x:f>
        <x:v>1.9933412836714148</x:v>
      </x:c>
      <x:c r="K299">
        <x:f>IF(G299&gt;$B$6,0,SQRT(1-($E$5^2)*(SIN(H299)^2)))</x:f>
        <x:v>0.5016702399090237</x:v>
      </x:c>
    </x:row>
    <x:row r="300">
      <x:c r="G300" s="12" t="n">
        <x:v>288</x:v>
      </x:c>
      <x:c r="H300">
        <x:f>G300*PI()/(2*$B$6)</x:f>
        <x:v>1.1309733552923256</x:v>
      </x:c>
      <x:c r="I300">
        <x:f>IF(G300&gt;$B$6,0,IF(OR(G300=0,G300=$B$6),1,IF(MOD(G300,2)=1,4,2)))</x:f>
        <x:v>2</x:v>
      </x:c>
      <x:c r="J300">
        <x:f>IF(G300&gt;$B$6,0,1/SQRT(1-($E$5^2)*(SIN(H300)^2)))</x:f>
        <x:v>2.0044625792608524</x:v>
      </x:c>
      <x:c r="K300">
        <x:f>IF(G300&gt;$B$6,0,SQRT(1-($E$5^2)*(SIN(H300)^2)))</x:f>
        <x:v>0.4988868389694514</x:v>
      </x:c>
    </x:row>
    <x:row r="301">
      <x:c r="G301" s="12" t="n">
        <x:v>289</x:v>
      </x:c>
      <x:c r="H301">
        <x:f>G301*PI()/(2*$B$6)</x:f>
        <x:v>1.1349003461093128</x:v>
      </x:c>
      <x:c r="I301">
        <x:f>IF(G301&gt;$B$6,0,IF(OR(G301=0,G301=$B$6),1,IF(MOD(G301,2)=1,4,2)))</x:f>
        <x:v>4</x:v>
      </x:c>
      <x:c r="J301">
        <x:f>IF(G301&gt;$B$6,0,1/SQRT(1-($E$5^2)*(SIN(H301)^2)))</x:f>
        <x:v>2.015698259138556</x:v>
      </x:c>
      <x:c r="K301">
        <x:f>IF(G301&gt;$B$6,0,SQRT(1-($E$5^2)*(SIN(H301)^2)))</x:f>
        <x:v>0.4961059997280385</x:v>
      </x:c>
    </x:row>
    <x:row r="302">
      <x:c r="G302" s="12" t="n">
        <x:v>290</x:v>
      </x:c>
      <x:c r="H302">
        <x:f>G302*PI()/(2*$B$6)</x:f>
        <x:v>1.1388273369263</x:v>
      </x:c>
      <x:c r="I302">
        <x:f>IF(G302&gt;$B$6,0,IF(OR(G302=0,G302=$B$6),1,IF(MOD(G302,2)=1,4,2)))</x:f>
        <x:v>2</x:v>
      </x:c>
      <x:c r="J302">
        <x:f>IF(G302&gt;$B$6,0,1/SQRT(1-($E$5^2)*(SIN(H302)^2)))</x:f>
        <x:v>2.0270491938113797</x:v>
      </x:c>
      <x:c r="K302">
        <x:f>IF(G302&gt;$B$6,0,SQRT(1-($E$5^2)*(SIN(H302)^2)))</x:f>
        <x:v>0.493327938489613</x:v>
      </x:c>
    </x:row>
    <x:row r="303">
      <x:c r="G303" s="12" t="n">
        <x:v>291</x:v>
      </x:c>
      <x:c r="H303">
        <x:f>G303*PI()/(2*$B$6)</x:f>
        <x:v>1.1427543277432872</x:v>
      </x:c>
      <x:c r="I303">
        <x:f>IF(G303&gt;$B$6,0,IF(OR(G303=0,G303=$B$6),1,IF(MOD(G303,2)=1,4,2)))</x:f>
        <x:v>4</x:v>
      </x:c>
      <x:c r="J303">
        <x:f>IF(G303&gt;$B$6,0,1/SQRT(1-($E$5^2)*(SIN(H303)^2)))</x:f>
        <x:v>2.0385162342613317</x:v>
      </x:c>
      <x:c r="K303">
        <x:f>IF(G303&gt;$B$6,0,SQRT(1-($E$5^2)*(SIN(H303)^2)))</x:f>
        <x:v>0.49055287526927926</x:v>
      </x:c>
    </x:row>
    <x:row r="304">
      <x:c r="G304" s="12" t="n">
        <x:v>292</x:v>
      </x:c>
      <x:c r="H304">
        <x:f>G304*PI()/(2*$B$6)</x:f>
        <x:v>1.1466813185602744</x:v>
      </x:c>
      <x:c r="I304">
        <x:f>IF(G304&gt;$B$6,0,IF(OR(G304=0,G304=$B$6),1,IF(MOD(G304,2)=1,4,2)))</x:f>
        <x:v>2</x:v>
      </x:c>
      <x:c r="J304">
        <x:f>IF(G304&gt;$B$6,0,1/SQRT(1-($E$5^2)*(SIN(H304)^2)))</x:f>
        <x:v>2.0501002100414976</x:v>
      </x:c>
      <x:c r="K304">
        <x:f>IF(G304&gt;$B$6,0,SQRT(1-($E$5^2)*(SIN(H304)^2)))</x:f>
        <x:v>0.48778103387431887</x:v>
      </x:c>
    </x:row>
    <x:row r="305">
      <x:c r="G305" s="12" t="n">
        <x:v>293</x:v>
      </x:c>
      <x:c r="H305">
        <x:f>G305*PI()/(2*$B$6)</x:f>
        <x:v>1.1506083093772617</x:v>
      </x:c>
      <x:c r="I305">
        <x:f>IF(G305&gt;$B$6,0,IF(OR(G305=0,G305=$B$6),1,IF(MOD(G305,2)=1,4,2)))</x:f>
        <x:v>4</x:v>
      </x:c>
      <x:c r="J305">
        <x:f>IF(G305&gt;$B$6,0,1/SQRT(1-($E$5^2)*(SIN(H305)^2)))</x:f>
        <x:v>2.061801927269253</x:v>
      </x:c>
      <x:c r="K305">
        <x:f>IF(G305&gt;$B$6,0,SQRT(1-($E$5^2)*(SIN(H305)^2)))</x:f>
        <x:v>0.4850126419876069</x:v>
      </x:c>
    </x:row>
    <x:row r="306">
      <x:c r="G306" s="12" t="n">
        <x:v>294</x:v>
      </x:c>
      <x:c r="H306">
        <x:f>G306*PI()/(2*$B$6)</x:f>
        <x:v>1.154535300194249</x:v>
      </x:c>
      <x:c r="I306">
        <x:f>IF(G306&gt;$B$6,0,IF(OR(G306=0,G306=$B$6),1,IF(MOD(G306,2)=1,4,2)))</x:f>
        <x:v>2</x:v>
      </x:c>
      <x:c r="J306">
        <x:f>IF(G306&gt;$B$6,0,1/SQRT(1-($E$5^2)*(SIN(H306)^2)))</x:f>
        <x:v>2.0736221665123815</x:v>
      </x:c>
      <x:c r="K306">
        <x:f>IF(G306&gt;$B$6,0,SQRT(1-($E$5^2)*(SIN(H306)^2)))</x:f>
        <x:v>0.4822479312525371</x:v>
      </x:c>
    </x:row>
    <x:row r="307">
      <x:c r="G307" s="12" t="n">
        <x:v>295</x:v>
      </x:c>
      <x:c r="H307">
        <x:f>G307*PI()/(2*$B$6)</x:f>
        <x:v>1.1584622910112363</x:v>
      </x:c>
      <x:c r="I307">
        <x:f>IF(G307&gt;$B$6,0,IF(OR(G307=0,G307=$B$6),1,IF(MOD(G307,2)=1,4,2)))</x:f>
        <x:v>4</x:v>
      </x:c>
      <x:c r="J307">
        <x:f>IF(G307&gt;$B$6,0,1/SQRT(1-($E$5^2)*(SIN(H307)^2)))</x:f>
        <x:v>2.0855616805636545</x:v>
      </x:c>
      <x:c r="K307">
        <x:f>IF(G307&gt;$B$6,0,SQRT(1-($E$5^2)*(SIN(H307)^2)))</x:f>
        <x:v>0.47948713735943543</x:v>
      </x:c>
    </x:row>
    <x:row r="308">
      <x:c r="G308" s="12" t="n">
        <x:v>296</x:v>
      </x:c>
      <x:c r="H308">
        <x:f>G308*PI()/(2*$B$6)</x:f>
        <x:v>1.1623892818282235</x:v>
      </x:c>
      <x:c r="I308">
        <x:f>IF(G308&gt;$B$6,0,IF(OR(G308=0,G308=$B$6),1,IF(MOD(G308,2)=1,4,2)))</x:f>
        <x:v>2</x:v>
      </x:c>
      <x:c r="J308">
        <x:f>IF(G308&gt;$B$6,0,1/SQRT(1-($E$5^2)*(SIN(H308)^2)))</x:f>
        <x:v>2.097621192099284</x:v>
      </x:c>
      <x:c r="K308">
        <x:f>IF(G308&gt;$B$6,0,SQRT(1-($E$5^2)*(SIN(H308)^2)))</x:f>
        <x:v>0.4767305001334427</x:v>
      </x:c>
    </x:row>
    <x:row r="309">
      <x:c r="G309" s="12" t="n">
        <x:v>297</x:v>
      </x:c>
      <x:c r="H309">
        <x:f>G309*PI()/(2*$B$6)</x:f>
        <x:v>1.1663162726452108</x:v>
      </x:c>
      <x:c r="I309">
        <x:f>IF(G309&gt;$B$6,0,IF(OR(G309=0,G309=$B$6),1,IF(MOD(G309,2)=1,4,2)))</x:f>
        <x:v>4</x:v>
      </x:c>
      <x:c r="J309">
        <x:f>IF(G309&gt;$B$6,0,1/SQRT(1-($E$5^2)*(SIN(H309)^2)))</x:f>
        <x:v>2.109801391216575</x:v>
      </x:c>
      <x:c r="K309">
        <x:f>IF(G309&gt;$B$6,0,SQRT(1-($E$5^2)*(SIN(H309)^2)))</x:f>
        <x:v>0.4739782636238427</x:v>
      </x:c>
    </x:row>
    <x:row r="310">
      <x:c r="G310" s="12" t="n">
        <x:v>298</x:v>
      </x:c>
      <x:c r="H310">
        <x:f>G310*PI()/(2*$B$6)</x:f>
        <x:v>1.170243263462198</x:v>
      </x:c>
      <x:c r="I310">
        <x:f>IF(G310&gt;$B$6,0,IF(OR(G310=0,G310=$B$6),1,IF(MOD(G310,2)=1,4,2)))</x:f>
        <x:v>2</x:v>
      </x:c>
      <x:c r="J310">
        <x:f>IF(G310&gt;$B$6,0,1/SQRT(1-($E$5^2)*(SIN(H310)^2)))</x:f>
        <x:v>2.122102932846007</x:v>
      </x:c>
      <x:c r="K310">
        <x:f>IF(G310&gt;$B$6,0,SQRT(1-($E$5^2)*(SIN(H310)^2)))</x:f>
        <x:v>0.4712306761948037</x:v>
      </x:c>
    </x:row>
    <x:row r="311">
      <x:c r="G311" s="12" t="n">
        <x:v>299</x:v>
      </x:c>
      <x:c r="H311">
        <x:f>G311*PI()/(2*$B$6)</x:f>
        <x:v>1.1741702542791852</x:v>
      </x:c>
      <x:c r="I311">
        <x:f>IF(G311&gt;$B$6,0,IF(OR(G311=0,G311=$B$6),1,IF(MOD(G311,2)=1,4,2)))</x:f>
        <x:v>4</x:v>
      </x:c>
      <x:c r="J311">
        <x:f>IF(G311&gt;$B$6,0,1/SQRT(1-($E$5^2)*(SIN(H311)^2)))</x:f>
        <x:v>2.134526434032897</x:v>
      </x:c>
      <x:c r="K311">
        <x:f>IF(G311&gt;$B$6,0,SQRT(1-($E$5^2)*(SIN(H311)^2)))</x:f>
        <x:v>0.4684879906174955</x:v>
      </x:c>
    </x:row>
    <x:row r="312">
      <x:c r="G312" s="12" t="n">
        <x:v>300</x:v>
      </x:c>
      <x:c r="H312">
        <x:f>G312*PI()/(2*$B$6)</x:f>
        <x:v>1.1780972450961724</x:v>
      </x:c>
      <x:c r="I312">
        <x:f>IF(G312&gt;$B$6,0,IF(OR(G312=0,G312=$B$6),1,IF(MOD(G312,2)=1,4,2)))</x:f>
        <x:v>2</x:v>
      </x:c>
      <x:c r="J312">
        <x:f>IF(G312&gt;$B$6,0,1/SQRT(1-($E$5^2)*(SIN(H312)^2)))</x:f>
        <x:v>2.1470724710837006</x:v>
      </x:c>
      <x:c r="K312">
        <x:f>IF(G312&gt;$B$6,0,SQRT(1-($E$5^2)*(SIN(H312)^2)))</x:f>
        <x:v>0.4657504641635436</x:v>
      </x:c>
    </x:row>
    <x:row r="313">
      <x:c r="G313" s="12" t="n">
        <x:v>301</x:v>
      </x:c>
      <x:c r="H313">
        <x:f>G313*PI()/(2*$B$6)</x:f>
        <x:v>1.1820242359131596</x:v>
      </x:c>
      <x:c r="I313">
        <x:f>IF(G313&gt;$B$6,0,IF(OR(G313=0,G313=$B$6),1,IF(MOD(G313,2)=1,4,2)))</x:f>
        <x:v>4</x:v>
      </x:c>
      <x:c r="J313">
        <x:f>IF(G313&gt;$B$6,0,1/SQRT(1-($E$5^2)*(SIN(H313)^2)))</x:f>
        <x:v>2.159741576571973</x:v>
      </x:c>
      <x:c r="K313">
        <x:f>IF(G313&gt;$B$6,0,SQRT(1-($E$5^2)*(SIN(H313)^2)))</x:f>
        <x:v>0.463018358699766</x:v>
      </x:c>
    </x:row>
    <x:row r="314">
      <x:c r="G314" s="12" t="n">
        <x:v>302</x:v>
      </x:c>
      <x:c r="H314">
        <x:f>G314*PI()/(2*$B$6)</x:f>
        <x:v>1.1859512267301469</x:v>
      </x:c>
      <x:c r="I314">
        <x:f>IF(G314&gt;$B$6,0,IF(OR(G314=0,G314=$B$6),1,IF(MOD(G314,2)=1,4,2)))</x:f>
        <x:v>2</x:v>
      </x:c>
      <x:c r="J314">
        <x:f>IF(G314&gt;$B$6,0,1/SQRT(1-($E$5^2)*(SIN(H314)^2)))</x:f>
        <x:v>2.172534236198938</x:v>
      </x:c>
      <x:c r="K314">
        <x:f>IF(G314&gt;$B$6,0,SQRT(1-($E$5^2)*(SIN(H314)^2)))</x:f>
        <x:v>0.46029194078414076</x:v>
      </x:c>
    </x:row>
    <x:row r="315">
      <x:c r="G315" s="12" t="n">
        <x:v>303</x:v>
      </x:c>
      <x:c r="H315">
        <x:f>G315*PI()/(2*$B$6)</x:f>
        <x:v>1.189878217547134</x:v>
      </x:c>
      <x:c r="I315">
        <x:f>IF(G315&gt;$B$6,0,IF(OR(G315=0,G315=$B$6),1,IF(MOD(G315,2)=1,4,2)))</x:f>
        <x:v>4</x:v>
      </x:c>
      <x:c r="J315">
        <x:f>IF(G315&gt;$B$6,0,1/SQRT(1-($E$5^2)*(SIN(H315)^2)))</x:f>
        <x:v>2.185450885503588</x:v>
      </x:c>
      <x:c r="K315">
        <x:f>IF(G315&gt;$B$6,0,SQRT(1-($E$5^2)*(SIN(H315)^2)))</x:f>
        <x:v>0.4575714817629372</x:v>
      </x:c>
    </x:row>
    <x:row r="316">
      <x:c r="G316" s="12" t="n">
        <x:v>304</x:v>
      </x:c>
      <x:c r="H316">
        <x:f>G316*PI()/(2*$B$6)</x:f>
        <x:v>1.1938052083641213</x:v>
      </x:c>
      <x:c r="I316">
        <x:f>IF(G316&gt;$B$6,0,IF(OR(G316=0,G316=$B$6),1,IF(MOD(G316,2)=1,4,2)))</x:f>
        <x:v>2</x:v>
      </x:c>
      <x:c r="J316">
        <x:f>IF(G316&gt;$B$6,0,1/SQRT(1-($E$5^2)*(SIN(H316)^2)))</x:f>
        <x:v>2.1984919064172384</x:v>
      </x:c>
      <x:c r="K316">
        <x:f>IF(G316&gt;$B$6,0,SQRT(1-($E$5^2)*(SIN(H316)^2)))</x:f>
        <x:v>0.4548572578689385</x:v>
      </x:c>
    </x:row>
    <x:row r="317">
      <x:c r="G317" s="12" t="n">
        <x:v>305</x:v>
      </x:c>
      <x:c r="H317">
        <x:f>G317*PI()/(2*$B$6)</x:f>
        <x:v>1.1977321991811087</x:v>
      </x:c>
      <x:c r="I317">
        <x:f>IF(G317&gt;$B$6,0,IF(OR(G317=0,G317=$B$6),1,IF(MOD(G317,2)=1,4,2)))</x:f>
        <x:v>4</x:v>
      </x:c>
      <x:c r="J317">
        <x:f>IF(G317&gt;$B$6,0,1/SQRT(1-($E$5^2)*(SIN(H317)^2)))</x:f>
        <x:v>2.2116576236574215</x:v>
      </x:c>
      <x:c r="K317">
        <x:f>IF(G317&gt;$B$6,0,SQRT(1-($E$5^2)*(SIN(H317)^2)))</x:f>
        <x:v>0.4521495503206769</x:v>
      </x:c>
    </x:row>
    <x:row r="318">
      <x:c r="G318" s="12" t="n">
        <x:v>306</x:v>
      </x:c>
      <x:c r="H318">
        <x:f>G318*PI()/(2*$B$6)</x:f>
        <x:v>1.201659189998096</x:v>
      </x:c>
      <x:c r="I318">
        <x:f>IF(G318&gt;$B$6,0,IF(OR(G318=0,G318=$B$6),1,IF(MOD(G318,2)=1,4,2)))</x:f>
        <x:v>2</x:v>
      </x:c>
      <x:c r="J318">
        <x:f>IF(G318&gt;$B$6,0,1/SQRT(1-($E$5^2)*(SIN(H318)^2)))</x:f>
        <x:v>2.2249483009560915</x:v>
      </x:c>
      <x:c r="K318">
        <x:f>IF(G318&gt;$B$6,0,SQRT(1-($E$5^2)*(SIN(H318)^2)))</x:f>
        <x:v>0.44944864542258617</x:v>
      </x:c>
    </x:row>
    <x:row r="319">
      <x:c r="G319" s="12" t="n">
        <x:v>307</x:v>
      </x:c>
      <x:c r="H319">
        <x:f>G319*PI()/(2*$B$6)</x:f>
        <x:v>1.2055861808150832</x:v>
      </x:c>
      <x:c r="I319">
        <x:f>IF(G319&gt;$B$6,0,IF(OR(G319=0,G319=$B$6),1,IF(MOD(G319,2)=1,4,2)))</x:f>
        <x:v>4</x:v>
      </x:c>
      <x:c r="J319">
        <x:f>IF(G319&gt;$B$6,0,1/SQRT(1-($E$5^2)*(SIN(H319)^2)))</x:f>
        <x:v>2.2383641371171135</x:v>
      </x:c>
      <x:c r="K319">
        <x:f>IF(G319&gt;$B$6,0,SQRT(1-($E$5^2)*(SIN(H319)^2)))</x:f>
        <x:v>0.4467548346659733</x:v>
      </x:c>
    </x:row>
    <x:row r="320">
      <x:c r="G320" s="12" t="n">
        <x:v>308</x:v>
      </x:c>
      <x:c r="H320">
        <x:f>G320*PI()/(2*$B$6)</x:f>
        <x:v>1.2095131716320704</x:v>
      </x:c>
      <x:c r="I320">
        <x:f>IF(G320&gt;$B$6,0,IF(OR(G320=0,G320=$B$6),1,IF(MOD(G320,2)=1,4,2)))</x:f>
        <x:v>2</x:v>
      </x:c>
      <x:c r="J320">
        <x:f>IF(G320&gt;$B$6,0,1/SQRT(1-($E$5^2)*(SIN(H320)^2)))</x:f>
        <x:v>2.251905261898112</x:v>
      </x:c>
      <x:c r="K320">
        <x:f>IF(G320&gt;$B$6,0,SQRT(1-($E$5^2)*(SIN(H320)^2)))</x:f>
        <x:v>0.444068414830697</x:v>
      </x:c>
    </x:row>
    <x:row r="321">
      <x:c r="G321" s="12" t="n">
        <x:v>309</x:v>
      </x:c>
      <x:c r="H321">
        <x:f>G321*PI()/(2*$B$6)</x:f>
        <x:v>1.2134401624490576</x:v>
      </x:c>
      <x:c r="I321">
        <x:f>IF(G321&gt;$B$6,0,IF(OR(G321=0,G321=$B$6),1,IF(MOD(G321,2)=1,4,2)))</x:f>
        <x:v>4</x:v>
      </x:c>
      <x:c r="J321">
        <x:f>IF(G321&gt;$B$6,0,1/SQRT(1-($E$5^2)*(SIN(H321)^2)))</x:f>
        <x:v>2.265571731711884</x:v>
      </x:c>
      <x:c r="K321">
        <x:f>IF(G321&gt;$B$6,0,SQRT(1-($E$5^2)*(SIN(H321)^2)))</x:f>
        <x:v>0.4413896880874269</x:v>
      </x:c>
    </x:row>
    <x:row r="322">
      <x:c r="G322" s="12" t="n">
        <x:v>310</x:v>
      </x:c>
      <x:c r="H322">
        <x:f>G322*PI()/(2*$B$6)</x:f>
        <x:v>1.2173671532660448</x:v>
      </x:c>
      <x:c r="I322">
        <x:f>IF(G322&gt;$B$6,0,IF(OR(G322=0,G322=$B$6),1,IF(MOD(G322,2)=1,4,2)))</x:f>
        <x:v>2</x:v>
      </x:c>
      <x:c r="J322">
        <x:f>IF(G322&gt;$B$6,0,1/SQRT(1-($E$5^2)*(SIN(H322)^2)))</x:f>
        <x:v>2.2793635251427014</x:v>
      </x:c>
      <x:c r="K322">
        <x:f>IF(G322&gt;$B$6,0,SQRT(1-($E$5^2)*(SIN(H322)^2)))</x:f>
        <x:v>0.43871896210034955</x:v>
      </x:c>
    </x:row>
    <x:row r="323">
      <x:c r="G323" s="12" t="n">
        <x:v>311</x:v>
      </x:c>
      <x:c r="H323">
        <x:f>G323*PI()/(2*$B$6)</x:f>
        <x:v>1.221294144083032</x:v>
      </x:c>
      <x:c r="I323">
        <x:f>IF(G323&gt;$B$6,0,IF(OR(G323=0,G323=$B$6),1,IF(MOD(G323,2)=1,4,2)))</x:f>
        <x:v>4</x:v>
      </x:c>
      <x:c r="J323">
        <x:f>IF(G323&gt;$B$6,0,1/SQRT(1-($E$5^2)*(SIN(H323)^2)))</x:f>
        <x:v>2.2932805382730237</x:v>
      </x:c>
      <x:c r="K323">
        <x:f>IF(G323&gt;$B$6,0,SQRT(1-($E$5^2)*(SIN(H323)^2)))</x:f>
        <x:v>0.4360565501301726</x:v>
      </x:c>
    </x:row>
    <x:row r="324">
      <x:c r="G324" s="12" t="n">
        <x:v>312</x:v>
      </x:c>
      <x:c r="H324">
        <x:f>G324*PI()/(2*$B$6)</x:f>
        <x:v>1.2252211349000193</x:v>
      </x:c>
      <x:c r="I324">
        <x:f>IF(G324&gt;$B$6,0,IF(OR(G324=0,G324=$B$6),1,IF(MOD(G324,2)=1,4,2)))</x:f>
        <x:v>2</x:v>
      </x:c>
      <x:c r="J324">
        <x:f>IF(G324&gt;$B$6,0,1/SQRT(1-($E$5^2)*(SIN(H324)^2)))</x:f>
        <x:v>2.307322579816411</x:v>
      </x:c>
      <x:c r="K324">
        <x:f>IF(G324&gt;$B$6,0,SQRT(1-($E$5^2)*(SIN(H324)^2)))</x:f>
        <x:v>0.43340277113725817</x:v>
      </x:c>
    </x:row>
    <x:row r="325">
      <x:c r="G325" s="12" t="n">
        <x:v>313</x:v>
      </x:c>
      <x:c r="H325">
        <x:f>G325*PI()/(2*$B$6)</x:f>
        <x:v>1.2291481257170065</x:v>
      </x:c>
      <x:c r="I325">
        <x:f>IF(G325&gt;$B$6,0,IF(OR(G325=0,G325=$B$6),1,IF(MOD(G325,2)=1,4,2)))</x:f>
        <x:v>4</x:v>
      </x:c>
      <x:c r="J325">
        <x:f>IF(G325&gt;$B$6,0,1/SQRT(1-($E$5^2)*(SIN(H325)^2)))</x:f>
        <x:v>2.32148936605263</x:v>
      </x:c>
      <x:c r="K325">
        <x:f>IF(G325&gt;$B$6,0,SQRT(1-($E$5^2)*(SIN(H325)^2)))</x:f>
        <x:v>0.43075794988471605</x:v>
      </x:c>
    </x:row>
    <x:row r="326">
      <x:c r="G326" s="12" t="n">
        <x:v>314</x:v>
      </x:c>
      <x:c r="H326">
        <x:f>G326*PI()/(2*$B$6)</x:f>
        <x:v>1.2330751165339937</x:v>
      </x:c>
      <x:c r="I326">
        <x:f>IF(G326&gt;$B$6,0,IF(OR(G326=0,G326=$B$6),1,IF(MOD(G326,2)=1,4,2)))</x:f>
        <x:v>2</x:v>
      </x:c>
      <x:c r="J326">
        <x:f>IF(G326&gt;$B$6,0,1/SQRT(1-($E$5^2)*(SIN(H326)^2)))</x:f>
        <x:v>2.3357805155613818</x:v>
      </x:c>
      <x:c r="K326">
        <x:f>IF(G326&gt;$B$6,0,SQRT(1-($E$5^2)*(SIN(H326)^2)))</x:f>
        <x:v>0.4281224170412518</x:v>
      </x:c>
    </x:row>
    <x:row r="327">
      <x:c r="G327" s="12" t="n">
        <x:v>315</x:v>
      </x:c>
      <x:c r="H327">
        <x:f>G327*PI()/(2*$B$6)</x:f>
        <x:v>1.2370021073509812</x:v>
      </x:c>
      <x:c r="I327">
        <x:f>IF(G327&gt;$B$6,0,IF(OR(G327=0,G327=$B$6),1,IF(MOD(G327,2)=1,4,2)))</x:f>
        <x:v>4</x:v>
      </x:c>
      <x:c r="J327">
        <x:f>IF(G327&gt;$B$6,0,1/SQRT(1-($E$5^2)*(SIN(H327)^2)))</x:f>
        <x:v>2.350195543751352</x:v>
      </x:c>
      <x:c r="K327">
        <x:f>IF(G327&gt;$B$6,0,SQRT(1-($E$5^2)*(SIN(H327)^2)))</x:f>
        <x:v>0.42549650928356914</x:v>
      </x:c>
    </x:row>
    <x:row r="328">
      <x:c r="G328" s="12" t="n">
        <x:v>316</x:v>
      </x:c>
      <x:c r="H328">
        <x:f>G328*PI()/(2*$B$6)</x:f>
        <x:v>1.2409290981679684</x:v>
      </x:c>
      <x:c r="I328">
        <x:f>IF(G328&gt;$B$6,0,IF(OR(G328=0,G328=$B$6),1,IF(MOD(G328,2)=1,4,2)))</x:f>
        <x:v>2</x:v>
      </x:c>
      <x:c r="J328">
        <x:f>IF(G328&gt;$B$6,0,1/SQRT(1-($E$5^2)*(SIN(H328)^2)))</x:f>
        <x:v>2.364733857181835</x:v>
      </x:c>
      <x:c r="K328">
        <x:f>IF(G328&gt;$B$6,0,SQRT(1-($E$5^2)*(SIN(H328)^2)))</x:f>
        <x:v>0.42288056939809165</x:v>
      </x:c>
    </x:row>
    <x:row r="329">
      <x:c r="G329" s="12" t="n">
        <x:v>317</x:v>
      </x:c>
      <x:c r="H329">
        <x:f>G329*PI()/(2*$B$6)</x:f>
        <x:v>1.2448560889849556</x:v>
      </x:c>
      <x:c r="I329">
        <x:f>IF(G329&gt;$B$6,0,IF(OR(G329=0,G329=$B$6),1,IF(MOD(G329,2)=1,4,2)))</x:f>
        <x:v>4</x:v>
      </x:c>
      <x:c r="J329">
        <x:f>IF(G329&gt;$B$6,0,1/SQRT(1-($E$5^2)*(SIN(H329)^2)))</x:f>
        <x:v>2.3793947476746578</x:v>
      </x:c>
      <x:c r="K329">
        <x:f>IF(G329&gt;$B$6,0,SQRT(1-($E$5^2)*(SIN(H329)^2)))</x:f>
        <x:v>0.42027494638175655</x:v>
      </x:c>
    </x:row>
    <x:row r="330">
      <x:c r="G330" s="12" t="n">
        <x:v>318</x:v>
      </x:c>
      <x:c r="H330">
        <x:f>G330*PI()/(2*$B$6)</x:f>
        <x:v>1.2487830798019428</x:v>
      </x:c>
      <x:c r="I330">
        <x:f>IF(G330&gt;$B$6,0,IF(OR(G330=0,G330=$B$6),1,IF(MOD(G330,2)=1,4,2)))</x:f>
        <x:v>2</x:v>
      </x:c>
      <x:c r="J330">
        <x:f>IF(G330&gt;$B$6,0,1/SQRT(1-($E$5^2)*(SIN(H330)^2)))</x:f>
        <x:v>2.394177386214699</x:v>
      </x:c>
      <x:c r="K330">
        <x:f>IF(G330&gt;$B$6,0,SQRT(1-($E$5^2)*(SIN(H330)^2)))</x:f>
        <x:v>0.4176799955416188</x:v>
      </x:c>
    </x:row>
    <x:row r="331">
      <x:c r="G331" s="12" t="n">
        <x:v>319</x:v>
      </x:c>
      <x:c r="H331">
        <x:f>G331*PI()/(2*$B$6)</x:f>
        <x:v>1.25271007061893</x:v>
      </x:c>
      <x:c r="I331">
        <x:f>IF(G331&gt;$B$6,0,IF(OR(G331=0,G331=$B$6),1,IF(MOD(G331,2)=1,4,2)))</x:f>
        <x:v>4</x:v>
      </x:c>
      <x:c r="J331">
        <x:f>IF(G331&gt;$B$6,0,1/SQRT(1-($E$5^2)*(SIN(H331)^2)))</x:f>
        <x:v>2.409080816638018</x:v>
      </x:c>
      <x:c r="K331">
        <x:f>IF(G331&gt;$B$6,0,SQRT(1-($E$5^2)*(SIN(H331)^2)))</x:f>
        <x:v>0.4150960785929737</x:v>
      </x:c>
    </x:row>
    <x:row r="332">
      <x:c r="G332" s="12" t="n">
        <x:v>320</x:v>
      </x:c>
      <x:c r="H332">
        <x:f>G332*PI()/(2*$B$6)</x:f>
        <x:v>1.2566370614359172</x:v>
      </x:c>
      <x:c r="I332">
        <x:f>IF(G332&gt;$B$6,0,IF(OR(G332=0,G332=$B$6),1,IF(MOD(G332,2)=1,4,2)))</x:f>
        <x:v>2</x:v>
      </x:c>
      <x:c r="J332">
        <x:f>IF(G332&gt;$B$6,0,1/SQRT(1-($E$5^2)*(SIN(H332)^2)))</x:f>
        <x:v>2.4241039491073413</x:v>
      </x:c>
      <x:c r="K332">
        <x:f>IF(G332&gt;$B$6,0,SQRT(1-($E$5^2)*(SIN(H332)^2)))</x:f>
        <x:v>0.4125235637556891</x:v>
      </x:c>
    </x:row>
    <x:row r="333">
      <x:c r="G333" s="12" t="n">
        <x:v>321</x:v>
      </x:c>
      <x:c r="H333">
        <x:f>G333*PI()/(2*$B$6)</x:f>
        <x:v>1.2605640522529045</x:v>
      </x:c>
      <x:c r="I333">
        <x:f>IF(G333&gt;$B$6,0,IF(OR(G333=0,G333=$B$6),1,IF(MOD(G333,2)=1,4,2)))</x:f>
        <x:v>4</x:v>
      </x:c>
      <x:c r="J333">
        <x:f>IF(G333&gt;$B$6,0,1/SQRT(1-($E$5^2)*(SIN(H333)^2)))</x:f>
        <x:v>2.439245553375476</x:v>
      </x:c>
      <x:c r="K333">
        <x:f>IF(G333&gt;$B$6,0,SQRT(1-($E$5^2)*(SIN(H333)^2)))</x:f>
        <x:v>0.4099628258484187</x:v>
      </x:c>
    </x:row>
    <x:row r="334">
      <x:c r="G334" s="12" t="n">
        <x:v>322</x:v>
      </x:c>
      <x:c r="H334">
        <x:f>G334*PI()/(2*$B$6)</x:f>
        <x:v>1.2644910430698917</x:v>
      </x:c>
      <x:c r="I334">
        <x:f>IF(G334&gt;$B$6,0,IF(OR(G334=0,G334=$B$6),1,IF(MOD(G334,2)=1,4,2)))</x:f>
        <x:v>2</x:v>
      </x:c>
      <x:c r="J334">
        <x:f>IF(G334&gt;$B$6,0,1/SQRT(1-($E$5^2)*(SIN(H334)^2)))</x:f>
        <x:v>2.4545042518382076</x:v>
      </x:c>
      <x:c r="K334">
        <x:f>IF(G334&gt;$B$6,0,SQRT(1-($E$5^2)*(SIN(H334)^2)))</x:f>
        <x:v>0.4074142463803385</x:v>
      </x:c>
    </x:row>
    <x:row r="335">
      <x:c r="G335" s="12" t="n">
        <x:v>323</x:v>
      </x:c>
      <x:c r="H335">
        <x:f>G335*PI()/(2*$B$6)</x:f>
        <x:v>1.268418033886879</x:v>
      </x:c>
      <x:c r="I335">
        <x:f>IF(G335&gt;$B$6,0,IF(OR(G335=0,G335=$B$6),1,IF(MOD(G335,2)=1,4,2)))</x:f>
        <x:v>4</x:v>
      </x:c>
      <x:c r="J335">
        <x:f>IF(G335&gt;$B$6,0,1/SQRT(1-($E$5^2)*(SIN(H335)^2)))</x:f>
        <x:v>2.4698785123792515</x:v>
      </x:c>
      <x:c r="K335">
        <x:f>IF(G335&gt;$B$6,0,SQRT(1-($E$5^2)*(SIN(H335)^2)))</x:f>
        <x:v>0.4048782136400275</x:v>
      </x:c>
    </x:row>
    <x:row r="336">
      <x:c r="G336" s="12" t="n">
        <x:v>324</x:v>
      </x:c>
      <x:c r="H336">
        <x:f>G336*PI()/(2*$B$6)</x:f>
        <x:v>1.2723450247038661</x:v>
      </x:c>
      <x:c r="I336">
        <x:f>IF(G336&gt;$B$6,0,IF(OR(G336=0,G336=$B$6),1,IF(MOD(G336,2)=1,4,2)))</x:f>
        <x:v>2</x:v>
      </x:c>
      <x:c r="J336">
        <x:f>IF(G336&gt;$B$6,0,1/SQRT(1-($E$5^2)*(SIN(H336)^2)))</x:f>
        <x:v>2.485366641011009</x:v>
      </x:c>
      <x:c r="K336">
        <x:f>IF(G336&gt;$B$6,0,SQRT(1-($E$5^2)*(SIN(H336)^2)))</x:f>
        <x:v>0.40235512278108604</x:v>
      </x:c>
    </x:row>
    <x:row r="337">
      <x:c r="G337" s="12" t="n">
        <x:v>325</x:v>
      </x:c>
      <x:c r="H337">
        <x:f>G337*PI()/(2*$B$6)</x:f>
        <x:v>1.2762720155208533</x:v>
      </x:c>
      <x:c r="I337">
        <x:f>IF(G337&gt;$B$6,0,IF(OR(G337=0,G337=$B$6),1,IF(MOD(G337,2)=1,4,2)))</x:f>
        <x:v>4</x:v>
      </x:c>
      <x:c r="J337">
        <x:f>IF(G337&gt;$B$6,0,1/SQRT(1-($E$5^2)*(SIN(H337)^2)))</x:f>
        <x:v>2.5009667743161277</x:v>
      </x:c>
      <x:c r="K337">
        <x:f>IF(G337&gt;$B$6,0,SQRT(1-($E$5^2)*(SIN(H337)^2)))</x:f>
        <x:v>0.39984537590406144</x:v>
      </x:c>
    </x:row>
    <x:row r="338">
      <x:c r="G338" s="12" t="n">
        <x:v>326</x:v>
      </x:c>
      <x:c r="H338">
        <x:f>G338*PI()/(2*$B$6)</x:f>
        <x:v>1.2801990063378406</x:v>
      </x:c>
      <x:c r="I338">
        <x:f>IF(G338&gt;$B$6,0,IF(OR(G338=0,G338=$B$6),1,IF(MOD(G338,2)=1,4,2)))</x:f>
        <x:v>2</x:v>
      </x:c>
      <x:c r="J338">
        <x:f>IF(G338&gt;$B$6,0,1/SQRT(1-($E$5^2)*(SIN(H338)^2)))</x:f>
        <x:v>2.5166768716962937</x:v>
      </x:c>
      <x:c r="K338">
        <x:f>IF(G338&gt;$B$6,0,SQRT(1-($E$5^2)*(SIN(H338)^2)))</x:f>
        <x:v>0.39734938213421844</x:v>
      </x:c>
    </x:row>
    <x:row r="339">
      <x:c r="G339" s="12" t="n">
        <x:v>327</x:v>
      </x:c>
      <x:c r="H339">
        <x:f>G339*PI()/(2*$B$6)</x:f>
        <x:v>1.284125997154828</x:v>
      </x:c>
      <x:c r="I339">
        <x:f>IF(G339&gt;$B$6,0,IF(OR(G339=0,G339=$B$6),1,IF(MOD(G339,2)=1,4,2)))</x:f>
        <x:v>4</x:v>
      </x:c>
      <x:c r="J339">
        <x:f>IF(G339&gt;$B$6,0,1/SQRT(1-($E$5^2)*(SIN(H339)^2)))</x:f>
        <x:v>2.5324947074361908</x:v>
      </x:c>
      <x:c r="K339">
        <x:f>IF(G339&gt;$B$6,0,SQRT(1-($E$5^2)*(SIN(H339)^2)))</x:f>
        <x:v>0.3948675576946674</x:v>
      </x:c>
    </x:row>
    <x:row r="340">
      <x:c r="G340" s="12" t="n">
        <x:v>328</x:v>
      </x:c>
      <x:c r="H340">
        <x:f>G340*PI()/(2*$B$6)</x:f>
        <x:v>1.288052987971815</x:v>
      </x:c>
      <x:c r="I340">
        <x:f>IF(G340&gt;$B$6,0,IF(OR(G340=0,G340=$B$6),1,IF(MOD(G340,2)=1,4,2)))</x:f>
        <x:v>2</x:v>
      </x:c>
      <x:c r="J340">
        <x:f>IF(G340&gt;$B$6,0,1/SQRT(1-($E$5^2)*(SIN(H340)^2)))</x:f>
        <x:v>2.548417862592209</x:v>
      </x:c>
      <x:c r="K340">
        <x:f>IF(G340&gt;$B$6,0,SQRT(1-($E$5^2)*(SIN(H340)^2)))</x:f>
        <x:v>0.39240032597433466</x:v>
      </x:c>
    </x:row>
    <x:row r="341">
      <x:c r="G341" s="12" t="n">
        <x:v>329</x:v>
      </x:c>
      <x:c r="H341">
        <x:f>G341*PI()/(2*$B$6)</x:f>
        <x:v>1.2919799787888024</x:v>
      </x:c>
      <x:c r="I341">
        <x:f>IF(G341&gt;$B$6,0,IF(OR(G341=0,G341=$B$6),1,IF(MOD(G341,2)=1,4,2)))</x:f>
        <x:v>4</x:v>
      </x:c>
      <x:c r="J341">
        <x:f>IF(G341&gt;$B$6,0,1/SQRT(1-($E$5^2)*(SIN(H341)^2)))</x:f>
        <x:v>2.5644437167173675</x:v>
      </x:c>
      <x:c r="K341">
        <x:f>IF(G341&gt;$B$6,0,SQRT(1-($E$5^2)*(SIN(H341)^2)))</x:f>
        <x:v>0.38994811759021814</x:v>
      </x:c>
    </x:row>
    <x:row r="342">
      <x:c r="G342" s="12" t="n">
        <x:v>330</x:v>
      </x:c>
      <x:c r="H342">
        <x:f>G342*PI()/(2*$B$6)</x:f>
        <x:v>1.2959069696057894</x:v>
      </x:c>
      <x:c r="I342">
        <x:f>IF(G342&gt;$B$6,0,IF(OR(G342=0,G342=$B$6),1,IF(MOD(G342,2)=1,4,2)))</x:f>
        <x:v>2</x:v>
      </x:c>
      <x:c r="J342">
        <x:f>IF(G342&gt;$B$6,0,1/SQRT(1-($E$5^2)*(SIN(H342)^2)))</x:f>
        <x:v>2.5805694394357235</x:v>
      </x:c>
      <x:c r="K342">
        <x:f>IF(G342&gt;$B$6,0,SQRT(1-($E$5^2)*(SIN(H342)^2)))</x:f>
        <x:v>0.3875113704433637</x:v>
      </x:c>
    </x:row>
    <x:row r="343">
      <x:c r="G343" s="12" t="n">
        <x:v>331</x:v>
      </x:c>
      <x:c r="H343">
        <x:f>G343*PI()/(2*$B$6)</x:f>
        <x:v>1.2998339604227769</x:v>
      </x:c>
      <x:c r="I343">
        <x:f>IF(G343&gt;$B$6,0,IF(OR(G343=0,G343=$B$6),1,IF(MOD(G343,2)=1,4,2)))</x:f>
        <x:v>4</x:v>
      </x:c>
      <x:c r="J343">
        <x:f>IF(G343&gt;$B$6,0,1/SQRT(1-($E$5^2)*(SIN(H343)^2)))</x:f>
        <x:v>2.5967919818818213</x:v>
      </x:c>
      <x:c r="K343">
        <x:f>IF(G343&gt;$B$6,0,SQRT(1-($E$5^2)*(SIN(H343)^2)))</x:f>
        <x:v>0.3850905297679364</x:v>
      </x:c>
    </x:row>
    <x:row r="344">
      <x:c r="G344" s="12" t="n">
        <x:v>332</x:v>
      </x:c>
      <x:c r="H344">
        <x:f>G344*PI()/(2*$B$6)</x:f>
        <x:v>1.3037609512397643</x:v>
      </x:c>
      <x:c r="I344">
        <x:f>IF(G344&gt;$B$6,0,IF(OR(G344=0,G344=$B$6),1,IF(MOD(G344,2)=1,4,2)))</x:f>
        <x:v>2</x:v>
      </x:c>
      <x:c r="J344">
        <x:f>IF(G344&gt;$B$6,0,1/SQRT(1-($E$5^2)*(SIN(H344)^2)))</x:f>
        <x:v>2.613108068022824</x:v>
      </x:c>
      <x:c r="K344">
        <x:f>IF(G344&gt;$B$6,0,SQRT(1-($E$5^2)*(SIN(H344)^2)))</x:f>
        <x:v>0.3826860481727561</x:v>
      </x:c>
    </x:row>
    <x:row r="345">
      <x:c r="G345" s="12" t="n">
        <x:v>333</x:v>
      </x:c>
      <x:c r="H345">
        <x:f>G345*PI()/(2*$B$6)</x:f>
        <x:v>1.3076879420567513</x:v>
      </x:c>
      <x:c r="I345">
        <x:f>IF(G345&gt;$B$6,0,IF(OR(G345=0,G345=$B$6),1,IF(MOD(G345,2)=1,4,2)))</x:f>
        <x:v>4</x:v>
      </x:c>
      <x:c r="J345">
        <x:f>IF(G345&gt;$B$6,0,1/SQRT(1-($E$5^2)*(SIN(H345)^2)))</x:f>
        <x:v>2.629514185883516</x:v>
      </x:c>
      <x:c r="K345">
        <x:f>IF(G345&gt;$B$6,0,SQRT(1-($E$5^2)*(SIN(H345)^2)))</x:f>
        <x:v>0.38029838567461477</x:v>
      </x:c>
    </x:row>
    <x:row r="346">
      <x:c r="G346" s="12" t="n">
        <x:v>334</x:v>
      </x:c>
      <x:c r="H346">
        <x:f>G346*PI()/(2*$B$6)</x:f>
        <x:v>1.3116149328737388</x:v>
      </x:c>
      <x:c r="I346">
        <x:f>IF(G346&gt;$B$6,0,IF(OR(G346=0,G346=$B$6),1,IF(MOD(G346,2)=1,4,2)))</x:f>
        <x:v>2</x:v>
      </x:c>
      <x:c r="J346">
        <x:f>IF(G346&gt;$B$6,0,1/SQRT(1-($E$5^2)*(SIN(H346)^2)))</x:f>
        <x:v>2.6460065786968596</x:v>
      </x:c>
      <x:c r="K346">
        <x:f>IF(G346&gt;$B$6,0,SQRT(1-($E$5^2)*(SIN(H346)^2)))</x:f>
        <x:v>0.37792800972267165</x:v>
      </x:c>
    </x:row>
    <x:row r="347">
      <x:c r="G347" s="12" t="n">
        <x:v>335</x:v>
      </x:c>
      <x:c r="H347">
        <x:f>G347*PI()/(2*$B$6)</x:f>
        <x:v>1.3155419236907258</x:v>
      </x:c>
      <x:c r="I347">
        <x:f>IF(G347&gt;$B$6,0,IF(OR(G347=0,G347=$B$6),1,IF(MOD(G347,2)=1,4,2)))</x:f>
        <x:v>4</x:v>
      </x:c>
      <x:c r="J347">
        <x:f>IF(G347&gt;$B$6,0,1/SQRT(1-($E$5^2)*(SIN(H347)^2)))</x:f>
        <x:v>2.662581236005537</x:v>
      </x:c>
      <x:c r="K347">
        <x:f>IF(G347&gt;$B$6,0,SQRT(1-($E$5^2)*(SIN(H347)^2)))</x:f>
        <x:v>0.37557539521318867</x:v>
      </x:c>
    </x:row>
    <x:row r="348">
      <x:c r="G348" s="12" t="n">
        <x:v>336</x:v>
      </x:c>
      <x:c r="H348">
        <x:f>G348*PI()/(2*$B$6)</x:f>
        <x:v>1.3194689145077132</x:v>
      </x:c>
      <x:c r="I348">
        <x:f>IF(G348&gt;$B$6,0,IF(OR(G348=0,G348=$B$6),1,IF(MOD(G348,2)=1,4,2)))</x:f>
        <x:v>2</x:v>
      </x:c>
      <x:c r="J348">
        <x:f>IF(G348&gt;$B$6,0,1/SQRT(1-($E$5^2)*(SIN(H348)^2)))</x:f>
        <x:v>2.679233884742869</x:v>
      </x:c>
      <x:c r="K348">
        <x:f>IF(G348&gt;$B$6,0,SQRT(1-($E$5^2)*(SIN(H348)^2)))</x:f>
        <x:v>0.37324102449382535</x:v>
      </x:c>
    </x:row>
    <x:row r="349">
      <x:c r="G349" s="12" t="n">
        <x:v>337</x:v>
      </x:c>
      <x:c r="H349">
        <x:f>G349*PI()/(2*$B$6)</x:f>
        <x:v>1.3233959053247002</x:v>
      </x:c>
      <x:c r="I349">
        <x:f>IF(G349&gt;$B$6,0,IF(OR(G349=0,G349=$B$6),1,IF(MOD(G349,2)=1,4,2)))</x:f>
        <x:v>4</x:v>
      </x:c>
      <x:c r="J349">
        <x:f>IF(G349&gt;$B$6,0,1/SQRT(1-($E$5^2)*(SIN(H349)^2)))</x:f>
        <x:v>2.6959599803244134</x:v>
      </x:c>
      <x:c r="K349">
        <x:f>IF(G349&gt;$B$6,0,SQRT(1-($E$5^2)*(SIN(H349)^2)))</x:f>
        <x:v>0.3709253873567021</x:v>
      </x:c>
    </x:row>
    <x:row r="350">
      <x:c r="G350" s="12" t="n">
        <x:v>338</x:v>
      </x:c>
      <x:c r="H350">
        <x:f>G350*PI()/(2*$B$6)</x:f>
        <x:v>1.3273228961416876</x:v>
      </x:c>
      <x:c r="I350">
        <x:f>IF(G350&gt;$B$6,0,IF(OR(G350=0,G350=$B$6),1,IF(MOD(G350,2)=1,4,2)))</x:f>
        <x:v>2</x:v>
      </x:c>
      <x:c r="J350">
        <x:f>IF(G350&gt;$B$6,0,1/SQRT(1-($E$5^2)*(SIN(H350)^2)))</x:f>
        <x:v>2.7127546977849235</x:v>
      </x:c>
      <x:c r="K350">
        <x:f>IF(G350&gt;$B$6,0,SQRT(1-($E$5^2)*(SIN(H350)^2)))</x:f>
        <x:v>0.3686289810193828</x:v>
      </x:c>
    </x:row>
    <x:row r="351">
      <x:c r="G351" s="12" t="n">
        <x:v>339</x:v>
      </x:c>
      <x:c r="H351">
        <x:f>G351*PI()/(2*$B$6)</x:f>
        <x:v>1.3312498869586746</x:v>
      </x:c>
      <x:c r="I351">
        <x:f>IF(G351&gt;$B$6,0,IF(OR(G351=0,G351=$B$6),1,IF(MOD(G351,2)=1,4,2)))</x:f>
        <x:v>4</x:v>
      </x:c>
      <x:c r="J351">
        <x:f>IF(G351&gt;$B$6,0,1/SQRT(1-($E$5^2)*(SIN(H351)^2)))</x:f>
        <x:v>2.7296129229985135</x:v>
      </x:c>
      <x:c r="K351">
        <x:f>IF(G351&gt;$B$6,0,SQRT(1-($E$5^2)*(SIN(H351)^2)))</x:f>
        <x:v>0.3663523100929225</x:v>
      </x:c>
    </x:row>
    <x:row r="352">
      <x:c r="G352" s="12" t="n">
        <x:v>340</x:v>
      </x:c>
      <x:c r="H352">
        <x:f>G352*PI()/(2*$B$6)</x:f>
        <x:v>1.335176877775662</x:v>
      </x:c>
      <x:c r="I352">
        <x:f>IF(G352&gt;$B$6,0,IF(OR(G352=0,G352=$B$6),1,IF(MOD(G352,2)=1,4,2)))</x:f>
        <x:v>2</x:v>
      </x:c>
      <x:c r="J352">
        <x:f>IF(G352&gt;$B$6,0,1/SQRT(1-($E$5^2)*(SIN(H352)^2)))</x:f>
        <x:v>2.7465292440235056</x:v>
      </x:c>
      <x:c r="K352">
        <x:f>IF(G352&gt;$B$6,0,SQRT(1-($E$5^2)*(SIN(H352)^2)))</x:f>
        <x:v>0.3640958865360771</x:v>
      </x:c>
    </x:row>
    <x:row r="353">
      <x:c r="G353" s="12" t="n">
        <x:v>341</x:v>
      </x:c>
      <x:c r="H353">
        <x:f>G353*PI()/(2*$B$6)</x:f>
        <x:v>1.339103868592649</x:v>
      </x:c>
      <x:c r="I353">
        <x:f>IF(G353&gt;$B$6,0,IF(OR(G353=0,G353=$B$6),1,IF(MOD(G353,2)=1,4,2)))</x:f>
        <x:v>4</x:v>
      </x:c>
      <x:c r="J353">
        <x:f>IF(G353&gt;$B$6,0,1/SQRT(1-($E$5^2)*(SIN(H353)^2)))</x:f>
        <x:v>2.763497942616885</x:v>
      </x:c>
      <x:c r="K353">
        <x:f>IF(G353&gt;$B$6,0,SQRT(1-($E$5^2)*(SIN(H353)^2)))</x:f>
        <x:v>0.36186022959476255</x:v>
      </x:c>
    </x:row>
    <x:row r="354">
      <x:c r="G354" s="12" t="n">
        <x:v>342</x:v>
      </x:c>
      <x:c r="H354">
        <x:f>G354*PI()/(2*$B$6)</x:f>
        <x:v>1.3430308594096365</x:v>
      </x:c>
      <x:c r="I354">
        <x:f>IF(G354&gt;$B$6,0,IF(OR(G354=0,G354=$B$6),1,IF(MOD(G354,2)=1,4,2)))</x:f>
        <x:v>2</x:v>
      </x:c>
      <x:c r="J354">
        <x:f>IF(G354&gt;$B$6,0,1/SQRT(1-($E$5^2)*(SIN(H354)^2)))</x:f>
        <x:v>2.780512985967165</x:v>
      </x:c>
      <x:c r="K354">
        <x:f>IF(G354&gt;$B$6,0,SQRT(1-($E$5^2)*(SIN(H354)^2)))</x:f>
        <x:v>0.3596458657258035</x:v>
      </x:c>
    </x:row>
    <x:row r="355">
      <x:c r="G355" s="12" t="n">
        <x:v>343</x:v>
      </x:c>
      <x:c r="H355">
        <x:f>G355*PI()/(2*$B$6)</x:f>
        <x:v>1.346957850226624</x:v>
      </x:c>
      <x:c r="I355">
        <x:f>IF(G355&gt;$B$6,0,IF(OR(G355=0,G355=$B$6),1,IF(MOD(G355,2)=1,4,2)))</x:f>
        <x:v>4</x:v>
      </x:c>
      <x:c r="J355">
        <x:f>IF(G355&gt;$B$6,0,1/SQRT(1-($E$5^2)*(SIN(H355)^2)))</x:f>
        <x:v>2.797568018698007</x:v>
      </x:c>
      <x:c r="K355">
        <x:f>IF(G355&gt;$B$6,0,SQRT(1-($E$5^2)*(SIN(H355)^2)))</x:f>
        <x:v>0.3574533285040203</x:v>
      </x:c>
    </x:row>
    <x:row r="356">
      <x:c r="G356" s="12" t="n">
        <x:v>344</x:v>
      </x:c>
      <x:c r="H356">
        <x:f>G356*PI()/(2*$B$6)</x:f>
        <x:v>1.350884841043611</x:v>
      </x:c>
      <x:c r="I356">
        <x:f>IF(G356&gt;$B$6,0,IF(OR(G356=0,G356=$B$6),1,IF(MOD(G356,2)=1,4,2)))</x:f>
        <x:v>2</x:v>
      </x:c>
      <x:c r="J356">
        <x:f>IF(G356&gt;$B$6,0,1/SQRT(1-($E$5^2)*(SIN(H356)^2)))</x:f>
        <x:v>2.81465635519908</x:v>
      </x:c>
      <x:c r="K356">
        <x:f>IF(G356&gt;$B$6,0,SQRT(1-($E$5^2)*(SIN(H356)^2)))</x:f>
        <x:v>0.35528315851164366</x:v>
      </x:c>
    </x:row>
    <x:row r="357">
      <x:c r="G357" s="12" t="n">
        <x:v>345</x:v>
      </x:c>
      <x:c r="H357">
        <x:f>G357*PI()/(2*$B$6)</x:f>
        <x:v>1.3548118318605984</x:v>
      </x:c>
      <x:c r="I357">
        <x:f>IF(G357&gt;$B$6,0,IF(OR(G357=0,G357=$B$6),1,IF(MOD(G357,2)=1,4,2)))</x:f>
        <x:v>4</x:v>
      </x:c>
      <x:c r="J357">
        <x:f>IF(G357&gt;$B$6,0,1/SQRT(1-($E$5^2)*(SIN(H357)^2)))</x:f>
        <x:v>2.8317709723442337</x:v>
      </x:c>
      <x:c r="K357">
        <x:f>IF(G357&gt;$B$6,0,SQRT(1-($E$5^2)*(SIN(H357)^2)))</x:f>
        <x:v>0.3531359032090674</x:v>
      </x:c>
    </x:row>
    <x:row r="358">
      <x:c r="G358" s="12" t="n">
        <x:v>346</x:v>
      </x:c>
      <x:c r="H358">
        <x:f>G358*PI()/(2*$B$6)</x:f>
        <x:v>1.3587388226775854</x:v>
      </x:c>
      <x:c r="I358">
        <x:f>IF(G358&gt;$B$6,0,IF(OR(G358=0,G358=$B$6),1,IF(MOD(G358,2)=1,4,2)))</x:f>
        <x:v>2</x:v>
      </x:c>
      <x:c r="J358">
        <x:f>IF(G358&gt;$B$6,0,1/SQRT(1-($E$5^2)*(SIN(H358)^2)))</x:f>
        <x:v>2.848904502661095</x:v>
      </x:c>
      <x:c r="K358">
        <x:f>IF(G358&gt;$B$6,0,SQRT(1-($E$5^2)*(SIN(H358)^2)))</x:f>
        <x:v>0.3510121167859166</x:v>
      </x:c>
    </x:row>
    <x:row r="359">
      <x:c r="G359" s="12" t="n">
        <x:v>347</x:v>
      </x:c>
      <x:c r="H359">
        <x:f>G359*PI()/(2*$B$6)</x:f>
        <x:v>1.3626658134945728</x:v>
      </x:c>
      <x:c r="I359">
        <x:f>IF(G359&gt;$B$6,0,IF(OR(G359=0,G359=$B$6),1,IF(MOD(G359,2)=1,4,2)))</x:f>
        <x:v>4</x:v>
      </x:c>
      <x:c r="J359">
        <x:f>IF(G359&gt;$B$6,0,1/SQRT(1-($E$5^2)*(SIN(H359)^2)))</x:f>
        <x:v>2.8660492280200787</x:v>
      </x:c>
      <x:c r="K359">
        <x:f>IF(G359&gt;$B$6,0,SQRT(1-($E$5^2)*(SIN(H359)^2)))</x:f>
        <x:v>0.3489123599913945</x:v>
      </x:c>
    </x:row>
    <x:row r="360">
      <x:c r="G360" s="12" t="n">
        <x:v>348</x:v>
      </x:c>
      <x:c r="H360">
        <x:f>G360*PI()/(2*$B$6)</x:f>
        <x:v>1.3665928043115598</x:v>
      </x:c>
      <x:c r="I360">
        <x:f>IF(G360&gt;$B$6,0,IF(OR(G360=0,G360=$B$6),1,IF(MOD(G360,2)=1,4,2)))</x:f>
        <x:v>2</x:v>
      </x:c>
      <x:c r="J360">
        <x:f>IF(G360&gt;$B$6,0,1/SQRT(1-($E$5^2)*(SIN(H360)^2)))</x:f>
        <x:v>2.8831970739143307</x:v>
      </x:c>
      <x:c r="K360">
        <x:f>IF(G360&gt;$B$6,0,SQRT(1-($E$5^2)*(SIN(H360)^2)))</x:f>
        <x:v>0.3468371999428969</x:v>
      </x:c>
    </x:row>
    <x:row r="361">
      <x:c r="G361" s="12" t="n">
        <x:v>349</x:v>
      </x:c>
      <x:c r="H361">
        <x:f>G361*PI()/(2*$B$6)</x:f>
        <x:v>1.3705197951285473</x:v>
      </x:c>
      <x:c r="I361">
        <x:f>IF(G361&gt;$B$6,0,IF(OR(G361=0,G361=$B$6),1,IF(MOD(G361,2)=1,4,2)))</x:f>
        <x:v>4</x:v>
      </x:c>
      <x:c r="J361">
        <x:f>IF(G361&gt;$B$6,0,1/SQRT(1-($E$5^2)*(SIN(H361)^2)))</x:f>
        <x:v>2.9003396044060805</x:v>
      </x:c>
      <x:c r="K361">
        <x:f>IF(G361&gt;$B$6,0,SQRT(1-($E$5^2)*(SIN(H361)^2)))</x:f>
        <x:v>0.34478720991184614</x:v>
      </x:c>
    </x:row>
    <x:row r="362">
      <x:c r="G362" s="12" t="n">
        <x:v>350</x:v>
      </x:c>
      <x:c r="H362">
        <x:f>G362*PI()/(2*$B$6)</x:f>
        <x:v>1.3744467859455343</x:v>
      </x:c>
      <x:c r="I362">
        <x:f>IF(G362&gt;$B$6,0,IF(OR(G362=0,G362=$B$6),1,IF(MOD(G362,2)=1,4,2)))</x:f>
        <x:v>2</x:v>
      </x:c>
      <x:c r="J362">
        <x:f>IF(G362&gt;$B$6,0,1/SQRT(1-($E$5^2)*(SIN(H362)^2)))</x:f>
        <x:v>2.9174680178180137</x:v>
      </x:c>
      <x:c r="K362">
        <x:f>IF(G362&gt;$B$6,0,SQRT(1-($E$5^2)*(SIN(H362)^2)))</x:f>
        <x:v>0.3427629690857431</x:v>
      </x:c>
    </x:row>
    <x:row r="363">
      <x:c r="G363" s="12" t="n">
        <x:v>351</x:v>
      </x:c>
      <x:c r="H363">
        <x:f>G363*PI()/(2*$B$6)</x:f>
        <x:v>1.3783737767625217</x:v>
      </x:c>
      <x:c r="I363">
        <x:f>IF(G363&gt;$B$6,0,IF(OR(G363=0,G363=$B$6),1,IF(MOD(G363,2)=1,4,2)))</x:f>
        <x:v>4</x:v>
      </x:c>
      <x:c r="J363">
        <x:f>IF(G363&gt;$B$6,0,1/SQRT(1-($E$5^2)*(SIN(H363)^2)))</x:f>
        <x:v>2.9345731432517455</x:v>
      </x:c>
      <x:c r="K363">
        <x:f>IF(G363&gt;$B$6,0,SQRT(1-($E$5^2)*(SIN(H363)^2)))</x:f>
        <x:v>0.3407650623054223</x:v>
      </x:c>
    </x:row>
    <x:row r="364">
      <x:c r="G364" s="12" t="n">
        <x:v>352</x:v>
      </x:c>
      <x:c r="H364">
        <x:f>G364*PI()/(2*$B$6)</x:f>
        <x:v>1.382300767579509</x:v>
      </x:c>
      <x:c r="I364">
        <x:f>IF(G364&gt;$B$6,0,IF(OR(G364=0,G364=$B$6),1,IF(MOD(G364,2)=1,4,2)))</x:f>
        <x:v>2</x:v>
      </x:c>
      <x:c r="J364">
        <x:f>IF(G364&gt;$B$6,0,1/SQRT(1-($E$5^2)*(SIN(H364)^2)))</x:f>
        <x:v>2.951645438018262</x:v>
      </x:c>
      <x:c r="K364">
        <x:f>IF(G364&gt;$B$6,0,SQRT(1-($E$5^2)*(SIN(H364)^2)))</x:f>
        <x:v>0.3387940797765334</x:v>
      </x:c>
    </x:row>
    <x:row r="365">
      <x:c r="G365" s="12" t="n">
        <x:v>353</x:v>
      </x:c>
      <x:c r="H365">
        <x:f>G365*PI()/(2*$B$6)</x:f>
        <x:v>1.3862277583964961</x:v>
      </x:c>
      <x:c r="I365">
        <x:f>IF(G365&gt;$B$6,0,IF(OR(G365=0,G365=$B$6),1,IF(MOD(G365,2)=1,4,2)))</x:f>
        <x:v>4</x:v>
      </x:c>
      <x:c r="J365">
        <x:f>IF(G365&gt;$B$6,0,1/SQRT(1-($E$5^2)*(SIN(H365)^2)))</x:f>
        <x:v>2.9686749860677573</x:v>
      </x:c>
      <x:c r="K365">
        <x:f>IF(G365&gt;$B$6,0,SQRT(1-($E$5^2)*(SIN(H365)^2)))</x:f>
        <x:v>0.3368506167543044</x:v>
      </x:c>
    </x:row>
    <x:row r="366">
      <x:c r="G366" s="12" t="n">
        <x:v>354</x:v>
      </x:c>
      <x:c r="H366">
        <x:f>G366*PI()/(2*$B$6)</x:f>
        <x:v>1.3901547492134836</x:v>
      </x:c>
      <x:c r="I366">
        <x:f>IF(G366&gt;$B$6,0,IF(OR(G366=0,G366=$B$6),1,IF(MOD(G366,2)=1,4,2)))</x:f>
        <x:v>2</x:v>
      </x:c>
      <x:c r="J366">
        <x:f>IF(G366&gt;$B$6,0,1/SQRT(1-($E$5^2)*(SIN(H366)^2)))</x:f>
        <x:v>2.9856514975085244</x:v>
      </x:c>
      <x:c r="K366">
        <x:f>IF(G366&gt;$B$6,0,SQRT(1-($E$5^2)*(SIN(H366)^2)))</x:f>
        <x:v>0.3349352732006676</x:v>
      </x:c>
    </x:row>
    <x:row r="367">
      <x:c r="G367" s="12" t="n">
        <x:v>355</x:v>
      </x:c>
      <x:c r="H367">
        <x:f>G367*PI()/(2*$B$6)</x:f>
        <x:v>1.3940817400304706</x:v>
      </x:c>
      <x:c r="I367">
        <x:f>IF(G367&gt;$B$6,0,IF(OR(G367=0,G367=$B$6),1,IF(MOD(G367,2)=1,4,2)))</x:f>
        <x:v>4</x:v>
      </x:c>
      <x:c r="J367">
        <x:f>IF(G367&gt;$B$6,0,1/SQRT(1-($E$5^2)*(SIN(H367)^2)))</x:f>
        <x:v>3.00256430930602</x:v>
      </x:c>
      <x:c r="K367">
        <x:f>IF(G367&gt;$B$6,0,SQRT(1-($E$5^2)*(SIN(H367)^2)))</x:f>
        <x:v>0.33304865341289863</x:v>
      </x:c>
    </x:row>
    <x:row r="368">
      <x:c r="G368" s="12" t="n">
        <x:v>356</x:v>
      </x:c>
      <x:c r="H368">
        <x:f>G368*PI()/(2*$B$6)</x:f>
        <x:v>1.398008730847458</x:v>
      </x:c>
      <x:c r="I368">
        <x:f>IF(G368&gt;$B$6,0,IF(OR(G368=0,G368=$B$6),1,IF(MOD(G368,2)=1,4,2)))</x:f>
        <x:v>2</x:v>
      </x:c>
      <x:c r="J368">
        <x:f>IF(G368&gt;$B$6,0,1/SQRT(1-($E$5^2)*(SIN(H368)^2)))</x:f>
        <x:v>3.0194023872543947</x:v>
      </x:c>
      <x:c r="K368">
        <x:f>IF(G368&gt;$B$6,0,SQRT(1-($E$5^2)*(SIN(H368)^2)))</x:f>
        <x:v>0.3311913656229572</x:v>
      </x:c>
    </x:row>
    <x:row r="369">
      <x:c r="G369" s="12" t="n">
        <x:v>357</x:v>
      </x:c>
      <x:c r="H369">
        <x:f>G369*PI()/(2*$B$6)</x:f>
        <x:v>1.401935721664445</x:v>
      </x:c>
      <x:c r="I369">
        <x:f>IF(G369&gt;$B$6,0,IF(OR(G369=0,G369=$B$6),1,IF(MOD(G369,2)=1,4,2)))</x:f>
        <x:v>4</x:v>
      </x:c>
      <x:c r="J369">
        <x:f>IF(G369&gt;$B$6,0,1/SQRT(1-($E$5^2)*(SIN(H369)^2)))</x:f>
        <x:v>3.036154329312946</x:v>
      </x:c>
      <x:c r="K369">
        <x:f>IF(G369&gt;$B$6,0,SQRT(1-($E$5^2)*(SIN(H369)^2)))</x:f>
        <x:v>0.3293640215668124</x:v>
      </x:c>
    </x:row>
    <x:row r="370">
      <x:c r="G370" s="12" t="n">
        <x:v>358</x:v>
      </x:c>
      <x:c r="H370">
        <x:f>G370*PI()/(2*$B$6)</x:f>
        <x:v>1.4058627124814325</x:v>
      </x:c>
      <x:c r="I370">
        <x:f>IF(G370&gt;$B$6,0,IF(OR(G370=0,G370=$B$6),1,IF(MOD(G370,2)=1,4,2)))</x:f>
        <x:v>2</x:v>
      </x:c>
      <x:c r="J370">
        <x:f>IF(G370&gt;$B$6,0,1/SQRT(1-($E$5^2)*(SIN(H370)^2)))</x:f>
        <x:v>3.052808370399773</x:v>
      </x:c>
      <x:c r="K370">
        <x:f>IF(G370&gt;$B$6,0,SQRT(1-($E$5^2)*(SIN(H370)^2)))</x:f>
        <x:v>0.3275672360230877</x:v>
      </x:c>
    </x:row>
    <x:row r="371">
      <x:c r="G371" s="12" t="n">
        <x:v>359</x:v>
      </x:c>
      <x:c r="H371">
        <x:f>G371*PI()/(2*$B$6)</x:f>
        <x:v>1.4097897032984195</x:v>
      </x:c>
      <x:c r="I371">
        <x:f>IF(G371&gt;$B$6,0,IF(OR(G371=0,G371=$B$6),1,IF(MOD(G371,2)=1,4,2)))</x:f>
        <x:v>4</x:v>
      </x:c>
      <x:c r="J371">
        <x:f>IF(G371&gt;$B$6,0,1/SQRT(1-($E$5^2)*(SIN(H371)^2)))</x:f>
        <x:v>3.0693523887333996</x:v>
      </x:c>
      <x:c r="K371">
        <x:f>IF(G371&gt;$B$6,0,SQRT(1-($E$5^2)*(SIN(H371)^2)))</x:f>
        <x:v>0.3258016263204827</x:v>
      </x:c>
    </x:row>
    <x:row r="372">
      <x:c r="G372" s="12" t="n">
        <x:v>360</x:v>
      </x:c>
      <x:c r="H372">
        <x:f>G372*PI()/(2*$B$6)</x:f>
        <x:v>1.413716694115407</x:v>
      </x:c>
      <x:c r="I372">
        <x:f>IF(G372&gt;$B$6,0,IF(OR(G372=0,G372=$B$6),1,IF(MOD(G372,2)=1,4,2)))</x:f>
        <x:v>2</x:v>
      </x:c>
      <x:c r="J372">
        <x:f>IF(G372&gt;$B$6,0,1/SQRT(1-($E$5^2)*(SIN(H372)^2)))</x:f>
        <x:v>3.085773913811139</x:v>
      </x:c>
      <x:c r="K372">
        <x:f>IF(G372&gt;$B$6,0,SQRT(1-($E$5^2)*(SIN(H372)^2)))</x:f>
        <x:v>0.3240678118135144</x:v>
      </x:c>
    </x:row>
    <x:row r="373">
      <x:c r="G373" s="12" t="n">
        <x:v>361</x:v>
      </x:c>
      <x:c r="H373">
        <x:f>G373*PI()/(2*$B$6)</x:f>
        <x:v>1.4176436849323941</x:v>
      </x:c>
      <x:c r="I373">
        <x:f>IF(G373&gt;$B$6,0,IF(OR(G373=0,G373=$B$6),1,IF(MOD(G373,2)=1,4,2)))</x:f>
        <x:v>4</x:v>
      </x:c>
      <x:c r="J373">
        <x:f>IF(G373&gt;$B$6,0,1/SQRT(1-($E$5^2)*(SIN(H373)^2)))</x:f>
        <x:v>3.102060136109708</x:v>
      </x:c>
      <x:c r="K373">
        <x:f>IF(G373&gt;$B$6,0,SQRT(1-($E$5^2)*(SIN(H373)^2)))</x:f>
        <x:v>0.3223664133262418</x:v>
      </x:c>
    </x:row>
    <x:row r="374">
      <x:c r="G374" s="12" t="n">
        <x:v>362</x:v>
      </x:c>
      <x:c r="H374">
        <x:f>G374*PI()/(2*$B$6)</x:f>
        <x:v>1.4215706757493813</x:v>
      </x:c>
      <x:c r="I374">
        <x:f>IF(G374&gt;$B$6,0,IF(OR(G374=0,G374=$B$6),1,IF(MOD(G374,2)=1,4,2)))</x:f>
        <x:v>2</x:v>
      </x:c>
      <x:c r="J374">
        <x:f>IF(G374&gt;$B$6,0,1/SQRT(1-($E$5^2)*(SIN(H374)^2)))</x:f>
        <x:v>3.118197918589288</x:v>
      </x:c>
      <x:c r="K374">
        <x:f>IF(G374&gt;$B$6,0,SQRT(1-($E$5^2)*(SIN(H374)^2)))</x:f>
        <x:v>0.3206980525637746</x:v>
      </x:c>
    </x:row>
    <x:row r="375">
      <x:c r="G375" s="12" t="n">
        <x:v>363</x:v>
      </x:c>
      <x:c r="H375">
        <x:f>G375*PI()/(2*$B$6)</x:f>
        <x:v>1.4254976665663688</x:v>
      </x:c>
      <x:c r="I375">
        <x:f>IF(G375&gt;$B$6,0,IF(OR(G375=0,G375=$B$6),1,IF(MOD(G375,2)=1,4,2)))</x:f>
        <x:v>4</x:v>
      </x:c>
      <x:c r="J375">
        <x:f>IF(G375&gt;$B$6,0,1/SQRT(1-($E$5^2)*(SIN(H375)^2)))</x:f>
        <x:v>3.1341738100767924</x:v>
      </x:c>
      <x:c r="K375">
        <x:f>IF(G375&gt;$B$6,0,SQRT(1-($E$5^2)*(SIN(H375)^2)))</x:f>
        <x:v>0.31906335149150467</x:v>
      </x:c>
    </x:row>
    <x:row r="376">
      <x:c r="G376" s="12" t="n">
        <x:v>364</x:v>
      </x:c>
      <x:c r="H376">
        <x:f>G376*PI()/(2*$B$6)</x:f>
        <x:v>1.4294246573833558</x:v>
      </x:c>
      <x:c r="I376">
        <x:f>IF(G376&gt;$B$6,0,IF(OR(G376=0,G376=$B$6),1,IF(MOD(G376,2)=1,4,2)))</x:f>
        <x:v>2</x:v>
      </x:c>
      <x:c r="J376">
        <x:f>IF(G376&gt;$B$6,0,1/SQRT(1-($E$5^2)*(SIN(H376)^2)))</x:f>
        <x:v>3.1499740605974296</x:v>
      </x:c>
      <x:c r="K376">
        <x:f>IF(G376&gt;$B$6,0,SQRT(1-($E$5^2)*(SIN(H376)^2)))</x:f>
        <x:v>0.31746293168215434</x:v>
      </x:c>
    </x:row>
    <x:row r="377">
      <x:c r="G377" s="12" t="n">
        <x:v>365</x:v>
      </x:c>
      <x:c r="H377">
        <x:f>G377*PI()/(2*$B$6)</x:f>
        <x:v>1.4333516482003432</x:v>
      </x:c>
      <x:c r="I377">
        <x:f>IF(G377&gt;$B$6,0,IF(OR(G377=0,G377=$B$6),1,IF(MOD(G377,2)=1,4,2)))</x:f>
        <x:v>4</x:v>
      </x:c>
      <x:c r="J377">
        <x:f>IF(G377&gt;$B$6,0,1/SQRT(1-($E$5^2)*(SIN(H377)^2)))</x:f>
        <x:v>3.1655846387156776</x:v>
      </x:c>
      <x:c r="K377">
        <x:f>IF(G377&gt;$B$6,0,SQRT(1-($E$5^2)*(SIN(H377)^2)))</x:f>
        <x:v>0.3158974136309033</x:v>
      </x:c>
    </x:row>
    <x:row r="378">
      <x:c r="G378" s="12" t="n">
        <x:v>366</x:v>
      </x:c>
      <x:c r="H378">
        <x:f>G378*PI()/(2*$B$6)</x:f>
        <x:v>1.4372786390173302</x:v>
      </x:c>
      <x:c r="I378">
        <x:f>IF(G378&gt;$B$6,0,IF(OR(G378=0,G378=$B$6),1,IF(MOD(G378,2)=1,4,2)))</x:f>
        <x:v>2</x:v>
      </x:c>
      <x:c r="J378">
        <x:f>IF(G378&gt;$B$6,0,1/SQRT(1-($E$5^2)*(SIN(H378)^2)))</x:f>
        <x:v>3.180991250937412</x:v>
      </x:c>
      <x:c r="K378">
        <x:f>IF(G378&gt;$B$6,0,SQRT(1-($E$5^2)*(SIN(H378)^2)))</x:f>
        <x:v>0.3143674160390439</x:v>
      </x:c>
    </x:row>
    <x:row r="379">
      <x:c r="G379" s="12" t="n">
        <x:v>367</x:v>
      </x:c>
      <x:c r="H379">
        <x:f>G379*PI()/(2*$B$6)</x:f>
        <x:v>1.4412056298343177</x:v>
      </x:c>
      <x:c r="I379">
        <x:f>IF(G379&gt;$B$6,0,IF(OR(G379=0,G379=$B$6),1,IF(MOD(G379,2)=1,4,2)))</x:f>
        <x:v>4</x:v>
      </x:c>
      <x:c r="J379">
        <x:f>IF(G379&gt;$B$6,0,1/SQRT(1-($E$5^2)*(SIN(H379)^2)))</x:f>
        <x:v>3.1961793632143585</x:v>
      </x:c>
      <x:c r="K379">
        <x:f>IF(G379&gt;$B$6,0,SQRT(1-($E$5^2)*(SIN(H379)^2)))</x:f>
        <x:v>0.3128735550667946</x:v>
      </x:c>
    </x:row>
    <x:row r="380">
      <x:c r="G380" s="12" t="n">
        <x:v>368</x:v>
      </x:c>
      <x:c r="H380">
        <x:f>G380*PI()/(2*$B$6)</x:f>
        <x:v>1.4451326206513047</x:v>
      </x:c>
      <x:c r="I380">
        <x:f>IF(G380&gt;$B$6,0,IF(OR(G380=0,G380=$B$6),1,IF(MOD(G380,2)=1,4,2)))</x:f>
        <x:v>2</x:v>
      </x:c>
      <x:c r="J380">
        <x:f>IF(G380&gt;$B$6,0,1/SQRT(1-($E$5^2)*(SIN(H380)^2)))</x:f>
        <x:v>3.2111342245798635</x:v>
      </x:c>
      <x:c r="K380">
        <x:f>IF(G380&gt;$B$6,0,SQRT(1-($E$5^2)*(SIN(H380)^2)))</x:f>
        <x:v>0.3114164435561199</x:v>
      </x:c>
    </x:row>
    <x:row r="381">
      <x:c r="G381" s="12" t="n">
        <x:v>369</x:v>
      </x:c>
      <x:c r="H381">
        <x:f>G381*PI()/(2*$B$6)</x:f>
        <x:v>1.449059611468292</x:v>
      </x:c>
      <x:c r="I381">
        <x:f>IF(G381&gt;$B$6,0,IF(OR(G381=0,G381=$B$6),1,IF(MOD(G381,2)=1,4,2)))</x:f>
        <x:v>4</x:v>
      </x:c>
      <x:c r="J381">
        <x:f>IF(G381&gt;$B$6,0,1/SQRT(1-($E$5^2)*(SIN(H381)^2)))</x:f>
        <x:v>3.225840892931655</x:v>
      </x:c>
      <x:c r="K381">
        <x:f>IF(G381&gt;$B$6,0,SQRT(1-($E$5^2)*(SIN(H381)^2)))</x:f>
        <x:v>0.3099966902246058</x:v>
      </x:c>
    </x:row>
    <x:row r="382">
      <x:c r="G382" s="12" t="n">
        <x:v>370</x:v>
      </x:c>
      <x:c r="H382">
        <x:f>G382*PI()/(2*$B$6)</x:f>
        <x:v>1.4529866022852793</x:v>
      </x:c>
      <x:c r="I382">
        <x:f>IF(G382&gt;$B$6,0,IF(OR(G382=0,G382=$B$6),1,IF(MOD(G382,2)=1,4,2)))</x:f>
        <x:v>2</x:v>
      </x:c>
      <x:c r="J382">
        <x:f>IF(G382&gt;$B$6,0,1/SQRT(1-($E$5^2)*(SIN(H382)^2)))</x:f>
        <x:v>3.2402842629624113</x:v>
      </x:c>
      <x:c r="K382">
        <x:f>IF(G382&gt;$B$6,0,SQRT(1-($E$5^2)*(SIN(H382)^2)))</x:f>
        <x:v>0.3086148988316709</x:v>
      </x:c>
    </x:row>
    <x:row r="383">
      <x:c r="G383" s="12" t="n">
        <x:v>371</x:v>
      </x:c>
      <x:c r="H383">
        <x:f>G383*PI()/(2*$B$6)</x:f>
        <x:v>1.4569135931022665</x:v>
      </x:c>
      <x:c r="I383">
        <x:f>IF(G383&gt;$B$6,0,IF(OR(G383=0,G383=$B$6),1,IF(MOD(G383,2)=1,4,2)))</x:f>
        <x:v>4</x:v>
      </x:c>
      <x:c r="J383">
        <x:f>IF(G383&gt;$B$6,0,1/SQRT(1-($E$5^2)*(SIN(H383)^2)))</x:f>
        <x:v>3.254449096222913</x:v>
      </x:c>
      <x:c r="K383">
        <x:f>IF(G383&gt;$B$6,0,SQRT(1-($E$5^2)*(SIN(H383)^2)))</x:f>
        <x:v>0.30727166731862293</x:v>
      </x:c>
    </x:row>
    <x:row r="384">
      <x:c r="G384" s="12" t="n">
        <x:v>372</x:v>
      </x:c>
      <x:c r="H384">
        <x:f>G384*PI()/(2*$B$6)</x:f>
        <x:v>1.4608405839192538</x:v>
      </x:c>
      <x:c r="I384">
        <x:f>IF(G384&gt;$B$6,0,IF(OR(G384=0,G384=$B$6),1,IF(MOD(G384,2)=1,4,2)))</x:f>
        <x:v>2</x:v>
      </x:c>
      <x:c r="J384">
        <x:f>IF(G384&gt;$B$6,0,1/SQRT(1-($E$5^2)*(SIN(H384)^2)))</x:f>
        <x:v>3.2683200532852554</x:v>
      </x:c>
      <x:c r="K384">
        <x:f>IF(G384&gt;$B$6,0,SQRT(1-($E$5^2)*(SIN(H384)^2)))</x:f>
        <x:v>0.3059675869243033</x:v>
      </x:c>
    </x:row>
    <x:row r="385">
      <x:c r="G385" s="12" t="n">
        <x:v>373</x:v>
      </x:c>
      <x:c r="H385">
        <x:f>G385*PI()/(2*$B$6)</x:f>
        <x:v>1.464767574736241</x:v>
      </x:c>
      <x:c r="I385">
        <x:f>IF(G385&gt;$B$6,0,IF(OR(G385=0,G385=$B$6),1,IF(MOD(G385,2)=1,4,2)))</x:f>
        <x:v>4</x:v>
      </x:c>
      <x:c r="J385">
        <x:f>IF(G385&gt;$B$6,0,1/SQRT(1-($E$5^2)*(SIN(H385)^2)))</x:f>
        <x:v>3.281881727955148</x:v>
      </x:c>
      <x:c r="K385">
        <x:f>IF(G385&gt;$B$6,0,SQRT(1-($E$5^2)*(SIN(H385)^2)))</x:f>
        <x:v>0.3047032412783117</x:v>
      </x:c>
    </x:row>
    <x:row r="386">
      <x:c r="G386" s="12" t="n">
        <x:v>374</x:v>
      </x:c>
      <x:c r="H386">
        <x:f>G386*PI()/(2*$B$6)</x:f>
        <x:v>1.4686945655532284</x:v>
      </x:c>
      <x:c r="I386">
        <x:f>IF(G386&gt;$B$6,0,IF(OR(G386=0,G386=$B$6),1,IF(MOD(G386,2)=1,4,2)))</x:f>
        <x:v>2</x:v>
      </x:c>
      <x:c r="J386">
        <x:f>IF(G386&gt;$B$6,0,1/SQRT(1-($E$5^2)*(SIN(H386)^2)))</x:f>
        <x:v>3.295118683462967</x:v>
      </x:c>
      <x:c r="K386">
        <x:f>IF(G386&gt;$B$6,0,SQRT(1-($E$5^2)*(SIN(H386)^2)))</x:f>
        <x:v>0.30347920547403817</x:v>
      </x:c>
    </x:row>
    <x:row r="387">
      <x:c r="G387" s="12" t="n">
        <x:v>375</x:v>
      </x:c>
      <x:c r="H387">
        <x:f>G387*PI()/(2*$B$6)</x:f>
        <x:v>1.4726215563702154</x:v>
      </x:c>
      <x:c r="I387">
        <x:f>IF(G387&gt;$B$6,0,IF(OR(G387=0,G387=$B$6),1,IF(MOD(G387,2)=1,4,2)))</x:f>
        <x:v>4</x:v>
      </x:c>
      <x:c r="J387">
        <x:f>IF(G387&gt;$B$6,0,1/SQRT(1-($E$5^2)*(SIN(H387)^2)))</x:f>
        <x:v>3.3080154905429326</x:v>
      </x:c>
      <x:c r="K387">
        <x:f>IF(G387&gt;$B$6,0,SQRT(1-($E$5^2)*(SIN(H387)^2)))</x:f>
        <x:v>0.30229604512398267</x:v>
      </x:c>
    </x:row>
    <x:row r="388">
      <x:c r="G388" s="12" t="n">
        <x:v>376</x:v>
      </x:c>
      <x:c r="H388">
        <x:f>G388*PI()/(2*$B$6)</x:f>
        <x:v>1.4765485471872029</x:v>
      </x:c>
      <x:c r="I388">
        <x:f>IF(G388&gt;$B$6,0,IF(OR(G388=0,G388=$B$6),1,IF(MOD(G388,2)=1,4,2)))</x:f>
        <x:v>2</x:v>
      </x:c>
      <x:c r="J388">
        <x:f>IF(G388&gt;$B$6,0,1/SQRT(1-($E$5^2)*(SIN(H388)^2)))</x:f>
        <x:v>3.3205567672889815</x:v>
      </x:c>
      <x:c r="K388">
        <x:f>IF(G388&gt;$B$6,0,SQRT(1-($E$5^2)*(SIN(H388)^2)))</x:f>
        <x:v>0.3011543154000752</x:v>
      </x:c>
    </x:row>
    <x:row r="389">
      <x:c r="G389" s="12" t="n">
        <x:v>377</x:v>
      </x:c>
      <x:c r="H389">
        <x:f>G389*PI()/(2*$B$6)</x:f>
        <x:v>1.4804755380041899</x:v>
      </x:c>
      <x:c r="I389">
        <x:f>IF(G389&gt;$B$6,0,IF(OR(G389=0,G389=$B$6),1,IF(MOD(G389,2)=1,4,2)))</x:f>
        <x:v>4</x:v>
      </x:c>
      <x:c r="J389">
        <x:f>IF(G389&gt;$B$6,0,1/SQRT(1-($E$5^2)*(SIN(H389)^2)))</x:f>
        <x:v>3.3327272206545193</x:v>
      </x:c>
      <x:c r="K389">
        <x:f>IF(G389&gt;$B$6,0,SQRT(1-($E$5^2)*(SIN(H389)^2)))</x:f>
        <x:v>0.30005456006195685</x:v>
      </x:c>
    </x:row>
    <x:row r="390">
      <x:c r="G390" s="12" t="n">
        <x:v>378</x:v>
      </x:c>
      <x:c r="H390">
        <x:f>G390*PI()/(2*$B$6)</x:f>
        <x:v>1.4844025288211773</x:v>
      </x:c>
      <x:c r="I390">
        <x:f>IF(G390&gt;$B$6,0,IF(OR(G390=0,G390=$B$6),1,IF(MOD(G390,2)=1,4,2)))</x:f>
        <x:v>2</x:v>
      </x:c>
      <x:c r="J390">
        <x:f>IF(G390&gt;$B$6,0,1/SQRT(1-($E$5^2)*(SIN(H390)^2)))</x:f>
        <x:v>3.344511689441841</x:v>
      </x:c>
      <x:c r="K390">
        <x:f>IF(G390&gt;$B$6,0,SQRT(1-($E$5^2)*(SIN(H390)^2)))</x:f>
        <x:v>0.2989973104764026</x:v>
      </x:c>
    </x:row>
    <x:row r="391">
      <x:c r="G391" s="12" t="n">
        <x:v>379</x:v>
      </x:c>
      <x:c r="H391">
        <x:f>G391*PI()/(2*$B$6)</x:f>
        <x:v>1.4883295196381645</x:v>
      </x:c>
      <x:c r="I391">
        <x:f>IF(G391&gt;$B$6,0,IF(OR(G391=0,G391=$B$6),1,IF(MOD(G391,2)=1,4,2)))</x:f>
        <x:v>4</x:v>
      </x:c>
      <x:c r="J391">
        <x:f>IF(G391&gt;$B$6,0,1/SQRT(1-($E$5^2)*(SIN(H391)^2)))</x:f>
        <x:v>3.3558951886055994</x:v>
      </x:c>
      <x:c r="K391">
        <x:f>IF(G391&gt;$B$6,0,SQRT(1-($E$5^2)*(SIN(H391)^2)))</x:f>
        <x:v>0.29798308463128964</x:v>
      </x:c>
    </x:row>
    <x:row r="392">
      <x:c r="G392" s="12" t="n">
        <x:v>380</x:v>
      </x:c>
      <x:c r="H392">
        <x:f>G392*PI()/(2*$B$6)</x:f>
        <x:v>1.4922565104551517</x:v>
      </x:c>
      <x:c r="I392">
        <x:f>IF(G392&gt;$B$6,0,IF(OR(G392=0,G392=$B$6),1,IF(MOD(G392,2)=1,4,2)))</x:f>
        <x:v>2</x:v>
      </x:c>
      <x:c r="J392">
        <x:f>IF(G392&gt;$B$6,0,1/SQRT(1-($E$5^2)*(SIN(H392)^2)))</x:f>
        <x:v>3.366862954673629</x:v>
      </x:c>
      <x:c r="K392">
        <x:f>IF(G392&gt;$B$6,0,SQRT(1-($E$5^2)*(SIN(H392)^2)))</x:f>
        <x:v>0.29701238614772674</x:v>
      </x:c>
    </x:row>
    <x:row r="393">
      <x:c r="G393" s="12" t="n">
        <x:v>381</x:v>
      </x:c>
      <x:c r="H393">
        <x:f>G393*PI()/(2*$B$6)</x:f>
        <x:v>1.496183501272139</x:v>
      </x:c>
      <x:c r="I393">
        <x:f>IF(G393&gt;$B$6,0,IF(OR(G393=0,G393=$B$6),1,IF(MOD(G393,2)=1,4,2)))</x:f>
        <x:v>4</x:v>
      </x:c>
      <x:c r="J393">
        <x:f>IF(G393&gt;$B$6,0,1/SQRT(1-($E$5^2)*(SIN(H393)^2)))</x:f>
        <x:v>3.377400492068318</x:v>
      </x:c>
      <x:c r="K393">
        <x:f>IF(G393&gt;$B$6,0,SQRT(1-($E$5^2)*(SIN(H393)^2)))</x:f>
        <x:v>0.29608570329413336</x:v>
      </x:c>
    </x:row>
    <x:row r="394">
      <x:c r="G394" s="12" t="n">
        <x:v>382</x:v>
      </x:c>
      <x:c r="H394">
        <x:f>G394*PI()/(2*$B$6)</x:f>
        <x:v>1.5001104920891262</x:v>
      </x:c>
      <x:c r="I394">
        <x:f>IF(G394&gt;$B$6,0,IF(OR(G394=0,G394=$B$6),1,IF(MOD(G394,2)=1,4,2)))</x:f>
        <x:v>2</x:v>
      </x:c>
      <x:c r="J394">
        <x:f>IF(G394&gt;$B$6,0,1/SQRT(1-($E$5^2)*(SIN(H394)^2)))</x:f>
        <x:v>3.3874936200922097</x:v>
      </x:c>
      <x:c r="K394">
        <x:f>IF(G394&gt;$B$6,0,SQRT(1-($E$5^2)*(SIN(H394)^2)))</x:f>
        <x:v>0.2952035080062466</x:v>
      </x:c>
    </x:row>
    <x:row r="395">
      <x:c r="G395" s="12" t="n">
        <x:v>383</x:v>
      </x:c>
      <x:c r="H395">
        <x:f>G395*PI()/(2*$B$6)</x:f>
        <x:v>1.5040374829061134</x:v>
      </x:c>
      <x:c r="I395">
        <x:f>IF(G395&gt;$B$6,0,IF(OR(G395=0,G395=$B$6),1,IF(MOD(G395,2)=1,4,2)))</x:f>
        <x:v>4</x:v>
      </x:c>
      <x:c r="J395">
        <x:f>IF(G395&gt;$B$6,0,1/SQRT(1-($E$5^2)*(SIN(H395)^2)))</x:f>
        <x:v>3.39712852032379</x:v>
      </x:c>
      <x:c r="K395">
        <x:f>IF(G395&gt;$B$6,0,SQRT(1-($E$5^2)*(SIN(H395)^2)))</x:f>
        <x:v>0.2943662549171637</x:v>
      </x:c>
    </x:row>
    <x:row r="396">
      <x:c r="G396" s="12" t="n">
        <x:v>384</x:v>
      </x:c>
      <x:c r="H396">
        <x:f>G396*PI()/(2*$B$6)</x:f>
        <x:v>1.5079644737231006</x:v>
      </x:c>
      <x:c r="I396">
        <x:f>IF(G396&gt;$B$6,0,IF(OR(G396=0,G396=$B$6),1,IF(MOD(G396,2)=1,4,2)))</x:f>
        <x:v>2</x:v>
      </x:c>
      <x:c r="J396">
        <x:f>IF(G396&gt;$B$6,0,1/SQRT(1-($E$5^2)*(SIN(H396)^2)))</x:f>
        <x:v>3.406291784153005</x:v>
      </x:c>
      <x:c r="K396">
        <x:f>IF(G396&gt;$B$6,0,SQRT(1-($E$5^2)*(SIN(H396)^2)))</x:f>
        <x:v>0.29357438040166484</x:v>
      </x:c>
    </x:row>
    <x:row r="397">
      <x:c r="G397" s="12" t="n">
        <x:v>385</x:v>
      </x:c>
      <x:c r="H397">
        <x:f>G397*PI()/(2*$B$6)</x:f>
        <x:v>1.511891464540088</x:v>
      </x:c>
      <x:c r="I397">
        <x:f>IF(G397&gt;$B$6,0,IF(OR(G397=0,G397=$B$6),1,IF(MOD(G397,2)=1,4,2)))</x:f>
        <x:v>4</x:v>
      </x:c>
      <x:c r="J397">
        <x:f>IF(G397&gt;$B$6,0,1/SQRT(1-($E$5^2)*(SIN(H397)^2)))</x:f>
        <x:v>3.4149704601720723</x:v>
      </x:c>
      <x:c r="K397">
        <x:f>IF(G397&gt;$B$6,0,SQRT(1-($E$5^2)*(SIN(H397)^2)))</x:f>
        <x:v>0.29282830163913404</x:v>
      </x:c>
    </x:row>
    <x:row r="398">
      <x:c r="G398" s="12" t="n">
        <x:v>386</x:v>
      </x:c>
      <x:c r="H398">
        <x:f>G398*PI()/(2*$B$6)</x:f>
        <x:v>1.515818455357075</x:v>
      </x:c>
      <x:c r="I398">
        <x:f>IF(G398&gt;$B$6,0,IF(OR(G398=0,G398=$B$6),1,IF(MOD(G398,2)=1,4,2)))</x:f>
        <x:v>2</x:v>
      </x:c>
      <x:c r="J398">
        <x:f>IF(G398&gt;$B$6,0,1/SQRT(1-($E$5^2)*(SIN(H398)^2)))</x:f>
        <x:v>3.4231521011249484</x:v>
      </x:c>
      <x:c r="K398">
        <x:f>IF(G398&gt;$B$6,0,SQRT(1-($E$5^2)*(SIN(H398)^2)))</x:f>
        <x:v>0.2921284156994866</x:v>
      </x:c>
    </x:row>
    <x:row r="399">
      <x:c r="G399" s="12" t="n">
        <x:v>387</x:v>
      </x:c>
      <x:c r="H399">
        <x:f>G399*PI()/(2*$B$6)</x:f>
        <x:v>1.5197454461740625</x:v>
      </x:c>
      <x:c r="I399">
        <x:f>IF(G399&gt;$B$6,0,IF(OR(G399=0,G399=$B$6),1,IF(MOD(G399,2)=1,4,2)))</x:f>
        <x:v>4</x:v>
      </x:c>
      <x:c r="J399">
        <x:f>IF(G399&gt;$B$6,0,1/SQRT(1-($E$5^2)*(SIN(H399)^2)))</x:f>
        <x:v>3.4308248101099355</x:v>
      </x:c>
      <x:c r="K399">
        <x:f>IF(G399&gt;$B$6,0,SQRT(1-($E$5^2)*(SIN(H399)^2)))</x:f>
        <x:v>0.2914750986565113</x:v>
      </x:c>
    </x:row>
    <x:row r="400">
      <x:c r="G400" s="12" t="n">
        <x:v>388</x:v>
      </x:c>
      <x:c r="H400">
        <x:f>G400*PI()/(2*$B$6)</x:f>
        <x:v>1.5236724369910497</x:v>
      </x:c>
      <x:c r="I400">
        <x:f>IF(G400&gt;$B$6,0,IF(OR(G400=0,G400=$B$6),1,IF(MOD(G400,2)=1,4,2)))</x:f>
        <x:v>2</x:v>
      </x:c>
      <x:c r="J400">
        <x:f>IF(G400&gt;$B$6,0,1/SQRT(1-($E$5^2)*(SIN(H400)^2)))</x:f>
        <x:v>3.4379772857233495</x:v>
      </x:c>
      <x:c r="K400">
        <x:f>IF(G400&gt;$B$6,0,SQRT(1-($E$5^2)*(SIN(H400)^2)))</x:f>
        <x:v>0.2908687047330507</x:v>
      </x:c>
    </x:row>
    <x:row r="401">
      <x:c r="G401" s="12" t="n">
        <x:v>389</x:v>
      </x:c>
      <x:c r="H401">
        <x:f>G401*PI()/(2*$B$6)</x:f>
        <x:v>1.527599427808037</x:v>
      </x:c>
      <x:c r="I401">
        <x:f>IF(G401&gt;$B$6,0,IF(OR(G401=0,G401=$B$6),1,IF(MOD(G401,2)=1,4,2)))</x:f>
        <x:v>4</x:v>
      </x:c>
      <x:c r="J401">
        <x:f>IF(G401&gt;$B$6,0,1/SQRT(1-($E$5^2)*(SIN(H401)^2)))</x:f>
        <x:v>3.444598865829099</x:v>
      </x:c>
      <x:c r="K401">
        <x:f>IF(G401&gt;$B$6,0,SQRT(1-($E$5^2)*(SIN(H401)^2)))</x:f>
        <x:v>0.29030956548239606</x:v>
      </x:c>
    </x:row>
    <x:row r="402">
      <x:c r="G402" s="12" t="n">
        <x:v>390</x:v>
      </x:c>
      <x:c r="H402">
        <x:f>G402*PI()/(2*$B$6)</x:f>
        <x:v>1.5315264186250241</x:v>
      </x:c>
      <x:c r="I402">
        <x:f>IF(G402&gt;$B$6,0,IF(OR(G402=0,G402=$B$6),1,IF(MOD(G402,2)=1,4,2)))</x:f>
        <x:v>2</x:v>
      </x:c>
      <x:c r="J402">
        <x:f>IF(G402&gt;$B$6,0,1/SQRT(1-($E$5^2)*(SIN(H402)^2)))</x:f>
        <x:v>3.450679569639345</x:v>
      </x:c>
      <x:c r="K402">
        <x:f>IF(G402&gt;$B$6,0,SQRT(1-($E$5^2)*(SIN(H402)^2)))</x:f>
        <x:v>0.2897979890101813</x:v>
      </x:c>
    </x:row>
    <x:row r="403">
      <x:c r="G403" s="12" t="n">
        <x:v>391</x:v>
      </x:c>
      <x:c r="H403">
        <x:f>G403*PI()/(2*$B$6)</x:f>
        <x:v>1.5354534094420114</x:v>
      </x:c>
      <x:c r="I403">
        <x:f>IF(G403&gt;$B$6,0,IF(OR(G403=0,G403=$B$6),1,IF(MOD(G403,2)=1,4,2)))</x:f>
        <x:v>4</x:v>
      </x:c>
      <x:c r="J403">
        <x:f>IF(G403&gt;$B$6,0,1/SQRT(1-($E$5^2)*(SIN(H403)^2)))</x:f>
        <x:v>3.4562101377948853</x:v>
      </x:c>
      <x:c r="K403">
        <x:f>IF(G403&gt;$B$6,0,SQRT(1-($E$5^2)*(SIN(H403)^2)))</x:f>
        <x:v>0.28933425924096595</x:v>
      </x:c>
    </x:row>
    <x:row r="404">
      <x:c r="G404" s="12" t="n">
        <x:v>392</x:v>
      </x:c>
      <x:c r="H404">
        <x:f>G404*PI()/(2*$B$6)</x:f>
        <x:v>1.5393804002589986</x:v>
      </x:c>
      <x:c r="I404">
        <x:f>IF(G404&gt;$B$6,0,IF(OR(G404=0,G404=$B$6),1,IF(MOD(G404,2)=1,4,2)))</x:f>
        <x:v>2</x:v>
      </x:c>
      <x:c r="J404">
        <x:f>IF(G404&gt;$B$6,0,1/SQRT(1-($E$5^2)*(SIN(H404)^2)))</x:f>
        <x:v>3.4611820701415255</x:v>
      </x:c>
      <x:c r="K404">
        <x:f>IF(G404&gt;$B$6,0,SQRT(1-($E$5^2)*(SIN(H404)^2)))</x:f>
        <x:v>0.2889186352335145</x:v>
      </x:c>
    </x:row>
    <x:row r="405">
      <x:c r="G405" s="12" t="n">
        <x:v>393</x:v>
      </x:c>
      <x:c r="H405">
        <x:f>G405*PI()/(2*$B$6)</x:f>
        <x:v>1.5433073910759858</x:v>
      </x:c>
      <x:c r="I405">
        <x:f>IF(G405&gt;$B$6,0,IF(OR(G405=0,G405=$B$6),1,IF(MOD(G405,2)=1,4,2)))</x:f>
        <x:v>4</x:v>
      </x:c>
      <x:c r="J405">
        <x:f>IF(G405&gt;$B$6,0,1/SQRT(1-($E$5^2)*(SIN(H405)^2)))</x:f>
        <x:v>3.4655876609094554</x:v>
      </x:c>
      <x:c r="K405">
        <x:f>IF(G405&gt;$B$6,0,SQRT(1-($E$5^2)*(SIN(H405)^2)))</x:f>
        <x:v>0.28855135054860376</x:v>
      </x:c>
    </x:row>
    <x:row r="406">
      <x:c r="G406" s="12" t="n">
        <x:v>394</x:v>
      </x:c>
      <x:c r="H406">
        <x:f>G406*PI()/(2*$B$6)</x:f>
        <x:v>1.547234381892973</x:v>
      </x:c>
      <x:c r="I406">
        <x:f>IF(G406&gt;$B$6,0,IF(OR(G406=0,G406=$B$6),1,IF(MOD(G406,2)=1,4,2)))</x:f>
        <x:v>2</x:v>
      </x:c>
      <x:c r="J406">
        <x:f>IF(G406&gt;$B$6,0,1/SQRT(1-($E$5^2)*(SIN(H406)^2)))</x:f>
        <x:v>3.46942003101744</x:v>
      </x:c>
      <x:c r="K406">
        <x:f>IF(G406&gt;$B$6,0,SQRT(1-($E$5^2)*(SIN(H406)^2)))</x:f>
        <x:v>0.2882326126729431</x:v>
      </x:c>
    </x:row>
    <x:row r="407">
      <x:c r="G407" s="12" t="n">
        <x:v>395</x:v>
      </x:c>
      <x:c r="H407">
        <x:f>G407*PI()/(2*$B$6)</x:f>
        <x:v>1.5511613727099602</x:v>
      </x:c>
      <x:c r="I407">
        <x:f>IF(G407&gt;$B$6,0,IF(OR(G407=0,G407=$B$6),1,IF(MOD(G407,2)=1,4,2)))</x:f>
        <x:v>4</x:v>
      </x:c>
      <x:c r="J407">
        <x:f>IF(G407&gt;$B$6,0,1/SQRT(1-($E$5^2)*(SIN(H407)^2)))</x:f>
        <x:v>3.472673157241594</x:v>
      </x:c>
      <x:c r="K407">
        <x:f>IF(G407&gt;$B$6,0,SQRT(1-($E$5^2)*(SIN(H407)^2)))</x:f>
        <x:v>0.2879626025025395</x:v>
      </x:c>
    </x:row>
    <x:row r="408">
      <x:c r="G408" s="12" t="n">
        <x:v>396</x:v>
      </x:c>
      <x:c r="H408">
        <x:f>G408*PI()/(2*$B$6)</x:f>
        <x:v>1.5550883635269477</x:v>
      </x:c>
      <x:c r="I408">
        <x:f>IF(G408&gt;$B$6,0,IF(OR(G408=0,G408=$B$6),1,IF(MOD(G408,2)=1,4,2)))</x:f>
        <x:v>2</x:v>
      </x:c>
      <x:c r="J408">
        <x:f>IF(G408&gt;$B$6,0,1/SQRT(1-($E$5^2)*(SIN(H408)^2)))</x:f>
        <x:v>3.475341898010301</x:v>
      </x:c>
      <x:c r="K408">
        <x:f>IF(G408&gt;$B$6,0,SQRT(1-($E$5^2)*(SIN(H408)^2)))</x:f>
        <x:v>0.28774147388851695</x:v>
      </x:c>
    </x:row>
    <x:row r="409">
      <x:c r="G409" s="12" t="n">
        <x:v>397</x:v>
      </x:c>
      <x:c r="H409">
        <x:f>G409*PI()/(2*$B$6)</x:f>
        <x:v>1.559015354343935</x:v>
      </x:c>
      <x:c r="I409">
        <x:f>IF(G409&gt;$B$6,0,IF(OR(G409=0,G409=$B$6),1,IF(MOD(G409,2)=1,4,2)))</x:f>
        <x:v>4</x:v>
      </x:c>
      <x:c r="J409">
        <x:f>IF(G409&gt;$B$6,0,1/SQRT(1-($E$5^2)*(SIN(H409)^2)))</x:f>
        <x:v>3.4774220156113014</x:v>
      </x:c>
      <x:c r="K409">
        <x:f>IF(G409&gt;$B$6,0,SQRT(1-($E$5^2)*(SIN(H409)^2)))</x:f>
        <x:v>0.2875693532480867</x:v>
      </x:c>
    </x:row>
    <x:row r="410">
      <x:c r="G410" s="12" t="n">
        <x:v>398</x:v>
      </x:c>
      <x:c r="H410">
        <x:f>G410*PI()/(2*$B$6)</x:f>
        <x:v>1.5629423451609221</x:v>
      </x:c>
      <x:c r="I410">
        <x:f>IF(G410&gt;$B$6,0,IF(OR(G410=0,G410=$B$6),1,IF(MOD(G410,2)=1,4,2)))</x:f>
        <x:v>2</x:v>
      </x:c>
      <x:c r="J410">
        <x:f>IF(G410&gt;$B$6,0,1/SQRT(1-($E$5^2)*(SIN(H410)^2)))</x:f>
        <x:v>3.4789101946248144</x:v>
      </x:c>
      <x:c r="K410">
        <x:f>IF(G410&gt;$B$6,0,SQRT(1-($E$5^2)*(SIN(H410)^2)))</x:f>
        <x:v>0.287446339242984</x:v>
      </x:c>
    </x:row>
    <x:row r="411">
      <x:c r="G411" s="12" t="n">
        <x:v>399</x:v>
      </x:c>
      <x:c r="H411">
        <x:f>G411*PI()/(2*$B$6)</x:f>
        <x:v>1.5668693359779093</x:v>
      </x:c>
      <x:c r="I411">
        <x:f>IF(G411&gt;$B$6,0,IF(OR(G411=0,G411=$B$6),1,IF(MOD(G411,2)=1,4,2)))</x:f>
        <x:v>4</x:v>
      </x:c>
      <x:c r="J411">
        <x:f>IF(G411&gt;$B$6,0,1/SQRT(1-($E$5^2)*(SIN(H411)^2)))</x:f>
        <x:v>3.4798040564265373</x:v>
      </x:c>
      <x:c r="K411">
        <x:f>IF(G411&gt;$B$6,0,SQRT(1-($E$5^2)*(SIN(H411)^2)))</x:f>
        <x:v>0.2873725025273161</x:v>
      </x:c>
    </x:row>
    <x:row r="412">
      <x:c r="G412" s="12" t="n">
        <x:v>400</x:v>
      </x:c>
      <x:c r="H412">
        <x:f>G412*PI()/(2*$B$6)</x:f>
        <x:v>1.5707963267948966</x:v>
      </x:c>
      <x:c r="I412">
        <x:f>IF(G412&gt;$B$6,0,IF(OR(G412=0,G412=$B$6),1,IF(MOD(G412,2)=1,4,2)))</x:f>
        <x:v>1</x:v>
      </x:c>
      <x:c r="J412">
        <x:f>IF(G412&gt;$B$6,0,1/SQRT(1-($E$5^2)*(SIN(H412)^2)))</x:f>
        <x:v>3.4801021696368464</x:v>
      </x:c>
      <x:c r="K412">
        <x:f>IF(G412&gt;$B$6,0,SQRT(1-($E$5^2)*(SIN(H412)^2)))</x:f>
        <x:v>0.2873478855663457</x:v>
      </x:c>
    </x:row>
  </x:sheetData>
  <x:mergeCells>
    <x:mergeCell ref="B8:C8"/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4" customWidth="1"/>
    <x:col min="4" max="4" width="14" customWidth="1"/>
  </x:cols>
  <x:sheetData>
    <x:row r="1">
      <x:c r="A1" s="1" t="inlineStr">
        <x:is>
          <x:t xml:space="preserve">长冈系数表 2-1 校验</x:t>
        </x:is>
      </x:c>
    </x:row>
    <x:row r="2"/>
    <x:row r="3">
      <x:c r="A3" s="2" t="inlineStr">
        <x:is>
          <x:t xml:space="preserve">2R/l</x:t>
        </x:is>
      </x:c>
      <x:c r="B3" s="2" t="inlineStr">
        <x:is>
          <x:t xml:space="preserve">表值</x:t>
        </x:is>
      </x:c>
      <x:c r="C3" s="2" t="inlineStr">
        <x:is>
          <x:t xml:space="preserve">公式值</x:t>
        </x:is>
      </x:c>
      <x:c r="D3" s="2" t="inlineStr">
        <x:is>
          <x:t xml:space="preserve">误差</x:t>
        </x:is>
      </x:c>
    </x:row>
    <x:row r="4">
      <x:c r="A4" s="13" t="n">
        <x:v>0.1</x:v>
      </x:c>
      <x:c r="B4" s="13" t="n">
        <x:v>0.96</x:v>
      </x:c>
      <x:c r="C4" s="14" t="n">
        <x:v>0.9588071242037277</x:v>
      </x:c>
      <x:c r="D4" s="14" t="n">
        <x:v>-0.001192875796272252</x:v>
      </x:c>
    </x:row>
    <x:row r="5">
      <x:c r="A5" s="13" t="n">
        <x:v>0.2</x:v>
      </x:c>
      <x:c r="B5" s="13" t="n">
        <x:v>0.92</x:v>
      </x:c>
      <x:c r="C5" s="14" t="n">
        <x:v>0.9200926708277769</x:v>
      </x:c>
      <x:c r="D5" s="14" t="n">
        <x:v>9.267082777686397e-05</x:v>
      </x:c>
    </x:row>
    <x:row r="6">
      <x:c r="A6" s="13" t="n">
        <x:v>0.3</x:v>
      </x:c>
      <x:c r="B6" s="13" t="n">
        <x:v>0.88</x:v>
      </x:c>
      <x:c r="C6" s="14" t="n">
        <x:v>0.8838029087289802</x:v>
      </x:c>
      <x:c r="D6" s="14" t="n">
        <x:v>0.003802908728980148</x:v>
      </x:c>
    </x:row>
    <x:row r="7">
      <x:c r="A7" s="13" t="n">
        <x:v>0.4</x:v>
      </x:c>
      <x:c r="B7" s="13" t="n">
        <x:v>0.85</x:v>
      </x:c>
      <x:c r="C7" s="14" t="n">
        <x:v>0.8498534349029587</x:v>
      </x:c>
      <x:c r="D7" s="14" t="n">
        <x:v>-0.0001465650970412513</x:v>
      </x:c>
    </x:row>
    <x:row r="8">
      <x:c r="A8" s="13" t="n">
        <x:v>0.6</x:v>
      </x:c>
      <x:c r="B8" s="13" t="n">
        <x:v>0.79</x:v>
      </x:c>
      <x:c r="C8" s="14" t="n">
        <x:v>0.7885246321786289</x:v>
      </x:c>
      <x:c r="D8" s="14" t="n">
        <x:v>-0.001475367821371143</x:v>
      </x:c>
    </x:row>
    <x:row r="9">
      <x:c r="A9" s="13" t="n">
        <x:v>0.8</x:v>
      </x:c>
      <x:c r="B9" s="13" t="n">
        <x:v>0.74</x:v>
      </x:c>
      <x:c r="C9" s="14" t="n">
        <x:v>0.7350790634647646</x:v>
      </x:c>
      <x:c r="D9" s="14" t="n">
        <x:v>-0.004920936535235398</x:v>
      </x:c>
    </x:row>
    <x:row r="10">
      <x:c r="A10" s="13" t="n">
        <x:v>1</x:v>
      </x:c>
      <x:c r="B10" s="13" t="n">
        <x:v>0.6899999999999999</x:v>
      </x:c>
      <x:c r="C10" s="14" t="n">
        <x:v>0.6884226073203769</x:v>
      </x:c>
      <x:c r="D10" s="14" t="n">
        <x:v>-0.001577392679623091</x:v>
      </x:c>
    </x:row>
    <x:row r="11">
      <x:c r="A11" s="13" t="n">
        <x:v>1.5</x:v>
      </x:c>
      <x:c r="B11" s="13" t="n">
        <x:v>0.6</x:v>
      </x:c>
      <x:c r="C11" s="14" t="n">
        <x:v>0.5950458847141592</x:v>
      </x:c>
      <x:c r="D11" s="14" t="n">
        <x:v>-0.004954115285840777</x:v>
      </x:c>
    </x:row>
    <x:row r="12">
      <x:c r="A12" s="13" t="n">
        <x:v>2</x:v>
      </x:c>
      <x:c r="B12" s="13" t="n">
        <x:v>0.52</x:v>
      </x:c>
      <x:c r="C12" s="14" t="n">
        <x:v>0.5255100242519275</x:v>
      </x:c>
      <x:c r="D12" s="14" t="n">
        <x:v>0.005510024251927481</x:v>
      </x:c>
    </x:row>
    <x:row r="13">
      <x:c r="A13" s="13" t="n">
        <x:v>3</x:v>
      </x:c>
      <x:c r="B13" s="13" t="n">
        <x:v>0.43</x:v>
      </x:c>
      <x:c r="C13" s="14" t="n">
        <x:v>0.4291986170341283</x:v>
      </x:c>
      <x:c r="D13" s="14" t="n">
        <x:v>-0.0008013829658717331</x:v>
      </x:c>
    </x:row>
    <x:row r="14">
      <x:c r="A14" s="13" t="n">
        <x:v>4</x:v>
      </x:c>
      <x:c r="B14" s="13" t="n">
        <x:v>0.37</x:v>
      </x:c>
      <x:c r="C14" s="14" t="n">
        <x:v>0.365431897400354</x:v>
      </x:c>
      <x:c r="D14" s="14" t="n">
        <x:v>-0.004568102599645962</x:v>
      </x:c>
    </x:row>
    <x:row r="15">
      <x:c r="A15" s="13" t="n">
        <x:v>5</x:v>
      </x:c>
      <x:c r="B15" s="13" t="n">
        <x:v>0.32</x:v>
      </x:c>
      <x:c r="C15" s="14" t="n">
        <x:v>0.3198254677818581</x:v>
      </x:c>
      <x:c r="D15" s="14" t="n">
        <x:v>-0.0001745322181418985</x:v>
      </x:c>
    </x:row>
    <x:row r="16">
      <x:c r="A16" s="13" t="n">
        <x:v>10</x:v>
      </x:c>
      <x:c r="B16" s="13" t="n">
        <x:v>0.2</x:v>
      </x:c>
      <x:c r="C16" s="14" t="n">
        <x:v>0.2033235175219119</x:v>
      </x:c>
      <x:c r="D16" s="14" t="n">
        <x:v>0.003323517521911901</x:v>
      </x:c>
    </x:row>
    <x:row r="17">
      <x:c r="A17" s="13" t="n">
        <x:v>20</x:v>
      </x:c>
      <x:c r="B17" s="13" t="n">
        <x:v>0.12</x:v>
      </x:c>
      <x:c r="C17" s="14" t="n">
        <x:v>0.1236148097047625</x:v>
      </x:c>
      <x:c r="D17" s="14" t="n">
        <x:v>0.003614809704762537</x:v>
      </x:c>
    </x:row>
    <x:row r="18"/>
    <x:row r="19"/>
    <x:row r="20">
      <x:c r="A20" s="4" t="inlineStr">
        <x:is>
          <x:t xml:space="preserve">结论</x:t>
        </x:is>
      </x:c>
      <x:c r="B20" s="11" t="inlineStr">
        <x:is>
          <x:t xml:space="preserve">公式计算值与表 2-1 一致，说明公式实现与 a=R、b=l 的对应关系是正确的。</x:t>
        </x:is>
      </x:c>
    </x:row>
  </x:sheetData>
  <x:mergeCells>
    <x:mergeCell ref="A1:D1"/>
    <x:mergeCell ref="B20:D2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90" customWidth="1"/>
  </x:cols>
  <x:sheetData>
    <x:row r="1">
      <x:c r="A1" s="1" t="inlineStr">
        <x:is>
          <x:t xml:space="preserve">公式出处与说明</x:t>
        </x:is>
      </x:c>
    </x:row>
    <x:row r="2"/>
    <x:row r="3">
      <x:c r="A3" s="2" t="inlineStr">
        <x:is>
          <x:t xml:space="preserve">长冈系数</x:t>
        </x:is>
      </x:c>
      <x:c r="B3" s="3" t="inlineStr">
        <x:is>
          <x:t xml:space="preserve">H. Nagaoka, The Inductance Coefficients of Solenoids, Journal of the College of Science, Imperial University of Tokyo, Vol. 27, Art. 6, 1909.</x:t>
        </x:is>
      </x:c>
    </x:row>
    <x:row r="4">
      <x:c r="A4" s="2" t="inlineStr">
        <x:is>
          <x:t xml:space="preserve">项目内文献</x:t>
        </x:is>
      </x:c>
      <x:c r="B4" s="3" t="inlineStr">
        <x:is>
          <x:t xml:space="preserve">《电源频率和功率在透热感应加热中的选择》讨论了圆柱工件感应透热中的透入深度与频率选择，可作为项目背景参考。</x:t>
        </x:is>
      </x:c>
    </x:row>
    <x:row r="5">
      <x:c r="A5" s="2" t="inlineStr">
        <x:is>
          <x:t xml:space="preserve">说明</x:t>
        </x:is>
      </x:c>
      <x:c r="B5" s="3" t="inlineStr">
        <x:is>
          <x:t xml:space="preserve">本工作簿仅实现长冈系数 KN 计算；若后续需要，我可以再补 Wheeler 单层 / 多层公式计算页。</x:t>
        </x:is>
      </x:c>
    </x:row>
  </x:sheetData>
  <x:mergeCells>
    <x:mergeCell ref="A1:B1"/>
  </x:mergeCells>
  <x:pageMargins left="0.7" right="0.7" top="0.75" bottom="0.75" header="0.3" footer="0.3"/>
</x:worksheet>
</file>