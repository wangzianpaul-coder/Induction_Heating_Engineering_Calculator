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/>
  <mc:AlternateContent xmlns:mc="http://schemas.openxmlformats.org/markup-compatibility/2006">
    <mc:Choice Requires="x15">
      <x15ac:absPath xmlns:x15ac="http://schemas.microsoft.com/office/spreadsheetml/2010/11/ac" url="D:\电磁感应项目\"/>
    </mc:Choice>
  </mc:AlternateContent>
  <xr:revisionPtr revIDLastSave="0" documentId="13_ncr:1_{82A9532A-A085-45DA-A11A-D227269EF05A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首页" sheetId="1" r:id="rId1"/>
    <sheet name="迭代计算" sheetId="2" r:id="rId2"/>
    <sheet name="公式说明" sheetId="3" r:id="rId3"/>
    <sheet name="允许散热损失法" sheetId="4" r:id="rId4"/>
  </sheets>
  <calcPr calcId="191029"/>
</workbook>
</file>

<file path=xl/calcChain.xml><?xml version="1.0" encoding="utf-8"?>
<calcChain xmlns="http://schemas.openxmlformats.org/spreadsheetml/2006/main">
  <c r="B25" i="1" l="1"/>
  <c r="B26" i="1"/>
  <c r="N1004" i="4"/>
  <c r="M1004" i="4"/>
  <c r="E1004" i="4"/>
  <c r="D1004" i="4"/>
  <c r="C1004" i="4"/>
  <c r="B1004" i="4"/>
  <c r="N1003" i="4"/>
  <c r="M1003" i="4"/>
  <c r="E1003" i="4"/>
  <c r="D1003" i="4"/>
  <c r="C1003" i="4"/>
  <c r="L1003" i="4" s="1"/>
  <c r="B1003" i="4"/>
  <c r="N1002" i="4"/>
  <c r="M1002" i="4"/>
  <c r="E1002" i="4"/>
  <c r="D1002" i="4"/>
  <c r="C1002" i="4"/>
  <c r="B1002" i="4"/>
  <c r="N1001" i="4"/>
  <c r="M1001" i="4"/>
  <c r="E1001" i="4"/>
  <c r="D1001" i="4"/>
  <c r="C1001" i="4"/>
  <c r="B1001" i="4"/>
  <c r="N1000" i="4"/>
  <c r="M1000" i="4"/>
  <c r="E1000" i="4"/>
  <c r="D1000" i="4"/>
  <c r="C1000" i="4"/>
  <c r="B1000" i="4"/>
  <c r="N999" i="4"/>
  <c r="M999" i="4"/>
  <c r="E999" i="4"/>
  <c r="D999" i="4"/>
  <c r="C999" i="4"/>
  <c r="B999" i="4"/>
  <c r="N998" i="4"/>
  <c r="M998" i="4"/>
  <c r="E998" i="4"/>
  <c r="D998" i="4"/>
  <c r="C998" i="4"/>
  <c r="B998" i="4"/>
  <c r="N997" i="4"/>
  <c r="M997" i="4"/>
  <c r="E997" i="4"/>
  <c r="D997" i="4"/>
  <c r="C997" i="4"/>
  <c r="B997" i="4"/>
  <c r="N996" i="4"/>
  <c r="M996" i="4"/>
  <c r="E996" i="4"/>
  <c r="D996" i="4"/>
  <c r="C996" i="4"/>
  <c r="B996" i="4"/>
  <c r="N995" i="4"/>
  <c r="M995" i="4"/>
  <c r="E995" i="4"/>
  <c r="D995" i="4"/>
  <c r="C995" i="4"/>
  <c r="B995" i="4"/>
  <c r="N994" i="4"/>
  <c r="M994" i="4"/>
  <c r="E994" i="4"/>
  <c r="D994" i="4"/>
  <c r="C994" i="4"/>
  <c r="B994" i="4"/>
  <c r="N993" i="4"/>
  <c r="M993" i="4"/>
  <c r="E993" i="4"/>
  <c r="D993" i="4"/>
  <c r="C993" i="4"/>
  <c r="B993" i="4"/>
  <c r="N992" i="4"/>
  <c r="M992" i="4"/>
  <c r="E992" i="4"/>
  <c r="D992" i="4"/>
  <c r="C992" i="4"/>
  <c r="B992" i="4"/>
  <c r="N991" i="4"/>
  <c r="M991" i="4"/>
  <c r="E991" i="4"/>
  <c r="D991" i="4"/>
  <c r="C991" i="4"/>
  <c r="B991" i="4"/>
  <c r="N990" i="4"/>
  <c r="M990" i="4"/>
  <c r="E990" i="4"/>
  <c r="D990" i="4"/>
  <c r="C990" i="4"/>
  <c r="B990" i="4"/>
  <c r="N989" i="4"/>
  <c r="M989" i="4"/>
  <c r="E989" i="4"/>
  <c r="D989" i="4"/>
  <c r="C989" i="4"/>
  <c r="B989" i="4"/>
  <c r="N988" i="4"/>
  <c r="M988" i="4"/>
  <c r="E988" i="4"/>
  <c r="D988" i="4"/>
  <c r="C988" i="4"/>
  <c r="B988" i="4"/>
  <c r="N987" i="4"/>
  <c r="M987" i="4"/>
  <c r="E987" i="4"/>
  <c r="D987" i="4"/>
  <c r="C987" i="4"/>
  <c r="B987" i="4"/>
  <c r="N986" i="4"/>
  <c r="M986" i="4"/>
  <c r="E986" i="4"/>
  <c r="D986" i="4"/>
  <c r="C986" i="4"/>
  <c r="B986" i="4"/>
  <c r="N985" i="4"/>
  <c r="M985" i="4"/>
  <c r="E985" i="4"/>
  <c r="D985" i="4"/>
  <c r="C985" i="4"/>
  <c r="B985" i="4"/>
  <c r="N984" i="4"/>
  <c r="M984" i="4"/>
  <c r="E984" i="4"/>
  <c r="D984" i="4"/>
  <c r="C984" i="4"/>
  <c r="B984" i="4"/>
  <c r="N983" i="4"/>
  <c r="M983" i="4"/>
  <c r="E983" i="4"/>
  <c r="D983" i="4"/>
  <c r="C983" i="4"/>
  <c r="G983" i="4" s="1"/>
  <c r="B983" i="4"/>
  <c r="N982" i="4"/>
  <c r="M982" i="4"/>
  <c r="E982" i="4"/>
  <c r="D982" i="4"/>
  <c r="C982" i="4"/>
  <c r="B982" i="4"/>
  <c r="N981" i="4"/>
  <c r="M981" i="4"/>
  <c r="E981" i="4"/>
  <c r="D981" i="4"/>
  <c r="C981" i="4"/>
  <c r="B981" i="4"/>
  <c r="N980" i="4"/>
  <c r="M980" i="4"/>
  <c r="E980" i="4"/>
  <c r="D980" i="4"/>
  <c r="C980" i="4"/>
  <c r="B980" i="4"/>
  <c r="N979" i="4"/>
  <c r="M979" i="4"/>
  <c r="E979" i="4"/>
  <c r="D979" i="4"/>
  <c r="C979" i="4"/>
  <c r="B979" i="4"/>
  <c r="N978" i="4"/>
  <c r="M978" i="4"/>
  <c r="E978" i="4"/>
  <c r="D978" i="4"/>
  <c r="C978" i="4"/>
  <c r="B978" i="4"/>
  <c r="N977" i="4"/>
  <c r="M977" i="4"/>
  <c r="E977" i="4"/>
  <c r="D977" i="4"/>
  <c r="C977" i="4"/>
  <c r="B977" i="4"/>
  <c r="N976" i="4"/>
  <c r="M976" i="4"/>
  <c r="E976" i="4"/>
  <c r="D976" i="4"/>
  <c r="C976" i="4"/>
  <c r="B976" i="4"/>
  <c r="N975" i="4"/>
  <c r="M975" i="4"/>
  <c r="E975" i="4"/>
  <c r="D975" i="4"/>
  <c r="C975" i="4"/>
  <c r="B975" i="4"/>
  <c r="N974" i="4"/>
  <c r="M974" i="4"/>
  <c r="E974" i="4"/>
  <c r="D974" i="4"/>
  <c r="C974" i="4"/>
  <c r="B974" i="4"/>
  <c r="N973" i="4"/>
  <c r="M973" i="4"/>
  <c r="E973" i="4"/>
  <c r="D973" i="4"/>
  <c r="C973" i="4"/>
  <c r="B973" i="4"/>
  <c r="N972" i="4"/>
  <c r="M972" i="4"/>
  <c r="E972" i="4"/>
  <c r="D972" i="4"/>
  <c r="C972" i="4"/>
  <c r="B972" i="4"/>
  <c r="N971" i="4"/>
  <c r="M971" i="4"/>
  <c r="E971" i="4"/>
  <c r="D971" i="4"/>
  <c r="C971" i="4"/>
  <c r="F971" i="4" s="1"/>
  <c r="B971" i="4"/>
  <c r="N970" i="4"/>
  <c r="M970" i="4"/>
  <c r="E970" i="4"/>
  <c r="D970" i="4"/>
  <c r="C970" i="4"/>
  <c r="B970" i="4"/>
  <c r="N969" i="4"/>
  <c r="M969" i="4"/>
  <c r="E969" i="4"/>
  <c r="D969" i="4"/>
  <c r="C969" i="4"/>
  <c r="B969" i="4"/>
  <c r="N968" i="4"/>
  <c r="M968" i="4"/>
  <c r="E968" i="4"/>
  <c r="D968" i="4"/>
  <c r="C968" i="4"/>
  <c r="B968" i="4"/>
  <c r="N967" i="4"/>
  <c r="M967" i="4"/>
  <c r="E967" i="4"/>
  <c r="D967" i="4"/>
  <c r="C967" i="4"/>
  <c r="F967" i="4" s="1"/>
  <c r="B967" i="4"/>
  <c r="N966" i="4"/>
  <c r="M966" i="4"/>
  <c r="E966" i="4"/>
  <c r="D966" i="4"/>
  <c r="C966" i="4"/>
  <c r="B966" i="4"/>
  <c r="N965" i="4"/>
  <c r="M965" i="4"/>
  <c r="E965" i="4"/>
  <c r="D965" i="4"/>
  <c r="C965" i="4"/>
  <c r="B965" i="4"/>
  <c r="N964" i="4"/>
  <c r="M964" i="4"/>
  <c r="E964" i="4"/>
  <c r="D964" i="4"/>
  <c r="C964" i="4"/>
  <c r="B964" i="4"/>
  <c r="N963" i="4"/>
  <c r="M963" i="4"/>
  <c r="E963" i="4"/>
  <c r="D963" i="4"/>
  <c r="C963" i="4"/>
  <c r="B963" i="4"/>
  <c r="N962" i="4"/>
  <c r="M962" i="4"/>
  <c r="E962" i="4"/>
  <c r="D962" i="4"/>
  <c r="C962" i="4"/>
  <c r="B962" i="4"/>
  <c r="N961" i="4"/>
  <c r="M961" i="4"/>
  <c r="E961" i="4"/>
  <c r="D961" i="4"/>
  <c r="C961" i="4"/>
  <c r="B961" i="4"/>
  <c r="N960" i="4"/>
  <c r="M960" i="4"/>
  <c r="E960" i="4"/>
  <c r="D960" i="4"/>
  <c r="C960" i="4"/>
  <c r="B960" i="4"/>
  <c r="N959" i="4"/>
  <c r="M959" i="4"/>
  <c r="E959" i="4"/>
  <c r="D959" i="4"/>
  <c r="C959" i="4"/>
  <c r="B959" i="4"/>
  <c r="N958" i="4"/>
  <c r="M958" i="4"/>
  <c r="E958" i="4"/>
  <c r="D958" i="4"/>
  <c r="C958" i="4"/>
  <c r="B958" i="4"/>
  <c r="N957" i="4"/>
  <c r="M957" i="4"/>
  <c r="E957" i="4"/>
  <c r="D957" i="4"/>
  <c r="C957" i="4"/>
  <c r="F957" i="4" s="1"/>
  <c r="B957" i="4"/>
  <c r="N956" i="4"/>
  <c r="M956" i="4"/>
  <c r="E956" i="4"/>
  <c r="D956" i="4"/>
  <c r="C956" i="4"/>
  <c r="B956" i="4"/>
  <c r="N955" i="4"/>
  <c r="M955" i="4"/>
  <c r="E955" i="4"/>
  <c r="D955" i="4"/>
  <c r="C955" i="4"/>
  <c r="B955" i="4"/>
  <c r="N954" i="4"/>
  <c r="M954" i="4"/>
  <c r="E954" i="4"/>
  <c r="D954" i="4"/>
  <c r="C954" i="4"/>
  <c r="B954" i="4"/>
  <c r="N953" i="4"/>
  <c r="M953" i="4"/>
  <c r="E953" i="4"/>
  <c r="D953" i="4"/>
  <c r="C953" i="4"/>
  <c r="G953" i="4" s="1"/>
  <c r="B953" i="4"/>
  <c r="N952" i="4"/>
  <c r="M952" i="4"/>
  <c r="E952" i="4"/>
  <c r="D952" i="4"/>
  <c r="C952" i="4"/>
  <c r="B952" i="4"/>
  <c r="N951" i="4"/>
  <c r="M951" i="4"/>
  <c r="E951" i="4"/>
  <c r="D951" i="4"/>
  <c r="C951" i="4"/>
  <c r="B951" i="4"/>
  <c r="N950" i="4"/>
  <c r="M950" i="4"/>
  <c r="E950" i="4"/>
  <c r="D950" i="4"/>
  <c r="C950" i="4"/>
  <c r="B950" i="4"/>
  <c r="N949" i="4"/>
  <c r="M949" i="4"/>
  <c r="E949" i="4"/>
  <c r="D949" i="4"/>
  <c r="C949" i="4"/>
  <c r="B949" i="4"/>
  <c r="N948" i="4"/>
  <c r="M948" i="4"/>
  <c r="E948" i="4"/>
  <c r="D948" i="4"/>
  <c r="C948" i="4"/>
  <c r="B948" i="4"/>
  <c r="N947" i="4"/>
  <c r="M947" i="4"/>
  <c r="E947" i="4"/>
  <c r="D947" i="4"/>
  <c r="C947" i="4"/>
  <c r="B947" i="4"/>
  <c r="N946" i="4"/>
  <c r="M946" i="4"/>
  <c r="E946" i="4"/>
  <c r="D946" i="4"/>
  <c r="C946" i="4"/>
  <c r="B946" i="4"/>
  <c r="N945" i="4"/>
  <c r="M945" i="4"/>
  <c r="E945" i="4"/>
  <c r="D945" i="4"/>
  <c r="C945" i="4"/>
  <c r="B945" i="4"/>
  <c r="N944" i="4"/>
  <c r="M944" i="4"/>
  <c r="E944" i="4"/>
  <c r="D944" i="4"/>
  <c r="C944" i="4"/>
  <c r="B944" i="4"/>
  <c r="N943" i="4"/>
  <c r="M943" i="4"/>
  <c r="E943" i="4"/>
  <c r="D943" i="4"/>
  <c r="C943" i="4"/>
  <c r="B943" i="4"/>
  <c r="N942" i="4"/>
  <c r="M942" i="4"/>
  <c r="E942" i="4"/>
  <c r="D942" i="4"/>
  <c r="C942" i="4"/>
  <c r="B942" i="4"/>
  <c r="N941" i="4"/>
  <c r="M941" i="4"/>
  <c r="E941" i="4"/>
  <c r="D941" i="4"/>
  <c r="C941" i="4"/>
  <c r="B941" i="4"/>
  <c r="N940" i="4"/>
  <c r="M940" i="4"/>
  <c r="E940" i="4"/>
  <c r="D940" i="4"/>
  <c r="C940" i="4"/>
  <c r="B940" i="4"/>
  <c r="N939" i="4"/>
  <c r="M939" i="4"/>
  <c r="E939" i="4"/>
  <c r="D939" i="4"/>
  <c r="C939" i="4"/>
  <c r="B939" i="4"/>
  <c r="N938" i="4"/>
  <c r="M938" i="4"/>
  <c r="E938" i="4"/>
  <c r="D938" i="4"/>
  <c r="C938" i="4"/>
  <c r="B938" i="4"/>
  <c r="N937" i="4"/>
  <c r="M937" i="4"/>
  <c r="E937" i="4"/>
  <c r="D937" i="4"/>
  <c r="C937" i="4"/>
  <c r="B937" i="4"/>
  <c r="N936" i="4"/>
  <c r="M936" i="4"/>
  <c r="E936" i="4"/>
  <c r="D936" i="4"/>
  <c r="C936" i="4"/>
  <c r="B936" i="4"/>
  <c r="N935" i="4"/>
  <c r="M935" i="4"/>
  <c r="E935" i="4"/>
  <c r="D935" i="4"/>
  <c r="C935" i="4"/>
  <c r="B935" i="4"/>
  <c r="N934" i="4"/>
  <c r="M934" i="4"/>
  <c r="E934" i="4"/>
  <c r="D934" i="4"/>
  <c r="C934" i="4"/>
  <c r="B934" i="4"/>
  <c r="N933" i="4"/>
  <c r="M933" i="4"/>
  <c r="E933" i="4"/>
  <c r="D933" i="4"/>
  <c r="C933" i="4"/>
  <c r="B933" i="4"/>
  <c r="N932" i="4"/>
  <c r="M932" i="4"/>
  <c r="E932" i="4"/>
  <c r="D932" i="4"/>
  <c r="C932" i="4"/>
  <c r="B932" i="4"/>
  <c r="N931" i="4"/>
  <c r="M931" i="4"/>
  <c r="E931" i="4"/>
  <c r="D931" i="4"/>
  <c r="C931" i="4"/>
  <c r="B931" i="4"/>
  <c r="N930" i="4"/>
  <c r="M930" i="4"/>
  <c r="E930" i="4"/>
  <c r="D930" i="4"/>
  <c r="C930" i="4"/>
  <c r="B930" i="4"/>
  <c r="N929" i="4"/>
  <c r="M929" i="4"/>
  <c r="E929" i="4"/>
  <c r="D929" i="4"/>
  <c r="C929" i="4"/>
  <c r="B929" i="4"/>
  <c r="N928" i="4"/>
  <c r="M928" i="4"/>
  <c r="E928" i="4"/>
  <c r="D928" i="4"/>
  <c r="C928" i="4"/>
  <c r="B928" i="4"/>
  <c r="N927" i="4"/>
  <c r="M927" i="4"/>
  <c r="E927" i="4"/>
  <c r="D927" i="4"/>
  <c r="C927" i="4"/>
  <c r="B927" i="4"/>
  <c r="N926" i="4"/>
  <c r="M926" i="4"/>
  <c r="E926" i="4"/>
  <c r="D926" i="4"/>
  <c r="C926" i="4"/>
  <c r="B926" i="4"/>
  <c r="N925" i="4"/>
  <c r="M925" i="4"/>
  <c r="E925" i="4"/>
  <c r="D925" i="4"/>
  <c r="C925" i="4"/>
  <c r="B925" i="4"/>
  <c r="N924" i="4"/>
  <c r="M924" i="4"/>
  <c r="E924" i="4"/>
  <c r="D924" i="4"/>
  <c r="C924" i="4"/>
  <c r="B924" i="4"/>
  <c r="N923" i="4"/>
  <c r="M923" i="4"/>
  <c r="E923" i="4"/>
  <c r="D923" i="4"/>
  <c r="C923" i="4"/>
  <c r="B923" i="4"/>
  <c r="N922" i="4"/>
  <c r="M922" i="4"/>
  <c r="E922" i="4"/>
  <c r="D922" i="4"/>
  <c r="C922" i="4"/>
  <c r="B922" i="4"/>
  <c r="N921" i="4"/>
  <c r="M921" i="4"/>
  <c r="E921" i="4"/>
  <c r="D921" i="4"/>
  <c r="C921" i="4"/>
  <c r="L921" i="4" s="1"/>
  <c r="B921" i="4"/>
  <c r="N920" i="4"/>
  <c r="M920" i="4"/>
  <c r="E920" i="4"/>
  <c r="D920" i="4"/>
  <c r="C920" i="4"/>
  <c r="B920" i="4"/>
  <c r="N919" i="4"/>
  <c r="M919" i="4"/>
  <c r="E919" i="4"/>
  <c r="D919" i="4"/>
  <c r="C919" i="4"/>
  <c r="B919" i="4"/>
  <c r="N918" i="4"/>
  <c r="M918" i="4"/>
  <c r="E918" i="4"/>
  <c r="D918" i="4"/>
  <c r="C918" i="4"/>
  <c r="B918" i="4"/>
  <c r="N917" i="4"/>
  <c r="M917" i="4"/>
  <c r="E917" i="4"/>
  <c r="D917" i="4"/>
  <c r="C917" i="4"/>
  <c r="B917" i="4"/>
  <c r="N916" i="4"/>
  <c r="M916" i="4"/>
  <c r="E916" i="4"/>
  <c r="D916" i="4"/>
  <c r="C916" i="4"/>
  <c r="B916" i="4"/>
  <c r="N915" i="4"/>
  <c r="M915" i="4"/>
  <c r="E915" i="4"/>
  <c r="D915" i="4"/>
  <c r="C915" i="4"/>
  <c r="B915" i="4"/>
  <c r="N914" i="4"/>
  <c r="M914" i="4"/>
  <c r="E914" i="4"/>
  <c r="D914" i="4"/>
  <c r="C914" i="4"/>
  <c r="B914" i="4"/>
  <c r="N913" i="4"/>
  <c r="M913" i="4"/>
  <c r="E913" i="4"/>
  <c r="D913" i="4"/>
  <c r="C913" i="4"/>
  <c r="B913" i="4"/>
  <c r="N912" i="4"/>
  <c r="M912" i="4"/>
  <c r="E912" i="4"/>
  <c r="D912" i="4"/>
  <c r="C912" i="4"/>
  <c r="B912" i="4"/>
  <c r="N911" i="4"/>
  <c r="M911" i="4"/>
  <c r="E911" i="4"/>
  <c r="D911" i="4"/>
  <c r="C911" i="4"/>
  <c r="B911" i="4"/>
  <c r="N910" i="4"/>
  <c r="M910" i="4"/>
  <c r="E910" i="4"/>
  <c r="D910" i="4"/>
  <c r="C910" i="4"/>
  <c r="B910" i="4"/>
  <c r="N909" i="4"/>
  <c r="M909" i="4"/>
  <c r="E909" i="4"/>
  <c r="D909" i="4"/>
  <c r="C909" i="4"/>
  <c r="B909" i="4"/>
  <c r="N908" i="4"/>
  <c r="M908" i="4"/>
  <c r="E908" i="4"/>
  <c r="D908" i="4"/>
  <c r="C908" i="4"/>
  <c r="B908" i="4"/>
  <c r="N907" i="4"/>
  <c r="M907" i="4"/>
  <c r="E907" i="4"/>
  <c r="D907" i="4"/>
  <c r="C907" i="4"/>
  <c r="B907" i="4"/>
  <c r="N906" i="4"/>
  <c r="M906" i="4"/>
  <c r="E906" i="4"/>
  <c r="D906" i="4"/>
  <c r="C906" i="4"/>
  <c r="B906" i="4"/>
  <c r="N905" i="4"/>
  <c r="M905" i="4"/>
  <c r="E905" i="4"/>
  <c r="D905" i="4"/>
  <c r="C905" i="4"/>
  <c r="B905" i="4"/>
  <c r="N904" i="4"/>
  <c r="M904" i="4"/>
  <c r="E904" i="4"/>
  <c r="D904" i="4"/>
  <c r="C904" i="4"/>
  <c r="B904" i="4"/>
  <c r="N903" i="4"/>
  <c r="M903" i="4"/>
  <c r="E903" i="4"/>
  <c r="D903" i="4"/>
  <c r="C903" i="4"/>
  <c r="B903" i="4"/>
  <c r="N902" i="4"/>
  <c r="M902" i="4"/>
  <c r="E902" i="4"/>
  <c r="D902" i="4"/>
  <c r="C902" i="4"/>
  <c r="B902" i="4"/>
  <c r="N901" i="4"/>
  <c r="M901" i="4"/>
  <c r="E901" i="4"/>
  <c r="D901" i="4"/>
  <c r="C901" i="4"/>
  <c r="G901" i="4" s="1"/>
  <c r="B901" i="4"/>
  <c r="N900" i="4"/>
  <c r="M900" i="4"/>
  <c r="E900" i="4"/>
  <c r="D900" i="4"/>
  <c r="C900" i="4"/>
  <c r="B900" i="4"/>
  <c r="N899" i="4"/>
  <c r="M899" i="4"/>
  <c r="E899" i="4"/>
  <c r="D899" i="4"/>
  <c r="C899" i="4"/>
  <c r="B899" i="4"/>
  <c r="N898" i="4"/>
  <c r="M898" i="4"/>
  <c r="E898" i="4"/>
  <c r="D898" i="4"/>
  <c r="C898" i="4"/>
  <c r="B898" i="4"/>
  <c r="N897" i="4"/>
  <c r="M897" i="4"/>
  <c r="E897" i="4"/>
  <c r="D897" i="4"/>
  <c r="C897" i="4"/>
  <c r="G897" i="4" s="1"/>
  <c r="B897" i="4"/>
  <c r="N896" i="4"/>
  <c r="M896" i="4"/>
  <c r="E896" i="4"/>
  <c r="D896" i="4"/>
  <c r="C896" i="4"/>
  <c r="B896" i="4"/>
  <c r="N895" i="4"/>
  <c r="M895" i="4"/>
  <c r="E895" i="4"/>
  <c r="D895" i="4"/>
  <c r="C895" i="4"/>
  <c r="B895" i="4"/>
  <c r="N894" i="4"/>
  <c r="M894" i="4"/>
  <c r="E894" i="4"/>
  <c r="D894" i="4"/>
  <c r="C894" i="4"/>
  <c r="B894" i="4"/>
  <c r="N893" i="4"/>
  <c r="M893" i="4"/>
  <c r="E893" i="4"/>
  <c r="D893" i="4"/>
  <c r="C893" i="4"/>
  <c r="B893" i="4"/>
  <c r="N892" i="4"/>
  <c r="M892" i="4"/>
  <c r="E892" i="4"/>
  <c r="D892" i="4"/>
  <c r="C892" i="4"/>
  <c r="B892" i="4"/>
  <c r="N891" i="4"/>
  <c r="M891" i="4"/>
  <c r="E891" i="4"/>
  <c r="D891" i="4"/>
  <c r="C891" i="4"/>
  <c r="F891" i="4" s="1"/>
  <c r="B891" i="4"/>
  <c r="N890" i="4"/>
  <c r="M890" i="4"/>
  <c r="E890" i="4"/>
  <c r="D890" i="4"/>
  <c r="C890" i="4"/>
  <c r="B890" i="4"/>
  <c r="N889" i="4"/>
  <c r="M889" i="4"/>
  <c r="E889" i="4"/>
  <c r="D889" i="4"/>
  <c r="C889" i="4"/>
  <c r="B889" i="4"/>
  <c r="N888" i="4"/>
  <c r="M888" i="4"/>
  <c r="E888" i="4"/>
  <c r="D888" i="4"/>
  <c r="C888" i="4"/>
  <c r="B888" i="4"/>
  <c r="N887" i="4"/>
  <c r="M887" i="4"/>
  <c r="E887" i="4"/>
  <c r="D887" i="4"/>
  <c r="C887" i="4"/>
  <c r="G887" i="4" s="1"/>
  <c r="B887" i="4"/>
  <c r="N886" i="4"/>
  <c r="M886" i="4"/>
  <c r="E886" i="4"/>
  <c r="D886" i="4"/>
  <c r="C886" i="4"/>
  <c r="B886" i="4"/>
  <c r="N885" i="4"/>
  <c r="M885" i="4"/>
  <c r="E885" i="4"/>
  <c r="D885" i="4"/>
  <c r="C885" i="4"/>
  <c r="B885" i="4"/>
  <c r="N884" i="4"/>
  <c r="M884" i="4"/>
  <c r="E884" i="4"/>
  <c r="D884" i="4"/>
  <c r="C884" i="4"/>
  <c r="B884" i="4"/>
  <c r="N883" i="4"/>
  <c r="M883" i="4"/>
  <c r="E883" i="4"/>
  <c r="D883" i="4"/>
  <c r="C883" i="4"/>
  <c r="B883" i="4"/>
  <c r="N882" i="4"/>
  <c r="M882" i="4"/>
  <c r="E882" i="4"/>
  <c r="D882" i="4"/>
  <c r="C882" i="4"/>
  <c r="B882" i="4"/>
  <c r="N881" i="4"/>
  <c r="M881" i="4"/>
  <c r="E881" i="4"/>
  <c r="D881" i="4"/>
  <c r="C881" i="4"/>
  <c r="B881" i="4"/>
  <c r="N880" i="4"/>
  <c r="M880" i="4"/>
  <c r="E880" i="4"/>
  <c r="D880" i="4"/>
  <c r="C880" i="4"/>
  <c r="B880" i="4"/>
  <c r="N879" i="4"/>
  <c r="M879" i="4"/>
  <c r="E879" i="4"/>
  <c r="D879" i="4"/>
  <c r="C879" i="4"/>
  <c r="B879" i="4"/>
  <c r="N878" i="4"/>
  <c r="M878" i="4"/>
  <c r="E878" i="4"/>
  <c r="D878" i="4"/>
  <c r="C878" i="4"/>
  <c r="B878" i="4"/>
  <c r="N877" i="4"/>
  <c r="M877" i="4"/>
  <c r="E877" i="4"/>
  <c r="D877" i="4"/>
  <c r="C877" i="4"/>
  <c r="B877" i="4"/>
  <c r="N876" i="4"/>
  <c r="M876" i="4"/>
  <c r="E876" i="4"/>
  <c r="D876" i="4"/>
  <c r="C876" i="4"/>
  <c r="B876" i="4"/>
  <c r="N875" i="4"/>
  <c r="M875" i="4"/>
  <c r="E875" i="4"/>
  <c r="D875" i="4"/>
  <c r="C875" i="4"/>
  <c r="B875" i="4"/>
  <c r="N874" i="4"/>
  <c r="M874" i="4"/>
  <c r="E874" i="4"/>
  <c r="D874" i="4"/>
  <c r="C874" i="4"/>
  <c r="B874" i="4"/>
  <c r="N873" i="4"/>
  <c r="M873" i="4"/>
  <c r="E873" i="4"/>
  <c r="D873" i="4"/>
  <c r="C873" i="4"/>
  <c r="G873" i="4" s="1"/>
  <c r="H873" i="4" s="1"/>
  <c r="B873" i="4"/>
  <c r="N872" i="4"/>
  <c r="M872" i="4"/>
  <c r="E872" i="4"/>
  <c r="D872" i="4"/>
  <c r="C872" i="4"/>
  <c r="B872" i="4"/>
  <c r="N871" i="4"/>
  <c r="M871" i="4"/>
  <c r="E871" i="4"/>
  <c r="D871" i="4"/>
  <c r="C871" i="4"/>
  <c r="B871" i="4"/>
  <c r="N870" i="4"/>
  <c r="M870" i="4"/>
  <c r="E870" i="4"/>
  <c r="D870" i="4"/>
  <c r="C870" i="4"/>
  <c r="B870" i="4"/>
  <c r="N869" i="4"/>
  <c r="M869" i="4"/>
  <c r="E869" i="4"/>
  <c r="D869" i="4"/>
  <c r="C869" i="4"/>
  <c r="B869" i="4"/>
  <c r="N868" i="4"/>
  <c r="M868" i="4"/>
  <c r="E868" i="4"/>
  <c r="D868" i="4"/>
  <c r="C868" i="4"/>
  <c r="B868" i="4"/>
  <c r="N867" i="4"/>
  <c r="M867" i="4"/>
  <c r="E867" i="4"/>
  <c r="D867" i="4"/>
  <c r="C867" i="4"/>
  <c r="B867" i="4"/>
  <c r="N866" i="4"/>
  <c r="M866" i="4"/>
  <c r="E866" i="4"/>
  <c r="D866" i="4"/>
  <c r="C866" i="4"/>
  <c r="B866" i="4"/>
  <c r="N865" i="4"/>
  <c r="M865" i="4"/>
  <c r="E865" i="4"/>
  <c r="D865" i="4"/>
  <c r="C865" i="4"/>
  <c r="B865" i="4"/>
  <c r="N864" i="4"/>
  <c r="M864" i="4"/>
  <c r="E864" i="4"/>
  <c r="D864" i="4"/>
  <c r="C864" i="4"/>
  <c r="B864" i="4"/>
  <c r="N863" i="4"/>
  <c r="M863" i="4"/>
  <c r="E863" i="4"/>
  <c r="D863" i="4"/>
  <c r="C863" i="4"/>
  <c r="B863" i="4"/>
  <c r="N862" i="4"/>
  <c r="M862" i="4"/>
  <c r="E862" i="4"/>
  <c r="D862" i="4"/>
  <c r="C862" i="4"/>
  <c r="B862" i="4"/>
  <c r="N861" i="4"/>
  <c r="M861" i="4"/>
  <c r="E861" i="4"/>
  <c r="D861" i="4"/>
  <c r="C861" i="4"/>
  <c r="B861" i="4"/>
  <c r="N860" i="4"/>
  <c r="M860" i="4"/>
  <c r="E860" i="4"/>
  <c r="D860" i="4"/>
  <c r="C860" i="4"/>
  <c r="B860" i="4"/>
  <c r="N859" i="4"/>
  <c r="M859" i="4"/>
  <c r="E859" i="4"/>
  <c r="D859" i="4"/>
  <c r="C859" i="4"/>
  <c r="B859" i="4"/>
  <c r="N858" i="4"/>
  <c r="M858" i="4"/>
  <c r="E858" i="4"/>
  <c r="D858" i="4"/>
  <c r="C858" i="4"/>
  <c r="B858" i="4"/>
  <c r="N857" i="4"/>
  <c r="M857" i="4"/>
  <c r="E857" i="4"/>
  <c r="D857" i="4"/>
  <c r="C857" i="4"/>
  <c r="B857" i="4"/>
  <c r="N856" i="4"/>
  <c r="M856" i="4"/>
  <c r="E856" i="4"/>
  <c r="D856" i="4"/>
  <c r="C856" i="4"/>
  <c r="B856" i="4"/>
  <c r="S855" i="4"/>
  <c r="N855" i="4"/>
  <c r="M855" i="4"/>
  <c r="E855" i="4"/>
  <c r="D855" i="4"/>
  <c r="G855" i="4" s="1"/>
  <c r="J855" i="4" s="1"/>
  <c r="C855" i="4"/>
  <c r="B855" i="4"/>
  <c r="N854" i="4"/>
  <c r="M854" i="4"/>
  <c r="E854" i="4"/>
  <c r="D854" i="4"/>
  <c r="C854" i="4"/>
  <c r="B854" i="4"/>
  <c r="N853" i="4"/>
  <c r="M853" i="4"/>
  <c r="E853" i="4"/>
  <c r="D853" i="4"/>
  <c r="C853" i="4"/>
  <c r="B853" i="4"/>
  <c r="N852" i="4"/>
  <c r="M852" i="4"/>
  <c r="E852" i="4"/>
  <c r="D852" i="4"/>
  <c r="C852" i="4"/>
  <c r="B852" i="4"/>
  <c r="N851" i="4"/>
  <c r="M851" i="4"/>
  <c r="E851" i="4"/>
  <c r="D851" i="4"/>
  <c r="C851" i="4"/>
  <c r="B851" i="4"/>
  <c r="N850" i="4"/>
  <c r="M850" i="4"/>
  <c r="E850" i="4"/>
  <c r="D850" i="4"/>
  <c r="C850" i="4"/>
  <c r="B850" i="4"/>
  <c r="N849" i="4"/>
  <c r="M849" i="4"/>
  <c r="E849" i="4"/>
  <c r="D849" i="4"/>
  <c r="C849" i="4"/>
  <c r="B849" i="4"/>
  <c r="N848" i="4"/>
  <c r="M848" i="4"/>
  <c r="E848" i="4"/>
  <c r="D848" i="4"/>
  <c r="C848" i="4"/>
  <c r="B848" i="4"/>
  <c r="N847" i="4"/>
  <c r="M847" i="4"/>
  <c r="E847" i="4"/>
  <c r="D847" i="4"/>
  <c r="C847" i="4"/>
  <c r="B847" i="4"/>
  <c r="N846" i="4"/>
  <c r="M846" i="4"/>
  <c r="E846" i="4"/>
  <c r="D846" i="4"/>
  <c r="C846" i="4"/>
  <c r="B846" i="4"/>
  <c r="N845" i="4"/>
  <c r="M845" i="4"/>
  <c r="E845" i="4"/>
  <c r="D845" i="4"/>
  <c r="L845" i="4" s="1"/>
  <c r="C845" i="4"/>
  <c r="B845" i="4"/>
  <c r="N844" i="4"/>
  <c r="M844" i="4"/>
  <c r="E844" i="4"/>
  <c r="D844" i="4"/>
  <c r="C844" i="4"/>
  <c r="B844" i="4"/>
  <c r="N843" i="4"/>
  <c r="M843" i="4"/>
  <c r="E843" i="4"/>
  <c r="D843" i="4"/>
  <c r="C843" i="4"/>
  <c r="B843" i="4"/>
  <c r="N842" i="4"/>
  <c r="M842" i="4"/>
  <c r="E842" i="4"/>
  <c r="D842" i="4"/>
  <c r="C842" i="4"/>
  <c r="B842" i="4"/>
  <c r="N841" i="4"/>
  <c r="M841" i="4"/>
  <c r="E841" i="4"/>
  <c r="D841" i="4"/>
  <c r="C841" i="4"/>
  <c r="B841" i="4"/>
  <c r="N840" i="4"/>
  <c r="M840" i="4"/>
  <c r="E840" i="4"/>
  <c r="D840" i="4"/>
  <c r="C840" i="4"/>
  <c r="B840" i="4"/>
  <c r="N839" i="4"/>
  <c r="M839" i="4"/>
  <c r="E839" i="4"/>
  <c r="D839" i="4"/>
  <c r="C839" i="4"/>
  <c r="B839" i="4"/>
  <c r="N838" i="4"/>
  <c r="M838" i="4"/>
  <c r="E838" i="4"/>
  <c r="D838" i="4"/>
  <c r="C838" i="4"/>
  <c r="B838" i="4"/>
  <c r="N837" i="4"/>
  <c r="M837" i="4"/>
  <c r="E837" i="4"/>
  <c r="D837" i="4"/>
  <c r="C837" i="4"/>
  <c r="B837" i="4"/>
  <c r="N836" i="4"/>
  <c r="M836" i="4"/>
  <c r="E836" i="4"/>
  <c r="D836" i="4"/>
  <c r="C836" i="4"/>
  <c r="B836" i="4"/>
  <c r="N835" i="4"/>
  <c r="M835" i="4"/>
  <c r="E835" i="4"/>
  <c r="D835" i="4"/>
  <c r="F835" i="4" s="1"/>
  <c r="C835" i="4"/>
  <c r="B835" i="4"/>
  <c r="N834" i="4"/>
  <c r="M834" i="4"/>
  <c r="E834" i="4"/>
  <c r="D834" i="4"/>
  <c r="C834" i="4"/>
  <c r="B834" i="4"/>
  <c r="N833" i="4"/>
  <c r="M833" i="4"/>
  <c r="E833" i="4"/>
  <c r="D833" i="4"/>
  <c r="C833" i="4"/>
  <c r="B833" i="4"/>
  <c r="N832" i="4"/>
  <c r="M832" i="4"/>
  <c r="E832" i="4"/>
  <c r="D832" i="4"/>
  <c r="C832" i="4"/>
  <c r="B832" i="4"/>
  <c r="N831" i="4"/>
  <c r="M831" i="4"/>
  <c r="E831" i="4"/>
  <c r="D831" i="4"/>
  <c r="C831" i="4"/>
  <c r="B831" i="4"/>
  <c r="N830" i="4"/>
  <c r="M830" i="4"/>
  <c r="E830" i="4"/>
  <c r="D830" i="4"/>
  <c r="C830" i="4"/>
  <c r="B830" i="4"/>
  <c r="N829" i="4"/>
  <c r="M829" i="4"/>
  <c r="E829" i="4"/>
  <c r="D829" i="4"/>
  <c r="C829" i="4"/>
  <c r="B829" i="4"/>
  <c r="N828" i="4"/>
  <c r="M828" i="4"/>
  <c r="E828" i="4"/>
  <c r="D828" i="4"/>
  <c r="C828" i="4"/>
  <c r="B828" i="4"/>
  <c r="N827" i="4"/>
  <c r="M827" i="4"/>
  <c r="E827" i="4"/>
  <c r="D827" i="4"/>
  <c r="C827" i="4"/>
  <c r="B827" i="4"/>
  <c r="N826" i="4"/>
  <c r="M826" i="4"/>
  <c r="E826" i="4"/>
  <c r="D826" i="4"/>
  <c r="C826" i="4"/>
  <c r="B826" i="4"/>
  <c r="N825" i="4"/>
  <c r="M825" i="4"/>
  <c r="E825" i="4"/>
  <c r="D825" i="4"/>
  <c r="C825" i="4"/>
  <c r="B825" i="4"/>
  <c r="N824" i="4"/>
  <c r="M824" i="4"/>
  <c r="E824" i="4"/>
  <c r="D824" i="4"/>
  <c r="C824" i="4"/>
  <c r="B824" i="4"/>
  <c r="N823" i="4"/>
  <c r="M823" i="4"/>
  <c r="E823" i="4"/>
  <c r="D823" i="4"/>
  <c r="C823" i="4"/>
  <c r="B823" i="4"/>
  <c r="N822" i="4"/>
  <c r="M822" i="4"/>
  <c r="E822" i="4"/>
  <c r="D822" i="4"/>
  <c r="C822" i="4"/>
  <c r="B822" i="4"/>
  <c r="N821" i="4"/>
  <c r="M821" i="4"/>
  <c r="E821" i="4"/>
  <c r="D821" i="4"/>
  <c r="C821" i="4"/>
  <c r="B821" i="4"/>
  <c r="N820" i="4"/>
  <c r="M820" i="4"/>
  <c r="E820" i="4"/>
  <c r="D820" i="4"/>
  <c r="C820" i="4"/>
  <c r="B820" i="4"/>
  <c r="N819" i="4"/>
  <c r="M819" i="4"/>
  <c r="E819" i="4"/>
  <c r="D819" i="4"/>
  <c r="C819" i="4"/>
  <c r="B819" i="4"/>
  <c r="N818" i="4"/>
  <c r="M818" i="4"/>
  <c r="E818" i="4"/>
  <c r="D818" i="4"/>
  <c r="C818" i="4"/>
  <c r="L818" i="4" s="1"/>
  <c r="B818" i="4"/>
  <c r="N817" i="4"/>
  <c r="M817" i="4"/>
  <c r="E817" i="4"/>
  <c r="D817" i="4"/>
  <c r="C817" i="4"/>
  <c r="B817" i="4"/>
  <c r="N816" i="4"/>
  <c r="M816" i="4"/>
  <c r="E816" i="4"/>
  <c r="D816" i="4"/>
  <c r="C816" i="4"/>
  <c r="B816" i="4"/>
  <c r="N815" i="4"/>
  <c r="M815" i="4"/>
  <c r="E815" i="4"/>
  <c r="D815" i="4"/>
  <c r="C815" i="4"/>
  <c r="B815" i="4"/>
  <c r="N814" i="4"/>
  <c r="M814" i="4"/>
  <c r="E814" i="4"/>
  <c r="D814" i="4"/>
  <c r="C814" i="4"/>
  <c r="B814" i="4"/>
  <c r="N813" i="4"/>
  <c r="M813" i="4"/>
  <c r="E813" i="4"/>
  <c r="D813" i="4"/>
  <c r="C813" i="4"/>
  <c r="B813" i="4"/>
  <c r="N812" i="4"/>
  <c r="M812" i="4"/>
  <c r="E812" i="4"/>
  <c r="D812" i="4"/>
  <c r="C812" i="4"/>
  <c r="B812" i="4"/>
  <c r="N811" i="4"/>
  <c r="M811" i="4"/>
  <c r="E811" i="4"/>
  <c r="D811" i="4"/>
  <c r="C811" i="4"/>
  <c r="B811" i="4"/>
  <c r="N810" i="4"/>
  <c r="M810" i="4"/>
  <c r="E810" i="4"/>
  <c r="D810" i="4"/>
  <c r="C810" i="4"/>
  <c r="B810" i="4"/>
  <c r="N809" i="4"/>
  <c r="M809" i="4"/>
  <c r="E809" i="4"/>
  <c r="D809" i="4"/>
  <c r="C809" i="4"/>
  <c r="B809" i="4"/>
  <c r="N808" i="4"/>
  <c r="M808" i="4"/>
  <c r="E808" i="4"/>
  <c r="D808" i="4"/>
  <c r="C808" i="4"/>
  <c r="G808" i="4" s="1"/>
  <c r="B808" i="4"/>
  <c r="N807" i="4"/>
  <c r="M807" i="4"/>
  <c r="E807" i="4"/>
  <c r="D807" i="4"/>
  <c r="C807" i="4"/>
  <c r="B807" i="4"/>
  <c r="N806" i="4"/>
  <c r="M806" i="4"/>
  <c r="E806" i="4"/>
  <c r="D806" i="4"/>
  <c r="C806" i="4"/>
  <c r="B806" i="4"/>
  <c r="N805" i="4"/>
  <c r="M805" i="4"/>
  <c r="E805" i="4"/>
  <c r="D805" i="4"/>
  <c r="C805" i="4"/>
  <c r="B805" i="4"/>
  <c r="N804" i="4"/>
  <c r="M804" i="4"/>
  <c r="E804" i="4"/>
  <c r="D804" i="4"/>
  <c r="C804" i="4"/>
  <c r="B804" i="4"/>
  <c r="N803" i="4"/>
  <c r="M803" i="4"/>
  <c r="E803" i="4"/>
  <c r="D803" i="4"/>
  <c r="C803" i="4"/>
  <c r="B803" i="4"/>
  <c r="N802" i="4"/>
  <c r="M802" i="4"/>
  <c r="E802" i="4"/>
  <c r="D802" i="4"/>
  <c r="C802" i="4"/>
  <c r="B802" i="4"/>
  <c r="N801" i="4"/>
  <c r="M801" i="4"/>
  <c r="E801" i="4"/>
  <c r="D801" i="4"/>
  <c r="C801" i="4"/>
  <c r="B801" i="4"/>
  <c r="U800" i="4"/>
  <c r="N800" i="4"/>
  <c r="M800" i="4"/>
  <c r="E800" i="4"/>
  <c r="D800" i="4"/>
  <c r="C800" i="4"/>
  <c r="G800" i="4" s="1"/>
  <c r="B800" i="4"/>
  <c r="N799" i="4"/>
  <c r="M799" i="4"/>
  <c r="E799" i="4"/>
  <c r="D799" i="4"/>
  <c r="C799" i="4"/>
  <c r="B799" i="4"/>
  <c r="N798" i="4"/>
  <c r="M798" i="4"/>
  <c r="E798" i="4"/>
  <c r="D798" i="4"/>
  <c r="C798" i="4"/>
  <c r="B798" i="4"/>
  <c r="N797" i="4"/>
  <c r="M797" i="4"/>
  <c r="E797" i="4"/>
  <c r="D797" i="4"/>
  <c r="C797" i="4"/>
  <c r="B797" i="4"/>
  <c r="N796" i="4"/>
  <c r="M796" i="4"/>
  <c r="E796" i="4"/>
  <c r="D796" i="4"/>
  <c r="C796" i="4"/>
  <c r="B796" i="4"/>
  <c r="N795" i="4"/>
  <c r="M795" i="4"/>
  <c r="E795" i="4"/>
  <c r="D795" i="4"/>
  <c r="C795" i="4"/>
  <c r="B795" i="4"/>
  <c r="N794" i="4"/>
  <c r="M794" i="4"/>
  <c r="E794" i="4"/>
  <c r="D794" i="4"/>
  <c r="C794" i="4"/>
  <c r="B794" i="4"/>
  <c r="N793" i="4"/>
  <c r="M793" i="4"/>
  <c r="E793" i="4"/>
  <c r="D793" i="4"/>
  <c r="C793" i="4"/>
  <c r="B793" i="4"/>
  <c r="N792" i="4"/>
  <c r="M792" i="4"/>
  <c r="E792" i="4"/>
  <c r="D792" i="4"/>
  <c r="C792" i="4"/>
  <c r="B792" i="4"/>
  <c r="N791" i="4"/>
  <c r="M791" i="4"/>
  <c r="E791" i="4"/>
  <c r="D791" i="4"/>
  <c r="C791" i="4"/>
  <c r="B791" i="4"/>
  <c r="N790" i="4"/>
  <c r="M790" i="4"/>
  <c r="E790" i="4"/>
  <c r="D790" i="4"/>
  <c r="C790" i="4"/>
  <c r="B790" i="4"/>
  <c r="N789" i="4"/>
  <c r="M789" i="4"/>
  <c r="E789" i="4"/>
  <c r="D789" i="4"/>
  <c r="C789" i="4"/>
  <c r="B789" i="4"/>
  <c r="N788" i="4"/>
  <c r="M788" i="4"/>
  <c r="E788" i="4"/>
  <c r="D788" i="4"/>
  <c r="C788" i="4"/>
  <c r="B788" i="4"/>
  <c r="N787" i="4"/>
  <c r="M787" i="4"/>
  <c r="E787" i="4"/>
  <c r="D787" i="4"/>
  <c r="C787" i="4"/>
  <c r="B787" i="4"/>
  <c r="N786" i="4"/>
  <c r="M786" i="4"/>
  <c r="E786" i="4"/>
  <c r="D786" i="4"/>
  <c r="C786" i="4"/>
  <c r="B786" i="4"/>
  <c r="N785" i="4"/>
  <c r="M785" i="4"/>
  <c r="E785" i="4"/>
  <c r="D785" i="4"/>
  <c r="C785" i="4"/>
  <c r="B785" i="4"/>
  <c r="N784" i="4"/>
  <c r="M784" i="4"/>
  <c r="E784" i="4"/>
  <c r="D784" i="4"/>
  <c r="C784" i="4"/>
  <c r="B784" i="4"/>
  <c r="N783" i="4"/>
  <c r="M783" i="4"/>
  <c r="E783" i="4"/>
  <c r="D783" i="4"/>
  <c r="C783" i="4"/>
  <c r="B783" i="4"/>
  <c r="N782" i="4"/>
  <c r="M782" i="4"/>
  <c r="E782" i="4"/>
  <c r="D782" i="4"/>
  <c r="C782" i="4"/>
  <c r="B782" i="4"/>
  <c r="N781" i="4"/>
  <c r="M781" i="4"/>
  <c r="E781" i="4"/>
  <c r="D781" i="4"/>
  <c r="C781" i="4"/>
  <c r="B781" i="4"/>
  <c r="N780" i="4"/>
  <c r="M780" i="4"/>
  <c r="E780" i="4"/>
  <c r="D780" i="4"/>
  <c r="C780" i="4"/>
  <c r="B780" i="4"/>
  <c r="N779" i="4"/>
  <c r="M779" i="4"/>
  <c r="E779" i="4"/>
  <c r="D779" i="4"/>
  <c r="C779" i="4"/>
  <c r="B779" i="4"/>
  <c r="N778" i="4"/>
  <c r="M778" i="4"/>
  <c r="E778" i="4"/>
  <c r="D778" i="4"/>
  <c r="C778" i="4"/>
  <c r="B778" i="4"/>
  <c r="N777" i="4"/>
  <c r="M777" i="4"/>
  <c r="E777" i="4"/>
  <c r="D777" i="4"/>
  <c r="C777" i="4"/>
  <c r="B777" i="4"/>
  <c r="N776" i="4"/>
  <c r="M776" i="4"/>
  <c r="E776" i="4"/>
  <c r="D776" i="4"/>
  <c r="C776" i="4"/>
  <c r="B776" i="4"/>
  <c r="N775" i="4"/>
  <c r="M775" i="4"/>
  <c r="E775" i="4"/>
  <c r="D775" i="4"/>
  <c r="C775" i="4"/>
  <c r="B775" i="4"/>
  <c r="N774" i="4"/>
  <c r="M774" i="4"/>
  <c r="E774" i="4"/>
  <c r="D774" i="4"/>
  <c r="C774" i="4"/>
  <c r="B774" i="4"/>
  <c r="N773" i="4"/>
  <c r="M773" i="4"/>
  <c r="E773" i="4"/>
  <c r="D773" i="4"/>
  <c r="C773" i="4"/>
  <c r="B773" i="4"/>
  <c r="N772" i="4"/>
  <c r="M772" i="4"/>
  <c r="E772" i="4"/>
  <c r="D772" i="4"/>
  <c r="C772" i="4"/>
  <c r="B772" i="4"/>
  <c r="N771" i="4"/>
  <c r="M771" i="4"/>
  <c r="E771" i="4"/>
  <c r="D771" i="4"/>
  <c r="C771" i="4"/>
  <c r="B771" i="4"/>
  <c r="N770" i="4"/>
  <c r="M770" i="4"/>
  <c r="E770" i="4"/>
  <c r="D770" i="4"/>
  <c r="C770" i="4"/>
  <c r="B770" i="4"/>
  <c r="U769" i="4"/>
  <c r="N769" i="4"/>
  <c r="M769" i="4"/>
  <c r="E769" i="4"/>
  <c r="D769" i="4"/>
  <c r="C769" i="4"/>
  <c r="B769" i="4"/>
  <c r="N768" i="4"/>
  <c r="M768" i="4"/>
  <c r="E768" i="4"/>
  <c r="D768" i="4"/>
  <c r="C768" i="4"/>
  <c r="B768" i="4"/>
  <c r="N767" i="4"/>
  <c r="M767" i="4"/>
  <c r="E767" i="4"/>
  <c r="D767" i="4"/>
  <c r="C767" i="4"/>
  <c r="B767" i="4"/>
  <c r="N766" i="4"/>
  <c r="M766" i="4"/>
  <c r="E766" i="4"/>
  <c r="D766" i="4"/>
  <c r="C766" i="4"/>
  <c r="B766" i="4"/>
  <c r="N765" i="4"/>
  <c r="M765" i="4"/>
  <c r="E765" i="4"/>
  <c r="D765" i="4"/>
  <c r="C765" i="4"/>
  <c r="B765" i="4"/>
  <c r="N764" i="4"/>
  <c r="M764" i="4"/>
  <c r="E764" i="4"/>
  <c r="D764" i="4"/>
  <c r="C764" i="4"/>
  <c r="B764" i="4"/>
  <c r="N763" i="4"/>
  <c r="M763" i="4"/>
  <c r="E763" i="4"/>
  <c r="D763" i="4"/>
  <c r="C763" i="4"/>
  <c r="B763" i="4"/>
  <c r="N762" i="4"/>
  <c r="M762" i="4"/>
  <c r="E762" i="4"/>
  <c r="D762" i="4"/>
  <c r="C762" i="4"/>
  <c r="B762" i="4"/>
  <c r="N761" i="4"/>
  <c r="M761" i="4"/>
  <c r="E761" i="4"/>
  <c r="D761" i="4"/>
  <c r="C761" i="4"/>
  <c r="B761" i="4"/>
  <c r="N760" i="4"/>
  <c r="M760" i="4"/>
  <c r="E760" i="4"/>
  <c r="D760" i="4"/>
  <c r="C760" i="4"/>
  <c r="B760" i="4"/>
  <c r="N759" i="4"/>
  <c r="M759" i="4"/>
  <c r="E759" i="4"/>
  <c r="D759" i="4"/>
  <c r="C759" i="4"/>
  <c r="B759" i="4"/>
  <c r="N758" i="4"/>
  <c r="M758" i="4"/>
  <c r="E758" i="4"/>
  <c r="D758" i="4"/>
  <c r="C758" i="4"/>
  <c r="B758" i="4"/>
  <c r="N757" i="4"/>
  <c r="M757" i="4"/>
  <c r="E757" i="4"/>
  <c r="D757" i="4"/>
  <c r="C757" i="4"/>
  <c r="B757" i="4"/>
  <c r="N756" i="4"/>
  <c r="M756" i="4"/>
  <c r="E756" i="4"/>
  <c r="D756" i="4"/>
  <c r="C756" i="4"/>
  <c r="B756" i="4"/>
  <c r="N755" i="4"/>
  <c r="M755" i="4"/>
  <c r="E755" i="4"/>
  <c r="D755" i="4"/>
  <c r="C755" i="4"/>
  <c r="B755" i="4"/>
  <c r="N754" i="4"/>
  <c r="M754" i="4"/>
  <c r="E754" i="4"/>
  <c r="D754" i="4"/>
  <c r="C754" i="4"/>
  <c r="G754" i="4" s="1"/>
  <c r="B754" i="4"/>
  <c r="N753" i="4"/>
  <c r="M753" i="4"/>
  <c r="E753" i="4"/>
  <c r="D753" i="4"/>
  <c r="C753" i="4"/>
  <c r="B753" i="4"/>
  <c r="N752" i="4"/>
  <c r="M752" i="4"/>
  <c r="E752" i="4"/>
  <c r="D752" i="4"/>
  <c r="C752" i="4"/>
  <c r="B752" i="4"/>
  <c r="N751" i="4"/>
  <c r="M751" i="4"/>
  <c r="E751" i="4"/>
  <c r="D751" i="4"/>
  <c r="C751" i="4"/>
  <c r="B751" i="4"/>
  <c r="N750" i="4"/>
  <c r="M750" i="4"/>
  <c r="E750" i="4"/>
  <c r="D750" i="4"/>
  <c r="C750" i="4"/>
  <c r="B750" i="4"/>
  <c r="N749" i="4"/>
  <c r="M749" i="4"/>
  <c r="E749" i="4"/>
  <c r="D749" i="4"/>
  <c r="C749" i="4"/>
  <c r="B749" i="4"/>
  <c r="N748" i="4"/>
  <c r="M748" i="4"/>
  <c r="E748" i="4"/>
  <c r="D748" i="4"/>
  <c r="C748" i="4"/>
  <c r="B748" i="4"/>
  <c r="N747" i="4"/>
  <c r="M747" i="4"/>
  <c r="E747" i="4"/>
  <c r="D747" i="4"/>
  <c r="C747" i="4"/>
  <c r="B747" i="4"/>
  <c r="N746" i="4"/>
  <c r="M746" i="4"/>
  <c r="E746" i="4"/>
  <c r="D746" i="4"/>
  <c r="C746" i="4"/>
  <c r="B746" i="4"/>
  <c r="N745" i="4"/>
  <c r="M745" i="4"/>
  <c r="E745" i="4"/>
  <c r="D745" i="4"/>
  <c r="C745" i="4"/>
  <c r="B745" i="4"/>
  <c r="N744" i="4"/>
  <c r="M744" i="4"/>
  <c r="E744" i="4"/>
  <c r="D744" i="4"/>
  <c r="C744" i="4"/>
  <c r="B744" i="4"/>
  <c r="N743" i="4"/>
  <c r="M743" i="4"/>
  <c r="E743" i="4"/>
  <c r="D743" i="4"/>
  <c r="C743" i="4"/>
  <c r="B743" i="4"/>
  <c r="N742" i="4"/>
  <c r="M742" i="4"/>
  <c r="E742" i="4"/>
  <c r="D742" i="4"/>
  <c r="C742" i="4"/>
  <c r="B742" i="4"/>
  <c r="N741" i="4"/>
  <c r="M741" i="4"/>
  <c r="E741" i="4"/>
  <c r="D741" i="4"/>
  <c r="C741" i="4"/>
  <c r="B741" i="4"/>
  <c r="N740" i="4"/>
  <c r="M740" i="4"/>
  <c r="E740" i="4"/>
  <c r="D740" i="4"/>
  <c r="C740" i="4"/>
  <c r="B740" i="4"/>
  <c r="N739" i="4"/>
  <c r="M739" i="4"/>
  <c r="E739" i="4"/>
  <c r="D739" i="4"/>
  <c r="C739" i="4"/>
  <c r="B739" i="4"/>
  <c r="N738" i="4"/>
  <c r="M738" i="4"/>
  <c r="E738" i="4"/>
  <c r="D738" i="4"/>
  <c r="C738" i="4"/>
  <c r="B738" i="4"/>
  <c r="N737" i="4"/>
  <c r="M737" i="4"/>
  <c r="E737" i="4"/>
  <c r="D737" i="4"/>
  <c r="C737" i="4"/>
  <c r="B737" i="4"/>
  <c r="N736" i="4"/>
  <c r="M736" i="4"/>
  <c r="E736" i="4"/>
  <c r="D736" i="4"/>
  <c r="C736" i="4"/>
  <c r="B736" i="4"/>
  <c r="N735" i="4"/>
  <c r="M735" i="4"/>
  <c r="E735" i="4"/>
  <c r="D735" i="4"/>
  <c r="C735" i="4"/>
  <c r="B735" i="4"/>
  <c r="N734" i="4"/>
  <c r="M734" i="4"/>
  <c r="E734" i="4"/>
  <c r="D734" i="4"/>
  <c r="C734" i="4"/>
  <c r="B734" i="4"/>
  <c r="N733" i="4"/>
  <c r="M733" i="4"/>
  <c r="E733" i="4"/>
  <c r="D733" i="4"/>
  <c r="C733" i="4"/>
  <c r="B733" i="4"/>
  <c r="N732" i="4"/>
  <c r="M732" i="4"/>
  <c r="E732" i="4"/>
  <c r="D732" i="4"/>
  <c r="C732" i="4"/>
  <c r="B732" i="4"/>
  <c r="N731" i="4"/>
  <c r="M731" i="4"/>
  <c r="E731" i="4"/>
  <c r="D731" i="4"/>
  <c r="C731" i="4"/>
  <c r="B731" i="4"/>
  <c r="N730" i="4"/>
  <c r="M730" i="4"/>
  <c r="E730" i="4"/>
  <c r="D730" i="4"/>
  <c r="C730" i="4"/>
  <c r="B730" i="4"/>
  <c r="N729" i="4"/>
  <c r="M729" i="4"/>
  <c r="E729" i="4"/>
  <c r="D729" i="4"/>
  <c r="C729" i="4"/>
  <c r="B729" i="4"/>
  <c r="N728" i="4"/>
  <c r="M728" i="4"/>
  <c r="E728" i="4"/>
  <c r="D728" i="4"/>
  <c r="C728" i="4"/>
  <c r="B728" i="4"/>
  <c r="N727" i="4"/>
  <c r="M727" i="4"/>
  <c r="E727" i="4"/>
  <c r="D727" i="4"/>
  <c r="C727" i="4"/>
  <c r="B727" i="4"/>
  <c r="N726" i="4"/>
  <c r="M726" i="4"/>
  <c r="E726" i="4"/>
  <c r="D726" i="4"/>
  <c r="C726" i="4"/>
  <c r="B726" i="4"/>
  <c r="N725" i="4"/>
  <c r="M725" i="4"/>
  <c r="E725" i="4"/>
  <c r="D725" i="4"/>
  <c r="C725" i="4"/>
  <c r="B725" i="4"/>
  <c r="N724" i="4"/>
  <c r="M724" i="4"/>
  <c r="E724" i="4"/>
  <c r="D724" i="4"/>
  <c r="C724" i="4"/>
  <c r="B724" i="4"/>
  <c r="N723" i="4"/>
  <c r="M723" i="4"/>
  <c r="E723" i="4"/>
  <c r="D723" i="4"/>
  <c r="C723" i="4"/>
  <c r="B723" i="4"/>
  <c r="N722" i="4"/>
  <c r="M722" i="4"/>
  <c r="E722" i="4"/>
  <c r="D722" i="4"/>
  <c r="C722" i="4"/>
  <c r="B722" i="4"/>
  <c r="N721" i="4"/>
  <c r="M721" i="4"/>
  <c r="E721" i="4"/>
  <c r="D721" i="4"/>
  <c r="C721" i="4"/>
  <c r="B721" i="4"/>
  <c r="N720" i="4"/>
  <c r="M720" i="4"/>
  <c r="E720" i="4"/>
  <c r="D720" i="4"/>
  <c r="C720" i="4"/>
  <c r="B720" i="4"/>
  <c r="N719" i="4"/>
  <c r="M719" i="4"/>
  <c r="E719" i="4"/>
  <c r="D719" i="4"/>
  <c r="C719" i="4"/>
  <c r="B719" i="4"/>
  <c r="N718" i="4"/>
  <c r="M718" i="4"/>
  <c r="E718" i="4"/>
  <c r="D718" i="4"/>
  <c r="C718" i="4"/>
  <c r="B718" i="4"/>
  <c r="N717" i="4"/>
  <c r="M717" i="4"/>
  <c r="E717" i="4"/>
  <c r="D717" i="4"/>
  <c r="C717" i="4"/>
  <c r="B717" i="4"/>
  <c r="N716" i="4"/>
  <c r="M716" i="4"/>
  <c r="E716" i="4"/>
  <c r="D716" i="4"/>
  <c r="C716" i="4"/>
  <c r="B716" i="4"/>
  <c r="N715" i="4"/>
  <c r="M715" i="4"/>
  <c r="E715" i="4"/>
  <c r="D715" i="4"/>
  <c r="C715" i="4"/>
  <c r="B715" i="4"/>
  <c r="N714" i="4"/>
  <c r="M714" i="4"/>
  <c r="E714" i="4"/>
  <c r="D714" i="4"/>
  <c r="C714" i="4"/>
  <c r="B714" i="4"/>
  <c r="N713" i="4"/>
  <c r="M713" i="4"/>
  <c r="E713" i="4"/>
  <c r="D713" i="4"/>
  <c r="C713" i="4"/>
  <c r="B713" i="4"/>
  <c r="N712" i="4"/>
  <c r="M712" i="4"/>
  <c r="E712" i="4"/>
  <c r="D712" i="4"/>
  <c r="C712" i="4"/>
  <c r="B712" i="4"/>
  <c r="N711" i="4"/>
  <c r="M711" i="4"/>
  <c r="E711" i="4"/>
  <c r="D711" i="4"/>
  <c r="C711" i="4"/>
  <c r="B711" i="4"/>
  <c r="N710" i="4"/>
  <c r="M710" i="4"/>
  <c r="E710" i="4"/>
  <c r="D710" i="4"/>
  <c r="C710" i="4"/>
  <c r="B710" i="4"/>
  <c r="N709" i="4"/>
  <c r="M709" i="4"/>
  <c r="E709" i="4"/>
  <c r="D709" i="4"/>
  <c r="C709" i="4"/>
  <c r="B709" i="4"/>
  <c r="N708" i="4"/>
  <c r="M708" i="4"/>
  <c r="E708" i="4"/>
  <c r="D708" i="4"/>
  <c r="C708" i="4"/>
  <c r="B708" i="4"/>
  <c r="N707" i="4"/>
  <c r="M707" i="4"/>
  <c r="E707" i="4"/>
  <c r="D707" i="4"/>
  <c r="C707" i="4"/>
  <c r="L707" i="4" s="1"/>
  <c r="B707" i="4"/>
  <c r="N706" i="4"/>
  <c r="M706" i="4"/>
  <c r="E706" i="4"/>
  <c r="D706" i="4"/>
  <c r="C706" i="4"/>
  <c r="B706" i="4"/>
  <c r="N705" i="4"/>
  <c r="M705" i="4"/>
  <c r="E705" i="4"/>
  <c r="D705" i="4"/>
  <c r="C705" i="4"/>
  <c r="B705" i="4"/>
  <c r="N704" i="4"/>
  <c r="M704" i="4"/>
  <c r="E704" i="4"/>
  <c r="D704" i="4"/>
  <c r="C704" i="4"/>
  <c r="B704" i="4"/>
  <c r="N703" i="4"/>
  <c r="M703" i="4"/>
  <c r="E703" i="4"/>
  <c r="D703" i="4"/>
  <c r="C703" i="4"/>
  <c r="B703" i="4"/>
  <c r="N702" i="4"/>
  <c r="M702" i="4"/>
  <c r="E702" i="4"/>
  <c r="D702" i="4"/>
  <c r="C702" i="4"/>
  <c r="B702" i="4"/>
  <c r="N701" i="4"/>
  <c r="M701" i="4"/>
  <c r="E701" i="4"/>
  <c r="D701" i="4"/>
  <c r="C701" i="4"/>
  <c r="B701" i="4"/>
  <c r="N700" i="4"/>
  <c r="M700" i="4"/>
  <c r="E700" i="4"/>
  <c r="D700" i="4"/>
  <c r="C700" i="4"/>
  <c r="B700" i="4"/>
  <c r="N699" i="4"/>
  <c r="M699" i="4"/>
  <c r="E699" i="4"/>
  <c r="D699" i="4"/>
  <c r="C699" i="4"/>
  <c r="B699" i="4"/>
  <c r="N698" i="4"/>
  <c r="M698" i="4"/>
  <c r="E698" i="4"/>
  <c r="D698" i="4"/>
  <c r="C698" i="4"/>
  <c r="B698" i="4"/>
  <c r="U697" i="4"/>
  <c r="N697" i="4"/>
  <c r="M697" i="4"/>
  <c r="E697" i="4"/>
  <c r="D697" i="4"/>
  <c r="C697" i="4"/>
  <c r="B697" i="4"/>
  <c r="N696" i="4"/>
  <c r="M696" i="4"/>
  <c r="E696" i="4"/>
  <c r="D696" i="4"/>
  <c r="C696" i="4"/>
  <c r="B696" i="4"/>
  <c r="N695" i="4"/>
  <c r="M695" i="4"/>
  <c r="E695" i="4"/>
  <c r="D695" i="4"/>
  <c r="C695" i="4"/>
  <c r="B695" i="4"/>
  <c r="N694" i="4"/>
  <c r="M694" i="4"/>
  <c r="E694" i="4"/>
  <c r="D694" i="4"/>
  <c r="C694" i="4"/>
  <c r="B694" i="4"/>
  <c r="N693" i="4"/>
  <c r="M693" i="4"/>
  <c r="E693" i="4"/>
  <c r="D693" i="4"/>
  <c r="C693" i="4"/>
  <c r="B693" i="4"/>
  <c r="N692" i="4"/>
  <c r="M692" i="4"/>
  <c r="E692" i="4"/>
  <c r="D692" i="4"/>
  <c r="C692" i="4"/>
  <c r="B692" i="4"/>
  <c r="N691" i="4"/>
  <c r="M691" i="4"/>
  <c r="E691" i="4"/>
  <c r="D691" i="4"/>
  <c r="C691" i="4"/>
  <c r="B691" i="4"/>
  <c r="N690" i="4"/>
  <c r="M690" i="4"/>
  <c r="E690" i="4"/>
  <c r="D690" i="4"/>
  <c r="C690" i="4"/>
  <c r="B690" i="4"/>
  <c r="N689" i="4"/>
  <c r="M689" i="4"/>
  <c r="E689" i="4"/>
  <c r="D689" i="4"/>
  <c r="C689" i="4"/>
  <c r="B689" i="4"/>
  <c r="N688" i="4"/>
  <c r="M688" i="4"/>
  <c r="E688" i="4"/>
  <c r="D688" i="4"/>
  <c r="C688" i="4"/>
  <c r="B688" i="4"/>
  <c r="N687" i="4"/>
  <c r="M687" i="4"/>
  <c r="E687" i="4"/>
  <c r="D687" i="4"/>
  <c r="C687" i="4"/>
  <c r="B687" i="4"/>
  <c r="N686" i="4"/>
  <c r="M686" i="4"/>
  <c r="E686" i="4"/>
  <c r="D686" i="4"/>
  <c r="C686" i="4"/>
  <c r="L686" i="4" s="1"/>
  <c r="B686" i="4"/>
  <c r="N685" i="4"/>
  <c r="M685" i="4"/>
  <c r="E685" i="4"/>
  <c r="D685" i="4"/>
  <c r="C685" i="4"/>
  <c r="B685" i="4"/>
  <c r="N684" i="4"/>
  <c r="M684" i="4"/>
  <c r="E684" i="4"/>
  <c r="D684" i="4"/>
  <c r="C684" i="4"/>
  <c r="B684" i="4"/>
  <c r="N683" i="4"/>
  <c r="M683" i="4"/>
  <c r="E683" i="4"/>
  <c r="D683" i="4"/>
  <c r="C683" i="4"/>
  <c r="B683" i="4"/>
  <c r="N682" i="4"/>
  <c r="M682" i="4"/>
  <c r="E682" i="4"/>
  <c r="D682" i="4"/>
  <c r="C682" i="4"/>
  <c r="B682" i="4"/>
  <c r="N681" i="4"/>
  <c r="M681" i="4"/>
  <c r="E681" i="4"/>
  <c r="D681" i="4"/>
  <c r="C681" i="4"/>
  <c r="B681" i="4"/>
  <c r="N680" i="4"/>
  <c r="M680" i="4"/>
  <c r="E680" i="4"/>
  <c r="D680" i="4"/>
  <c r="C680" i="4"/>
  <c r="B680" i="4"/>
  <c r="N679" i="4"/>
  <c r="M679" i="4"/>
  <c r="E679" i="4"/>
  <c r="D679" i="4"/>
  <c r="C679" i="4"/>
  <c r="B679" i="4"/>
  <c r="N678" i="4"/>
  <c r="M678" i="4"/>
  <c r="E678" i="4"/>
  <c r="D678" i="4"/>
  <c r="C678" i="4"/>
  <c r="B678" i="4"/>
  <c r="N677" i="4"/>
  <c r="M677" i="4"/>
  <c r="E677" i="4"/>
  <c r="D677" i="4"/>
  <c r="C677" i="4"/>
  <c r="B677" i="4"/>
  <c r="N676" i="4"/>
  <c r="M676" i="4"/>
  <c r="E676" i="4"/>
  <c r="D676" i="4"/>
  <c r="C676" i="4"/>
  <c r="B676" i="4"/>
  <c r="N675" i="4"/>
  <c r="M675" i="4"/>
  <c r="E675" i="4"/>
  <c r="D675" i="4"/>
  <c r="C675" i="4"/>
  <c r="B675" i="4"/>
  <c r="N674" i="4"/>
  <c r="M674" i="4"/>
  <c r="E674" i="4"/>
  <c r="D674" i="4"/>
  <c r="C674" i="4"/>
  <c r="B674" i="4"/>
  <c r="N673" i="4"/>
  <c r="M673" i="4"/>
  <c r="E673" i="4"/>
  <c r="D673" i="4"/>
  <c r="C673" i="4"/>
  <c r="B673" i="4"/>
  <c r="N672" i="4"/>
  <c r="M672" i="4"/>
  <c r="E672" i="4"/>
  <c r="D672" i="4"/>
  <c r="C672" i="4"/>
  <c r="B672" i="4"/>
  <c r="N671" i="4"/>
  <c r="M671" i="4"/>
  <c r="E671" i="4"/>
  <c r="D671" i="4"/>
  <c r="C671" i="4"/>
  <c r="B671" i="4"/>
  <c r="N670" i="4"/>
  <c r="M670" i="4"/>
  <c r="E670" i="4"/>
  <c r="D670" i="4"/>
  <c r="C670" i="4"/>
  <c r="B670" i="4"/>
  <c r="N669" i="4"/>
  <c r="M669" i="4"/>
  <c r="E669" i="4"/>
  <c r="D669" i="4"/>
  <c r="C669" i="4"/>
  <c r="B669" i="4"/>
  <c r="N668" i="4"/>
  <c r="M668" i="4"/>
  <c r="E668" i="4"/>
  <c r="D668" i="4"/>
  <c r="C668" i="4"/>
  <c r="B668" i="4"/>
  <c r="N667" i="4"/>
  <c r="M667" i="4"/>
  <c r="E667" i="4"/>
  <c r="D667" i="4"/>
  <c r="C667" i="4"/>
  <c r="B667" i="4"/>
  <c r="N666" i="4"/>
  <c r="M666" i="4"/>
  <c r="E666" i="4"/>
  <c r="D666" i="4"/>
  <c r="C666" i="4"/>
  <c r="L666" i="4" s="1"/>
  <c r="B666" i="4"/>
  <c r="N665" i="4"/>
  <c r="M665" i="4"/>
  <c r="E665" i="4"/>
  <c r="D665" i="4"/>
  <c r="C665" i="4"/>
  <c r="B665" i="4"/>
  <c r="N664" i="4"/>
  <c r="M664" i="4"/>
  <c r="E664" i="4"/>
  <c r="D664" i="4"/>
  <c r="C664" i="4"/>
  <c r="B664" i="4"/>
  <c r="N663" i="4"/>
  <c r="M663" i="4"/>
  <c r="E663" i="4"/>
  <c r="D663" i="4"/>
  <c r="C663" i="4"/>
  <c r="B663" i="4"/>
  <c r="U662" i="4"/>
  <c r="N662" i="4"/>
  <c r="M662" i="4"/>
  <c r="E662" i="4"/>
  <c r="D662" i="4"/>
  <c r="C662" i="4"/>
  <c r="B662" i="4"/>
  <c r="N661" i="4"/>
  <c r="M661" i="4"/>
  <c r="E661" i="4"/>
  <c r="D661" i="4"/>
  <c r="C661" i="4"/>
  <c r="B661" i="4"/>
  <c r="N660" i="4"/>
  <c r="M660" i="4"/>
  <c r="E660" i="4"/>
  <c r="D660" i="4"/>
  <c r="C660" i="4"/>
  <c r="B660" i="4"/>
  <c r="N659" i="4"/>
  <c r="M659" i="4"/>
  <c r="E659" i="4"/>
  <c r="D659" i="4"/>
  <c r="C659" i="4"/>
  <c r="B659" i="4"/>
  <c r="N658" i="4"/>
  <c r="M658" i="4"/>
  <c r="E658" i="4"/>
  <c r="D658" i="4"/>
  <c r="C658" i="4"/>
  <c r="B658" i="4"/>
  <c r="N657" i="4"/>
  <c r="M657" i="4"/>
  <c r="E657" i="4"/>
  <c r="D657" i="4"/>
  <c r="C657" i="4"/>
  <c r="B657" i="4"/>
  <c r="N656" i="4"/>
  <c r="M656" i="4"/>
  <c r="E656" i="4"/>
  <c r="D656" i="4"/>
  <c r="C656" i="4"/>
  <c r="B656" i="4"/>
  <c r="N655" i="4"/>
  <c r="M655" i="4"/>
  <c r="E655" i="4"/>
  <c r="D655" i="4"/>
  <c r="C655" i="4"/>
  <c r="B655" i="4"/>
  <c r="N654" i="4"/>
  <c r="M654" i="4"/>
  <c r="E654" i="4"/>
  <c r="D654" i="4"/>
  <c r="C654" i="4"/>
  <c r="B654" i="4"/>
  <c r="N653" i="4"/>
  <c r="M653" i="4"/>
  <c r="E653" i="4"/>
  <c r="D653" i="4"/>
  <c r="C653" i="4"/>
  <c r="B653" i="4"/>
  <c r="N652" i="4"/>
  <c r="M652" i="4"/>
  <c r="E652" i="4"/>
  <c r="D652" i="4"/>
  <c r="C652" i="4"/>
  <c r="B652" i="4"/>
  <c r="N651" i="4"/>
  <c r="M651" i="4"/>
  <c r="E651" i="4"/>
  <c r="D651" i="4"/>
  <c r="C651" i="4"/>
  <c r="B651" i="4"/>
  <c r="N650" i="4"/>
  <c r="M650" i="4"/>
  <c r="E650" i="4"/>
  <c r="D650" i="4"/>
  <c r="C650" i="4"/>
  <c r="B650" i="4"/>
  <c r="N649" i="4"/>
  <c r="M649" i="4"/>
  <c r="E649" i="4"/>
  <c r="D649" i="4"/>
  <c r="C649" i="4"/>
  <c r="B649" i="4"/>
  <c r="N648" i="4"/>
  <c r="M648" i="4"/>
  <c r="E648" i="4"/>
  <c r="D648" i="4"/>
  <c r="C648" i="4"/>
  <c r="B648" i="4"/>
  <c r="N647" i="4"/>
  <c r="M647" i="4"/>
  <c r="E647" i="4"/>
  <c r="D647" i="4"/>
  <c r="C647" i="4"/>
  <c r="L647" i="4" s="1"/>
  <c r="B647" i="4"/>
  <c r="N646" i="4"/>
  <c r="M646" i="4"/>
  <c r="E646" i="4"/>
  <c r="D646" i="4"/>
  <c r="C646" i="4"/>
  <c r="B646" i="4"/>
  <c r="N645" i="4"/>
  <c r="M645" i="4"/>
  <c r="E645" i="4"/>
  <c r="D645" i="4"/>
  <c r="C645" i="4"/>
  <c r="B645" i="4"/>
  <c r="N644" i="4"/>
  <c r="M644" i="4"/>
  <c r="E644" i="4"/>
  <c r="D644" i="4"/>
  <c r="C644" i="4"/>
  <c r="B644" i="4"/>
  <c r="S643" i="4"/>
  <c r="N643" i="4"/>
  <c r="M643" i="4"/>
  <c r="E643" i="4"/>
  <c r="D643" i="4"/>
  <c r="C643" i="4"/>
  <c r="B643" i="4"/>
  <c r="N642" i="4"/>
  <c r="M642" i="4"/>
  <c r="E642" i="4"/>
  <c r="D642" i="4"/>
  <c r="C642" i="4"/>
  <c r="B642" i="4"/>
  <c r="N641" i="4"/>
  <c r="M641" i="4"/>
  <c r="E641" i="4"/>
  <c r="D641" i="4"/>
  <c r="C641" i="4"/>
  <c r="B641" i="4"/>
  <c r="N640" i="4"/>
  <c r="M640" i="4"/>
  <c r="E640" i="4"/>
  <c r="D640" i="4"/>
  <c r="C640" i="4"/>
  <c r="B640" i="4"/>
  <c r="N639" i="4"/>
  <c r="M639" i="4"/>
  <c r="E639" i="4"/>
  <c r="D639" i="4"/>
  <c r="C639" i="4"/>
  <c r="B639" i="4"/>
  <c r="N638" i="4"/>
  <c r="M638" i="4"/>
  <c r="E638" i="4"/>
  <c r="D638" i="4"/>
  <c r="C638" i="4"/>
  <c r="B638" i="4"/>
  <c r="S637" i="4"/>
  <c r="N637" i="4"/>
  <c r="M637" i="4"/>
  <c r="E637" i="4"/>
  <c r="D637" i="4"/>
  <c r="C637" i="4"/>
  <c r="B637" i="4"/>
  <c r="N636" i="4"/>
  <c r="M636" i="4"/>
  <c r="E636" i="4"/>
  <c r="D636" i="4"/>
  <c r="C636" i="4"/>
  <c r="B636" i="4"/>
  <c r="N635" i="4"/>
  <c r="M635" i="4"/>
  <c r="E635" i="4"/>
  <c r="D635" i="4"/>
  <c r="C635" i="4"/>
  <c r="B635" i="4"/>
  <c r="N634" i="4"/>
  <c r="M634" i="4"/>
  <c r="E634" i="4"/>
  <c r="D634" i="4"/>
  <c r="C634" i="4"/>
  <c r="B634" i="4"/>
  <c r="N633" i="4"/>
  <c r="M633" i="4"/>
  <c r="E633" i="4"/>
  <c r="D633" i="4"/>
  <c r="C633" i="4"/>
  <c r="B633" i="4"/>
  <c r="N632" i="4"/>
  <c r="M632" i="4"/>
  <c r="E632" i="4"/>
  <c r="D632" i="4"/>
  <c r="C632" i="4"/>
  <c r="B632" i="4"/>
  <c r="N631" i="4"/>
  <c r="M631" i="4"/>
  <c r="E631" i="4"/>
  <c r="D631" i="4"/>
  <c r="C631" i="4"/>
  <c r="B631" i="4"/>
  <c r="N630" i="4"/>
  <c r="M630" i="4"/>
  <c r="E630" i="4"/>
  <c r="D630" i="4"/>
  <c r="C630" i="4"/>
  <c r="B630" i="4"/>
  <c r="N629" i="4"/>
  <c r="M629" i="4"/>
  <c r="E629" i="4"/>
  <c r="D629" i="4"/>
  <c r="C629" i="4"/>
  <c r="B629" i="4"/>
  <c r="N628" i="4"/>
  <c r="M628" i="4"/>
  <c r="E628" i="4"/>
  <c r="D628" i="4"/>
  <c r="C628" i="4"/>
  <c r="B628" i="4"/>
  <c r="N627" i="4"/>
  <c r="M627" i="4"/>
  <c r="E627" i="4"/>
  <c r="D627" i="4"/>
  <c r="C627" i="4"/>
  <c r="B627" i="4"/>
  <c r="N626" i="4"/>
  <c r="M626" i="4"/>
  <c r="E626" i="4"/>
  <c r="D626" i="4"/>
  <c r="C626" i="4"/>
  <c r="B626" i="4"/>
  <c r="N625" i="4"/>
  <c r="M625" i="4"/>
  <c r="E625" i="4"/>
  <c r="D625" i="4"/>
  <c r="C625" i="4"/>
  <c r="B625" i="4"/>
  <c r="S624" i="4"/>
  <c r="N624" i="4"/>
  <c r="M624" i="4"/>
  <c r="E624" i="4"/>
  <c r="D624" i="4"/>
  <c r="C624" i="4"/>
  <c r="B624" i="4"/>
  <c r="N623" i="4"/>
  <c r="M623" i="4"/>
  <c r="E623" i="4"/>
  <c r="D623" i="4"/>
  <c r="C623" i="4"/>
  <c r="B623" i="4"/>
  <c r="N622" i="4"/>
  <c r="M622" i="4"/>
  <c r="E622" i="4"/>
  <c r="D622" i="4"/>
  <c r="C622" i="4"/>
  <c r="B622" i="4"/>
  <c r="N621" i="4"/>
  <c r="M621" i="4"/>
  <c r="E621" i="4"/>
  <c r="D621" i="4"/>
  <c r="C621" i="4"/>
  <c r="B621" i="4"/>
  <c r="N620" i="4"/>
  <c r="M620" i="4"/>
  <c r="E620" i="4"/>
  <c r="D620" i="4"/>
  <c r="C620" i="4"/>
  <c r="B620" i="4"/>
  <c r="N619" i="4"/>
  <c r="M619" i="4"/>
  <c r="E619" i="4"/>
  <c r="D619" i="4"/>
  <c r="C619" i="4"/>
  <c r="B619" i="4"/>
  <c r="N618" i="4"/>
  <c r="M618" i="4"/>
  <c r="E618" i="4"/>
  <c r="D618" i="4"/>
  <c r="C618" i="4"/>
  <c r="B618" i="4"/>
  <c r="N617" i="4"/>
  <c r="M617" i="4"/>
  <c r="E617" i="4"/>
  <c r="D617" i="4"/>
  <c r="C617" i="4"/>
  <c r="B617" i="4"/>
  <c r="N616" i="4"/>
  <c r="M616" i="4"/>
  <c r="E616" i="4"/>
  <c r="D616" i="4"/>
  <c r="L616" i="4" s="1"/>
  <c r="C616" i="4"/>
  <c r="B616" i="4"/>
  <c r="N615" i="4"/>
  <c r="M615" i="4"/>
  <c r="E615" i="4"/>
  <c r="D615" i="4"/>
  <c r="C615" i="4"/>
  <c r="B615" i="4"/>
  <c r="N614" i="4"/>
  <c r="M614" i="4"/>
  <c r="E614" i="4"/>
  <c r="D614" i="4"/>
  <c r="C614" i="4"/>
  <c r="B614" i="4"/>
  <c r="N613" i="4"/>
  <c r="M613" i="4"/>
  <c r="E613" i="4"/>
  <c r="D613" i="4"/>
  <c r="C613" i="4"/>
  <c r="B613" i="4"/>
  <c r="N612" i="4"/>
  <c r="M612" i="4"/>
  <c r="E612" i="4"/>
  <c r="D612" i="4"/>
  <c r="C612" i="4"/>
  <c r="B612" i="4"/>
  <c r="N611" i="4"/>
  <c r="M611" i="4"/>
  <c r="E611" i="4"/>
  <c r="D611" i="4"/>
  <c r="C611" i="4"/>
  <c r="B611" i="4"/>
  <c r="N610" i="4"/>
  <c r="M610" i="4"/>
  <c r="E610" i="4"/>
  <c r="D610" i="4"/>
  <c r="C610" i="4"/>
  <c r="B610" i="4"/>
  <c r="N609" i="4"/>
  <c r="M609" i="4"/>
  <c r="E609" i="4"/>
  <c r="D609" i="4"/>
  <c r="C609" i="4"/>
  <c r="B609" i="4"/>
  <c r="N608" i="4"/>
  <c r="M608" i="4"/>
  <c r="E608" i="4"/>
  <c r="D608" i="4"/>
  <c r="C608" i="4"/>
  <c r="B608" i="4"/>
  <c r="N607" i="4"/>
  <c r="M607" i="4"/>
  <c r="E607" i="4"/>
  <c r="D607" i="4"/>
  <c r="C607" i="4"/>
  <c r="B607" i="4"/>
  <c r="N606" i="4"/>
  <c r="M606" i="4"/>
  <c r="E606" i="4"/>
  <c r="D606" i="4"/>
  <c r="C606" i="4"/>
  <c r="B606" i="4"/>
  <c r="N605" i="4"/>
  <c r="M605" i="4"/>
  <c r="E605" i="4"/>
  <c r="D605" i="4"/>
  <c r="C605" i="4"/>
  <c r="B605" i="4"/>
  <c r="N604" i="4"/>
  <c r="M604" i="4"/>
  <c r="E604" i="4"/>
  <c r="D604" i="4"/>
  <c r="C604" i="4"/>
  <c r="B604" i="4"/>
  <c r="N603" i="4"/>
  <c r="M603" i="4"/>
  <c r="E603" i="4"/>
  <c r="D603" i="4"/>
  <c r="C603" i="4"/>
  <c r="B603" i="4"/>
  <c r="N602" i="4"/>
  <c r="M602" i="4"/>
  <c r="E602" i="4"/>
  <c r="D602" i="4"/>
  <c r="C602" i="4"/>
  <c r="B602" i="4"/>
  <c r="N601" i="4"/>
  <c r="M601" i="4"/>
  <c r="E601" i="4"/>
  <c r="D601" i="4"/>
  <c r="C601" i="4"/>
  <c r="B601" i="4"/>
  <c r="N600" i="4"/>
  <c r="M600" i="4"/>
  <c r="E600" i="4"/>
  <c r="D600" i="4"/>
  <c r="C600" i="4"/>
  <c r="B600" i="4"/>
  <c r="N599" i="4"/>
  <c r="M599" i="4"/>
  <c r="E599" i="4"/>
  <c r="D599" i="4"/>
  <c r="C599" i="4"/>
  <c r="B599" i="4"/>
  <c r="N598" i="4"/>
  <c r="M598" i="4"/>
  <c r="E598" i="4"/>
  <c r="D598" i="4"/>
  <c r="C598" i="4"/>
  <c r="B598" i="4"/>
  <c r="N597" i="4"/>
  <c r="M597" i="4"/>
  <c r="E597" i="4"/>
  <c r="D597" i="4"/>
  <c r="C597" i="4"/>
  <c r="B597" i="4"/>
  <c r="N596" i="4"/>
  <c r="M596" i="4"/>
  <c r="E596" i="4"/>
  <c r="D596" i="4"/>
  <c r="C596" i="4"/>
  <c r="B596" i="4"/>
  <c r="N595" i="4"/>
  <c r="M595" i="4"/>
  <c r="E595" i="4"/>
  <c r="D595" i="4"/>
  <c r="C595" i="4"/>
  <c r="B595" i="4"/>
  <c r="N594" i="4"/>
  <c r="M594" i="4"/>
  <c r="E594" i="4"/>
  <c r="D594" i="4"/>
  <c r="C594" i="4"/>
  <c r="B594" i="4"/>
  <c r="N593" i="4"/>
  <c r="M593" i="4"/>
  <c r="E593" i="4"/>
  <c r="D593" i="4"/>
  <c r="C593" i="4"/>
  <c r="B593" i="4"/>
  <c r="N592" i="4"/>
  <c r="M592" i="4"/>
  <c r="E592" i="4"/>
  <c r="D592" i="4"/>
  <c r="C592" i="4"/>
  <c r="B592" i="4"/>
  <c r="N591" i="4"/>
  <c r="M591" i="4"/>
  <c r="E591" i="4"/>
  <c r="D591" i="4"/>
  <c r="C591" i="4"/>
  <c r="B591" i="4"/>
  <c r="N590" i="4"/>
  <c r="M590" i="4"/>
  <c r="E590" i="4"/>
  <c r="D590" i="4"/>
  <c r="C590" i="4"/>
  <c r="B590" i="4"/>
  <c r="N589" i="4"/>
  <c r="M589" i="4"/>
  <c r="E589" i="4"/>
  <c r="D589" i="4"/>
  <c r="C589" i="4"/>
  <c r="B589" i="4"/>
  <c r="N588" i="4"/>
  <c r="M588" i="4"/>
  <c r="E588" i="4"/>
  <c r="D588" i="4"/>
  <c r="C588" i="4"/>
  <c r="B588" i="4"/>
  <c r="N587" i="4"/>
  <c r="M587" i="4"/>
  <c r="E587" i="4"/>
  <c r="D587" i="4"/>
  <c r="C587" i="4"/>
  <c r="B587" i="4"/>
  <c r="N586" i="4"/>
  <c r="M586" i="4"/>
  <c r="E586" i="4"/>
  <c r="D586" i="4"/>
  <c r="C586" i="4"/>
  <c r="B586" i="4"/>
  <c r="N585" i="4"/>
  <c r="M585" i="4"/>
  <c r="E585" i="4"/>
  <c r="D585" i="4"/>
  <c r="C585" i="4"/>
  <c r="B585" i="4"/>
  <c r="N584" i="4"/>
  <c r="M584" i="4"/>
  <c r="E584" i="4"/>
  <c r="D584" i="4"/>
  <c r="C584" i="4"/>
  <c r="B584" i="4"/>
  <c r="N583" i="4"/>
  <c r="M583" i="4"/>
  <c r="E583" i="4"/>
  <c r="D583" i="4"/>
  <c r="C583" i="4"/>
  <c r="B583" i="4"/>
  <c r="N582" i="4"/>
  <c r="M582" i="4"/>
  <c r="E582" i="4"/>
  <c r="D582" i="4"/>
  <c r="C582" i="4"/>
  <c r="B582" i="4"/>
  <c r="N581" i="4"/>
  <c r="M581" i="4"/>
  <c r="E581" i="4"/>
  <c r="D581" i="4"/>
  <c r="C581" i="4"/>
  <c r="B581" i="4"/>
  <c r="N580" i="4"/>
  <c r="M580" i="4"/>
  <c r="E580" i="4"/>
  <c r="D580" i="4"/>
  <c r="C580" i="4"/>
  <c r="B580" i="4"/>
  <c r="N579" i="4"/>
  <c r="M579" i="4"/>
  <c r="E579" i="4"/>
  <c r="D579" i="4"/>
  <c r="C579" i="4"/>
  <c r="B579" i="4"/>
  <c r="N578" i="4"/>
  <c r="M578" i="4"/>
  <c r="E578" i="4"/>
  <c r="D578" i="4"/>
  <c r="C578" i="4"/>
  <c r="B578" i="4"/>
  <c r="N577" i="4"/>
  <c r="M577" i="4"/>
  <c r="E577" i="4"/>
  <c r="D577" i="4"/>
  <c r="C577" i="4"/>
  <c r="B577" i="4"/>
  <c r="N576" i="4"/>
  <c r="M576" i="4"/>
  <c r="E576" i="4"/>
  <c r="D576" i="4"/>
  <c r="C576" i="4"/>
  <c r="B576" i="4"/>
  <c r="N575" i="4"/>
  <c r="M575" i="4"/>
  <c r="E575" i="4"/>
  <c r="D575" i="4"/>
  <c r="C575" i="4"/>
  <c r="B575" i="4"/>
  <c r="N574" i="4"/>
  <c r="M574" i="4"/>
  <c r="E574" i="4"/>
  <c r="D574" i="4"/>
  <c r="C574" i="4"/>
  <c r="B574" i="4"/>
  <c r="N573" i="4"/>
  <c r="M573" i="4"/>
  <c r="E573" i="4"/>
  <c r="D573" i="4"/>
  <c r="C573" i="4"/>
  <c r="B573" i="4"/>
  <c r="S572" i="4"/>
  <c r="N572" i="4"/>
  <c r="M572" i="4"/>
  <c r="E572" i="4"/>
  <c r="D572" i="4"/>
  <c r="C572" i="4"/>
  <c r="B572" i="4"/>
  <c r="N571" i="4"/>
  <c r="M571" i="4"/>
  <c r="E571" i="4"/>
  <c r="D571" i="4"/>
  <c r="C571" i="4"/>
  <c r="B571" i="4"/>
  <c r="N570" i="4"/>
  <c r="M570" i="4"/>
  <c r="E570" i="4"/>
  <c r="D570" i="4"/>
  <c r="C570" i="4"/>
  <c r="B570" i="4"/>
  <c r="N569" i="4"/>
  <c r="M569" i="4"/>
  <c r="E569" i="4"/>
  <c r="D569" i="4"/>
  <c r="C569" i="4"/>
  <c r="B569" i="4"/>
  <c r="N568" i="4"/>
  <c r="M568" i="4"/>
  <c r="E568" i="4"/>
  <c r="D568" i="4"/>
  <c r="C568" i="4"/>
  <c r="B568" i="4"/>
  <c r="N567" i="4"/>
  <c r="M567" i="4"/>
  <c r="E567" i="4"/>
  <c r="D567" i="4"/>
  <c r="C567" i="4"/>
  <c r="B567" i="4"/>
  <c r="N566" i="4"/>
  <c r="M566" i="4"/>
  <c r="E566" i="4"/>
  <c r="D566" i="4"/>
  <c r="C566" i="4"/>
  <c r="B566" i="4"/>
  <c r="N565" i="4"/>
  <c r="M565" i="4"/>
  <c r="E565" i="4"/>
  <c r="D565" i="4"/>
  <c r="C565" i="4"/>
  <c r="B565" i="4"/>
  <c r="N564" i="4"/>
  <c r="M564" i="4"/>
  <c r="E564" i="4"/>
  <c r="D564" i="4"/>
  <c r="C564" i="4"/>
  <c r="B564" i="4"/>
  <c r="N563" i="4"/>
  <c r="M563" i="4"/>
  <c r="E563" i="4"/>
  <c r="D563" i="4"/>
  <c r="C563" i="4"/>
  <c r="B563" i="4"/>
  <c r="N562" i="4"/>
  <c r="M562" i="4"/>
  <c r="E562" i="4"/>
  <c r="D562" i="4"/>
  <c r="C562" i="4"/>
  <c r="B562" i="4"/>
  <c r="N561" i="4"/>
  <c r="M561" i="4"/>
  <c r="E561" i="4"/>
  <c r="D561" i="4"/>
  <c r="C561" i="4"/>
  <c r="B561" i="4"/>
  <c r="N560" i="4"/>
  <c r="M560" i="4"/>
  <c r="E560" i="4"/>
  <c r="D560" i="4"/>
  <c r="C560" i="4"/>
  <c r="B560" i="4"/>
  <c r="N559" i="4"/>
  <c r="M559" i="4"/>
  <c r="E559" i="4"/>
  <c r="D559" i="4"/>
  <c r="C559" i="4"/>
  <c r="B559" i="4"/>
  <c r="N558" i="4"/>
  <c r="M558" i="4"/>
  <c r="E558" i="4"/>
  <c r="D558" i="4"/>
  <c r="C558" i="4"/>
  <c r="B558" i="4"/>
  <c r="N557" i="4"/>
  <c r="M557" i="4"/>
  <c r="E557" i="4"/>
  <c r="D557" i="4"/>
  <c r="C557" i="4"/>
  <c r="B557" i="4"/>
  <c r="N556" i="4"/>
  <c r="M556" i="4"/>
  <c r="E556" i="4"/>
  <c r="D556" i="4"/>
  <c r="C556" i="4"/>
  <c r="B556" i="4"/>
  <c r="N555" i="4"/>
  <c r="M555" i="4"/>
  <c r="E555" i="4"/>
  <c r="D555" i="4"/>
  <c r="C555" i="4"/>
  <c r="B555" i="4"/>
  <c r="N554" i="4"/>
  <c r="M554" i="4"/>
  <c r="E554" i="4"/>
  <c r="D554" i="4"/>
  <c r="C554" i="4"/>
  <c r="B554" i="4"/>
  <c r="U553" i="4"/>
  <c r="N553" i="4"/>
  <c r="M553" i="4"/>
  <c r="E553" i="4"/>
  <c r="D553" i="4"/>
  <c r="C553" i="4"/>
  <c r="B553" i="4"/>
  <c r="N552" i="4"/>
  <c r="M552" i="4"/>
  <c r="E552" i="4"/>
  <c r="D552" i="4"/>
  <c r="C552" i="4"/>
  <c r="B552" i="4"/>
  <c r="N551" i="4"/>
  <c r="M551" i="4"/>
  <c r="E551" i="4"/>
  <c r="D551" i="4"/>
  <c r="C551" i="4"/>
  <c r="B551" i="4"/>
  <c r="N550" i="4"/>
  <c r="M550" i="4"/>
  <c r="E550" i="4"/>
  <c r="D550" i="4"/>
  <c r="C550" i="4"/>
  <c r="B550" i="4"/>
  <c r="N549" i="4"/>
  <c r="M549" i="4"/>
  <c r="E549" i="4"/>
  <c r="D549" i="4"/>
  <c r="C549" i="4"/>
  <c r="B549" i="4"/>
  <c r="U548" i="4"/>
  <c r="S548" i="4"/>
  <c r="N548" i="4"/>
  <c r="M548" i="4"/>
  <c r="E548" i="4"/>
  <c r="D548" i="4"/>
  <c r="C548" i="4"/>
  <c r="B548" i="4"/>
  <c r="N547" i="4"/>
  <c r="M547" i="4"/>
  <c r="E547" i="4"/>
  <c r="D547" i="4"/>
  <c r="C547" i="4"/>
  <c r="B547" i="4"/>
  <c r="N546" i="4"/>
  <c r="M546" i="4"/>
  <c r="E546" i="4"/>
  <c r="D546" i="4"/>
  <c r="C546" i="4"/>
  <c r="B546" i="4"/>
  <c r="N545" i="4"/>
  <c r="M545" i="4"/>
  <c r="E545" i="4"/>
  <c r="D545" i="4"/>
  <c r="C545" i="4"/>
  <c r="B545" i="4"/>
  <c r="N544" i="4"/>
  <c r="M544" i="4"/>
  <c r="E544" i="4"/>
  <c r="D544" i="4"/>
  <c r="C544" i="4"/>
  <c r="B544" i="4"/>
  <c r="N543" i="4"/>
  <c r="M543" i="4"/>
  <c r="E543" i="4"/>
  <c r="D543" i="4"/>
  <c r="C543" i="4"/>
  <c r="B543" i="4"/>
  <c r="N542" i="4"/>
  <c r="M542" i="4"/>
  <c r="E542" i="4"/>
  <c r="D542" i="4"/>
  <c r="C542" i="4"/>
  <c r="B542" i="4"/>
  <c r="N541" i="4"/>
  <c r="M541" i="4"/>
  <c r="E541" i="4"/>
  <c r="D541" i="4"/>
  <c r="C541" i="4"/>
  <c r="B541" i="4"/>
  <c r="N540" i="4"/>
  <c r="M540" i="4"/>
  <c r="E540" i="4"/>
  <c r="D540" i="4"/>
  <c r="C540" i="4"/>
  <c r="B540" i="4"/>
  <c r="N539" i="4"/>
  <c r="M539" i="4"/>
  <c r="E539" i="4"/>
  <c r="D539" i="4"/>
  <c r="C539" i="4"/>
  <c r="F539" i="4" s="1"/>
  <c r="B539" i="4"/>
  <c r="N538" i="4"/>
  <c r="M538" i="4"/>
  <c r="E538" i="4"/>
  <c r="D538" i="4"/>
  <c r="C538" i="4"/>
  <c r="B538" i="4"/>
  <c r="N537" i="4"/>
  <c r="M537" i="4"/>
  <c r="E537" i="4"/>
  <c r="D537" i="4"/>
  <c r="C537" i="4"/>
  <c r="B537" i="4"/>
  <c r="N536" i="4"/>
  <c r="M536" i="4"/>
  <c r="E536" i="4"/>
  <c r="D536" i="4"/>
  <c r="C536" i="4"/>
  <c r="B536" i="4"/>
  <c r="N535" i="4"/>
  <c r="M535" i="4"/>
  <c r="E535" i="4"/>
  <c r="D535" i="4"/>
  <c r="C535" i="4"/>
  <c r="B535" i="4"/>
  <c r="N534" i="4"/>
  <c r="M534" i="4"/>
  <c r="E534" i="4"/>
  <c r="D534" i="4"/>
  <c r="C534" i="4"/>
  <c r="B534" i="4"/>
  <c r="N533" i="4"/>
  <c r="M533" i="4"/>
  <c r="E533" i="4"/>
  <c r="D533" i="4"/>
  <c r="C533" i="4"/>
  <c r="B533" i="4"/>
  <c r="N532" i="4"/>
  <c r="M532" i="4"/>
  <c r="E532" i="4"/>
  <c r="D532" i="4"/>
  <c r="C532" i="4"/>
  <c r="B532" i="4"/>
  <c r="N531" i="4"/>
  <c r="M531" i="4"/>
  <c r="E531" i="4"/>
  <c r="D531" i="4"/>
  <c r="C531" i="4"/>
  <c r="B531" i="4"/>
  <c r="N530" i="4"/>
  <c r="M530" i="4"/>
  <c r="E530" i="4"/>
  <c r="D530" i="4"/>
  <c r="C530" i="4"/>
  <c r="B530" i="4"/>
  <c r="N529" i="4"/>
  <c r="M529" i="4"/>
  <c r="E529" i="4"/>
  <c r="D529" i="4"/>
  <c r="C529" i="4"/>
  <c r="B529" i="4"/>
  <c r="N528" i="4"/>
  <c r="M528" i="4"/>
  <c r="E528" i="4"/>
  <c r="D528" i="4"/>
  <c r="C528" i="4"/>
  <c r="B528" i="4"/>
  <c r="N527" i="4"/>
  <c r="M527" i="4"/>
  <c r="E527" i="4"/>
  <c r="D527" i="4"/>
  <c r="C527" i="4"/>
  <c r="B527" i="4"/>
  <c r="U526" i="4"/>
  <c r="N526" i="4"/>
  <c r="M526" i="4"/>
  <c r="E526" i="4"/>
  <c r="D526" i="4"/>
  <c r="C526" i="4"/>
  <c r="B526" i="4"/>
  <c r="N525" i="4"/>
  <c r="M525" i="4"/>
  <c r="E525" i="4"/>
  <c r="D525" i="4"/>
  <c r="C525" i="4"/>
  <c r="B525" i="4"/>
  <c r="N524" i="4"/>
  <c r="M524" i="4"/>
  <c r="E524" i="4"/>
  <c r="D524" i="4"/>
  <c r="C524" i="4"/>
  <c r="B524" i="4"/>
  <c r="N523" i="4"/>
  <c r="M523" i="4"/>
  <c r="E523" i="4"/>
  <c r="D523" i="4"/>
  <c r="C523" i="4"/>
  <c r="B523" i="4"/>
  <c r="S522" i="4"/>
  <c r="N522" i="4"/>
  <c r="M522" i="4"/>
  <c r="E522" i="4"/>
  <c r="D522" i="4"/>
  <c r="C522" i="4"/>
  <c r="B522" i="4"/>
  <c r="N521" i="4"/>
  <c r="M521" i="4"/>
  <c r="E521" i="4"/>
  <c r="D521" i="4"/>
  <c r="C521" i="4"/>
  <c r="B521" i="4"/>
  <c r="N520" i="4"/>
  <c r="M520" i="4"/>
  <c r="E520" i="4"/>
  <c r="D520" i="4"/>
  <c r="C520" i="4"/>
  <c r="B520" i="4"/>
  <c r="N519" i="4"/>
  <c r="M519" i="4"/>
  <c r="E519" i="4"/>
  <c r="D519" i="4"/>
  <c r="C519" i="4"/>
  <c r="B519" i="4"/>
  <c r="N518" i="4"/>
  <c r="M518" i="4"/>
  <c r="E518" i="4"/>
  <c r="D518" i="4"/>
  <c r="C518" i="4"/>
  <c r="B518" i="4"/>
  <c r="N517" i="4"/>
  <c r="M517" i="4"/>
  <c r="E517" i="4"/>
  <c r="D517" i="4"/>
  <c r="C517" i="4"/>
  <c r="B517" i="4"/>
  <c r="N516" i="4"/>
  <c r="M516" i="4"/>
  <c r="E516" i="4"/>
  <c r="D516" i="4"/>
  <c r="C516" i="4"/>
  <c r="B516" i="4"/>
  <c r="N515" i="4"/>
  <c r="M515" i="4"/>
  <c r="E515" i="4"/>
  <c r="D515" i="4"/>
  <c r="C515" i="4"/>
  <c r="B515" i="4"/>
  <c r="N514" i="4"/>
  <c r="M514" i="4"/>
  <c r="E514" i="4"/>
  <c r="D514" i="4"/>
  <c r="C514" i="4"/>
  <c r="B514" i="4"/>
  <c r="N513" i="4"/>
  <c r="M513" i="4"/>
  <c r="E513" i="4"/>
  <c r="D513" i="4"/>
  <c r="C513" i="4"/>
  <c r="B513" i="4"/>
  <c r="N512" i="4"/>
  <c r="M512" i="4"/>
  <c r="E512" i="4"/>
  <c r="D512" i="4"/>
  <c r="C512" i="4"/>
  <c r="B512" i="4"/>
  <c r="N511" i="4"/>
  <c r="M511" i="4"/>
  <c r="E511" i="4"/>
  <c r="D511" i="4"/>
  <c r="C511" i="4"/>
  <c r="B511" i="4"/>
  <c r="N510" i="4"/>
  <c r="M510" i="4"/>
  <c r="E510" i="4"/>
  <c r="D510" i="4"/>
  <c r="C510" i="4"/>
  <c r="B510" i="4"/>
  <c r="N509" i="4"/>
  <c r="M509" i="4"/>
  <c r="E509" i="4"/>
  <c r="D509" i="4"/>
  <c r="C509" i="4"/>
  <c r="B509" i="4"/>
  <c r="N508" i="4"/>
  <c r="M508" i="4"/>
  <c r="E508" i="4"/>
  <c r="D508" i="4"/>
  <c r="C508" i="4"/>
  <c r="B508" i="4"/>
  <c r="N507" i="4"/>
  <c r="M507" i="4"/>
  <c r="E507" i="4"/>
  <c r="D507" i="4"/>
  <c r="C507" i="4"/>
  <c r="B507" i="4"/>
  <c r="N506" i="4"/>
  <c r="M506" i="4"/>
  <c r="E506" i="4"/>
  <c r="D506" i="4"/>
  <c r="C506" i="4"/>
  <c r="B506" i="4"/>
  <c r="N505" i="4"/>
  <c r="M505" i="4"/>
  <c r="E505" i="4"/>
  <c r="D505" i="4"/>
  <c r="C505" i="4"/>
  <c r="B505" i="4"/>
  <c r="U504" i="4"/>
  <c r="N504" i="4"/>
  <c r="M504" i="4"/>
  <c r="E504" i="4"/>
  <c r="D504" i="4"/>
  <c r="C504" i="4"/>
  <c r="B504" i="4"/>
  <c r="S503" i="4"/>
  <c r="N503" i="4"/>
  <c r="M503" i="4"/>
  <c r="E503" i="4"/>
  <c r="D503" i="4"/>
  <c r="C503" i="4"/>
  <c r="B503" i="4"/>
  <c r="N502" i="4"/>
  <c r="M502" i="4"/>
  <c r="E502" i="4"/>
  <c r="D502" i="4"/>
  <c r="C502" i="4"/>
  <c r="B502" i="4"/>
  <c r="N501" i="4"/>
  <c r="M501" i="4"/>
  <c r="E501" i="4"/>
  <c r="D501" i="4"/>
  <c r="C501" i="4"/>
  <c r="B501" i="4"/>
  <c r="N500" i="4"/>
  <c r="M500" i="4"/>
  <c r="E500" i="4"/>
  <c r="D500" i="4"/>
  <c r="C500" i="4"/>
  <c r="B500" i="4"/>
  <c r="N499" i="4"/>
  <c r="M499" i="4"/>
  <c r="E499" i="4"/>
  <c r="D499" i="4"/>
  <c r="C499" i="4"/>
  <c r="B499" i="4"/>
  <c r="N498" i="4"/>
  <c r="M498" i="4"/>
  <c r="E498" i="4"/>
  <c r="D498" i="4"/>
  <c r="C498" i="4"/>
  <c r="B498" i="4"/>
  <c r="N497" i="4"/>
  <c r="M497" i="4"/>
  <c r="E497" i="4"/>
  <c r="D497" i="4"/>
  <c r="C497" i="4"/>
  <c r="B497" i="4"/>
  <c r="N496" i="4"/>
  <c r="M496" i="4"/>
  <c r="E496" i="4"/>
  <c r="D496" i="4"/>
  <c r="C496" i="4"/>
  <c r="B496" i="4"/>
  <c r="N495" i="4"/>
  <c r="M495" i="4"/>
  <c r="E495" i="4"/>
  <c r="D495" i="4"/>
  <c r="C495" i="4"/>
  <c r="B495" i="4"/>
  <c r="N494" i="4"/>
  <c r="M494" i="4"/>
  <c r="E494" i="4"/>
  <c r="D494" i="4"/>
  <c r="C494" i="4"/>
  <c r="B494" i="4"/>
  <c r="N493" i="4"/>
  <c r="M493" i="4"/>
  <c r="E493" i="4"/>
  <c r="D493" i="4"/>
  <c r="C493" i="4"/>
  <c r="B493" i="4"/>
  <c r="N492" i="4"/>
  <c r="M492" i="4"/>
  <c r="E492" i="4"/>
  <c r="D492" i="4"/>
  <c r="C492" i="4"/>
  <c r="B492" i="4"/>
  <c r="N491" i="4"/>
  <c r="M491" i="4"/>
  <c r="E491" i="4"/>
  <c r="D491" i="4"/>
  <c r="C491" i="4"/>
  <c r="B491" i="4"/>
  <c r="N490" i="4"/>
  <c r="M490" i="4"/>
  <c r="E490" i="4"/>
  <c r="D490" i="4"/>
  <c r="C490" i="4"/>
  <c r="B490" i="4"/>
  <c r="N489" i="4"/>
  <c r="M489" i="4"/>
  <c r="E489" i="4"/>
  <c r="D489" i="4"/>
  <c r="C489" i="4"/>
  <c r="B489" i="4"/>
  <c r="N488" i="4"/>
  <c r="M488" i="4"/>
  <c r="E488" i="4"/>
  <c r="D488" i="4"/>
  <c r="C488" i="4"/>
  <c r="B488" i="4"/>
  <c r="N487" i="4"/>
  <c r="M487" i="4"/>
  <c r="E487" i="4"/>
  <c r="D487" i="4"/>
  <c r="C487" i="4"/>
  <c r="B487" i="4"/>
  <c r="N486" i="4"/>
  <c r="M486" i="4"/>
  <c r="E486" i="4"/>
  <c r="D486" i="4"/>
  <c r="C486" i="4"/>
  <c r="B486" i="4"/>
  <c r="N485" i="4"/>
  <c r="M485" i="4"/>
  <c r="E485" i="4"/>
  <c r="D485" i="4"/>
  <c r="C485" i="4"/>
  <c r="B485" i="4"/>
  <c r="N484" i="4"/>
  <c r="M484" i="4"/>
  <c r="E484" i="4"/>
  <c r="D484" i="4"/>
  <c r="C484" i="4"/>
  <c r="B484" i="4"/>
  <c r="N483" i="4"/>
  <c r="M483" i="4"/>
  <c r="E483" i="4"/>
  <c r="D483" i="4"/>
  <c r="C483" i="4"/>
  <c r="B483" i="4"/>
  <c r="S482" i="4"/>
  <c r="N482" i="4"/>
  <c r="M482" i="4"/>
  <c r="E482" i="4"/>
  <c r="D482" i="4"/>
  <c r="C482" i="4"/>
  <c r="B482" i="4"/>
  <c r="N481" i="4"/>
  <c r="M481" i="4"/>
  <c r="E481" i="4"/>
  <c r="D481" i="4"/>
  <c r="C481" i="4"/>
  <c r="B481" i="4"/>
  <c r="N480" i="4"/>
  <c r="M480" i="4"/>
  <c r="E480" i="4"/>
  <c r="D480" i="4"/>
  <c r="C480" i="4"/>
  <c r="B480" i="4"/>
  <c r="N479" i="4"/>
  <c r="M479" i="4"/>
  <c r="E479" i="4"/>
  <c r="D479" i="4"/>
  <c r="C479" i="4"/>
  <c r="B479" i="4"/>
  <c r="N478" i="4"/>
  <c r="M478" i="4"/>
  <c r="E478" i="4"/>
  <c r="D478" i="4"/>
  <c r="C478" i="4"/>
  <c r="B478" i="4"/>
  <c r="N477" i="4"/>
  <c r="M477" i="4"/>
  <c r="E477" i="4"/>
  <c r="D477" i="4"/>
  <c r="C477" i="4"/>
  <c r="B477" i="4"/>
  <c r="N476" i="4"/>
  <c r="M476" i="4"/>
  <c r="E476" i="4"/>
  <c r="D476" i="4"/>
  <c r="C476" i="4"/>
  <c r="B476" i="4"/>
  <c r="N475" i="4"/>
  <c r="M475" i="4"/>
  <c r="E475" i="4"/>
  <c r="D475" i="4"/>
  <c r="C475" i="4"/>
  <c r="B475" i="4"/>
  <c r="N474" i="4"/>
  <c r="M474" i="4"/>
  <c r="E474" i="4"/>
  <c r="D474" i="4"/>
  <c r="C474" i="4"/>
  <c r="B474" i="4"/>
  <c r="U473" i="4"/>
  <c r="N473" i="4"/>
  <c r="M473" i="4"/>
  <c r="E473" i="4"/>
  <c r="D473" i="4"/>
  <c r="C473" i="4"/>
  <c r="B473" i="4"/>
  <c r="N472" i="4"/>
  <c r="M472" i="4"/>
  <c r="E472" i="4"/>
  <c r="D472" i="4"/>
  <c r="C472" i="4"/>
  <c r="B472" i="4"/>
  <c r="N471" i="4"/>
  <c r="M471" i="4"/>
  <c r="E471" i="4"/>
  <c r="D471" i="4"/>
  <c r="C471" i="4"/>
  <c r="B471" i="4"/>
  <c r="N470" i="4"/>
  <c r="M470" i="4"/>
  <c r="E470" i="4"/>
  <c r="D470" i="4"/>
  <c r="C470" i="4"/>
  <c r="B470" i="4"/>
  <c r="N469" i="4"/>
  <c r="M469" i="4"/>
  <c r="E469" i="4"/>
  <c r="D469" i="4"/>
  <c r="C469" i="4"/>
  <c r="B469" i="4"/>
  <c r="N468" i="4"/>
  <c r="M468" i="4"/>
  <c r="E468" i="4"/>
  <c r="D468" i="4"/>
  <c r="C468" i="4"/>
  <c r="B468" i="4"/>
  <c r="N467" i="4"/>
  <c r="M467" i="4"/>
  <c r="E467" i="4"/>
  <c r="D467" i="4"/>
  <c r="C467" i="4"/>
  <c r="B467" i="4"/>
  <c r="N466" i="4"/>
  <c r="M466" i="4"/>
  <c r="E466" i="4"/>
  <c r="D466" i="4"/>
  <c r="C466" i="4"/>
  <c r="B466" i="4"/>
  <c r="N465" i="4"/>
  <c r="M465" i="4"/>
  <c r="E465" i="4"/>
  <c r="D465" i="4"/>
  <c r="C465" i="4"/>
  <c r="B465" i="4"/>
  <c r="N464" i="4"/>
  <c r="M464" i="4"/>
  <c r="E464" i="4"/>
  <c r="D464" i="4"/>
  <c r="C464" i="4"/>
  <c r="B464" i="4"/>
  <c r="N463" i="4"/>
  <c r="M463" i="4"/>
  <c r="E463" i="4"/>
  <c r="D463" i="4"/>
  <c r="C463" i="4"/>
  <c r="B463" i="4"/>
  <c r="N462" i="4"/>
  <c r="M462" i="4"/>
  <c r="E462" i="4"/>
  <c r="D462" i="4"/>
  <c r="C462" i="4"/>
  <c r="B462" i="4"/>
  <c r="N461" i="4"/>
  <c r="M461" i="4"/>
  <c r="E461" i="4"/>
  <c r="D461" i="4"/>
  <c r="C461" i="4"/>
  <c r="B461" i="4"/>
  <c r="S460" i="4"/>
  <c r="N460" i="4"/>
  <c r="M460" i="4"/>
  <c r="E460" i="4"/>
  <c r="D460" i="4"/>
  <c r="C460" i="4"/>
  <c r="B460" i="4"/>
  <c r="N459" i="4"/>
  <c r="M459" i="4"/>
  <c r="E459" i="4"/>
  <c r="D459" i="4"/>
  <c r="C459" i="4"/>
  <c r="B459" i="4"/>
  <c r="S458" i="4"/>
  <c r="N458" i="4"/>
  <c r="M458" i="4"/>
  <c r="E458" i="4"/>
  <c r="D458" i="4"/>
  <c r="C458" i="4"/>
  <c r="B458" i="4"/>
  <c r="U457" i="4"/>
  <c r="S457" i="4"/>
  <c r="N457" i="4"/>
  <c r="M457" i="4"/>
  <c r="E457" i="4"/>
  <c r="D457" i="4"/>
  <c r="C457" i="4"/>
  <c r="B457" i="4"/>
  <c r="N456" i="4"/>
  <c r="M456" i="4"/>
  <c r="E456" i="4"/>
  <c r="D456" i="4"/>
  <c r="C456" i="4"/>
  <c r="B456" i="4"/>
  <c r="N455" i="4"/>
  <c r="M455" i="4"/>
  <c r="E455" i="4"/>
  <c r="D455" i="4"/>
  <c r="C455" i="4"/>
  <c r="B455" i="4"/>
  <c r="S454" i="4"/>
  <c r="N454" i="4"/>
  <c r="M454" i="4"/>
  <c r="E454" i="4"/>
  <c r="D454" i="4"/>
  <c r="C454" i="4"/>
  <c r="B454" i="4"/>
  <c r="N453" i="4"/>
  <c r="M453" i="4"/>
  <c r="E453" i="4"/>
  <c r="D453" i="4"/>
  <c r="C453" i="4"/>
  <c r="B453" i="4"/>
  <c r="N452" i="4"/>
  <c r="M452" i="4"/>
  <c r="E452" i="4"/>
  <c r="D452" i="4"/>
  <c r="C452" i="4"/>
  <c r="B452" i="4"/>
  <c r="N451" i="4"/>
  <c r="M451" i="4"/>
  <c r="E451" i="4"/>
  <c r="D451" i="4"/>
  <c r="C451" i="4"/>
  <c r="B451" i="4"/>
  <c r="N450" i="4"/>
  <c r="M450" i="4"/>
  <c r="E450" i="4"/>
  <c r="D450" i="4"/>
  <c r="C450" i="4"/>
  <c r="B450" i="4"/>
  <c r="N449" i="4"/>
  <c r="M449" i="4"/>
  <c r="E449" i="4"/>
  <c r="D449" i="4"/>
  <c r="C449" i="4"/>
  <c r="B449" i="4"/>
  <c r="N448" i="4"/>
  <c r="M448" i="4"/>
  <c r="E448" i="4"/>
  <c r="D448" i="4"/>
  <c r="C448" i="4"/>
  <c r="B448" i="4"/>
  <c r="N447" i="4"/>
  <c r="M447" i="4"/>
  <c r="E447" i="4"/>
  <c r="D447" i="4"/>
  <c r="C447" i="4"/>
  <c r="B447" i="4"/>
  <c r="N446" i="4"/>
  <c r="M446" i="4"/>
  <c r="E446" i="4"/>
  <c r="D446" i="4"/>
  <c r="C446" i="4"/>
  <c r="B446" i="4"/>
  <c r="N445" i="4"/>
  <c r="M445" i="4"/>
  <c r="E445" i="4"/>
  <c r="D445" i="4"/>
  <c r="C445" i="4"/>
  <c r="B445" i="4"/>
  <c r="U444" i="4"/>
  <c r="N444" i="4"/>
  <c r="M444" i="4"/>
  <c r="E444" i="4"/>
  <c r="D444" i="4"/>
  <c r="C444" i="4"/>
  <c r="B444" i="4"/>
  <c r="N443" i="4"/>
  <c r="M443" i="4"/>
  <c r="E443" i="4"/>
  <c r="D443" i="4"/>
  <c r="C443" i="4"/>
  <c r="B443" i="4"/>
  <c r="N442" i="4"/>
  <c r="M442" i="4"/>
  <c r="E442" i="4"/>
  <c r="D442" i="4"/>
  <c r="C442" i="4"/>
  <c r="B442" i="4"/>
  <c r="N441" i="4"/>
  <c r="M441" i="4"/>
  <c r="E441" i="4"/>
  <c r="D441" i="4"/>
  <c r="C441" i="4"/>
  <c r="B441" i="4"/>
  <c r="N440" i="4"/>
  <c r="M440" i="4"/>
  <c r="E440" i="4"/>
  <c r="D440" i="4"/>
  <c r="C440" i="4"/>
  <c r="B440" i="4"/>
  <c r="N439" i="4"/>
  <c r="M439" i="4"/>
  <c r="E439" i="4"/>
  <c r="D439" i="4"/>
  <c r="C439" i="4"/>
  <c r="B439" i="4"/>
  <c r="N438" i="4"/>
  <c r="M438" i="4"/>
  <c r="E438" i="4"/>
  <c r="D438" i="4"/>
  <c r="C438" i="4"/>
  <c r="B438" i="4"/>
  <c r="N437" i="4"/>
  <c r="M437" i="4"/>
  <c r="E437" i="4"/>
  <c r="D437" i="4"/>
  <c r="C437" i="4"/>
  <c r="B437" i="4"/>
  <c r="N436" i="4"/>
  <c r="M436" i="4"/>
  <c r="E436" i="4"/>
  <c r="D436" i="4"/>
  <c r="C436" i="4"/>
  <c r="B436" i="4"/>
  <c r="N435" i="4"/>
  <c r="M435" i="4"/>
  <c r="E435" i="4"/>
  <c r="D435" i="4"/>
  <c r="C435" i="4"/>
  <c r="B435" i="4"/>
  <c r="N434" i="4"/>
  <c r="M434" i="4"/>
  <c r="E434" i="4"/>
  <c r="D434" i="4"/>
  <c r="C434" i="4"/>
  <c r="B434" i="4"/>
  <c r="N433" i="4"/>
  <c r="M433" i="4"/>
  <c r="E433" i="4"/>
  <c r="D433" i="4"/>
  <c r="C433" i="4"/>
  <c r="B433" i="4"/>
  <c r="N432" i="4"/>
  <c r="M432" i="4"/>
  <c r="E432" i="4"/>
  <c r="D432" i="4"/>
  <c r="C432" i="4"/>
  <c r="B432" i="4"/>
  <c r="N431" i="4"/>
  <c r="M431" i="4"/>
  <c r="E431" i="4"/>
  <c r="D431" i="4"/>
  <c r="C431" i="4"/>
  <c r="B431" i="4"/>
  <c r="N430" i="4"/>
  <c r="M430" i="4"/>
  <c r="E430" i="4"/>
  <c r="D430" i="4"/>
  <c r="C430" i="4"/>
  <c r="B430" i="4"/>
  <c r="N429" i="4"/>
  <c r="M429" i="4"/>
  <c r="E429" i="4"/>
  <c r="D429" i="4"/>
  <c r="C429" i="4"/>
  <c r="B429" i="4"/>
  <c r="N428" i="4"/>
  <c r="M428" i="4"/>
  <c r="E428" i="4"/>
  <c r="D428" i="4"/>
  <c r="C428" i="4"/>
  <c r="B428" i="4"/>
  <c r="N427" i="4"/>
  <c r="M427" i="4"/>
  <c r="E427" i="4"/>
  <c r="D427" i="4"/>
  <c r="C427" i="4"/>
  <c r="B427" i="4"/>
  <c r="N426" i="4"/>
  <c r="M426" i="4"/>
  <c r="E426" i="4"/>
  <c r="D426" i="4"/>
  <c r="C426" i="4"/>
  <c r="B426" i="4"/>
  <c r="N425" i="4"/>
  <c r="M425" i="4"/>
  <c r="E425" i="4"/>
  <c r="D425" i="4"/>
  <c r="C425" i="4"/>
  <c r="B425" i="4"/>
  <c r="N424" i="4"/>
  <c r="M424" i="4"/>
  <c r="E424" i="4"/>
  <c r="D424" i="4"/>
  <c r="C424" i="4"/>
  <c r="B424" i="4"/>
  <c r="N423" i="4"/>
  <c r="M423" i="4"/>
  <c r="E423" i="4"/>
  <c r="D423" i="4"/>
  <c r="C423" i="4"/>
  <c r="B423" i="4"/>
  <c r="N422" i="4"/>
  <c r="M422" i="4"/>
  <c r="E422" i="4"/>
  <c r="D422" i="4"/>
  <c r="C422" i="4"/>
  <c r="B422" i="4"/>
  <c r="N421" i="4"/>
  <c r="M421" i="4"/>
  <c r="E421" i="4"/>
  <c r="D421" i="4"/>
  <c r="C421" i="4"/>
  <c r="B421" i="4"/>
  <c r="N420" i="4"/>
  <c r="M420" i="4"/>
  <c r="E420" i="4"/>
  <c r="D420" i="4"/>
  <c r="C420" i="4"/>
  <c r="B420" i="4"/>
  <c r="N419" i="4"/>
  <c r="M419" i="4"/>
  <c r="E419" i="4"/>
  <c r="D419" i="4"/>
  <c r="C419" i="4"/>
  <c r="B419" i="4"/>
  <c r="N418" i="4"/>
  <c r="M418" i="4"/>
  <c r="E418" i="4"/>
  <c r="D418" i="4"/>
  <c r="C418" i="4"/>
  <c r="B418" i="4"/>
  <c r="N417" i="4"/>
  <c r="M417" i="4"/>
  <c r="E417" i="4"/>
  <c r="D417" i="4"/>
  <c r="C417" i="4"/>
  <c r="B417" i="4"/>
  <c r="N416" i="4"/>
  <c r="M416" i="4"/>
  <c r="E416" i="4"/>
  <c r="D416" i="4"/>
  <c r="C416" i="4"/>
  <c r="B416" i="4"/>
  <c r="N415" i="4"/>
  <c r="M415" i="4"/>
  <c r="E415" i="4"/>
  <c r="D415" i="4"/>
  <c r="C415" i="4"/>
  <c r="B415" i="4"/>
  <c r="N414" i="4"/>
  <c r="M414" i="4"/>
  <c r="E414" i="4"/>
  <c r="D414" i="4"/>
  <c r="C414" i="4"/>
  <c r="B414" i="4"/>
  <c r="N413" i="4"/>
  <c r="M413" i="4"/>
  <c r="E413" i="4"/>
  <c r="D413" i="4"/>
  <c r="C413" i="4"/>
  <c r="B413" i="4"/>
  <c r="N412" i="4"/>
  <c r="M412" i="4"/>
  <c r="E412" i="4"/>
  <c r="D412" i="4"/>
  <c r="C412" i="4"/>
  <c r="B412" i="4"/>
  <c r="N411" i="4"/>
  <c r="M411" i="4"/>
  <c r="E411" i="4"/>
  <c r="D411" i="4"/>
  <c r="C411" i="4"/>
  <c r="B411" i="4"/>
  <c r="U410" i="4"/>
  <c r="N410" i="4"/>
  <c r="M410" i="4"/>
  <c r="E410" i="4"/>
  <c r="D410" i="4"/>
  <c r="C410" i="4"/>
  <c r="B410" i="4"/>
  <c r="N409" i="4"/>
  <c r="M409" i="4"/>
  <c r="E409" i="4"/>
  <c r="D409" i="4"/>
  <c r="C409" i="4"/>
  <c r="B409" i="4"/>
  <c r="N408" i="4"/>
  <c r="M408" i="4"/>
  <c r="E408" i="4"/>
  <c r="D408" i="4"/>
  <c r="C408" i="4"/>
  <c r="B408" i="4"/>
  <c r="N407" i="4"/>
  <c r="M407" i="4"/>
  <c r="E407" i="4"/>
  <c r="D407" i="4"/>
  <c r="C407" i="4"/>
  <c r="B407" i="4"/>
  <c r="N406" i="4"/>
  <c r="M406" i="4"/>
  <c r="E406" i="4"/>
  <c r="D406" i="4"/>
  <c r="C406" i="4"/>
  <c r="B406" i="4"/>
  <c r="N405" i="4"/>
  <c r="M405" i="4"/>
  <c r="E405" i="4"/>
  <c r="D405" i="4"/>
  <c r="C405" i="4"/>
  <c r="B405" i="4"/>
  <c r="N404" i="4"/>
  <c r="M404" i="4"/>
  <c r="E404" i="4"/>
  <c r="D404" i="4"/>
  <c r="C404" i="4"/>
  <c r="B404" i="4"/>
  <c r="U403" i="4"/>
  <c r="N403" i="4"/>
  <c r="M403" i="4"/>
  <c r="E403" i="4"/>
  <c r="D403" i="4"/>
  <c r="C403" i="4"/>
  <c r="B403" i="4"/>
  <c r="N402" i="4"/>
  <c r="M402" i="4"/>
  <c r="E402" i="4"/>
  <c r="D402" i="4"/>
  <c r="C402" i="4"/>
  <c r="B402" i="4"/>
  <c r="N401" i="4"/>
  <c r="M401" i="4"/>
  <c r="E401" i="4"/>
  <c r="D401" i="4"/>
  <c r="C401" i="4"/>
  <c r="B401" i="4"/>
  <c r="N400" i="4"/>
  <c r="M400" i="4"/>
  <c r="E400" i="4"/>
  <c r="D400" i="4"/>
  <c r="C400" i="4"/>
  <c r="B400" i="4"/>
  <c r="N399" i="4"/>
  <c r="M399" i="4"/>
  <c r="E399" i="4"/>
  <c r="D399" i="4"/>
  <c r="C399" i="4"/>
  <c r="B399" i="4"/>
  <c r="N398" i="4"/>
  <c r="M398" i="4"/>
  <c r="E398" i="4"/>
  <c r="D398" i="4"/>
  <c r="C398" i="4"/>
  <c r="B398" i="4"/>
  <c r="N397" i="4"/>
  <c r="M397" i="4"/>
  <c r="E397" i="4"/>
  <c r="D397" i="4"/>
  <c r="C397" i="4"/>
  <c r="B397" i="4"/>
  <c r="N396" i="4"/>
  <c r="M396" i="4"/>
  <c r="E396" i="4"/>
  <c r="D396" i="4"/>
  <c r="C396" i="4"/>
  <c r="B396" i="4"/>
  <c r="U395" i="4"/>
  <c r="N395" i="4"/>
  <c r="M395" i="4"/>
  <c r="E395" i="4"/>
  <c r="D395" i="4"/>
  <c r="C395" i="4"/>
  <c r="B395" i="4"/>
  <c r="N394" i="4"/>
  <c r="M394" i="4"/>
  <c r="E394" i="4"/>
  <c r="D394" i="4"/>
  <c r="C394" i="4"/>
  <c r="B394" i="4"/>
  <c r="N393" i="4"/>
  <c r="M393" i="4"/>
  <c r="E393" i="4"/>
  <c r="D393" i="4"/>
  <c r="C393" i="4"/>
  <c r="B393" i="4"/>
  <c r="N392" i="4"/>
  <c r="M392" i="4"/>
  <c r="E392" i="4"/>
  <c r="D392" i="4"/>
  <c r="C392" i="4"/>
  <c r="B392" i="4"/>
  <c r="N391" i="4"/>
  <c r="M391" i="4"/>
  <c r="E391" i="4"/>
  <c r="D391" i="4"/>
  <c r="C391" i="4"/>
  <c r="B391" i="4"/>
  <c r="N390" i="4"/>
  <c r="M390" i="4"/>
  <c r="E390" i="4"/>
  <c r="D390" i="4"/>
  <c r="C390" i="4"/>
  <c r="B390" i="4"/>
  <c r="N389" i="4"/>
  <c r="M389" i="4"/>
  <c r="E389" i="4"/>
  <c r="D389" i="4"/>
  <c r="C389" i="4"/>
  <c r="B389" i="4"/>
  <c r="S388" i="4"/>
  <c r="N388" i="4"/>
  <c r="M388" i="4"/>
  <c r="E388" i="4"/>
  <c r="D388" i="4"/>
  <c r="C388" i="4"/>
  <c r="B388" i="4"/>
  <c r="N387" i="4"/>
  <c r="M387" i="4"/>
  <c r="E387" i="4"/>
  <c r="D387" i="4"/>
  <c r="C387" i="4"/>
  <c r="B387" i="4"/>
  <c r="N386" i="4"/>
  <c r="M386" i="4"/>
  <c r="E386" i="4"/>
  <c r="D386" i="4"/>
  <c r="C386" i="4"/>
  <c r="B386" i="4"/>
  <c r="N385" i="4"/>
  <c r="M385" i="4"/>
  <c r="E385" i="4"/>
  <c r="D385" i="4"/>
  <c r="C385" i="4"/>
  <c r="B385" i="4"/>
  <c r="N384" i="4"/>
  <c r="M384" i="4"/>
  <c r="E384" i="4"/>
  <c r="D384" i="4"/>
  <c r="C384" i="4"/>
  <c r="L384" i="4" s="1"/>
  <c r="B384" i="4"/>
  <c r="N383" i="4"/>
  <c r="M383" i="4"/>
  <c r="E383" i="4"/>
  <c r="D383" i="4"/>
  <c r="C383" i="4"/>
  <c r="B383" i="4"/>
  <c r="N382" i="4"/>
  <c r="M382" i="4"/>
  <c r="E382" i="4"/>
  <c r="D382" i="4"/>
  <c r="C382" i="4"/>
  <c r="B382" i="4"/>
  <c r="U381" i="4"/>
  <c r="N381" i="4"/>
  <c r="M381" i="4"/>
  <c r="E381" i="4"/>
  <c r="D381" i="4"/>
  <c r="C381" i="4"/>
  <c r="B381" i="4"/>
  <c r="N380" i="4"/>
  <c r="M380" i="4"/>
  <c r="E380" i="4"/>
  <c r="D380" i="4"/>
  <c r="C380" i="4"/>
  <c r="B380" i="4"/>
  <c r="N379" i="4"/>
  <c r="M379" i="4"/>
  <c r="E379" i="4"/>
  <c r="D379" i="4"/>
  <c r="C379" i="4"/>
  <c r="B379" i="4"/>
  <c r="N378" i="4"/>
  <c r="M378" i="4"/>
  <c r="E378" i="4"/>
  <c r="D378" i="4"/>
  <c r="C378" i="4"/>
  <c r="B378" i="4"/>
  <c r="U377" i="4"/>
  <c r="N377" i="4"/>
  <c r="M377" i="4"/>
  <c r="E377" i="4"/>
  <c r="D377" i="4"/>
  <c r="C377" i="4"/>
  <c r="B377" i="4"/>
  <c r="S376" i="4"/>
  <c r="N376" i="4"/>
  <c r="M376" i="4"/>
  <c r="E376" i="4"/>
  <c r="D376" i="4"/>
  <c r="C376" i="4"/>
  <c r="B376" i="4"/>
  <c r="N375" i="4"/>
  <c r="M375" i="4"/>
  <c r="E375" i="4"/>
  <c r="D375" i="4"/>
  <c r="C375" i="4"/>
  <c r="B375" i="4"/>
  <c r="N374" i="4"/>
  <c r="M374" i="4"/>
  <c r="E374" i="4"/>
  <c r="D374" i="4"/>
  <c r="C374" i="4"/>
  <c r="B374" i="4"/>
  <c r="U373" i="4"/>
  <c r="N373" i="4"/>
  <c r="M373" i="4"/>
  <c r="E373" i="4"/>
  <c r="D373" i="4"/>
  <c r="C373" i="4"/>
  <c r="G373" i="4" s="1"/>
  <c r="P373" i="4" s="1"/>
  <c r="B373" i="4"/>
  <c r="N372" i="4"/>
  <c r="M372" i="4"/>
  <c r="E372" i="4"/>
  <c r="D372" i="4"/>
  <c r="C372" i="4"/>
  <c r="B372" i="4"/>
  <c r="N371" i="4"/>
  <c r="M371" i="4"/>
  <c r="E371" i="4"/>
  <c r="D371" i="4"/>
  <c r="C371" i="4"/>
  <c r="B371" i="4"/>
  <c r="N370" i="4"/>
  <c r="M370" i="4"/>
  <c r="E370" i="4"/>
  <c r="D370" i="4"/>
  <c r="L370" i="4" s="1"/>
  <c r="C370" i="4"/>
  <c r="B370" i="4"/>
  <c r="N369" i="4"/>
  <c r="M369" i="4"/>
  <c r="E369" i="4"/>
  <c r="D369" i="4"/>
  <c r="C369" i="4"/>
  <c r="B369" i="4"/>
  <c r="N368" i="4"/>
  <c r="M368" i="4"/>
  <c r="E368" i="4"/>
  <c r="D368" i="4"/>
  <c r="C368" i="4"/>
  <c r="B368" i="4"/>
  <c r="U367" i="4"/>
  <c r="N367" i="4"/>
  <c r="M367" i="4"/>
  <c r="E367" i="4"/>
  <c r="D367" i="4"/>
  <c r="C367" i="4"/>
  <c r="B367" i="4"/>
  <c r="N366" i="4"/>
  <c r="M366" i="4"/>
  <c r="E366" i="4"/>
  <c r="D366" i="4"/>
  <c r="C366" i="4"/>
  <c r="B366" i="4"/>
  <c r="S365" i="4"/>
  <c r="N365" i="4"/>
  <c r="M365" i="4"/>
  <c r="E365" i="4"/>
  <c r="D365" i="4"/>
  <c r="C365" i="4"/>
  <c r="B365" i="4"/>
  <c r="S364" i="4"/>
  <c r="N364" i="4"/>
  <c r="M364" i="4"/>
  <c r="E364" i="4"/>
  <c r="D364" i="4"/>
  <c r="C364" i="4"/>
  <c r="B364" i="4"/>
  <c r="N363" i="4"/>
  <c r="M363" i="4"/>
  <c r="E363" i="4"/>
  <c r="D363" i="4"/>
  <c r="C363" i="4"/>
  <c r="B363" i="4"/>
  <c r="U362" i="4"/>
  <c r="N362" i="4"/>
  <c r="M362" i="4"/>
  <c r="E362" i="4"/>
  <c r="D362" i="4"/>
  <c r="C362" i="4"/>
  <c r="B362" i="4"/>
  <c r="N361" i="4"/>
  <c r="M361" i="4"/>
  <c r="E361" i="4"/>
  <c r="D361" i="4"/>
  <c r="C361" i="4"/>
  <c r="B361" i="4"/>
  <c r="N360" i="4"/>
  <c r="M360" i="4"/>
  <c r="E360" i="4"/>
  <c r="D360" i="4"/>
  <c r="C360" i="4"/>
  <c r="B360" i="4"/>
  <c r="N359" i="4"/>
  <c r="M359" i="4"/>
  <c r="E359" i="4"/>
  <c r="D359" i="4"/>
  <c r="C359" i="4"/>
  <c r="B359" i="4"/>
  <c r="S359" i="4" s="1"/>
  <c r="N358" i="4"/>
  <c r="M358" i="4"/>
  <c r="E358" i="4"/>
  <c r="D358" i="4"/>
  <c r="C358" i="4"/>
  <c r="B358" i="4"/>
  <c r="S357" i="4"/>
  <c r="N357" i="4"/>
  <c r="M357" i="4"/>
  <c r="E357" i="4"/>
  <c r="D357" i="4"/>
  <c r="C357" i="4"/>
  <c r="B357" i="4"/>
  <c r="N356" i="4"/>
  <c r="M356" i="4"/>
  <c r="E356" i="4"/>
  <c r="D356" i="4"/>
  <c r="C356" i="4"/>
  <c r="B356" i="4"/>
  <c r="U355" i="4"/>
  <c r="N355" i="4"/>
  <c r="M355" i="4"/>
  <c r="E355" i="4"/>
  <c r="D355" i="4"/>
  <c r="C355" i="4"/>
  <c r="B355" i="4"/>
  <c r="N354" i="4"/>
  <c r="M354" i="4"/>
  <c r="E354" i="4"/>
  <c r="D354" i="4"/>
  <c r="C354" i="4"/>
  <c r="B354" i="4"/>
  <c r="U353" i="4"/>
  <c r="N353" i="4"/>
  <c r="M353" i="4"/>
  <c r="E353" i="4"/>
  <c r="D353" i="4"/>
  <c r="C353" i="4"/>
  <c r="B353" i="4"/>
  <c r="N352" i="4"/>
  <c r="M352" i="4"/>
  <c r="E352" i="4"/>
  <c r="D352" i="4"/>
  <c r="C352" i="4"/>
  <c r="B352" i="4"/>
  <c r="N351" i="4"/>
  <c r="M351" i="4"/>
  <c r="E351" i="4"/>
  <c r="D351" i="4"/>
  <c r="C351" i="4"/>
  <c r="B351" i="4"/>
  <c r="N350" i="4"/>
  <c r="M350" i="4"/>
  <c r="E350" i="4"/>
  <c r="D350" i="4"/>
  <c r="C350" i="4"/>
  <c r="B350" i="4"/>
  <c r="S349" i="4"/>
  <c r="N349" i="4"/>
  <c r="M349" i="4"/>
  <c r="E349" i="4"/>
  <c r="D349" i="4"/>
  <c r="C349" i="4"/>
  <c r="L349" i="4" s="1"/>
  <c r="B349" i="4"/>
  <c r="U348" i="4"/>
  <c r="N348" i="4"/>
  <c r="M348" i="4"/>
  <c r="E348" i="4"/>
  <c r="D348" i="4"/>
  <c r="C348" i="4"/>
  <c r="B348" i="4"/>
  <c r="U347" i="4"/>
  <c r="N347" i="4"/>
  <c r="M347" i="4"/>
  <c r="E347" i="4"/>
  <c r="D347" i="4"/>
  <c r="C347" i="4"/>
  <c r="B347" i="4"/>
  <c r="N346" i="4"/>
  <c r="M346" i="4"/>
  <c r="E346" i="4"/>
  <c r="D346" i="4"/>
  <c r="C346" i="4"/>
  <c r="B346" i="4"/>
  <c r="N345" i="4"/>
  <c r="M345" i="4"/>
  <c r="E345" i="4"/>
  <c r="D345" i="4"/>
  <c r="C345" i="4"/>
  <c r="B345" i="4"/>
  <c r="S344" i="4"/>
  <c r="N344" i="4"/>
  <c r="M344" i="4"/>
  <c r="E344" i="4"/>
  <c r="D344" i="4"/>
  <c r="C344" i="4"/>
  <c r="B344" i="4"/>
  <c r="N343" i="4"/>
  <c r="M343" i="4"/>
  <c r="E343" i="4"/>
  <c r="D343" i="4"/>
  <c r="C343" i="4"/>
  <c r="B343" i="4"/>
  <c r="U342" i="4"/>
  <c r="N342" i="4"/>
  <c r="M342" i="4"/>
  <c r="E342" i="4"/>
  <c r="D342" i="4"/>
  <c r="C342" i="4"/>
  <c r="B342" i="4"/>
  <c r="U341" i="4"/>
  <c r="N341" i="4"/>
  <c r="M341" i="4"/>
  <c r="E341" i="4"/>
  <c r="D341" i="4"/>
  <c r="C341" i="4"/>
  <c r="B341" i="4"/>
  <c r="N340" i="4"/>
  <c r="M340" i="4"/>
  <c r="E340" i="4"/>
  <c r="D340" i="4"/>
  <c r="C340" i="4"/>
  <c r="B340" i="4"/>
  <c r="N339" i="4"/>
  <c r="M339" i="4"/>
  <c r="E339" i="4"/>
  <c r="D339" i="4"/>
  <c r="C339" i="4"/>
  <c r="B339" i="4"/>
  <c r="N338" i="4"/>
  <c r="M338" i="4"/>
  <c r="E338" i="4"/>
  <c r="D338" i="4"/>
  <c r="C338" i="4"/>
  <c r="B338" i="4"/>
  <c r="N337" i="4"/>
  <c r="M337" i="4"/>
  <c r="E337" i="4"/>
  <c r="D337" i="4"/>
  <c r="C337" i="4"/>
  <c r="B337" i="4"/>
  <c r="S336" i="4"/>
  <c r="N336" i="4"/>
  <c r="M336" i="4"/>
  <c r="E336" i="4"/>
  <c r="D336" i="4"/>
  <c r="C336" i="4"/>
  <c r="B336" i="4"/>
  <c r="N335" i="4"/>
  <c r="M335" i="4"/>
  <c r="E335" i="4"/>
  <c r="D335" i="4"/>
  <c r="C335" i="4"/>
  <c r="B335" i="4"/>
  <c r="N334" i="4"/>
  <c r="M334" i="4"/>
  <c r="E334" i="4"/>
  <c r="D334" i="4"/>
  <c r="C334" i="4"/>
  <c r="B334" i="4"/>
  <c r="U333" i="4"/>
  <c r="S333" i="4"/>
  <c r="N333" i="4"/>
  <c r="M333" i="4"/>
  <c r="E333" i="4"/>
  <c r="D333" i="4"/>
  <c r="C333" i="4"/>
  <c r="B333" i="4"/>
  <c r="N332" i="4"/>
  <c r="M332" i="4"/>
  <c r="E332" i="4"/>
  <c r="D332" i="4"/>
  <c r="C332" i="4"/>
  <c r="B332" i="4"/>
  <c r="N331" i="4"/>
  <c r="M331" i="4"/>
  <c r="E331" i="4"/>
  <c r="D331" i="4"/>
  <c r="C331" i="4"/>
  <c r="B331" i="4"/>
  <c r="N330" i="4"/>
  <c r="M330" i="4"/>
  <c r="E330" i="4"/>
  <c r="D330" i="4"/>
  <c r="C330" i="4"/>
  <c r="B330" i="4"/>
  <c r="S329" i="4"/>
  <c r="N329" i="4"/>
  <c r="M329" i="4"/>
  <c r="E329" i="4"/>
  <c r="D329" i="4"/>
  <c r="C329" i="4"/>
  <c r="B329" i="4"/>
  <c r="N328" i="4"/>
  <c r="M328" i="4"/>
  <c r="E328" i="4"/>
  <c r="D328" i="4"/>
  <c r="C328" i="4"/>
  <c r="B328" i="4"/>
  <c r="N327" i="4"/>
  <c r="M327" i="4"/>
  <c r="E327" i="4"/>
  <c r="D327" i="4"/>
  <c r="C327" i="4"/>
  <c r="B327" i="4"/>
  <c r="U326" i="4"/>
  <c r="N326" i="4"/>
  <c r="M326" i="4"/>
  <c r="E326" i="4"/>
  <c r="D326" i="4"/>
  <c r="C326" i="4"/>
  <c r="B326" i="4"/>
  <c r="N325" i="4"/>
  <c r="M325" i="4"/>
  <c r="E325" i="4"/>
  <c r="D325" i="4"/>
  <c r="C325" i="4"/>
  <c r="B325" i="4"/>
  <c r="S324" i="4"/>
  <c r="N324" i="4"/>
  <c r="M324" i="4"/>
  <c r="E324" i="4"/>
  <c r="D324" i="4"/>
  <c r="C324" i="4"/>
  <c r="B324" i="4"/>
  <c r="N323" i="4"/>
  <c r="M323" i="4"/>
  <c r="E323" i="4"/>
  <c r="D323" i="4"/>
  <c r="C323" i="4"/>
  <c r="B323" i="4"/>
  <c r="N322" i="4"/>
  <c r="M322" i="4"/>
  <c r="E322" i="4"/>
  <c r="D322" i="4"/>
  <c r="C322" i="4"/>
  <c r="B322" i="4"/>
  <c r="N321" i="4"/>
  <c r="M321" i="4"/>
  <c r="E321" i="4"/>
  <c r="D321" i="4"/>
  <c r="C321" i="4"/>
  <c r="B321" i="4"/>
  <c r="N320" i="4"/>
  <c r="M320" i="4"/>
  <c r="E320" i="4"/>
  <c r="D320" i="4"/>
  <c r="C320" i="4"/>
  <c r="B320" i="4"/>
  <c r="N319" i="4"/>
  <c r="M319" i="4"/>
  <c r="E319" i="4"/>
  <c r="D319" i="4"/>
  <c r="C319" i="4"/>
  <c r="B319" i="4"/>
  <c r="S318" i="4"/>
  <c r="N318" i="4"/>
  <c r="M318" i="4"/>
  <c r="E318" i="4"/>
  <c r="D318" i="4"/>
  <c r="C318" i="4"/>
  <c r="B318" i="4"/>
  <c r="N317" i="4"/>
  <c r="M317" i="4"/>
  <c r="E317" i="4"/>
  <c r="D317" i="4"/>
  <c r="C317" i="4"/>
  <c r="B317" i="4"/>
  <c r="S316" i="4"/>
  <c r="N316" i="4"/>
  <c r="M316" i="4"/>
  <c r="E316" i="4"/>
  <c r="D316" i="4"/>
  <c r="C316" i="4"/>
  <c r="B316" i="4"/>
  <c r="N315" i="4"/>
  <c r="M315" i="4"/>
  <c r="E315" i="4"/>
  <c r="D315" i="4"/>
  <c r="C315" i="4"/>
  <c r="B315" i="4"/>
  <c r="S314" i="4"/>
  <c r="N314" i="4"/>
  <c r="M314" i="4"/>
  <c r="E314" i="4"/>
  <c r="D314" i="4"/>
  <c r="C314" i="4"/>
  <c r="B314" i="4"/>
  <c r="S313" i="4"/>
  <c r="N313" i="4"/>
  <c r="M313" i="4"/>
  <c r="E313" i="4"/>
  <c r="D313" i="4"/>
  <c r="C313" i="4"/>
  <c r="B313" i="4"/>
  <c r="N312" i="4"/>
  <c r="M312" i="4"/>
  <c r="E312" i="4"/>
  <c r="D312" i="4"/>
  <c r="C312" i="4"/>
  <c r="B312" i="4"/>
  <c r="N311" i="4"/>
  <c r="M311" i="4"/>
  <c r="E311" i="4"/>
  <c r="D311" i="4"/>
  <c r="C311" i="4"/>
  <c r="B311" i="4"/>
  <c r="S310" i="4"/>
  <c r="N310" i="4"/>
  <c r="M310" i="4"/>
  <c r="E310" i="4"/>
  <c r="D310" i="4"/>
  <c r="C310" i="4"/>
  <c r="B310" i="4"/>
  <c r="S309" i="4"/>
  <c r="N309" i="4"/>
  <c r="M309" i="4"/>
  <c r="E309" i="4"/>
  <c r="D309" i="4"/>
  <c r="C309" i="4"/>
  <c r="B309" i="4"/>
  <c r="S308" i="4"/>
  <c r="N308" i="4"/>
  <c r="M308" i="4"/>
  <c r="E308" i="4"/>
  <c r="D308" i="4"/>
  <c r="C308" i="4"/>
  <c r="B308" i="4"/>
  <c r="U307" i="4"/>
  <c r="N307" i="4"/>
  <c r="M307" i="4"/>
  <c r="E307" i="4"/>
  <c r="D307" i="4"/>
  <c r="C307" i="4"/>
  <c r="B307" i="4"/>
  <c r="N306" i="4"/>
  <c r="M306" i="4"/>
  <c r="E306" i="4"/>
  <c r="D306" i="4"/>
  <c r="C306" i="4"/>
  <c r="L306" i="4" s="1"/>
  <c r="B306" i="4"/>
  <c r="N305" i="4"/>
  <c r="M305" i="4"/>
  <c r="E305" i="4"/>
  <c r="D305" i="4"/>
  <c r="C305" i="4"/>
  <c r="B305" i="4"/>
  <c r="N304" i="4"/>
  <c r="M304" i="4"/>
  <c r="E304" i="4"/>
  <c r="D304" i="4"/>
  <c r="C304" i="4"/>
  <c r="B304" i="4"/>
  <c r="N303" i="4"/>
  <c r="M303" i="4"/>
  <c r="E303" i="4"/>
  <c r="D303" i="4"/>
  <c r="C303" i="4"/>
  <c r="B303" i="4"/>
  <c r="N302" i="4"/>
  <c r="M302" i="4"/>
  <c r="E302" i="4"/>
  <c r="D302" i="4"/>
  <c r="C302" i="4"/>
  <c r="B302" i="4"/>
  <c r="S301" i="4"/>
  <c r="N301" i="4"/>
  <c r="M301" i="4"/>
  <c r="E301" i="4"/>
  <c r="D301" i="4"/>
  <c r="C301" i="4"/>
  <c r="B301" i="4"/>
  <c r="N300" i="4"/>
  <c r="M300" i="4"/>
  <c r="E300" i="4"/>
  <c r="D300" i="4"/>
  <c r="C300" i="4"/>
  <c r="B300" i="4"/>
  <c r="N299" i="4"/>
  <c r="M299" i="4"/>
  <c r="E299" i="4"/>
  <c r="D299" i="4"/>
  <c r="C299" i="4"/>
  <c r="B299" i="4"/>
  <c r="U298" i="4"/>
  <c r="N298" i="4"/>
  <c r="M298" i="4"/>
  <c r="E298" i="4"/>
  <c r="D298" i="4"/>
  <c r="C298" i="4"/>
  <c r="B298" i="4"/>
  <c r="N297" i="4"/>
  <c r="M297" i="4"/>
  <c r="E297" i="4"/>
  <c r="D297" i="4"/>
  <c r="C297" i="4"/>
  <c r="B297" i="4"/>
  <c r="U296" i="4"/>
  <c r="S296" i="4"/>
  <c r="N296" i="4"/>
  <c r="M296" i="4"/>
  <c r="E296" i="4"/>
  <c r="D296" i="4"/>
  <c r="C296" i="4"/>
  <c r="B296" i="4"/>
  <c r="N295" i="4"/>
  <c r="M295" i="4"/>
  <c r="E295" i="4"/>
  <c r="D295" i="4"/>
  <c r="C295" i="4"/>
  <c r="B295" i="4"/>
  <c r="S295" i="4" s="1"/>
  <c r="N294" i="4"/>
  <c r="M294" i="4"/>
  <c r="E294" i="4"/>
  <c r="D294" i="4"/>
  <c r="C294" i="4"/>
  <c r="B294" i="4"/>
  <c r="N293" i="4"/>
  <c r="M293" i="4"/>
  <c r="E293" i="4"/>
  <c r="D293" i="4"/>
  <c r="C293" i="4"/>
  <c r="B293" i="4"/>
  <c r="U292" i="4"/>
  <c r="N292" i="4"/>
  <c r="M292" i="4"/>
  <c r="E292" i="4"/>
  <c r="D292" i="4"/>
  <c r="C292" i="4"/>
  <c r="B292" i="4"/>
  <c r="N291" i="4"/>
  <c r="M291" i="4"/>
  <c r="E291" i="4"/>
  <c r="D291" i="4"/>
  <c r="C291" i="4"/>
  <c r="B291" i="4"/>
  <c r="N290" i="4"/>
  <c r="M290" i="4"/>
  <c r="E290" i="4"/>
  <c r="D290" i="4"/>
  <c r="C290" i="4"/>
  <c r="B290" i="4"/>
  <c r="N289" i="4"/>
  <c r="M289" i="4"/>
  <c r="E289" i="4"/>
  <c r="D289" i="4"/>
  <c r="C289" i="4"/>
  <c r="B289" i="4"/>
  <c r="S288" i="4"/>
  <c r="N288" i="4"/>
  <c r="M288" i="4"/>
  <c r="E288" i="4"/>
  <c r="D288" i="4"/>
  <c r="C288" i="4"/>
  <c r="B288" i="4"/>
  <c r="U287" i="4"/>
  <c r="N287" i="4"/>
  <c r="M287" i="4"/>
  <c r="E287" i="4"/>
  <c r="D287" i="4"/>
  <c r="C287" i="4"/>
  <c r="B287" i="4"/>
  <c r="U286" i="4"/>
  <c r="N286" i="4"/>
  <c r="M286" i="4"/>
  <c r="E286" i="4"/>
  <c r="D286" i="4"/>
  <c r="C286" i="4"/>
  <c r="B286" i="4"/>
  <c r="N285" i="4"/>
  <c r="M285" i="4"/>
  <c r="E285" i="4"/>
  <c r="D285" i="4"/>
  <c r="C285" i="4"/>
  <c r="B285" i="4"/>
  <c r="S284" i="4"/>
  <c r="N284" i="4"/>
  <c r="M284" i="4"/>
  <c r="E284" i="4"/>
  <c r="D284" i="4"/>
  <c r="C284" i="4"/>
  <c r="B284" i="4"/>
  <c r="N283" i="4"/>
  <c r="M283" i="4"/>
  <c r="E283" i="4"/>
  <c r="D283" i="4"/>
  <c r="C283" i="4"/>
  <c r="B283" i="4"/>
  <c r="N282" i="4"/>
  <c r="M282" i="4"/>
  <c r="E282" i="4"/>
  <c r="D282" i="4"/>
  <c r="C282" i="4"/>
  <c r="B282" i="4"/>
  <c r="U281" i="4"/>
  <c r="N281" i="4"/>
  <c r="M281" i="4"/>
  <c r="E281" i="4"/>
  <c r="D281" i="4"/>
  <c r="C281" i="4"/>
  <c r="B281" i="4"/>
  <c r="S280" i="4"/>
  <c r="N280" i="4"/>
  <c r="M280" i="4"/>
  <c r="E280" i="4"/>
  <c r="D280" i="4"/>
  <c r="C280" i="4"/>
  <c r="B280" i="4"/>
  <c r="N279" i="4"/>
  <c r="M279" i="4"/>
  <c r="E279" i="4"/>
  <c r="D279" i="4"/>
  <c r="C279" i="4"/>
  <c r="B279" i="4"/>
  <c r="N278" i="4"/>
  <c r="M278" i="4"/>
  <c r="E278" i="4"/>
  <c r="D278" i="4"/>
  <c r="C278" i="4"/>
  <c r="B278" i="4"/>
  <c r="N277" i="4"/>
  <c r="M277" i="4"/>
  <c r="E277" i="4"/>
  <c r="D277" i="4"/>
  <c r="C277" i="4"/>
  <c r="B277" i="4"/>
  <c r="U276" i="4"/>
  <c r="N276" i="4"/>
  <c r="M276" i="4"/>
  <c r="E276" i="4"/>
  <c r="D276" i="4"/>
  <c r="C276" i="4"/>
  <c r="B276" i="4"/>
  <c r="U275" i="4"/>
  <c r="N275" i="4"/>
  <c r="M275" i="4"/>
  <c r="E275" i="4"/>
  <c r="D275" i="4"/>
  <c r="C275" i="4"/>
  <c r="B275" i="4"/>
  <c r="S274" i="4"/>
  <c r="N274" i="4"/>
  <c r="M274" i="4"/>
  <c r="E274" i="4"/>
  <c r="D274" i="4"/>
  <c r="C274" i="4"/>
  <c r="B274" i="4"/>
  <c r="U273" i="4"/>
  <c r="N273" i="4"/>
  <c r="M273" i="4"/>
  <c r="E273" i="4"/>
  <c r="D273" i="4"/>
  <c r="C273" i="4"/>
  <c r="B273" i="4"/>
  <c r="N272" i="4"/>
  <c r="M272" i="4"/>
  <c r="E272" i="4"/>
  <c r="D272" i="4"/>
  <c r="C272" i="4"/>
  <c r="B272" i="4"/>
  <c r="N271" i="4"/>
  <c r="M271" i="4"/>
  <c r="E271" i="4"/>
  <c r="D271" i="4"/>
  <c r="C271" i="4"/>
  <c r="B271" i="4"/>
  <c r="N270" i="4"/>
  <c r="M270" i="4"/>
  <c r="E270" i="4"/>
  <c r="D270" i="4"/>
  <c r="C270" i="4"/>
  <c r="B270" i="4"/>
  <c r="S269" i="4"/>
  <c r="N269" i="4"/>
  <c r="M269" i="4"/>
  <c r="E269" i="4"/>
  <c r="D269" i="4"/>
  <c r="C269" i="4"/>
  <c r="B269" i="4"/>
  <c r="U268" i="4"/>
  <c r="N268" i="4"/>
  <c r="M268" i="4"/>
  <c r="E268" i="4"/>
  <c r="D268" i="4"/>
  <c r="C268" i="4"/>
  <c r="B268" i="4"/>
  <c r="N267" i="4"/>
  <c r="M267" i="4"/>
  <c r="E267" i="4"/>
  <c r="D267" i="4"/>
  <c r="C267" i="4"/>
  <c r="B267" i="4"/>
  <c r="N266" i="4"/>
  <c r="M266" i="4"/>
  <c r="E266" i="4"/>
  <c r="D266" i="4"/>
  <c r="C266" i="4"/>
  <c r="B266" i="4"/>
  <c r="N265" i="4"/>
  <c r="M265" i="4"/>
  <c r="E265" i="4"/>
  <c r="D265" i="4"/>
  <c r="C265" i="4"/>
  <c r="B265" i="4"/>
  <c r="N264" i="4"/>
  <c r="M264" i="4"/>
  <c r="E264" i="4"/>
  <c r="D264" i="4"/>
  <c r="C264" i="4"/>
  <c r="B264" i="4"/>
  <c r="N263" i="4"/>
  <c r="M263" i="4"/>
  <c r="E263" i="4"/>
  <c r="D263" i="4"/>
  <c r="C263" i="4"/>
  <c r="B263" i="4"/>
  <c r="U262" i="4"/>
  <c r="N262" i="4"/>
  <c r="M262" i="4"/>
  <c r="E262" i="4"/>
  <c r="D262" i="4"/>
  <c r="C262" i="4"/>
  <c r="B262" i="4"/>
  <c r="N261" i="4"/>
  <c r="M261" i="4"/>
  <c r="E261" i="4"/>
  <c r="D261" i="4"/>
  <c r="C261" i="4"/>
  <c r="B261" i="4"/>
  <c r="N260" i="4"/>
  <c r="M260" i="4"/>
  <c r="E260" i="4"/>
  <c r="D260" i="4"/>
  <c r="C260" i="4"/>
  <c r="B260" i="4"/>
  <c r="N259" i="4"/>
  <c r="M259" i="4"/>
  <c r="E259" i="4"/>
  <c r="D259" i="4"/>
  <c r="C259" i="4"/>
  <c r="B259" i="4"/>
  <c r="S258" i="4"/>
  <c r="N258" i="4"/>
  <c r="M258" i="4"/>
  <c r="E258" i="4"/>
  <c r="D258" i="4"/>
  <c r="C258" i="4"/>
  <c r="B258" i="4"/>
  <c r="N257" i="4"/>
  <c r="M257" i="4"/>
  <c r="E257" i="4"/>
  <c r="D257" i="4"/>
  <c r="C257" i="4"/>
  <c r="B257" i="4"/>
  <c r="N256" i="4"/>
  <c r="M256" i="4"/>
  <c r="E256" i="4"/>
  <c r="D256" i="4"/>
  <c r="C256" i="4"/>
  <c r="B256" i="4"/>
  <c r="S256" i="4" s="1"/>
  <c r="N255" i="4"/>
  <c r="M255" i="4"/>
  <c r="E255" i="4"/>
  <c r="D255" i="4"/>
  <c r="C255" i="4"/>
  <c r="B255" i="4"/>
  <c r="S255" i="4" s="1"/>
  <c r="N254" i="4"/>
  <c r="M254" i="4"/>
  <c r="E254" i="4"/>
  <c r="D254" i="4"/>
  <c r="C254" i="4"/>
  <c r="B254" i="4"/>
  <c r="S254" i="4" s="1"/>
  <c r="U253" i="4"/>
  <c r="S253" i="4"/>
  <c r="N253" i="4"/>
  <c r="M253" i="4"/>
  <c r="E253" i="4"/>
  <c r="D253" i="4"/>
  <c r="C253" i="4"/>
  <c r="B253" i="4"/>
  <c r="U252" i="4"/>
  <c r="N252" i="4"/>
  <c r="M252" i="4"/>
  <c r="E252" i="4"/>
  <c r="D252" i="4"/>
  <c r="C252" i="4"/>
  <c r="B252" i="4"/>
  <c r="N251" i="4"/>
  <c r="M251" i="4"/>
  <c r="E251" i="4"/>
  <c r="D251" i="4"/>
  <c r="C251" i="4"/>
  <c r="B251" i="4"/>
  <c r="N250" i="4"/>
  <c r="M250" i="4"/>
  <c r="E250" i="4"/>
  <c r="D250" i="4"/>
  <c r="C250" i="4"/>
  <c r="B250" i="4"/>
  <c r="N249" i="4"/>
  <c r="M249" i="4"/>
  <c r="E249" i="4"/>
  <c r="D249" i="4"/>
  <c r="C249" i="4"/>
  <c r="B249" i="4"/>
  <c r="S248" i="4"/>
  <c r="N248" i="4"/>
  <c r="M248" i="4"/>
  <c r="E248" i="4"/>
  <c r="D248" i="4"/>
  <c r="C248" i="4"/>
  <c r="B248" i="4"/>
  <c r="U247" i="4"/>
  <c r="N247" i="4"/>
  <c r="M247" i="4"/>
  <c r="E247" i="4"/>
  <c r="D247" i="4"/>
  <c r="C247" i="4"/>
  <c r="B247" i="4"/>
  <c r="S247" i="4" s="1"/>
  <c r="S246" i="4"/>
  <c r="N246" i="4"/>
  <c r="M246" i="4"/>
  <c r="E246" i="4"/>
  <c r="D246" i="4"/>
  <c r="C246" i="4"/>
  <c r="B246" i="4"/>
  <c r="S245" i="4"/>
  <c r="N245" i="4"/>
  <c r="M245" i="4"/>
  <c r="E245" i="4"/>
  <c r="D245" i="4"/>
  <c r="C245" i="4"/>
  <c r="B245" i="4"/>
  <c r="N244" i="4"/>
  <c r="M244" i="4"/>
  <c r="E244" i="4"/>
  <c r="D244" i="4"/>
  <c r="C244" i="4"/>
  <c r="B244" i="4"/>
  <c r="U243" i="4"/>
  <c r="N243" i="4"/>
  <c r="M243" i="4"/>
  <c r="E243" i="4"/>
  <c r="D243" i="4"/>
  <c r="C243" i="4"/>
  <c r="B243" i="4"/>
  <c r="S242" i="4"/>
  <c r="N242" i="4"/>
  <c r="M242" i="4"/>
  <c r="E242" i="4"/>
  <c r="D242" i="4"/>
  <c r="C242" i="4"/>
  <c r="B242" i="4"/>
  <c r="N241" i="4"/>
  <c r="M241" i="4"/>
  <c r="E241" i="4"/>
  <c r="D241" i="4"/>
  <c r="C241" i="4"/>
  <c r="B241" i="4"/>
  <c r="N240" i="4"/>
  <c r="M240" i="4"/>
  <c r="E240" i="4"/>
  <c r="D240" i="4"/>
  <c r="C240" i="4"/>
  <c r="L240" i="4" s="1"/>
  <c r="B240" i="4"/>
  <c r="U239" i="4"/>
  <c r="S239" i="4"/>
  <c r="N239" i="4"/>
  <c r="M239" i="4"/>
  <c r="E239" i="4"/>
  <c r="D239" i="4"/>
  <c r="C239" i="4"/>
  <c r="B239" i="4"/>
  <c r="S238" i="4"/>
  <c r="N238" i="4"/>
  <c r="M238" i="4"/>
  <c r="E238" i="4"/>
  <c r="D238" i="4"/>
  <c r="C238" i="4"/>
  <c r="B238" i="4"/>
  <c r="N237" i="4"/>
  <c r="M237" i="4"/>
  <c r="E237" i="4"/>
  <c r="D237" i="4"/>
  <c r="C237" i="4"/>
  <c r="B237" i="4"/>
  <c r="N236" i="4"/>
  <c r="M236" i="4"/>
  <c r="E236" i="4"/>
  <c r="D236" i="4"/>
  <c r="C236" i="4"/>
  <c r="B236" i="4"/>
  <c r="N235" i="4"/>
  <c r="M235" i="4"/>
  <c r="E235" i="4"/>
  <c r="D235" i="4"/>
  <c r="C235" i="4"/>
  <c r="B235" i="4"/>
  <c r="S234" i="4"/>
  <c r="N234" i="4"/>
  <c r="M234" i="4"/>
  <c r="E234" i="4"/>
  <c r="D234" i="4"/>
  <c r="C234" i="4"/>
  <c r="L234" i="4" s="1"/>
  <c r="B234" i="4"/>
  <c r="S233" i="4"/>
  <c r="N233" i="4"/>
  <c r="M233" i="4"/>
  <c r="E233" i="4"/>
  <c r="D233" i="4"/>
  <c r="C233" i="4"/>
  <c r="B233" i="4"/>
  <c r="N232" i="4"/>
  <c r="M232" i="4"/>
  <c r="E232" i="4"/>
  <c r="D232" i="4"/>
  <c r="C232" i="4"/>
  <c r="B232" i="4"/>
  <c r="N231" i="4"/>
  <c r="M231" i="4"/>
  <c r="E231" i="4"/>
  <c r="D231" i="4"/>
  <c r="C231" i="4"/>
  <c r="B231" i="4"/>
  <c r="S230" i="4"/>
  <c r="N230" i="4"/>
  <c r="M230" i="4"/>
  <c r="E230" i="4"/>
  <c r="D230" i="4"/>
  <c r="C230" i="4"/>
  <c r="B230" i="4"/>
  <c r="N229" i="4"/>
  <c r="M229" i="4"/>
  <c r="E229" i="4"/>
  <c r="D229" i="4"/>
  <c r="C229" i="4"/>
  <c r="B229" i="4"/>
  <c r="S228" i="4"/>
  <c r="N228" i="4"/>
  <c r="M228" i="4"/>
  <c r="E228" i="4"/>
  <c r="D228" i="4"/>
  <c r="C228" i="4"/>
  <c r="B228" i="4"/>
  <c r="S227" i="4"/>
  <c r="N227" i="4"/>
  <c r="M227" i="4"/>
  <c r="E227" i="4"/>
  <c r="D227" i="4"/>
  <c r="C227" i="4"/>
  <c r="B227" i="4"/>
  <c r="U226" i="4"/>
  <c r="N226" i="4"/>
  <c r="M226" i="4"/>
  <c r="E226" i="4"/>
  <c r="D226" i="4"/>
  <c r="C226" i="4"/>
  <c r="B226" i="4"/>
  <c r="U225" i="4"/>
  <c r="N225" i="4"/>
  <c r="M225" i="4"/>
  <c r="E225" i="4"/>
  <c r="D225" i="4"/>
  <c r="C225" i="4"/>
  <c r="B225" i="4"/>
  <c r="S225" i="4" s="1"/>
  <c r="U224" i="4"/>
  <c r="N224" i="4"/>
  <c r="M224" i="4"/>
  <c r="E224" i="4"/>
  <c r="D224" i="4"/>
  <c r="C224" i="4"/>
  <c r="B224" i="4"/>
  <c r="U223" i="4"/>
  <c r="N223" i="4"/>
  <c r="M223" i="4"/>
  <c r="E223" i="4"/>
  <c r="D223" i="4"/>
  <c r="C223" i="4"/>
  <c r="B223" i="4"/>
  <c r="N222" i="4"/>
  <c r="M222" i="4"/>
  <c r="E222" i="4"/>
  <c r="D222" i="4"/>
  <c r="C222" i="4"/>
  <c r="B222" i="4"/>
  <c r="U221" i="4"/>
  <c r="S221" i="4"/>
  <c r="N221" i="4"/>
  <c r="M221" i="4"/>
  <c r="E221" i="4"/>
  <c r="D221" i="4"/>
  <c r="C221" i="4"/>
  <c r="B221" i="4"/>
  <c r="U220" i="4"/>
  <c r="N220" i="4"/>
  <c r="M220" i="4"/>
  <c r="E220" i="4"/>
  <c r="D220" i="4"/>
  <c r="C220" i="4"/>
  <c r="B220" i="4"/>
  <c r="U219" i="4"/>
  <c r="S219" i="4"/>
  <c r="N219" i="4"/>
  <c r="M219" i="4"/>
  <c r="E219" i="4"/>
  <c r="D219" i="4"/>
  <c r="C219" i="4"/>
  <c r="B219" i="4"/>
  <c r="S218" i="4"/>
  <c r="N218" i="4"/>
  <c r="M218" i="4"/>
  <c r="E218" i="4"/>
  <c r="D218" i="4"/>
  <c r="C218" i="4"/>
  <c r="B218" i="4"/>
  <c r="N217" i="4"/>
  <c r="M217" i="4"/>
  <c r="E217" i="4"/>
  <c r="D217" i="4"/>
  <c r="C217" i="4"/>
  <c r="B217" i="4"/>
  <c r="S217" i="4" s="1"/>
  <c r="S216" i="4"/>
  <c r="N216" i="4"/>
  <c r="M216" i="4"/>
  <c r="E216" i="4"/>
  <c r="D216" i="4"/>
  <c r="C216" i="4"/>
  <c r="B216" i="4"/>
  <c r="N215" i="4"/>
  <c r="M215" i="4"/>
  <c r="E215" i="4"/>
  <c r="D215" i="4"/>
  <c r="C215" i="4"/>
  <c r="B215" i="4"/>
  <c r="U214" i="4"/>
  <c r="S214" i="4"/>
  <c r="N214" i="4"/>
  <c r="M214" i="4"/>
  <c r="E214" i="4"/>
  <c r="D214" i="4"/>
  <c r="C214" i="4"/>
  <c r="B214" i="4"/>
  <c r="N213" i="4"/>
  <c r="M213" i="4"/>
  <c r="E213" i="4"/>
  <c r="D213" i="4"/>
  <c r="C213" i="4"/>
  <c r="B213" i="4"/>
  <c r="N212" i="4"/>
  <c r="M212" i="4"/>
  <c r="E212" i="4"/>
  <c r="D212" i="4"/>
  <c r="C212" i="4"/>
  <c r="B212" i="4"/>
  <c r="N211" i="4"/>
  <c r="M211" i="4"/>
  <c r="E211" i="4"/>
  <c r="D211" i="4"/>
  <c r="C211" i="4"/>
  <c r="B211" i="4"/>
  <c r="S210" i="4"/>
  <c r="N210" i="4"/>
  <c r="M210" i="4"/>
  <c r="E210" i="4"/>
  <c r="D210" i="4"/>
  <c r="C210" i="4"/>
  <c r="B210" i="4"/>
  <c r="N209" i="4"/>
  <c r="M209" i="4"/>
  <c r="E209" i="4"/>
  <c r="D209" i="4"/>
  <c r="C209" i="4"/>
  <c r="B209" i="4"/>
  <c r="S208" i="4"/>
  <c r="N208" i="4"/>
  <c r="M208" i="4"/>
  <c r="E208" i="4"/>
  <c r="D208" i="4"/>
  <c r="C208" i="4"/>
  <c r="B208" i="4"/>
  <c r="S207" i="4"/>
  <c r="N207" i="4"/>
  <c r="M207" i="4"/>
  <c r="E207" i="4"/>
  <c r="D207" i="4"/>
  <c r="C207" i="4"/>
  <c r="B207" i="4"/>
  <c r="S206" i="4"/>
  <c r="N206" i="4"/>
  <c r="M206" i="4"/>
  <c r="E206" i="4"/>
  <c r="D206" i="4"/>
  <c r="C206" i="4"/>
  <c r="B206" i="4"/>
  <c r="S205" i="4"/>
  <c r="N205" i="4"/>
  <c r="M205" i="4"/>
  <c r="E205" i="4"/>
  <c r="D205" i="4"/>
  <c r="C205" i="4"/>
  <c r="B205" i="4"/>
  <c r="U204" i="4"/>
  <c r="S204" i="4"/>
  <c r="N204" i="4"/>
  <c r="M204" i="4"/>
  <c r="E204" i="4"/>
  <c r="D204" i="4"/>
  <c r="C204" i="4"/>
  <c r="B204" i="4"/>
  <c r="U203" i="4"/>
  <c r="S203" i="4"/>
  <c r="N203" i="4"/>
  <c r="M203" i="4"/>
  <c r="E203" i="4"/>
  <c r="D203" i="4"/>
  <c r="C203" i="4"/>
  <c r="B203" i="4"/>
  <c r="U202" i="4"/>
  <c r="S202" i="4"/>
  <c r="N202" i="4"/>
  <c r="M202" i="4"/>
  <c r="E202" i="4"/>
  <c r="D202" i="4"/>
  <c r="C202" i="4"/>
  <c r="B202" i="4"/>
  <c r="U201" i="4"/>
  <c r="S201" i="4"/>
  <c r="N201" i="4"/>
  <c r="M201" i="4"/>
  <c r="E201" i="4"/>
  <c r="D201" i="4"/>
  <c r="C201" i="4"/>
  <c r="B201" i="4"/>
  <c r="U200" i="4"/>
  <c r="N200" i="4"/>
  <c r="M200" i="4"/>
  <c r="E200" i="4"/>
  <c r="D200" i="4"/>
  <c r="C200" i="4"/>
  <c r="B200" i="4"/>
  <c r="U199" i="4"/>
  <c r="S199" i="4"/>
  <c r="N199" i="4"/>
  <c r="M199" i="4"/>
  <c r="E199" i="4"/>
  <c r="D199" i="4"/>
  <c r="C199" i="4"/>
  <c r="B199" i="4"/>
  <c r="S198" i="4"/>
  <c r="N198" i="4"/>
  <c r="M198" i="4"/>
  <c r="E198" i="4"/>
  <c r="D198" i="4"/>
  <c r="C198" i="4"/>
  <c r="B198" i="4"/>
  <c r="N197" i="4"/>
  <c r="M197" i="4"/>
  <c r="E197" i="4"/>
  <c r="D197" i="4"/>
  <c r="C197" i="4"/>
  <c r="B197" i="4"/>
  <c r="U196" i="4"/>
  <c r="N196" i="4"/>
  <c r="M196" i="4"/>
  <c r="E196" i="4"/>
  <c r="D196" i="4"/>
  <c r="C196" i="4"/>
  <c r="B196" i="4"/>
  <c r="N195" i="4"/>
  <c r="M195" i="4"/>
  <c r="E195" i="4"/>
  <c r="D195" i="4"/>
  <c r="C195" i="4"/>
  <c r="B195" i="4"/>
  <c r="S195" i="4" s="1"/>
  <c r="S194" i="4"/>
  <c r="N194" i="4"/>
  <c r="M194" i="4"/>
  <c r="E194" i="4"/>
  <c r="D194" i="4"/>
  <c r="C194" i="4"/>
  <c r="B194" i="4"/>
  <c r="U193" i="4"/>
  <c r="S193" i="4"/>
  <c r="N193" i="4"/>
  <c r="M193" i="4"/>
  <c r="E193" i="4"/>
  <c r="D193" i="4"/>
  <c r="C193" i="4"/>
  <c r="B193" i="4"/>
  <c r="N192" i="4"/>
  <c r="M192" i="4"/>
  <c r="E192" i="4"/>
  <c r="D192" i="4"/>
  <c r="C192" i="4"/>
  <c r="B192" i="4"/>
  <c r="N191" i="4"/>
  <c r="M191" i="4"/>
  <c r="E191" i="4"/>
  <c r="D191" i="4"/>
  <c r="C191" i="4"/>
  <c r="G191" i="4" s="1"/>
  <c r="B191" i="4"/>
  <c r="N190" i="4"/>
  <c r="M190" i="4"/>
  <c r="E190" i="4"/>
  <c r="D190" i="4"/>
  <c r="C190" i="4"/>
  <c r="B190" i="4"/>
  <c r="N189" i="4"/>
  <c r="M189" i="4"/>
  <c r="E189" i="4"/>
  <c r="D189" i="4"/>
  <c r="C189" i="4"/>
  <c r="B189" i="4"/>
  <c r="N188" i="4"/>
  <c r="M188" i="4"/>
  <c r="E188" i="4"/>
  <c r="D188" i="4"/>
  <c r="C188" i="4"/>
  <c r="B188" i="4"/>
  <c r="U187" i="4"/>
  <c r="S187" i="4"/>
  <c r="N187" i="4"/>
  <c r="M187" i="4"/>
  <c r="E187" i="4"/>
  <c r="D187" i="4"/>
  <c r="C187" i="4"/>
  <c r="B187" i="4"/>
  <c r="U186" i="4"/>
  <c r="N186" i="4"/>
  <c r="M186" i="4"/>
  <c r="E186" i="4"/>
  <c r="D186" i="4"/>
  <c r="C186" i="4"/>
  <c r="B186" i="4"/>
  <c r="N185" i="4"/>
  <c r="M185" i="4"/>
  <c r="E185" i="4"/>
  <c r="D185" i="4"/>
  <c r="C185" i="4"/>
  <c r="B185" i="4"/>
  <c r="U184" i="4"/>
  <c r="N184" i="4"/>
  <c r="M184" i="4"/>
  <c r="E184" i="4"/>
  <c r="D184" i="4"/>
  <c r="C184" i="4"/>
  <c r="B184" i="4"/>
  <c r="N183" i="4"/>
  <c r="M183" i="4"/>
  <c r="E183" i="4"/>
  <c r="D183" i="4"/>
  <c r="C183" i="4"/>
  <c r="B183" i="4"/>
  <c r="N182" i="4"/>
  <c r="M182" i="4"/>
  <c r="E182" i="4"/>
  <c r="D182" i="4"/>
  <c r="C182" i="4"/>
  <c r="B182" i="4"/>
  <c r="S181" i="4"/>
  <c r="N181" i="4"/>
  <c r="M181" i="4"/>
  <c r="E181" i="4"/>
  <c r="D181" i="4"/>
  <c r="C181" i="4"/>
  <c r="B181" i="4"/>
  <c r="N180" i="4"/>
  <c r="M180" i="4"/>
  <c r="E180" i="4"/>
  <c r="D180" i="4"/>
  <c r="C180" i="4"/>
  <c r="B180" i="4"/>
  <c r="U179" i="4"/>
  <c r="N179" i="4"/>
  <c r="M179" i="4"/>
  <c r="E179" i="4"/>
  <c r="D179" i="4"/>
  <c r="C179" i="4"/>
  <c r="B179" i="4"/>
  <c r="N178" i="4"/>
  <c r="M178" i="4"/>
  <c r="E178" i="4"/>
  <c r="D178" i="4"/>
  <c r="C178" i="4"/>
  <c r="B178" i="4"/>
  <c r="U177" i="4"/>
  <c r="N177" i="4"/>
  <c r="M177" i="4"/>
  <c r="E177" i="4"/>
  <c r="D177" i="4"/>
  <c r="C177" i="4"/>
  <c r="B177" i="4"/>
  <c r="S176" i="4"/>
  <c r="N176" i="4"/>
  <c r="M176" i="4"/>
  <c r="E176" i="4"/>
  <c r="D176" i="4"/>
  <c r="C176" i="4"/>
  <c r="B176" i="4"/>
  <c r="U175" i="4"/>
  <c r="S175" i="4"/>
  <c r="N175" i="4"/>
  <c r="M175" i="4"/>
  <c r="E175" i="4"/>
  <c r="D175" i="4"/>
  <c r="C175" i="4"/>
  <c r="B175" i="4"/>
  <c r="U174" i="4"/>
  <c r="S174" i="4"/>
  <c r="N174" i="4"/>
  <c r="M174" i="4"/>
  <c r="E174" i="4"/>
  <c r="D174" i="4"/>
  <c r="C174" i="4"/>
  <c r="B174" i="4"/>
  <c r="N173" i="4"/>
  <c r="M173" i="4"/>
  <c r="E173" i="4"/>
  <c r="D173" i="4"/>
  <c r="C173" i="4"/>
  <c r="F173" i="4" s="1"/>
  <c r="B173" i="4"/>
  <c r="N172" i="4"/>
  <c r="M172" i="4"/>
  <c r="E172" i="4"/>
  <c r="D172" i="4"/>
  <c r="C172" i="4"/>
  <c r="B172" i="4"/>
  <c r="N171" i="4"/>
  <c r="M171" i="4"/>
  <c r="E171" i="4"/>
  <c r="D171" i="4"/>
  <c r="C171" i="4"/>
  <c r="B171" i="4"/>
  <c r="S170" i="4"/>
  <c r="N170" i="4"/>
  <c r="M170" i="4"/>
  <c r="E170" i="4"/>
  <c r="D170" i="4"/>
  <c r="C170" i="4"/>
  <c r="B170" i="4"/>
  <c r="N169" i="4"/>
  <c r="M169" i="4"/>
  <c r="E169" i="4"/>
  <c r="D169" i="4"/>
  <c r="C169" i="4"/>
  <c r="B169" i="4"/>
  <c r="U168" i="4"/>
  <c r="S168" i="4"/>
  <c r="N168" i="4"/>
  <c r="M168" i="4"/>
  <c r="E168" i="4"/>
  <c r="D168" i="4"/>
  <c r="C168" i="4"/>
  <c r="B168" i="4"/>
  <c r="U167" i="4"/>
  <c r="S167" i="4"/>
  <c r="N167" i="4"/>
  <c r="M167" i="4"/>
  <c r="E167" i="4"/>
  <c r="D167" i="4"/>
  <c r="C167" i="4"/>
  <c r="B167" i="4"/>
  <c r="U166" i="4"/>
  <c r="N166" i="4"/>
  <c r="M166" i="4"/>
  <c r="E166" i="4"/>
  <c r="D166" i="4"/>
  <c r="C166" i="4"/>
  <c r="B166" i="4"/>
  <c r="S165" i="4"/>
  <c r="N165" i="4"/>
  <c r="M165" i="4"/>
  <c r="E165" i="4"/>
  <c r="D165" i="4"/>
  <c r="C165" i="4"/>
  <c r="B165" i="4"/>
  <c r="U164" i="4"/>
  <c r="S164" i="4"/>
  <c r="N164" i="4"/>
  <c r="M164" i="4"/>
  <c r="E164" i="4"/>
  <c r="D164" i="4"/>
  <c r="C164" i="4"/>
  <c r="B164" i="4"/>
  <c r="U163" i="4"/>
  <c r="N163" i="4"/>
  <c r="M163" i="4"/>
  <c r="E163" i="4"/>
  <c r="D163" i="4"/>
  <c r="C163" i="4"/>
  <c r="B163" i="4"/>
  <c r="S163" i="4" s="1"/>
  <c r="N162" i="4"/>
  <c r="M162" i="4"/>
  <c r="E162" i="4"/>
  <c r="D162" i="4"/>
  <c r="C162" i="4"/>
  <c r="B162" i="4"/>
  <c r="S162" i="4" s="1"/>
  <c r="N161" i="4"/>
  <c r="M161" i="4"/>
  <c r="E161" i="4"/>
  <c r="D161" i="4"/>
  <c r="C161" i="4"/>
  <c r="B161" i="4"/>
  <c r="N160" i="4"/>
  <c r="M160" i="4"/>
  <c r="E160" i="4"/>
  <c r="D160" i="4"/>
  <c r="C160" i="4"/>
  <c r="B160" i="4"/>
  <c r="S160" i="4" s="1"/>
  <c r="U159" i="4"/>
  <c r="N159" i="4"/>
  <c r="M159" i="4"/>
  <c r="E159" i="4"/>
  <c r="D159" i="4"/>
  <c r="C159" i="4"/>
  <c r="B159" i="4"/>
  <c r="N158" i="4"/>
  <c r="M158" i="4"/>
  <c r="E158" i="4"/>
  <c r="D158" i="4"/>
  <c r="C158" i="4"/>
  <c r="B158" i="4"/>
  <c r="S158" i="4" s="1"/>
  <c r="N157" i="4"/>
  <c r="M157" i="4"/>
  <c r="E157" i="4"/>
  <c r="D157" i="4"/>
  <c r="C157" i="4"/>
  <c r="B157" i="4"/>
  <c r="S157" i="4" s="1"/>
  <c r="S156" i="4"/>
  <c r="N156" i="4"/>
  <c r="M156" i="4"/>
  <c r="E156" i="4"/>
  <c r="D156" i="4"/>
  <c r="C156" i="4"/>
  <c r="B156" i="4"/>
  <c r="N155" i="4"/>
  <c r="M155" i="4"/>
  <c r="E155" i="4"/>
  <c r="D155" i="4"/>
  <c r="C155" i="4"/>
  <c r="B155" i="4"/>
  <c r="S154" i="4"/>
  <c r="N154" i="4"/>
  <c r="M154" i="4"/>
  <c r="E154" i="4"/>
  <c r="D154" i="4"/>
  <c r="C154" i="4"/>
  <c r="B154" i="4"/>
  <c r="U153" i="4"/>
  <c r="S153" i="4"/>
  <c r="N153" i="4"/>
  <c r="M153" i="4"/>
  <c r="E153" i="4"/>
  <c r="D153" i="4"/>
  <c r="C153" i="4"/>
  <c r="B153" i="4"/>
  <c r="U152" i="4"/>
  <c r="N152" i="4"/>
  <c r="M152" i="4"/>
  <c r="E152" i="4"/>
  <c r="D152" i="4"/>
  <c r="C152" i="4"/>
  <c r="B152" i="4"/>
  <c r="N151" i="4"/>
  <c r="M151" i="4"/>
  <c r="E151" i="4"/>
  <c r="D151" i="4"/>
  <c r="C151" i="4"/>
  <c r="B151" i="4"/>
  <c r="N150" i="4"/>
  <c r="M150" i="4"/>
  <c r="E150" i="4"/>
  <c r="D150" i="4"/>
  <c r="C150" i="4"/>
  <c r="B150" i="4"/>
  <c r="N149" i="4"/>
  <c r="M149" i="4"/>
  <c r="E149" i="4"/>
  <c r="D149" i="4"/>
  <c r="C149" i="4"/>
  <c r="B149" i="4"/>
  <c r="N148" i="4"/>
  <c r="M148" i="4"/>
  <c r="E148" i="4"/>
  <c r="D148" i="4"/>
  <c r="C148" i="4"/>
  <c r="B148" i="4"/>
  <c r="S147" i="4"/>
  <c r="N147" i="4"/>
  <c r="M147" i="4"/>
  <c r="E147" i="4"/>
  <c r="D147" i="4"/>
  <c r="C147" i="4"/>
  <c r="B147" i="4"/>
  <c r="U146" i="4"/>
  <c r="N146" i="4"/>
  <c r="M146" i="4"/>
  <c r="E146" i="4"/>
  <c r="D146" i="4"/>
  <c r="C146" i="4"/>
  <c r="G146" i="4" s="1"/>
  <c r="J146" i="4" s="1"/>
  <c r="B146" i="4"/>
  <c r="S145" i="4"/>
  <c r="N145" i="4"/>
  <c r="M145" i="4"/>
  <c r="E145" i="4"/>
  <c r="D145" i="4"/>
  <c r="C145" i="4"/>
  <c r="B145" i="4"/>
  <c r="U144" i="4"/>
  <c r="N144" i="4"/>
  <c r="M144" i="4"/>
  <c r="E144" i="4"/>
  <c r="D144" i="4"/>
  <c r="C144" i="4"/>
  <c r="B144" i="4"/>
  <c r="N143" i="4"/>
  <c r="M143" i="4"/>
  <c r="E143" i="4"/>
  <c r="D143" i="4"/>
  <c r="C143" i="4"/>
  <c r="B143" i="4"/>
  <c r="U142" i="4"/>
  <c r="N142" i="4"/>
  <c r="M142" i="4"/>
  <c r="E142" i="4"/>
  <c r="D142" i="4"/>
  <c r="C142" i="4"/>
  <c r="B142" i="4"/>
  <c r="U141" i="4"/>
  <c r="S141" i="4"/>
  <c r="N141" i="4"/>
  <c r="M141" i="4"/>
  <c r="E141" i="4"/>
  <c r="D141" i="4"/>
  <c r="C141" i="4"/>
  <c r="B141" i="4"/>
  <c r="U140" i="4"/>
  <c r="S140" i="4"/>
  <c r="N140" i="4"/>
  <c r="M140" i="4"/>
  <c r="E140" i="4"/>
  <c r="D140" i="4"/>
  <c r="C140" i="4"/>
  <c r="B140" i="4"/>
  <c r="U139" i="4"/>
  <c r="S139" i="4"/>
  <c r="N139" i="4"/>
  <c r="M139" i="4"/>
  <c r="E139" i="4"/>
  <c r="D139" i="4"/>
  <c r="C139" i="4"/>
  <c r="B139" i="4"/>
  <c r="S138" i="4"/>
  <c r="N138" i="4"/>
  <c r="M138" i="4"/>
  <c r="E138" i="4"/>
  <c r="D138" i="4"/>
  <c r="C138" i="4"/>
  <c r="B138" i="4"/>
  <c r="U137" i="4"/>
  <c r="S137" i="4"/>
  <c r="N137" i="4"/>
  <c r="M137" i="4"/>
  <c r="E137" i="4"/>
  <c r="D137" i="4"/>
  <c r="C137" i="4"/>
  <c r="B137" i="4"/>
  <c r="N136" i="4"/>
  <c r="M136" i="4"/>
  <c r="E136" i="4"/>
  <c r="D136" i="4"/>
  <c r="C136" i="4"/>
  <c r="B136" i="4"/>
  <c r="S135" i="4"/>
  <c r="N135" i="4"/>
  <c r="M135" i="4"/>
  <c r="E135" i="4"/>
  <c r="D135" i="4"/>
  <c r="C135" i="4"/>
  <c r="B135" i="4"/>
  <c r="S134" i="4"/>
  <c r="N134" i="4"/>
  <c r="M134" i="4"/>
  <c r="E134" i="4"/>
  <c r="D134" i="4"/>
  <c r="C134" i="4"/>
  <c r="B134" i="4"/>
  <c r="U133" i="4"/>
  <c r="N133" i="4"/>
  <c r="M133" i="4"/>
  <c r="E133" i="4"/>
  <c r="D133" i="4"/>
  <c r="C133" i="4"/>
  <c r="B133" i="4"/>
  <c r="U132" i="4"/>
  <c r="N132" i="4"/>
  <c r="M132" i="4"/>
  <c r="E132" i="4"/>
  <c r="D132" i="4"/>
  <c r="C132" i="4"/>
  <c r="B132" i="4"/>
  <c r="S132" i="4" s="1"/>
  <c r="U131" i="4"/>
  <c r="N131" i="4"/>
  <c r="M131" i="4"/>
  <c r="E131" i="4"/>
  <c r="D131" i="4"/>
  <c r="C131" i="4"/>
  <c r="B131" i="4"/>
  <c r="N130" i="4"/>
  <c r="M130" i="4"/>
  <c r="E130" i="4"/>
  <c r="D130" i="4"/>
  <c r="C130" i="4"/>
  <c r="B130" i="4"/>
  <c r="S130" i="4" s="1"/>
  <c r="N129" i="4"/>
  <c r="M129" i="4"/>
  <c r="E129" i="4"/>
  <c r="D129" i="4"/>
  <c r="C129" i="4"/>
  <c r="B129" i="4"/>
  <c r="U128" i="4"/>
  <c r="S128" i="4"/>
  <c r="N128" i="4"/>
  <c r="M128" i="4"/>
  <c r="E128" i="4"/>
  <c r="D128" i="4"/>
  <c r="C128" i="4"/>
  <c r="B128" i="4"/>
  <c r="U127" i="4"/>
  <c r="N127" i="4"/>
  <c r="M127" i="4"/>
  <c r="E127" i="4"/>
  <c r="D127" i="4"/>
  <c r="C127" i="4"/>
  <c r="B127" i="4"/>
  <c r="U126" i="4"/>
  <c r="N126" i="4"/>
  <c r="M126" i="4"/>
  <c r="E126" i="4"/>
  <c r="D126" i="4"/>
  <c r="C126" i="4"/>
  <c r="B126" i="4"/>
  <c r="S126" i="4" s="1"/>
  <c r="U125" i="4"/>
  <c r="S125" i="4"/>
  <c r="N125" i="4"/>
  <c r="M125" i="4"/>
  <c r="E125" i="4"/>
  <c r="D125" i="4"/>
  <c r="C125" i="4"/>
  <c r="B125" i="4"/>
  <c r="U124" i="4"/>
  <c r="N124" i="4"/>
  <c r="M124" i="4"/>
  <c r="E124" i="4"/>
  <c r="D124" i="4"/>
  <c r="C124" i="4"/>
  <c r="B124" i="4"/>
  <c r="U123" i="4"/>
  <c r="N123" i="4"/>
  <c r="M123" i="4"/>
  <c r="E123" i="4"/>
  <c r="D123" i="4"/>
  <c r="C123" i="4"/>
  <c r="B123" i="4"/>
  <c r="U122" i="4"/>
  <c r="N122" i="4"/>
  <c r="M122" i="4"/>
  <c r="E122" i="4"/>
  <c r="D122" i="4"/>
  <c r="C122" i="4"/>
  <c r="B122" i="4"/>
  <c r="U121" i="4"/>
  <c r="N121" i="4"/>
  <c r="M121" i="4"/>
  <c r="E121" i="4"/>
  <c r="D121" i="4"/>
  <c r="C121" i="4"/>
  <c r="B121" i="4"/>
  <c r="S121" i="4" s="1"/>
  <c r="S120" i="4"/>
  <c r="N120" i="4"/>
  <c r="M120" i="4"/>
  <c r="E120" i="4"/>
  <c r="D120" i="4"/>
  <c r="C120" i="4"/>
  <c r="B120" i="4"/>
  <c r="U119" i="4"/>
  <c r="S119" i="4"/>
  <c r="N119" i="4"/>
  <c r="M119" i="4"/>
  <c r="E119" i="4"/>
  <c r="D119" i="4"/>
  <c r="C119" i="4"/>
  <c r="B119" i="4"/>
  <c r="S118" i="4"/>
  <c r="N118" i="4"/>
  <c r="M118" i="4"/>
  <c r="E118" i="4"/>
  <c r="D118" i="4"/>
  <c r="C118" i="4"/>
  <c r="B118" i="4"/>
  <c r="U117" i="4"/>
  <c r="S117" i="4"/>
  <c r="N117" i="4"/>
  <c r="M117" i="4"/>
  <c r="E117" i="4"/>
  <c r="D117" i="4"/>
  <c r="C117" i="4"/>
  <c r="B117" i="4"/>
  <c r="N116" i="4"/>
  <c r="M116" i="4"/>
  <c r="E116" i="4"/>
  <c r="D116" i="4"/>
  <c r="C116" i="4"/>
  <c r="B116" i="4"/>
  <c r="U115" i="4"/>
  <c r="S115" i="4"/>
  <c r="N115" i="4"/>
  <c r="M115" i="4"/>
  <c r="E115" i="4"/>
  <c r="D115" i="4"/>
  <c r="C115" i="4"/>
  <c r="B115" i="4"/>
  <c r="U114" i="4"/>
  <c r="S114" i="4"/>
  <c r="N114" i="4"/>
  <c r="M114" i="4"/>
  <c r="E114" i="4"/>
  <c r="D114" i="4"/>
  <c r="C114" i="4"/>
  <c r="B114" i="4"/>
  <c r="U113" i="4"/>
  <c r="N113" i="4"/>
  <c r="M113" i="4"/>
  <c r="E113" i="4"/>
  <c r="D113" i="4"/>
  <c r="C113" i="4"/>
  <c r="B113" i="4"/>
  <c r="S112" i="4"/>
  <c r="N112" i="4"/>
  <c r="M112" i="4"/>
  <c r="E112" i="4"/>
  <c r="D112" i="4"/>
  <c r="C112" i="4"/>
  <c r="B112" i="4"/>
  <c r="U111" i="4"/>
  <c r="N111" i="4"/>
  <c r="M111" i="4"/>
  <c r="E111" i="4"/>
  <c r="D111" i="4"/>
  <c r="C111" i="4"/>
  <c r="B111" i="4"/>
  <c r="U110" i="4"/>
  <c r="N110" i="4"/>
  <c r="M110" i="4"/>
  <c r="E110" i="4"/>
  <c r="D110" i="4"/>
  <c r="C110" i="4"/>
  <c r="B110" i="4"/>
  <c r="N109" i="4"/>
  <c r="M109" i="4"/>
  <c r="E109" i="4"/>
  <c r="D109" i="4"/>
  <c r="C109" i="4"/>
  <c r="B109" i="4"/>
  <c r="N108" i="4"/>
  <c r="M108" i="4"/>
  <c r="E108" i="4"/>
  <c r="D108" i="4"/>
  <c r="C108" i="4"/>
  <c r="B108" i="4"/>
  <c r="N107" i="4"/>
  <c r="M107" i="4"/>
  <c r="E107" i="4"/>
  <c r="D107" i="4"/>
  <c r="C107" i="4"/>
  <c r="B107" i="4"/>
  <c r="N106" i="4"/>
  <c r="M106" i="4"/>
  <c r="E106" i="4"/>
  <c r="D106" i="4"/>
  <c r="C106" i="4"/>
  <c r="B106" i="4"/>
  <c r="S106" i="4" s="1"/>
  <c r="U105" i="4"/>
  <c r="N105" i="4"/>
  <c r="M105" i="4"/>
  <c r="E105" i="4"/>
  <c r="D105" i="4"/>
  <c r="C105" i="4"/>
  <c r="B105" i="4"/>
  <c r="U104" i="4"/>
  <c r="S104" i="4"/>
  <c r="N104" i="4"/>
  <c r="M104" i="4"/>
  <c r="E104" i="4"/>
  <c r="D104" i="4"/>
  <c r="C104" i="4"/>
  <c r="B104" i="4"/>
  <c r="U103" i="4"/>
  <c r="S103" i="4"/>
  <c r="N103" i="4"/>
  <c r="M103" i="4"/>
  <c r="E103" i="4"/>
  <c r="D103" i="4"/>
  <c r="C103" i="4"/>
  <c r="B103" i="4"/>
  <c r="U102" i="4"/>
  <c r="S102" i="4"/>
  <c r="N102" i="4"/>
  <c r="M102" i="4"/>
  <c r="E102" i="4"/>
  <c r="D102" i="4"/>
  <c r="C102" i="4"/>
  <c r="B102" i="4"/>
  <c r="S101" i="4"/>
  <c r="N101" i="4"/>
  <c r="M101" i="4"/>
  <c r="E101" i="4"/>
  <c r="D101" i="4"/>
  <c r="C101" i="4"/>
  <c r="G101" i="4" s="1"/>
  <c r="B101" i="4"/>
  <c r="U100" i="4"/>
  <c r="S100" i="4"/>
  <c r="N100" i="4"/>
  <c r="M100" i="4"/>
  <c r="E100" i="4"/>
  <c r="D100" i="4"/>
  <c r="C100" i="4"/>
  <c r="B100" i="4"/>
  <c r="S99" i="4"/>
  <c r="N99" i="4"/>
  <c r="M99" i="4"/>
  <c r="E99" i="4"/>
  <c r="D99" i="4"/>
  <c r="C99" i="4"/>
  <c r="B99" i="4"/>
  <c r="S98" i="4"/>
  <c r="N98" i="4"/>
  <c r="M98" i="4"/>
  <c r="E98" i="4"/>
  <c r="D98" i="4"/>
  <c r="C98" i="4"/>
  <c r="B98" i="4"/>
  <c r="N97" i="4"/>
  <c r="M97" i="4"/>
  <c r="E97" i="4"/>
  <c r="D97" i="4"/>
  <c r="C97" i="4"/>
  <c r="B97" i="4"/>
  <c r="S97" i="4" s="1"/>
  <c r="S96" i="4"/>
  <c r="N96" i="4"/>
  <c r="M96" i="4"/>
  <c r="E96" i="4"/>
  <c r="D96" i="4"/>
  <c r="C96" i="4"/>
  <c r="B96" i="4"/>
  <c r="N95" i="4"/>
  <c r="M95" i="4"/>
  <c r="E95" i="4"/>
  <c r="D95" i="4"/>
  <c r="C95" i="4"/>
  <c r="B95" i="4"/>
  <c r="S95" i="4" s="1"/>
  <c r="N94" i="4"/>
  <c r="M94" i="4"/>
  <c r="E94" i="4"/>
  <c r="D94" i="4"/>
  <c r="C94" i="4"/>
  <c r="B94" i="4"/>
  <c r="S94" i="4" s="1"/>
  <c r="U93" i="4"/>
  <c r="S93" i="4"/>
  <c r="N93" i="4"/>
  <c r="M93" i="4"/>
  <c r="E93" i="4"/>
  <c r="D93" i="4"/>
  <c r="C93" i="4"/>
  <c r="B93" i="4"/>
  <c r="S92" i="4"/>
  <c r="N92" i="4"/>
  <c r="M92" i="4"/>
  <c r="E92" i="4"/>
  <c r="D92" i="4"/>
  <c r="C92" i="4"/>
  <c r="B92" i="4"/>
  <c r="U91" i="4"/>
  <c r="S91" i="4"/>
  <c r="N91" i="4"/>
  <c r="M91" i="4"/>
  <c r="E91" i="4"/>
  <c r="D91" i="4"/>
  <c r="C91" i="4"/>
  <c r="G91" i="4" s="1"/>
  <c r="B91" i="4"/>
  <c r="S90" i="4"/>
  <c r="N90" i="4"/>
  <c r="M90" i="4"/>
  <c r="E90" i="4"/>
  <c r="D90" i="4"/>
  <c r="C90" i="4"/>
  <c r="B90" i="4"/>
  <c r="N89" i="4"/>
  <c r="M89" i="4"/>
  <c r="E89" i="4"/>
  <c r="D89" i="4"/>
  <c r="C89" i="4"/>
  <c r="B89" i="4"/>
  <c r="S89" i="4" s="1"/>
  <c r="S88" i="4"/>
  <c r="N88" i="4"/>
  <c r="M88" i="4"/>
  <c r="E88" i="4"/>
  <c r="D88" i="4"/>
  <c r="C88" i="4"/>
  <c r="B88" i="4"/>
  <c r="S87" i="4"/>
  <c r="N87" i="4"/>
  <c r="M87" i="4"/>
  <c r="E87" i="4"/>
  <c r="D87" i="4"/>
  <c r="C87" i="4"/>
  <c r="B87" i="4"/>
  <c r="U86" i="4"/>
  <c r="N86" i="4"/>
  <c r="M86" i="4"/>
  <c r="E86" i="4"/>
  <c r="D86" i="4"/>
  <c r="C86" i="4"/>
  <c r="B86" i="4"/>
  <c r="U85" i="4"/>
  <c r="S85" i="4"/>
  <c r="N85" i="4"/>
  <c r="M85" i="4"/>
  <c r="E85" i="4"/>
  <c r="D85" i="4"/>
  <c r="C85" i="4"/>
  <c r="B85" i="4"/>
  <c r="S84" i="4"/>
  <c r="N84" i="4"/>
  <c r="M84" i="4"/>
  <c r="E84" i="4"/>
  <c r="D84" i="4"/>
  <c r="C84" i="4"/>
  <c r="B84" i="4"/>
  <c r="U83" i="4"/>
  <c r="N83" i="4"/>
  <c r="M83" i="4"/>
  <c r="E83" i="4"/>
  <c r="D83" i="4"/>
  <c r="C83" i="4"/>
  <c r="B83" i="4"/>
  <c r="U82" i="4"/>
  <c r="S82" i="4"/>
  <c r="N82" i="4"/>
  <c r="M82" i="4"/>
  <c r="E82" i="4"/>
  <c r="D82" i="4"/>
  <c r="C82" i="4"/>
  <c r="B82" i="4"/>
  <c r="N81" i="4"/>
  <c r="M81" i="4"/>
  <c r="E81" i="4"/>
  <c r="D81" i="4"/>
  <c r="C81" i="4"/>
  <c r="B81" i="4"/>
  <c r="U80" i="4"/>
  <c r="N80" i="4"/>
  <c r="M80" i="4"/>
  <c r="E80" i="4"/>
  <c r="D80" i="4"/>
  <c r="C80" i="4"/>
  <c r="B80" i="4"/>
  <c r="S79" i="4"/>
  <c r="N79" i="4"/>
  <c r="M79" i="4"/>
  <c r="E79" i="4"/>
  <c r="D79" i="4"/>
  <c r="C79" i="4"/>
  <c r="B79" i="4"/>
  <c r="U78" i="4"/>
  <c r="S78" i="4"/>
  <c r="N78" i="4"/>
  <c r="M78" i="4"/>
  <c r="E78" i="4"/>
  <c r="D78" i="4"/>
  <c r="C78" i="4"/>
  <c r="B78" i="4"/>
  <c r="S77" i="4"/>
  <c r="N77" i="4"/>
  <c r="M77" i="4"/>
  <c r="E77" i="4"/>
  <c r="D77" i="4"/>
  <c r="C77" i="4"/>
  <c r="B77" i="4"/>
  <c r="U76" i="4"/>
  <c r="N76" i="4"/>
  <c r="M76" i="4"/>
  <c r="E76" i="4"/>
  <c r="D76" i="4"/>
  <c r="C76" i="4"/>
  <c r="B76" i="4"/>
  <c r="U75" i="4"/>
  <c r="S75" i="4"/>
  <c r="N75" i="4"/>
  <c r="M75" i="4"/>
  <c r="E75" i="4"/>
  <c r="D75" i="4"/>
  <c r="C75" i="4"/>
  <c r="B75" i="4"/>
  <c r="U74" i="4"/>
  <c r="S74" i="4"/>
  <c r="N74" i="4"/>
  <c r="M74" i="4"/>
  <c r="E74" i="4"/>
  <c r="D74" i="4"/>
  <c r="C74" i="4"/>
  <c r="B74" i="4"/>
  <c r="S73" i="4"/>
  <c r="N73" i="4"/>
  <c r="M73" i="4"/>
  <c r="E73" i="4"/>
  <c r="D73" i="4"/>
  <c r="C73" i="4"/>
  <c r="B73" i="4"/>
  <c r="U72" i="4"/>
  <c r="S72" i="4"/>
  <c r="N72" i="4"/>
  <c r="M72" i="4"/>
  <c r="E72" i="4"/>
  <c r="D72" i="4"/>
  <c r="C72" i="4"/>
  <c r="B72" i="4"/>
  <c r="U71" i="4"/>
  <c r="N71" i="4"/>
  <c r="M71" i="4"/>
  <c r="E71" i="4"/>
  <c r="D71" i="4"/>
  <c r="C71" i="4"/>
  <c r="B71" i="4"/>
  <c r="U70" i="4"/>
  <c r="S70" i="4"/>
  <c r="N70" i="4"/>
  <c r="M70" i="4"/>
  <c r="E70" i="4"/>
  <c r="D70" i="4"/>
  <c r="C70" i="4"/>
  <c r="B70" i="4"/>
  <c r="U69" i="4"/>
  <c r="S69" i="4"/>
  <c r="N69" i="4"/>
  <c r="M69" i="4"/>
  <c r="E69" i="4"/>
  <c r="D69" i="4"/>
  <c r="C69" i="4"/>
  <c r="G69" i="4" s="1"/>
  <c r="B69" i="4"/>
  <c r="U68" i="4"/>
  <c r="S68" i="4"/>
  <c r="N68" i="4"/>
  <c r="M68" i="4"/>
  <c r="E68" i="4"/>
  <c r="D68" i="4"/>
  <c r="C68" i="4"/>
  <c r="B68" i="4"/>
  <c r="U67" i="4"/>
  <c r="S67" i="4"/>
  <c r="N67" i="4"/>
  <c r="M67" i="4"/>
  <c r="E67" i="4"/>
  <c r="D67" i="4"/>
  <c r="C67" i="4"/>
  <c r="B67" i="4"/>
  <c r="U66" i="4"/>
  <c r="N66" i="4"/>
  <c r="M66" i="4"/>
  <c r="E66" i="4"/>
  <c r="D66" i="4"/>
  <c r="C66" i="4"/>
  <c r="B66" i="4"/>
  <c r="S66" i="4" s="1"/>
  <c r="U65" i="4"/>
  <c r="S65" i="4"/>
  <c r="N65" i="4"/>
  <c r="M65" i="4"/>
  <c r="E65" i="4"/>
  <c r="D65" i="4"/>
  <c r="C65" i="4"/>
  <c r="B65" i="4"/>
  <c r="U64" i="4"/>
  <c r="N64" i="4"/>
  <c r="M64" i="4"/>
  <c r="E64" i="4"/>
  <c r="D64" i="4"/>
  <c r="C64" i="4"/>
  <c r="B64" i="4"/>
  <c r="S64" i="4" s="1"/>
  <c r="U63" i="4"/>
  <c r="S63" i="4"/>
  <c r="N63" i="4"/>
  <c r="M63" i="4"/>
  <c r="E63" i="4"/>
  <c r="D63" i="4"/>
  <c r="C63" i="4"/>
  <c r="B63" i="4"/>
  <c r="S62" i="4"/>
  <c r="N62" i="4"/>
  <c r="M62" i="4"/>
  <c r="E62" i="4"/>
  <c r="D62" i="4"/>
  <c r="C62" i="4"/>
  <c r="B62" i="4"/>
  <c r="U61" i="4"/>
  <c r="N61" i="4"/>
  <c r="M61" i="4"/>
  <c r="E61" i="4"/>
  <c r="D61" i="4"/>
  <c r="C61" i="4"/>
  <c r="B61" i="4"/>
  <c r="U60" i="4"/>
  <c r="N60" i="4"/>
  <c r="M60" i="4"/>
  <c r="E60" i="4"/>
  <c r="D60" i="4"/>
  <c r="C60" i="4"/>
  <c r="B60" i="4"/>
  <c r="S60" i="4" s="1"/>
  <c r="S59" i="4"/>
  <c r="N59" i="4"/>
  <c r="M59" i="4"/>
  <c r="E59" i="4"/>
  <c r="D59" i="4"/>
  <c r="C59" i="4"/>
  <c r="B59" i="4"/>
  <c r="U58" i="4"/>
  <c r="S58" i="4"/>
  <c r="N58" i="4"/>
  <c r="M58" i="4"/>
  <c r="E58" i="4"/>
  <c r="D58" i="4"/>
  <c r="C58" i="4"/>
  <c r="B58" i="4"/>
  <c r="N57" i="4"/>
  <c r="M57" i="4"/>
  <c r="E57" i="4"/>
  <c r="D57" i="4"/>
  <c r="C57" i="4"/>
  <c r="B57" i="4"/>
  <c r="S57" i="4" s="1"/>
  <c r="U56" i="4"/>
  <c r="N56" i="4"/>
  <c r="M56" i="4"/>
  <c r="E56" i="4"/>
  <c r="D56" i="4"/>
  <c r="C56" i="4"/>
  <c r="B56" i="4"/>
  <c r="S56" i="4" s="1"/>
  <c r="U55" i="4"/>
  <c r="N55" i="4"/>
  <c r="M55" i="4"/>
  <c r="E55" i="4"/>
  <c r="D55" i="4"/>
  <c r="C55" i="4"/>
  <c r="B55" i="4"/>
  <c r="U54" i="4"/>
  <c r="N54" i="4"/>
  <c r="M54" i="4"/>
  <c r="E54" i="4"/>
  <c r="D54" i="4"/>
  <c r="C54" i="4"/>
  <c r="G54" i="4" s="1"/>
  <c r="B54" i="4"/>
  <c r="N53" i="4"/>
  <c r="M53" i="4"/>
  <c r="E53" i="4"/>
  <c r="D53" i="4"/>
  <c r="C53" i="4"/>
  <c r="B53" i="4"/>
  <c r="U52" i="4"/>
  <c r="N52" i="4"/>
  <c r="M52" i="4"/>
  <c r="E52" i="4"/>
  <c r="D52" i="4"/>
  <c r="C52" i="4"/>
  <c r="B52" i="4"/>
  <c r="U51" i="4"/>
  <c r="N51" i="4"/>
  <c r="M51" i="4"/>
  <c r="E51" i="4"/>
  <c r="D51" i="4"/>
  <c r="C51" i="4"/>
  <c r="B51" i="4"/>
  <c r="N50" i="4"/>
  <c r="M50" i="4"/>
  <c r="E50" i="4"/>
  <c r="D50" i="4"/>
  <c r="C50" i="4"/>
  <c r="B50" i="4"/>
  <c r="U49" i="4"/>
  <c r="N49" i="4"/>
  <c r="M49" i="4"/>
  <c r="E49" i="4"/>
  <c r="D49" i="4"/>
  <c r="C49" i="4"/>
  <c r="B49" i="4"/>
  <c r="U48" i="4"/>
  <c r="N48" i="4"/>
  <c r="M48" i="4"/>
  <c r="E48" i="4"/>
  <c r="D48" i="4"/>
  <c r="C48" i="4"/>
  <c r="B48" i="4"/>
  <c r="U47" i="4"/>
  <c r="N47" i="4"/>
  <c r="M47" i="4"/>
  <c r="E47" i="4"/>
  <c r="D47" i="4"/>
  <c r="C47" i="4"/>
  <c r="B47" i="4"/>
  <c r="U46" i="4"/>
  <c r="N46" i="4"/>
  <c r="M46" i="4"/>
  <c r="E46" i="4"/>
  <c r="D46" i="4"/>
  <c r="C46" i="4"/>
  <c r="B46" i="4"/>
  <c r="S46" i="4" s="1"/>
  <c r="N45" i="4"/>
  <c r="M45" i="4"/>
  <c r="E45" i="4"/>
  <c r="D45" i="4"/>
  <c r="C45" i="4"/>
  <c r="L45" i="4" s="1"/>
  <c r="B45" i="4"/>
  <c r="S45" i="4" s="1"/>
  <c r="N44" i="4"/>
  <c r="M44" i="4"/>
  <c r="E44" i="4"/>
  <c r="D44" i="4"/>
  <c r="C44" i="4"/>
  <c r="B44" i="4"/>
  <c r="S43" i="4"/>
  <c r="N43" i="4"/>
  <c r="M43" i="4"/>
  <c r="E43" i="4"/>
  <c r="D43" i="4"/>
  <c r="C43" i="4"/>
  <c r="B43" i="4"/>
  <c r="S42" i="4"/>
  <c r="N42" i="4"/>
  <c r="M42" i="4"/>
  <c r="E42" i="4"/>
  <c r="D42" i="4"/>
  <c r="C42" i="4"/>
  <c r="B42" i="4"/>
  <c r="N41" i="4"/>
  <c r="M41" i="4"/>
  <c r="E41" i="4"/>
  <c r="D41" i="4"/>
  <c r="C41" i="4"/>
  <c r="L41" i="4" s="1"/>
  <c r="B41" i="4"/>
  <c r="N40" i="4"/>
  <c r="M40" i="4"/>
  <c r="E40" i="4"/>
  <c r="D40" i="4"/>
  <c r="C40" i="4"/>
  <c r="B40" i="4"/>
  <c r="S40" i="4" s="1"/>
  <c r="N39" i="4"/>
  <c r="M39" i="4"/>
  <c r="E39" i="4"/>
  <c r="D39" i="4"/>
  <c r="C39" i="4"/>
  <c r="B39" i="4"/>
  <c r="S39" i="4" s="1"/>
  <c r="U38" i="4"/>
  <c r="S38" i="4"/>
  <c r="N38" i="4"/>
  <c r="M38" i="4"/>
  <c r="E38" i="4"/>
  <c r="D38" i="4"/>
  <c r="C38" i="4"/>
  <c r="B38" i="4"/>
  <c r="S37" i="4"/>
  <c r="N37" i="4"/>
  <c r="M37" i="4"/>
  <c r="E37" i="4"/>
  <c r="D37" i="4"/>
  <c r="C37" i="4"/>
  <c r="B37" i="4"/>
  <c r="U36" i="4"/>
  <c r="S36" i="4"/>
  <c r="N36" i="4"/>
  <c r="M36" i="4"/>
  <c r="E36" i="4"/>
  <c r="D36" i="4"/>
  <c r="C36" i="4"/>
  <c r="B36" i="4"/>
  <c r="U35" i="4"/>
  <c r="N35" i="4"/>
  <c r="M35" i="4"/>
  <c r="E35" i="4"/>
  <c r="D35" i="4"/>
  <c r="C35" i="4"/>
  <c r="B35" i="4"/>
  <c r="S35" i="4" s="1"/>
  <c r="U34" i="4"/>
  <c r="N34" i="4"/>
  <c r="M34" i="4"/>
  <c r="E34" i="4"/>
  <c r="D34" i="4"/>
  <c r="C34" i="4"/>
  <c r="B34" i="4"/>
  <c r="U33" i="4"/>
  <c r="S33" i="4"/>
  <c r="N33" i="4"/>
  <c r="M33" i="4"/>
  <c r="E33" i="4"/>
  <c r="D33" i="4"/>
  <c r="C33" i="4"/>
  <c r="B33" i="4"/>
  <c r="U32" i="4"/>
  <c r="S32" i="4"/>
  <c r="N32" i="4"/>
  <c r="M32" i="4"/>
  <c r="E32" i="4"/>
  <c r="D32" i="4"/>
  <c r="C32" i="4"/>
  <c r="B32" i="4"/>
  <c r="U31" i="4"/>
  <c r="S31" i="4"/>
  <c r="N31" i="4"/>
  <c r="M31" i="4"/>
  <c r="E31" i="4"/>
  <c r="D31" i="4"/>
  <c r="C31" i="4"/>
  <c r="B31" i="4"/>
  <c r="U30" i="4"/>
  <c r="S30" i="4"/>
  <c r="N30" i="4"/>
  <c r="M30" i="4"/>
  <c r="E30" i="4"/>
  <c r="D30" i="4"/>
  <c r="C30" i="4"/>
  <c r="B30" i="4"/>
  <c r="U29" i="4"/>
  <c r="S29" i="4"/>
  <c r="N29" i="4"/>
  <c r="M29" i="4"/>
  <c r="E29" i="4"/>
  <c r="D29" i="4"/>
  <c r="C29" i="4"/>
  <c r="B29" i="4"/>
  <c r="U28" i="4"/>
  <c r="S28" i="4"/>
  <c r="N28" i="4"/>
  <c r="M28" i="4"/>
  <c r="E28" i="4"/>
  <c r="D28" i="4"/>
  <c r="C28" i="4"/>
  <c r="B28" i="4"/>
  <c r="U27" i="4"/>
  <c r="S27" i="4"/>
  <c r="N27" i="4"/>
  <c r="M27" i="4"/>
  <c r="E27" i="4"/>
  <c r="D27" i="4"/>
  <c r="C27" i="4"/>
  <c r="B27" i="4"/>
  <c r="U26" i="4"/>
  <c r="S26" i="4"/>
  <c r="N26" i="4"/>
  <c r="M26" i="4"/>
  <c r="E26" i="4"/>
  <c r="D26" i="4"/>
  <c r="C26" i="4"/>
  <c r="B26" i="4"/>
  <c r="U25" i="4"/>
  <c r="N25" i="4"/>
  <c r="M25" i="4"/>
  <c r="E25" i="4"/>
  <c r="D25" i="4"/>
  <c r="C25" i="4"/>
  <c r="B25" i="4"/>
  <c r="S25" i="4" s="1"/>
  <c r="U24" i="4"/>
  <c r="N24" i="4"/>
  <c r="M24" i="4"/>
  <c r="E24" i="4"/>
  <c r="D24" i="4"/>
  <c r="C24" i="4"/>
  <c r="B24" i="4"/>
  <c r="S24" i="4" s="1"/>
  <c r="U23" i="4"/>
  <c r="S23" i="4"/>
  <c r="N23" i="4"/>
  <c r="M23" i="4"/>
  <c r="E23" i="4"/>
  <c r="D23" i="4"/>
  <c r="C23" i="4"/>
  <c r="B23" i="4"/>
  <c r="U22" i="4"/>
  <c r="N22" i="4"/>
  <c r="M22" i="4"/>
  <c r="E22" i="4"/>
  <c r="D22" i="4"/>
  <c r="C22" i="4"/>
  <c r="B22" i="4"/>
  <c r="S22" i="4" s="1"/>
  <c r="U21" i="4"/>
  <c r="N21" i="4"/>
  <c r="M21" i="4"/>
  <c r="E21" i="4"/>
  <c r="D21" i="4"/>
  <c r="C21" i="4"/>
  <c r="B21" i="4"/>
  <c r="U20" i="4"/>
  <c r="S20" i="4"/>
  <c r="N20" i="4"/>
  <c r="M20" i="4"/>
  <c r="E20" i="4"/>
  <c r="D20" i="4"/>
  <c r="C20" i="4"/>
  <c r="B20" i="4"/>
  <c r="S19" i="4"/>
  <c r="N19" i="4"/>
  <c r="M19" i="4"/>
  <c r="E19" i="4"/>
  <c r="D19" i="4"/>
  <c r="C19" i="4"/>
  <c r="B19" i="4"/>
  <c r="S18" i="4"/>
  <c r="N18" i="4"/>
  <c r="M18" i="4"/>
  <c r="E18" i="4"/>
  <c r="D18" i="4"/>
  <c r="C18" i="4"/>
  <c r="B18" i="4"/>
  <c r="N17" i="4"/>
  <c r="M17" i="4"/>
  <c r="E17" i="4"/>
  <c r="D17" i="4"/>
  <c r="C17" i="4"/>
  <c r="B17" i="4"/>
  <c r="S17" i="4" s="1"/>
  <c r="U16" i="4"/>
  <c r="N16" i="4"/>
  <c r="M16" i="4"/>
  <c r="E16" i="4"/>
  <c r="D16" i="4"/>
  <c r="C16" i="4"/>
  <c r="B16" i="4"/>
  <c r="S16" i="4" s="1"/>
  <c r="U15" i="4"/>
  <c r="N15" i="4"/>
  <c r="M15" i="4"/>
  <c r="E15" i="4"/>
  <c r="D15" i="4"/>
  <c r="C15" i="4"/>
  <c r="B15" i="4"/>
  <c r="U14" i="4"/>
  <c r="S14" i="4"/>
  <c r="N14" i="4"/>
  <c r="M14" i="4"/>
  <c r="E14" i="4"/>
  <c r="D14" i="4"/>
  <c r="C14" i="4"/>
  <c r="B14" i="4"/>
  <c r="S13" i="4"/>
  <c r="N13" i="4"/>
  <c r="M13" i="4"/>
  <c r="E13" i="4"/>
  <c r="D13" i="4"/>
  <c r="C13" i="4"/>
  <c r="B13" i="4"/>
  <c r="U12" i="4"/>
  <c r="N12" i="4"/>
  <c r="M12" i="4"/>
  <c r="E12" i="4"/>
  <c r="D12" i="4"/>
  <c r="C12" i="4"/>
  <c r="B12" i="4"/>
  <c r="U11" i="4"/>
  <c r="S11" i="4"/>
  <c r="N11" i="4"/>
  <c r="M11" i="4"/>
  <c r="E11" i="4"/>
  <c r="D11" i="4"/>
  <c r="C11" i="4"/>
  <c r="B11" i="4"/>
  <c r="S10" i="4"/>
  <c r="N10" i="4"/>
  <c r="M10" i="4"/>
  <c r="E10" i="4"/>
  <c r="D10" i="4"/>
  <c r="C10" i="4"/>
  <c r="B10" i="4"/>
  <c r="U9" i="4"/>
  <c r="S9" i="4"/>
  <c r="N9" i="4"/>
  <c r="M9" i="4"/>
  <c r="E9" i="4"/>
  <c r="D9" i="4"/>
  <c r="C9" i="4"/>
  <c r="B9" i="4"/>
  <c r="U8" i="4"/>
  <c r="N8" i="4"/>
  <c r="M8" i="4"/>
  <c r="E8" i="4"/>
  <c r="D8" i="4"/>
  <c r="C8" i="4"/>
  <c r="B8" i="4"/>
  <c r="U7" i="4"/>
  <c r="S7" i="4"/>
  <c r="N7" i="4"/>
  <c r="M7" i="4"/>
  <c r="E7" i="4"/>
  <c r="D7" i="4"/>
  <c r="C7" i="4"/>
  <c r="B7" i="4"/>
  <c r="U6" i="4"/>
  <c r="S6" i="4"/>
  <c r="N6" i="4"/>
  <c r="M6" i="4"/>
  <c r="E6" i="4"/>
  <c r="D6" i="4"/>
  <c r="C6" i="4"/>
  <c r="B6" i="4"/>
  <c r="U5" i="4"/>
  <c r="N5" i="4"/>
  <c r="M5" i="4"/>
  <c r="E5" i="4"/>
  <c r="D5" i="4"/>
  <c r="C5" i="4"/>
  <c r="B5" i="4"/>
  <c r="S5" i="4" s="1"/>
  <c r="Y4" i="4"/>
  <c r="Y3" i="4"/>
  <c r="Y2" i="4"/>
  <c r="S577" i="4" s="1"/>
  <c r="U1004" i="2"/>
  <c r="N1004" i="2"/>
  <c r="M1004" i="2"/>
  <c r="E1004" i="2"/>
  <c r="D1004" i="2"/>
  <c r="C1004" i="2"/>
  <c r="B1004" i="2"/>
  <c r="S1004" i="2" s="1"/>
  <c r="U1003" i="2"/>
  <c r="N1003" i="2"/>
  <c r="M1003" i="2"/>
  <c r="E1003" i="2"/>
  <c r="D1003" i="2"/>
  <c r="C1003" i="2"/>
  <c r="B1003" i="2"/>
  <c r="S1003" i="2" s="1"/>
  <c r="U1002" i="2"/>
  <c r="N1002" i="2"/>
  <c r="M1002" i="2"/>
  <c r="E1002" i="2"/>
  <c r="D1002" i="2"/>
  <c r="C1002" i="2"/>
  <c r="B1002" i="2"/>
  <c r="S1002" i="2" s="1"/>
  <c r="U1001" i="2"/>
  <c r="S1001" i="2"/>
  <c r="N1001" i="2"/>
  <c r="M1001" i="2"/>
  <c r="E1001" i="2"/>
  <c r="D1001" i="2"/>
  <c r="C1001" i="2"/>
  <c r="B1001" i="2"/>
  <c r="U1000" i="2"/>
  <c r="S1000" i="2"/>
  <c r="N1000" i="2"/>
  <c r="M1000" i="2"/>
  <c r="E1000" i="2"/>
  <c r="D1000" i="2"/>
  <c r="C1000" i="2"/>
  <c r="B1000" i="2"/>
  <c r="U999" i="2"/>
  <c r="S999" i="2"/>
  <c r="N999" i="2"/>
  <c r="M999" i="2"/>
  <c r="E999" i="2"/>
  <c r="D999" i="2"/>
  <c r="C999" i="2"/>
  <c r="B999" i="2"/>
  <c r="U998" i="2"/>
  <c r="S998" i="2"/>
  <c r="N998" i="2"/>
  <c r="M998" i="2"/>
  <c r="E998" i="2"/>
  <c r="D998" i="2"/>
  <c r="C998" i="2"/>
  <c r="B998" i="2"/>
  <c r="U997" i="2"/>
  <c r="N997" i="2"/>
  <c r="M997" i="2"/>
  <c r="E997" i="2"/>
  <c r="D997" i="2"/>
  <c r="C997" i="2"/>
  <c r="B997" i="2"/>
  <c r="S997" i="2" s="1"/>
  <c r="U996" i="2"/>
  <c r="N996" i="2"/>
  <c r="M996" i="2"/>
  <c r="E996" i="2"/>
  <c r="D996" i="2"/>
  <c r="C996" i="2"/>
  <c r="B996" i="2"/>
  <c r="S996" i="2" s="1"/>
  <c r="U995" i="2"/>
  <c r="N995" i="2"/>
  <c r="M995" i="2"/>
  <c r="E995" i="2"/>
  <c r="D995" i="2"/>
  <c r="C995" i="2"/>
  <c r="B995" i="2"/>
  <c r="S995" i="2" s="1"/>
  <c r="U994" i="2"/>
  <c r="N994" i="2"/>
  <c r="M994" i="2"/>
  <c r="E994" i="2"/>
  <c r="D994" i="2"/>
  <c r="C994" i="2"/>
  <c r="B994" i="2"/>
  <c r="S994" i="2" s="1"/>
  <c r="U993" i="2"/>
  <c r="S993" i="2"/>
  <c r="N993" i="2"/>
  <c r="M993" i="2"/>
  <c r="E993" i="2"/>
  <c r="D993" i="2"/>
  <c r="C993" i="2"/>
  <c r="B993" i="2"/>
  <c r="U992" i="2"/>
  <c r="S992" i="2"/>
  <c r="N992" i="2"/>
  <c r="M992" i="2"/>
  <c r="E992" i="2"/>
  <c r="D992" i="2"/>
  <c r="C992" i="2"/>
  <c r="B992" i="2"/>
  <c r="U991" i="2"/>
  <c r="S991" i="2"/>
  <c r="N991" i="2"/>
  <c r="M991" i="2"/>
  <c r="E991" i="2"/>
  <c r="D991" i="2"/>
  <c r="C991" i="2"/>
  <c r="B991" i="2"/>
  <c r="U990" i="2"/>
  <c r="S990" i="2"/>
  <c r="N990" i="2"/>
  <c r="M990" i="2"/>
  <c r="E990" i="2"/>
  <c r="D990" i="2"/>
  <c r="C990" i="2"/>
  <c r="B990" i="2"/>
  <c r="U989" i="2"/>
  <c r="N989" i="2"/>
  <c r="M989" i="2"/>
  <c r="E989" i="2"/>
  <c r="D989" i="2"/>
  <c r="C989" i="2"/>
  <c r="B989" i="2"/>
  <c r="S989" i="2" s="1"/>
  <c r="U988" i="2"/>
  <c r="S988" i="2"/>
  <c r="N988" i="2"/>
  <c r="M988" i="2"/>
  <c r="E988" i="2"/>
  <c r="D988" i="2"/>
  <c r="C988" i="2"/>
  <c r="B988" i="2"/>
  <c r="U987" i="2"/>
  <c r="S987" i="2"/>
  <c r="N987" i="2"/>
  <c r="M987" i="2"/>
  <c r="E987" i="2"/>
  <c r="D987" i="2"/>
  <c r="C987" i="2"/>
  <c r="B987" i="2"/>
  <c r="U986" i="2"/>
  <c r="N986" i="2"/>
  <c r="M986" i="2"/>
  <c r="E986" i="2"/>
  <c r="D986" i="2"/>
  <c r="C986" i="2"/>
  <c r="B986" i="2"/>
  <c r="S986" i="2" s="1"/>
  <c r="U985" i="2"/>
  <c r="N985" i="2"/>
  <c r="M985" i="2"/>
  <c r="E985" i="2"/>
  <c r="D985" i="2"/>
  <c r="C985" i="2"/>
  <c r="B985" i="2"/>
  <c r="S985" i="2" s="1"/>
  <c r="U984" i="2"/>
  <c r="N984" i="2"/>
  <c r="M984" i="2"/>
  <c r="E984" i="2"/>
  <c r="D984" i="2"/>
  <c r="C984" i="2"/>
  <c r="B984" i="2"/>
  <c r="S984" i="2" s="1"/>
  <c r="U983" i="2"/>
  <c r="S983" i="2"/>
  <c r="N983" i="2"/>
  <c r="M983" i="2"/>
  <c r="E983" i="2"/>
  <c r="D983" i="2"/>
  <c r="C983" i="2"/>
  <c r="B983" i="2"/>
  <c r="U982" i="2"/>
  <c r="N982" i="2"/>
  <c r="M982" i="2"/>
  <c r="E982" i="2"/>
  <c r="D982" i="2"/>
  <c r="C982" i="2"/>
  <c r="B982" i="2"/>
  <c r="S982" i="2" s="1"/>
  <c r="U981" i="2"/>
  <c r="N981" i="2"/>
  <c r="M981" i="2"/>
  <c r="E981" i="2"/>
  <c r="D981" i="2"/>
  <c r="C981" i="2"/>
  <c r="B981" i="2"/>
  <c r="S981" i="2" s="1"/>
  <c r="U980" i="2"/>
  <c r="S980" i="2"/>
  <c r="N980" i="2"/>
  <c r="M980" i="2"/>
  <c r="E980" i="2"/>
  <c r="D980" i="2"/>
  <c r="C980" i="2"/>
  <c r="B980" i="2"/>
  <c r="U979" i="2"/>
  <c r="S979" i="2"/>
  <c r="N979" i="2"/>
  <c r="M979" i="2"/>
  <c r="E979" i="2"/>
  <c r="D979" i="2"/>
  <c r="C979" i="2"/>
  <c r="B979" i="2"/>
  <c r="U978" i="2"/>
  <c r="N978" i="2"/>
  <c r="M978" i="2"/>
  <c r="E978" i="2"/>
  <c r="D978" i="2"/>
  <c r="C978" i="2"/>
  <c r="B978" i="2"/>
  <c r="S978" i="2" s="1"/>
  <c r="U977" i="2"/>
  <c r="S977" i="2"/>
  <c r="N977" i="2"/>
  <c r="M977" i="2"/>
  <c r="E977" i="2"/>
  <c r="D977" i="2"/>
  <c r="C977" i="2"/>
  <c r="B977" i="2"/>
  <c r="U976" i="2"/>
  <c r="N976" i="2"/>
  <c r="M976" i="2"/>
  <c r="E976" i="2"/>
  <c r="D976" i="2"/>
  <c r="C976" i="2"/>
  <c r="B976" i="2"/>
  <c r="S976" i="2" s="1"/>
  <c r="U975" i="2"/>
  <c r="S975" i="2"/>
  <c r="N975" i="2"/>
  <c r="M975" i="2"/>
  <c r="E975" i="2"/>
  <c r="D975" i="2"/>
  <c r="C975" i="2"/>
  <c r="B975" i="2"/>
  <c r="U974" i="2"/>
  <c r="N974" i="2"/>
  <c r="M974" i="2"/>
  <c r="E974" i="2"/>
  <c r="D974" i="2"/>
  <c r="C974" i="2"/>
  <c r="B974" i="2"/>
  <c r="S974" i="2" s="1"/>
  <c r="U973" i="2"/>
  <c r="S973" i="2"/>
  <c r="N973" i="2"/>
  <c r="M973" i="2"/>
  <c r="E973" i="2"/>
  <c r="D973" i="2"/>
  <c r="C973" i="2"/>
  <c r="B973" i="2"/>
  <c r="U972" i="2"/>
  <c r="S972" i="2"/>
  <c r="N972" i="2"/>
  <c r="M972" i="2"/>
  <c r="E972" i="2"/>
  <c r="D972" i="2"/>
  <c r="C972" i="2"/>
  <c r="B972" i="2"/>
  <c r="U971" i="2"/>
  <c r="N971" i="2"/>
  <c r="M971" i="2"/>
  <c r="E971" i="2"/>
  <c r="D971" i="2"/>
  <c r="C971" i="2"/>
  <c r="B971" i="2"/>
  <c r="S971" i="2" s="1"/>
  <c r="U970" i="2"/>
  <c r="N970" i="2"/>
  <c r="M970" i="2"/>
  <c r="E970" i="2"/>
  <c r="D970" i="2"/>
  <c r="C970" i="2"/>
  <c r="B970" i="2"/>
  <c r="S970" i="2" s="1"/>
  <c r="U969" i="2"/>
  <c r="N969" i="2"/>
  <c r="M969" i="2"/>
  <c r="E969" i="2"/>
  <c r="D969" i="2"/>
  <c r="C969" i="2"/>
  <c r="B969" i="2"/>
  <c r="S969" i="2" s="1"/>
  <c r="U968" i="2"/>
  <c r="N968" i="2"/>
  <c r="M968" i="2"/>
  <c r="E968" i="2"/>
  <c r="D968" i="2"/>
  <c r="C968" i="2"/>
  <c r="B968" i="2"/>
  <c r="S968" i="2" s="1"/>
  <c r="U967" i="2"/>
  <c r="N967" i="2"/>
  <c r="M967" i="2"/>
  <c r="E967" i="2"/>
  <c r="D967" i="2"/>
  <c r="C967" i="2"/>
  <c r="B967" i="2"/>
  <c r="S967" i="2" s="1"/>
  <c r="U966" i="2"/>
  <c r="N966" i="2"/>
  <c r="M966" i="2"/>
  <c r="E966" i="2"/>
  <c r="D966" i="2"/>
  <c r="C966" i="2"/>
  <c r="B966" i="2"/>
  <c r="S966" i="2" s="1"/>
  <c r="U965" i="2"/>
  <c r="S965" i="2"/>
  <c r="N965" i="2"/>
  <c r="M965" i="2"/>
  <c r="E965" i="2"/>
  <c r="D965" i="2"/>
  <c r="C965" i="2"/>
  <c r="B965" i="2"/>
  <c r="U964" i="2"/>
  <c r="S964" i="2"/>
  <c r="N964" i="2"/>
  <c r="M964" i="2"/>
  <c r="E964" i="2"/>
  <c r="D964" i="2"/>
  <c r="C964" i="2"/>
  <c r="B964" i="2"/>
  <c r="U963" i="2"/>
  <c r="N963" i="2"/>
  <c r="M963" i="2"/>
  <c r="E963" i="2"/>
  <c r="D963" i="2"/>
  <c r="C963" i="2"/>
  <c r="B963" i="2"/>
  <c r="S963" i="2" s="1"/>
  <c r="U962" i="2"/>
  <c r="N962" i="2"/>
  <c r="M962" i="2"/>
  <c r="E962" i="2"/>
  <c r="D962" i="2"/>
  <c r="C962" i="2"/>
  <c r="B962" i="2"/>
  <c r="S962" i="2" s="1"/>
  <c r="U961" i="2"/>
  <c r="S961" i="2"/>
  <c r="N961" i="2"/>
  <c r="M961" i="2"/>
  <c r="E961" i="2"/>
  <c r="D961" i="2"/>
  <c r="C961" i="2"/>
  <c r="B961" i="2"/>
  <c r="U960" i="2"/>
  <c r="N960" i="2"/>
  <c r="M960" i="2"/>
  <c r="E960" i="2"/>
  <c r="D960" i="2"/>
  <c r="C960" i="2"/>
  <c r="B960" i="2"/>
  <c r="S960" i="2" s="1"/>
  <c r="U959" i="2"/>
  <c r="S959" i="2"/>
  <c r="N959" i="2"/>
  <c r="M959" i="2"/>
  <c r="E959" i="2"/>
  <c r="D959" i="2"/>
  <c r="C959" i="2"/>
  <c r="B959" i="2"/>
  <c r="U958" i="2"/>
  <c r="N958" i="2"/>
  <c r="M958" i="2"/>
  <c r="E958" i="2"/>
  <c r="D958" i="2"/>
  <c r="C958" i="2"/>
  <c r="B958" i="2"/>
  <c r="S958" i="2" s="1"/>
  <c r="U957" i="2"/>
  <c r="N957" i="2"/>
  <c r="M957" i="2"/>
  <c r="E957" i="2"/>
  <c r="D957" i="2"/>
  <c r="C957" i="2"/>
  <c r="B957" i="2"/>
  <c r="S957" i="2" s="1"/>
  <c r="U956" i="2"/>
  <c r="N956" i="2"/>
  <c r="M956" i="2"/>
  <c r="E956" i="2"/>
  <c r="D956" i="2"/>
  <c r="C956" i="2"/>
  <c r="B956" i="2"/>
  <c r="S956" i="2" s="1"/>
  <c r="U955" i="2"/>
  <c r="N955" i="2"/>
  <c r="M955" i="2"/>
  <c r="E955" i="2"/>
  <c r="D955" i="2"/>
  <c r="C955" i="2"/>
  <c r="B955" i="2"/>
  <c r="S955" i="2" s="1"/>
  <c r="U954" i="2"/>
  <c r="N954" i="2"/>
  <c r="M954" i="2"/>
  <c r="E954" i="2"/>
  <c r="D954" i="2"/>
  <c r="C954" i="2"/>
  <c r="B954" i="2"/>
  <c r="S954" i="2" s="1"/>
  <c r="U953" i="2"/>
  <c r="S953" i="2"/>
  <c r="N953" i="2"/>
  <c r="M953" i="2"/>
  <c r="E953" i="2"/>
  <c r="D953" i="2"/>
  <c r="C953" i="2"/>
  <c r="B953" i="2"/>
  <c r="U952" i="2"/>
  <c r="N952" i="2"/>
  <c r="M952" i="2"/>
  <c r="E952" i="2"/>
  <c r="D952" i="2"/>
  <c r="C952" i="2"/>
  <c r="B952" i="2"/>
  <c r="S952" i="2" s="1"/>
  <c r="U951" i="2"/>
  <c r="N951" i="2"/>
  <c r="M951" i="2"/>
  <c r="E951" i="2"/>
  <c r="D951" i="2"/>
  <c r="C951" i="2"/>
  <c r="B951" i="2"/>
  <c r="S951" i="2" s="1"/>
  <c r="U950" i="2"/>
  <c r="S950" i="2"/>
  <c r="N950" i="2"/>
  <c r="M950" i="2"/>
  <c r="E950" i="2"/>
  <c r="D950" i="2"/>
  <c r="C950" i="2"/>
  <c r="B950" i="2"/>
  <c r="U949" i="2"/>
  <c r="S949" i="2"/>
  <c r="N949" i="2"/>
  <c r="M949" i="2"/>
  <c r="E949" i="2"/>
  <c r="D949" i="2"/>
  <c r="C949" i="2"/>
  <c r="B949" i="2"/>
  <c r="U948" i="2"/>
  <c r="S948" i="2"/>
  <c r="N948" i="2"/>
  <c r="M948" i="2"/>
  <c r="E948" i="2"/>
  <c r="D948" i="2"/>
  <c r="C948" i="2"/>
  <c r="B948" i="2"/>
  <c r="U947" i="2"/>
  <c r="S947" i="2"/>
  <c r="N947" i="2"/>
  <c r="M947" i="2"/>
  <c r="E947" i="2"/>
  <c r="D947" i="2"/>
  <c r="C947" i="2"/>
  <c r="B947" i="2"/>
  <c r="U946" i="2"/>
  <c r="N946" i="2"/>
  <c r="M946" i="2"/>
  <c r="E946" i="2"/>
  <c r="D946" i="2"/>
  <c r="C946" i="2"/>
  <c r="B946" i="2"/>
  <c r="S946" i="2" s="1"/>
  <c r="U945" i="2"/>
  <c r="N945" i="2"/>
  <c r="M945" i="2"/>
  <c r="E945" i="2"/>
  <c r="D945" i="2"/>
  <c r="C945" i="2"/>
  <c r="B945" i="2"/>
  <c r="S945" i="2" s="1"/>
  <c r="U944" i="2"/>
  <c r="N944" i="2"/>
  <c r="M944" i="2"/>
  <c r="E944" i="2"/>
  <c r="D944" i="2"/>
  <c r="C944" i="2"/>
  <c r="B944" i="2"/>
  <c r="S944" i="2" s="1"/>
  <c r="U943" i="2"/>
  <c r="N943" i="2"/>
  <c r="M943" i="2"/>
  <c r="E943" i="2"/>
  <c r="D943" i="2"/>
  <c r="C943" i="2"/>
  <c r="B943" i="2"/>
  <c r="S943" i="2" s="1"/>
  <c r="U942" i="2"/>
  <c r="S942" i="2"/>
  <c r="N942" i="2"/>
  <c r="M942" i="2"/>
  <c r="E942" i="2"/>
  <c r="D942" i="2"/>
  <c r="C942" i="2"/>
  <c r="B942" i="2"/>
  <c r="U941" i="2"/>
  <c r="S941" i="2"/>
  <c r="N941" i="2"/>
  <c r="M941" i="2"/>
  <c r="E941" i="2"/>
  <c r="D941" i="2"/>
  <c r="C941" i="2"/>
  <c r="B941" i="2"/>
  <c r="U940" i="2"/>
  <c r="S940" i="2"/>
  <c r="N940" i="2"/>
  <c r="M940" i="2"/>
  <c r="E940" i="2"/>
  <c r="D940" i="2"/>
  <c r="C940" i="2"/>
  <c r="B940" i="2"/>
  <c r="U939" i="2"/>
  <c r="S939" i="2"/>
  <c r="N939" i="2"/>
  <c r="M939" i="2"/>
  <c r="E939" i="2"/>
  <c r="D939" i="2"/>
  <c r="C939" i="2"/>
  <c r="B939" i="2"/>
  <c r="U938" i="2"/>
  <c r="S938" i="2"/>
  <c r="N938" i="2"/>
  <c r="M938" i="2"/>
  <c r="E938" i="2"/>
  <c r="D938" i="2"/>
  <c r="C938" i="2"/>
  <c r="B938" i="2"/>
  <c r="U937" i="2"/>
  <c r="N937" i="2"/>
  <c r="M937" i="2"/>
  <c r="E937" i="2"/>
  <c r="D937" i="2"/>
  <c r="C937" i="2"/>
  <c r="B937" i="2"/>
  <c r="S937" i="2" s="1"/>
  <c r="U936" i="2"/>
  <c r="N936" i="2"/>
  <c r="M936" i="2"/>
  <c r="E936" i="2"/>
  <c r="D936" i="2"/>
  <c r="C936" i="2"/>
  <c r="B936" i="2"/>
  <c r="S936" i="2" s="1"/>
  <c r="U935" i="2"/>
  <c r="N935" i="2"/>
  <c r="M935" i="2"/>
  <c r="E935" i="2"/>
  <c r="D935" i="2"/>
  <c r="C935" i="2"/>
  <c r="B935" i="2"/>
  <c r="S935" i="2" s="1"/>
  <c r="U934" i="2"/>
  <c r="S934" i="2"/>
  <c r="N934" i="2"/>
  <c r="M934" i="2"/>
  <c r="E934" i="2"/>
  <c r="D934" i="2"/>
  <c r="C934" i="2"/>
  <c r="B934" i="2"/>
  <c r="U933" i="2"/>
  <c r="S933" i="2"/>
  <c r="N933" i="2"/>
  <c r="M933" i="2"/>
  <c r="E933" i="2"/>
  <c r="D933" i="2"/>
  <c r="C933" i="2"/>
  <c r="B933" i="2"/>
  <c r="U932" i="2"/>
  <c r="N932" i="2"/>
  <c r="M932" i="2"/>
  <c r="E932" i="2"/>
  <c r="D932" i="2"/>
  <c r="C932" i="2"/>
  <c r="B932" i="2"/>
  <c r="S932" i="2" s="1"/>
  <c r="U931" i="2"/>
  <c r="N931" i="2"/>
  <c r="M931" i="2"/>
  <c r="E931" i="2"/>
  <c r="D931" i="2"/>
  <c r="C931" i="2"/>
  <c r="B931" i="2"/>
  <c r="S931" i="2" s="1"/>
  <c r="U930" i="2"/>
  <c r="N930" i="2"/>
  <c r="M930" i="2"/>
  <c r="E930" i="2"/>
  <c r="D930" i="2"/>
  <c r="C930" i="2"/>
  <c r="B930" i="2"/>
  <c r="S930" i="2" s="1"/>
  <c r="U929" i="2"/>
  <c r="N929" i="2"/>
  <c r="M929" i="2"/>
  <c r="E929" i="2"/>
  <c r="D929" i="2"/>
  <c r="C929" i="2"/>
  <c r="B929" i="2"/>
  <c r="S929" i="2" s="1"/>
  <c r="U928" i="2"/>
  <c r="S928" i="2"/>
  <c r="N928" i="2"/>
  <c r="M928" i="2"/>
  <c r="E928" i="2"/>
  <c r="D928" i="2"/>
  <c r="C928" i="2"/>
  <c r="B928" i="2"/>
  <c r="U927" i="2"/>
  <c r="S927" i="2"/>
  <c r="N927" i="2"/>
  <c r="M927" i="2"/>
  <c r="E927" i="2"/>
  <c r="D927" i="2"/>
  <c r="C927" i="2"/>
  <c r="B927" i="2"/>
  <c r="U926" i="2"/>
  <c r="N926" i="2"/>
  <c r="M926" i="2"/>
  <c r="E926" i="2"/>
  <c r="D926" i="2"/>
  <c r="C926" i="2"/>
  <c r="B926" i="2"/>
  <c r="S926" i="2" s="1"/>
  <c r="U925" i="2"/>
  <c r="N925" i="2"/>
  <c r="M925" i="2"/>
  <c r="E925" i="2"/>
  <c r="D925" i="2"/>
  <c r="C925" i="2"/>
  <c r="B925" i="2"/>
  <c r="S925" i="2" s="1"/>
  <c r="U924" i="2"/>
  <c r="N924" i="2"/>
  <c r="M924" i="2"/>
  <c r="E924" i="2"/>
  <c r="D924" i="2"/>
  <c r="C924" i="2"/>
  <c r="B924" i="2"/>
  <c r="S924" i="2" s="1"/>
  <c r="U923" i="2"/>
  <c r="S923" i="2"/>
  <c r="N923" i="2"/>
  <c r="M923" i="2"/>
  <c r="E923" i="2"/>
  <c r="D923" i="2"/>
  <c r="C923" i="2"/>
  <c r="B923" i="2"/>
  <c r="U922" i="2"/>
  <c r="S922" i="2"/>
  <c r="N922" i="2"/>
  <c r="M922" i="2"/>
  <c r="E922" i="2"/>
  <c r="D922" i="2"/>
  <c r="C922" i="2"/>
  <c r="B922" i="2"/>
  <c r="U921" i="2"/>
  <c r="S921" i="2"/>
  <c r="N921" i="2"/>
  <c r="M921" i="2"/>
  <c r="E921" i="2"/>
  <c r="D921" i="2"/>
  <c r="C921" i="2"/>
  <c r="B921" i="2"/>
  <c r="U920" i="2"/>
  <c r="N920" i="2"/>
  <c r="M920" i="2"/>
  <c r="E920" i="2"/>
  <c r="D920" i="2"/>
  <c r="C920" i="2"/>
  <c r="B920" i="2"/>
  <c r="S920" i="2" s="1"/>
  <c r="U919" i="2"/>
  <c r="N919" i="2"/>
  <c r="M919" i="2"/>
  <c r="E919" i="2"/>
  <c r="D919" i="2"/>
  <c r="C919" i="2"/>
  <c r="B919" i="2"/>
  <c r="S919" i="2" s="1"/>
  <c r="U918" i="2"/>
  <c r="N918" i="2"/>
  <c r="M918" i="2"/>
  <c r="E918" i="2"/>
  <c r="D918" i="2"/>
  <c r="C918" i="2"/>
  <c r="B918" i="2"/>
  <c r="S918" i="2" s="1"/>
  <c r="U917" i="2"/>
  <c r="N917" i="2"/>
  <c r="M917" i="2"/>
  <c r="E917" i="2"/>
  <c r="D917" i="2"/>
  <c r="C917" i="2"/>
  <c r="B917" i="2"/>
  <c r="S917" i="2" s="1"/>
  <c r="U916" i="2"/>
  <c r="S916" i="2"/>
  <c r="N916" i="2"/>
  <c r="M916" i="2"/>
  <c r="E916" i="2"/>
  <c r="D916" i="2"/>
  <c r="C916" i="2"/>
  <c r="B916" i="2"/>
  <c r="U915" i="2"/>
  <c r="N915" i="2"/>
  <c r="M915" i="2"/>
  <c r="E915" i="2"/>
  <c r="D915" i="2"/>
  <c r="C915" i="2"/>
  <c r="B915" i="2"/>
  <c r="S915" i="2" s="1"/>
  <c r="U914" i="2"/>
  <c r="N914" i="2"/>
  <c r="M914" i="2"/>
  <c r="E914" i="2"/>
  <c r="D914" i="2"/>
  <c r="C914" i="2"/>
  <c r="B914" i="2"/>
  <c r="S914" i="2" s="1"/>
  <c r="U913" i="2"/>
  <c r="N913" i="2"/>
  <c r="M913" i="2"/>
  <c r="E913" i="2"/>
  <c r="D913" i="2"/>
  <c r="C913" i="2"/>
  <c r="B913" i="2"/>
  <c r="S913" i="2" s="1"/>
  <c r="U912" i="2"/>
  <c r="S912" i="2"/>
  <c r="N912" i="2"/>
  <c r="M912" i="2"/>
  <c r="E912" i="2"/>
  <c r="D912" i="2"/>
  <c r="C912" i="2"/>
  <c r="B912" i="2"/>
  <c r="U911" i="2"/>
  <c r="S911" i="2"/>
  <c r="N911" i="2"/>
  <c r="M911" i="2"/>
  <c r="E911" i="2"/>
  <c r="D911" i="2"/>
  <c r="C911" i="2"/>
  <c r="B911" i="2"/>
  <c r="U910" i="2"/>
  <c r="N910" i="2"/>
  <c r="M910" i="2"/>
  <c r="E910" i="2"/>
  <c r="D910" i="2"/>
  <c r="C910" i="2"/>
  <c r="B910" i="2"/>
  <c r="S910" i="2" s="1"/>
  <c r="U909" i="2"/>
  <c r="N909" i="2"/>
  <c r="M909" i="2"/>
  <c r="E909" i="2"/>
  <c r="D909" i="2"/>
  <c r="C909" i="2"/>
  <c r="B909" i="2"/>
  <c r="S909" i="2" s="1"/>
  <c r="U908" i="2"/>
  <c r="S908" i="2"/>
  <c r="N908" i="2"/>
  <c r="M908" i="2"/>
  <c r="E908" i="2"/>
  <c r="D908" i="2"/>
  <c r="C908" i="2"/>
  <c r="B908" i="2"/>
  <c r="U907" i="2"/>
  <c r="S907" i="2"/>
  <c r="N907" i="2"/>
  <c r="M907" i="2"/>
  <c r="E907" i="2"/>
  <c r="D907" i="2"/>
  <c r="C907" i="2"/>
  <c r="B907" i="2"/>
  <c r="U906" i="2"/>
  <c r="S906" i="2"/>
  <c r="N906" i="2"/>
  <c r="M906" i="2"/>
  <c r="E906" i="2"/>
  <c r="D906" i="2"/>
  <c r="C906" i="2"/>
  <c r="B906" i="2"/>
  <c r="U905" i="2"/>
  <c r="N905" i="2"/>
  <c r="M905" i="2"/>
  <c r="E905" i="2"/>
  <c r="D905" i="2"/>
  <c r="C905" i="2"/>
  <c r="B905" i="2"/>
  <c r="S905" i="2" s="1"/>
  <c r="U904" i="2"/>
  <c r="S904" i="2"/>
  <c r="N904" i="2"/>
  <c r="M904" i="2"/>
  <c r="E904" i="2"/>
  <c r="D904" i="2"/>
  <c r="C904" i="2"/>
  <c r="B904" i="2"/>
  <c r="U903" i="2"/>
  <c r="S903" i="2"/>
  <c r="N903" i="2"/>
  <c r="M903" i="2"/>
  <c r="E903" i="2"/>
  <c r="D903" i="2"/>
  <c r="C903" i="2"/>
  <c r="B903" i="2"/>
  <c r="U902" i="2"/>
  <c r="S902" i="2"/>
  <c r="N902" i="2"/>
  <c r="M902" i="2"/>
  <c r="E902" i="2"/>
  <c r="D902" i="2"/>
  <c r="C902" i="2"/>
  <c r="B902" i="2"/>
  <c r="U901" i="2"/>
  <c r="S901" i="2"/>
  <c r="N901" i="2"/>
  <c r="M901" i="2"/>
  <c r="E901" i="2"/>
  <c r="D901" i="2"/>
  <c r="C901" i="2"/>
  <c r="B901" i="2"/>
  <c r="U900" i="2"/>
  <c r="S900" i="2"/>
  <c r="N900" i="2"/>
  <c r="M900" i="2"/>
  <c r="E900" i="2"/>
  <c r="D900" i="2"/>
  <c r="C900" i="2"/>
  <c r="B900" i="2"/>
  <c r="U899" i="2"/>
  <c r="N899" i="2"/>
  <c r="M899" i="2"/>
  <c r="E899" i="2"/>
  <c r="D899" i="2"/>
  <c r="C899" i="2"/>
  <c r="B899" i="2"/>
  <c r="S899" i="2" s="1"/>
  <c r="U898" i="2"/>
  <c r="N898" i="2"/>
  <c r="M898" i="2"/>
  <c r="E898" i="2"/>
  <c r="D898" i="2"/>
  <c r="C898" i="2"/>
  <c r="B898" i="2"/>
  <c r="S898" i="2" s="1"/>
  <c r="U897" i="2"/>
  <c r="N897" i="2"/>
  <c r="M897" i="2"/>
  <c r="E897" i="2"/>
  <c r="D897" i="2"/>
  <c r="C897" i="2"/>
  <c r="B897" i="2"/>
  <c r="S897" i="2" s="1"/>
  <c r="U896" i="2"/>
  <c r="S896" i="2"/>
  <c r="N896" i="2"/>
  <c r="M896" i="2"/>
  <c r="E896" i="2"/>
  <c r="D896" i="2"/>
  <c r="C896" i="2"/>
  <c r="B896" i="2"/>
  <c r="U895" i="2"/>
  <c r="S895" i="2"/>
  <c r="N895" i="2"/>
  <c r="M895" i="2"/>
  <c r="E895" i="2"/>
  <c r="D895" i="2"/>
  <c r="C895" i="2"/>
  <c r="B895" i="2"/>
  <c r="U894" i="2"/>
  <c r="N894" i="2"/>
  <c r="M894" i="2"/>
  <c r="E894" i="2"/>
  <c r="D894" i="2"/>
  <c r="C894" i="2"/>
  <c r="B894" i="2"/>
  <c r="S894" i="2" s="1"/>
  <c r="U893" i="2"/>
  <c r="S893" i="2"/>
  <c r="N893" i="2"/>
  <c r="M893" i="2"/>
  <c r="E893" i="2"/>
  <c r="D893" i="2"/>
  <c r="C893" i="2"/>
  <c r="B893" i="2"/>
  <c r="U892" i="2"/>
  <c r="S892" i="2"/>
  <c r="N892" i="2"/>
  <c r="M892" i="2"/>
  <c r="E892" i="2"/>
  <c r="D892" i="2"/>
  <c r="C892" i="2"/>
  <c r="B892" i="2"/>
  <c r="U891" i="2"/>
  <c r="N891" i="2"/>
  <c r="M891" i="2"/>
  <c r="E891" i="2"/>
  <c r="D891" i="2"/>
  <c r="C891" i="2"/>
  <c r="B891" i="2"/>
  <c r="S891" i="2" s="1"/>
  <c r="U890" i="2"/>
  <c r="N890" i="2"/>
  <c r="M890" i="2"/>
  <c r="E890" i="2"/>
  <c r="D890" i="2"/>
  <c r="C890" i="2"/>
  <c r="B890" i="2"/>
  <c r="S890" i="2" s="1"/>
  <c r="U889" i="2"/>
  <c r="N889" i="2"/>
  <c r="M889" i="2"/>
  <c r="E889" i="2"/>
  <c r="D889" i="2"/>
  <c r="C889" i="2"/>
  <c r="B889" i="2"/>
  <c r="S889" i="2" s="1"/>
  <c r="U888" i="2"/>
  <c r="S888" i="2"/>
  <c r="N888" i="2"/>
  <c r="M888" i="2"/>
  <c r="E888" i="2"/>
  <c r="D888" i="2"/>
  <c r="C888" i="2"/>
  <c r="B888" i="2"/>
  <c r="U887" i="2"/>
  <c r="S887" i="2"/>
  <c r="N887" i="2"/>
  <c r="M887" i="2"/>
  <c r="E887" i="2"/>
  <c r="D887" i="2"/>
  <c r="C887" i="2"/>
  <c r="B887" i="2"/>
  <c r="U886" i="2"/>
  <c r="S886" i="2"/>
  <c r="N886" i="2"/>
  <c r="M886" i="2"/>
  <c r="E886" i="2"/>
  <c r="D886" i="2"/>
  <c r="C886" i="2"/>
  <c r="B886" i="2"/>
  <c r="U885" i="2"/>
  <c r="N885" i="2"/>
  <c r="M885" i="2"/>
  <c r="E885" i="2"/>
  <c r="D885" i="2"/>
  <c r="C885" i="2"/>
  <c r="B885" i="2"/>
  <c r="S885" i="2" s="1"/>
  <c r="U884" i="2"/>
  <c r="N884" i="2"/>
  <c r="M884" i="2"/>
  <c r="E884" i="2"/>
  <c r="D884" i="2"/>
  <c r="C884" i="2"/>
  <c r="B884" i="2"/>
  <c r="S884" i="2" s="1"/>
  <c r="U883" i="2"/>
  <c r="S883" i="2"/>
  <c r="N883" i="2"/>
  <c r="M883" i="2"/>
  <c r="E883" i="2"/>
  <c r="D883" i="2"/>
  <c r="C883" i="2"/>
  <c r="B883" i="2"/>
  <c r="U882" i="2"/>
  <c r="S882" i="2"/>
  <c r="N882" i="2"/>
  <c r="M882" i="2"/>
  <c r="E882" i="2"/>
  <c r="D882" i="2"/>
  <c r="C882" i="2"/>
  <c r="B882" i="2"/>
  <c r="U881" i="2"/>
  <c r="N881" i="2"/>
  <c r="M881" i="2"/>
  <c r="E881" i="2"/>
  <c r="D881" i="2"/>
  <c r="C881" i="2"/>
  <c r="B881" i="2"/>
  <c r="S881" i="2" s="1"/>
  <c r="U880" i="2"/>
  <c r="N880" i="2"/>
  <c r="M880" i="2"/>
  <c r="E880" i="2"/>
  <c r="D880" i="2"/>
  <c r="C880" i="2"/>
  <c r="B880" i="2"/>
  <c r="S880" i="2" s="1"/>
  <c r="U879" i="2"/>
  <c r="N879" i="2"/>
  <c r="M879" i="2"/>
  <c r="E879" i="2"/>
  <c r="D879" i="2"/>
  <c r="C879" i="2"/>
  <c r="B879" i="2"/>
  <c r="S879" i="2" s="1"/>
  <c r="U878" i="2"/>
  <c r="N878" i="2"/>
  <c r="M878" i="2"/>
  <c r="E878" i="2"/>
  <c r="D878" i="2"/>
  <c r="C878" i="2"/>
  <c r="B878" i="2"/>
  <c r="S878" i="2" s="1"/>
  <c r="U877" i="2"/>
  <c r="S877" i="2"/>
  <c r="N877" i="2"/>
  <c r="M877" i="2"/>
  <c r="E877" i="2"/>
  <c r="D877" i="2"/>
  <c r="C877" i="2"/>
  <c r="B877" i="2"/>
  <c r="U876" i="2"/>
  <c r="S876" i="2"/>
  <c r="N876" i="2"/>
  <c r="M876" i="2"/>
  <c r="E876" i="2"/>
  <c r="D876" i="2"/>
  <c r="C876" i="2"/>
  <c r="B876" i="2"/>
  <c r="U875" i="2"/>
  <c r="N875" i="2"/>
  <c r="M875" i="2"/>
  <c r="E875" i="2"/>
  <c r="D875" i="2"/>
  <c r="C875" i="2"/>
  <c r="B875" i="2"/>
  <c r="S875" i="2" s="1"/>
  <c r="U874" i="2"/>
  <c r="N874" i="2"/>
  <c r="M874" i="2"/>
  <c r="E874" i="2"/>
  <c r="D874" i="2"/>
  <c r="C874" i="2"/>
  <c r="B874" i="2"/>
  <c r="S874" i="2" s="1"/>
  <c r="U873" i="2"/>
  <c r="S873" i="2"/>
  <c r="N873" i="2"/>
  <c r="M873" i="2"/>
  <c r="E873" i="2"/>
  <c r="D873" i="2"/>
  <c r="C873" i="2"/>
  <c r="B873" i="2"/>
  <c r="U872" i="2"/>
  <c r="N872" i="2"/>
  <c r="M872" i="2"/>
  <c r="E872" i="2"/>
  <c r="D872" i="2"/>
  <c r="C872" i="2"/>
  <c r="B872" i="2"/>
  <c r="S872" i="2" s="1"/>
  <c r="U871" i="2"/>
  <c r="S871" i="2"/>
  <c r="N871" i="2"/>
  <c r="M871" i="2"/>
  <c r="E871" i="2"/>
  <c r="D871" i="2"/>
  <c r="C871" i="2"/>
  <c r="B871" i="2"/>
  <c r="U870" i="2"/>
  <c r="N870" i="2"/>
  <c r="M870" i="2"/>
  <c r="E870" i="2"/>
  <c r="D870" i="2"/>
  <c r="C870" i="2"/>
  <c r="B870" i="2"/>
  <c r="S870" i="2" s="1"/>
  <c r="U869" i="2"/>
  <c r="N869" i="2"/>
  <c r="M869" i="2"/>
  <c r="E869" i="2"/>
  <c r="D869" i="2"/>
  <c r="C869" i="2"/>
  <c r="B869" i="2"/>
  <c r="S869" i="2" s="1"/>
  <c r="U868" i="2"/>
  <c r="N868" i="2"/>
  <c r="M868" i="2"/>
  <c r="E868" i="2"/>
  <c r="D868" i="2"/>
  <c r="C868" i="2"/>
  <c r="B868" i="2"/>
  <c r="S868" i="2" s="1"/>
  <c r="U867" i="2"/>
  <c r="S867" i="2"/>
  <c r="N867" i="2"/>
  <c r="M867" i="2"/>
  <c r="E867" i="2"/>
  <c r="D867" i="2"/>
  <c r="C867" i="2"/>
  <c r="B867" i="2"/>
  <c r="U866" i="2"/>
  <c r="S866" i="2"/>
  <c r="N866" i="2"/>
  <c r="M866" i="2"/>
  <c r="E866" i="2"/>
  <c r="D866" i="2"/>
  <c r="C866" i="2"/>
  <c r="B866" i="2"/>
  <c r="U865" i="2"/>
  <c r="N865" i="2"/>
  <c r="M865" i="2"/>
  <c r="E865" i="2"/>
  <c r="D865" i="2"/>
  <c r="C865" i="2"/>
  <c r="B865" i="2"/>
  <c r="S865" i="2" s="1"/>
  <c r="U864" i="2"/>
  <c r="N864" i="2"/>
  <c r="M864" i="2"/>
  <c r="E864" i="2"/>
  <c r="D864" i="2"/>
  <c r="C864" i="2"/>
  <c r="B864" i="2"/>
  <c r="S864" i="2" s="1"/>
  <c r="U863" i="2"/>
  <c r="N863" i="2"/>
  <c r="M863" i="2"/>
  <c r="E863" i="2"/>
  <c r="D863" i="2"/>
  <c r="C863" i="2"/>
  <c r="B863" i="2"/>
  <c r="S863" i="2" s="1"/>
  <c r="U862" i="2"/>
  <c r="S862" i="2"/>
  <c r="N862" i="2"/>
  <c r="M862" i="2"/>
  <c r="E862" i="2"/>
  <c r="D862" i="2"/>
  <c r="C862" i="2"/>
  <c r="B862" i="2"/>
  <c r="U861" i="2"/>
  <c r="N861" i="2"/>
  <c r="M861" i="2"/>
  <c r="E861" i="2"/>
  <c r="D861" i="2"/>
  <c r="C861" i="2"/>
  <c r="B861" i="2"/>
  <c r="S861" i="2" s="1"/>
  <c r="U860" i="2"/>
  <c r="S860" i="2"/>
  <c r="N860" i="2"/>
  <c r="M860" i="2"/>
  <c r="E860" i="2"/>
  <c r="D860" i="2"/>
  <c r="C860" i="2"/>
  <c r="B860" i="2"/>
  <c r="U859" i="2"/>
  <c r="S859" i="2"/>
  <c r="N859" i="2"/>
  <c r="M859" i="2"/>
  <c r="E859" i="2"/>
  <c r="D859" i="2"/>
  <c r="C859" i="2"/>
  <c r="B859" i="2"/>
  <c r="U858" i="2"/>
  <c r="S858" i="2"/>
  <c r="N858" i="2"/>
  <c r="M858" i="2"/>
  <c r="E858" i="2"/>
  <c r="D858" i="2"/>
  <c r="C858" i="2"/>
  <c r="B858" i="2"/>
  <c r="U857" i="2"/>
  <c r="N857" i="2"/>
  <c r="M857" i="2"/>
  <c r="E857" i="2"/>
  <c r="D857" i="2"/>
  <c r="C857" i="2"/>
  <c r="B857" i="2"/>
  <c r="S857" i="2" s="1"/>
  <c r="U856" i="2"/>
  <c r="N856" i="2"/>
  <c r="M856" i="2"/>
  <c r="E856" i="2"/>
  <c r="D856" i="2"/>
  <c r="C856" i="2"/>
  <c r="B856" i="2"/>
  <c r="S856" i="2" s="1"/>
  <c r="U855" i="2"/>
  <c r="S855" i="2"/>
  <c r="N855" i="2"/>
  <c r="M855" i="2"/>
  <c r="E855" i="2"/>
  <c r="D855" i="2"/>
  <c r="C855" i="2"/>
  <c r="B855" i="2"/>
  <c r="U854" i="2"/>
  <c r="N854" i="2"/>
  <c r="M854" i="2"/>
  <c r="E854" i="2"/>
  <c r="D854" i="2"/>
  <c r="C854" i="2"/>
  <c r="B854" i="2"/>
  <c r="S854" i="2" s="1"/>
  <c r="U853" i="2"/>
  <c r="S853" i="2"/>
  <c r="N853" i="2"/>
  <c r="M853" i="2"/>
  <c r="E853" i="2"/>
  <c r="D853" i="2"/>
  <c r="C853" i="2"/>
  <c r="B853" i="2"/>
  <c r="U852" i="2"/>
  <c r="S852" i="2"/>
  <c r="N852" i="2"/>
  <c r="M852" i="2"/>
  <c r="E852" i="2"/>
  <c r="D852" i="2"/>
  <c r="C852" i="2"/>
  <c r="B852" i="2"/>
  <c r="U851" i="2"/>
  <c r="N851" i="2"/>
  <c r="M851" i="2"/>
  <c r="E851" i="2"/>
  <c r="D851" i="2"/>
  <c r="C851" i="2"/>
  <c r="B851" i="2"/>
  <c r="S851" i="2" s="1"/>
  <c r="U850" i="2"/>
  <c r="N850" i="2"/>
  <c r="M850" i="2"/>
  <c r="E850" i="2"/>
  <c r="D850" i="2"/>
  <c r="C850" i="2"/>
  <c r="B850" i="2"/>
  <c r="S850" i="2" s="1"/>
  <c r="U849" i="2"/>
  <c r="S849" i="2"/>
  <c r="N849" i="2"/>
  <c r="M849" i="2"/>
  <c r="E849" i="2"/>
  <c r="D849" i="2"/>
  <c r="C849" i="2"/>
  <c r="B849" i="2"/>
  <c r="U848" i="2"/>
  <c r="S848" i="2"/>
  <c r="N848" i="2"/>
  <c r="M848" i="2"/>
  <c r="E848" i="2"/>
  <c r="D848" i="2"/>
  <c r="C848" i="2"/>
  <c r="B848" i="2"/>
  <c r="U847" i="2"/>
  <c r="S847" i="2"/>
  <c r="N847" i="2"/>
  <c r="M847" i="2"/>
  <c r="E847" i="2"/>
  <c r="D847" i="2"/>
  <c r="C847" i="2"/>
  <c r="B847" i="2"/>
  <c r="U846" i="2"/>
  <c r="S846" i="2"/>
  <c r="N846" i="2"/>
  <c r="M846" i="2"/>
  <c r="E846" i="2"/>
  <c r="D846" i="2"/>
  <c r="C846" i="2"/>
  <c r="B846" i="2"/>
  <c r="U845" i="2"/>
  <c r="S845" i="2"/>
  <c r="N845" i="2"/>
  <c r="M845" i="2"/>
  <c r="E845" i="2"/>
  <c r="D845" i="2"/>
  <c r="C845" i="2"/>
  <c r="B845" i="2"/>
  <c r="U844" i="2"/>
  <c r="S844" i="2"/>
  <c r="N844" i="2"/>
  <c r="M844" i="2"/>
  <c r="E844" i="2"/>
  <c r="D844" i="2"/>
  <c r="C844" i="2"/>
  <c r="B844" i="2"/>
  <c r="U843" i="2"/>
  <c r="N843" i="2"/>
  <c r="M843" i="2"/>
  <c r="E843" i="2"/>
  <c r="D843" i="2"/>
  <c r="C843" i="2"/>
  <c r="B843" i="2"/>
  <c r="S843" i="2" s="1"/>
  <c r="U842" i="2"/>
  <c r="N842" i="2"/>
  <c r="M842" i="2"/>
  <c r="E842" i="2"/>
  <c r="D842" i="2"/>
  <c r="C842" i="2"/>
  <c r="B842" i="2"/>
  <c r="S842" i="2" s="1"/>
  <c r="U841" i="2"/>
  <c r="S841" i="2"/>
  <c r="N841" i="2"/>
  <c r="M841" i="2"/>
  <c r="E841" i="2"/>
  <c r="D841" i="2"/>
  <c r="C841" i="2"/>
  <c r="B841" i="2"/>
  <c r="U840" i="2"/>
  <c r="S840" i="2"/>
  <c r="N840" i="2"/>
  <c r="M840" i="2"/>
  <c r="E840" i="2"/>
  <c r="D840" i="2"/>
  <c r="C840" i="2"/>
  <c r="B840" i="2"/>
  <c r="U839" i="2"/>
  <c r="N839" i="2"/>
  <c r="M839" i="2"/>
  <c r="E839" i="2"/>
  <c r="D839" i="2"/>
  <c r="C839" i="2"/>
  <c r="B839" i="2"/>
  <c r="S839" i="2" s="1"/>
  <c r="U838" i="2"/>
  <c r="S838" i="2"/>
  <c r="N838" i="2"/>
  <c r="M838" i="2"/>
  <c r="E838" i="2"/>
  <c r="D838" i="2"/>
  <c r="C838" i="2"/>
  <c r="B838" i="2"/>
  <c r="U837" i="2"/>
  <c r="N837" i="2"/>
  <c r="M837" i="2"/>
  <c r="E837" i="2"/>
  <c r="D837" i="2"/>
  <c r="C837" i="2"/>
  <c r="B837" i="2"/>
  <c r="S837" i="2" s="1"/>
  <c r="U836" i="2"/>
  <c r="N836" i="2"/>
  <c r="M836" i="2"/>
  <c r="E836" i="2"/>
  <c r="D836" i="2"/>
  <c r="C836" i="2"/>
  <c r="B836" i="2"/>
  <c r="S836" i="2" s="1"/>
  <c r="U835" i="2"/>
  <c r="S835" i="2"/>
  <c r="N835" i="2"/>
  <c r="M835" i="2"/>
  <c r="E835" i="2"/>
  <c r="D835" i="2"/>
  <c r="C835" i="2"/>
  <c r="B835" i="2"/>
  <c r="U834" i="2"/>
  <c r="N834" i="2"/>
  <c r="M834" i="2"/>
  <c r="E834" i="2"/>
  <c r="D834" i="2"/>
  <c r="C834" i="2"/>
  <c r="B834" i="2"/>
  <c r="S834" i="2" s="1"/>
  <c r="U833" i="2"/>
  <c r="N833" i="2"/>
  <c r="M833" i="2"/>
  <c r="E833" i="2"/>
  <c r="D833" i="2"/>
  <c r="C833" i="2"/>
  <c r="B833" i="2"/>
  <c r="S833" i="2" s="1"/>
  <c r="U832" i="2"/>
  <c r="N832" i="2"/>
  <c r="M832" i="2"/>
  <c r="E832" i="2"/>
  <c r="D832" i="2"/>
  <c r="C832" i="2"/>
  <c r="B832" i="2"/>
  <c r="S832" i="2" s="1"/>
  <c r="U831" i="2"/>
  <c r="N831" i="2"/>
  <c r="M831" i="2"/>
  <c r="E831" i="2"/>
  <c r="D831" i="2"/>
  <c r="C831" i="2"/>
  <c r="B831" i="2"/>
  <c r="S831" i="2" s="1"/>
  <c r="U830" i="2"/>
  <c r="N830" i="2"/>
  <c r="M830" i="2"/>
  <c r="E830" i="2"/>
  <c r="D830" i="2"/>
  <c r="C830" i="2"/>
  <c r="B830" i="2"/>
  <c r="S830" i="2" s="1"/>
  <c r="U829" i="2"/>
  <c r="S829" i="2"/>
  <c r="N829" i="2"/>
  <c r="M829" i="2"/>
  <c r="E829" i="2"/>
  <c r="D829" i="2"/>
  <c r="C829" i="2"/>
  <c r="B829" i="2"/>
  <c r="U828" i="2"/>
  <c r="N828" i="2"/>
  <c r="M828" i="2"/>
  <c r="E828" i="2"/>
  <c r="D828" i="2"/>
  <c r="C828" i="2"/>
  <c r="B828" i="2"/>
  <c r="S828" i="2" s="1"/>
  <c r="U827" i="2"/>
  <c r="N827" i="2"/>
  <c r="M827" i="2"/>
  <c r="E827" i="2"/>
  <c r="D827" i="2"/>
  <c r="C827" i="2"/>
  <c r="B827" i="2"/>
  <c r="S827" i="2" s="1"/>
  <c r="U826" i="2"/>
  <c r="S826" i="2"/>
  <c r="N826" i="2"/>
  <c r="M826" i="2"/>
  <c r="E826" i="2"/>
  <c r="D826" i="2"/>
  <c r="C826" i="2"/>
  <c r="B826" i="2"/>
  <c r="U825" i="2"/>
  <c r="S825" i="2"/>
  <c r="N825" i="2"/>
  <c r="M825" i="2"/>
  <c r="E825" i="2"/>
  <c r="D825" i="2"/>
  <c r="C825" i="2"/>
  <c r="B825" i="2"/>
  <c r="U824" i="2"/>
  <c r="S824" i="2"/>
  <c r="N824" i="2"/>
  <c r="M824" i="2"/>
  <c r="E824" i="2"/>
  <c r="D824" i="2"/>
  <c r="C824" i="2"/>
  <c r="B824" i="2"/>
  <c r="U823" i="2"/>
  <c r="N823" i="2"/>
  <c r="M823" i="2"/>
  <c r="E823" i="2"/>
  <c r="D823" i="2"/>
  <c r="C823" i="2"/>
  <c r="B823" i="2"/>
  <c r="S823" i="2" s="1"/>
  <c r="U822" i="2"/>
  <c r="S822" i="2"/>
  <c r="N822" i="2"/>
  <c r="M822" i="2"/>
  <c r="E822" i="2"/>
  <c r="D822" i="2"/>
  <c r="C822" i="2"/>
  <c r="B822" i="2"/>
  <c r="U821" i="2"/>
  <c r="N821" i="2"/>
  <c r="M821" i="2"/>
  <c r="E821" i="2"/>
  <c r="D821" i="2"/>
  <c r="C821" i="2"/>
  <c r="B821" i="2"/>
  <c r="S821" i="2" s="1"/>
  <c r="U820" i="2"/>
  <c r="S820" i="2"/>
  <c r="N820" i="2"/>
  <c r="M820" i="2"/>
  <c r="E820" i="2"/>
  <c r="D820" i="2"/>
  <c r="C820" i="2"/>
  <c r="B820" i="2"/>
  <c r="U819" i="2"/>
  <c r="N819" i="2"/>
  <c r="M819" i="2"/>
  <c r="E819" i="2"/>
  <c r="D819" i="2"/>
  <c r="C819" i="2"/>
  <c r="B819" i="2"/>
  <c r="S819" i="2" s="1"/>
  <c r="U818" i="2"/>
  <c r="N818" i="2"/>
  <c r="M818" i="2"/>
  <c r="E818" i="2"/>
  <c r="D818" i="2"/>
  <c r="C818" i="2"/>
  <c r="B818" i="2"/>
  <c r="S818" i="2" s="1"/>
  <c r="U817" i="2"/>
  <c r="N817" i="2"/>
  <c r="M817" i="2"/>
  <c r="E817" i="2"/>
  <c r="D817" i="2"/>
  <c r="C817" i="2"/>
  <c r="B817" i="2"/>
  <c r="S817" i="2" s="1"/>
  <c r="U816" i="2"/>
  <c r="N816" i="2"/>
  <c r="M816" i="2"/>
  <c r="E816" i="2"/>
  <c r="D816" i="2"/>
  <c r="C816" i="2"/>
  <c r="L816" i="2" s="1"/>
  <c r="B816" i="2"/>
  <c r="S816" i="2" s="1"/>
  <c r="U815" i="2"/>
  <c r="N815" i="2"/>
  <c r="M815" i="2"/>
  <c r="E815" i="2"/>
  <c r="D815" i="2"/>
  <c r="C815" i="2"/>
  <c r="B815" i="2"/>
  <c r="S815" i="2" s="1"/>
  <c r="U814" i="2"/>
  <c r="S814" i="2"/>
  <c r="N814" i="2"/>
  <c r="M814" i="2"/>
  <c r="E814" i="2"/>
  <c r="D814" i="2"/>
  <c r="C814" i="2"/>
  <c r="B814" i="2"/>
  <c r="U813" i="2"/>
  <c r="S813" i="2"/>
  <c r="N813" i="2"/>
  <c r="M813" i="2"/>
  <c r="E813" i="2"/>
  <c r="D813" i="2"/>
  <c r="C813" i="2"/>
  <c r="B813" i="2"/>
  <c r="U812" i="2"/>
  <c r="N812" i="2"/>
  <c r="M812" i="2"/>
  <c r="E812" i="2"/>
  <c r="D812" i="2"/>
  <c r="C812" i="2"/>
  <c r="B812" i="2"/>
  <c r="S812" i="2" s="1"/>
  <c r="U811" i="2"/>
  <c r="N811" i="2"/>
  <c r="M811" i="2"/>
  <c r="E811" i="2"/>
  <c r="D811" i="2"/>
  <c r="C811" i="2"/>
  <c r="B811" i="2"/>
  <c r="S811" i="2" s="1"/>
  <c r="U810" i="2"/>
  <c r="N810" i="2"/>
  <c r="M810" i="2"/>
  <c r="E810" i="2"/>
  <c r="D810" i="2"/>
  <c r="C810" i="2"/>
  <c r="B810" i="2"/>
  <c r="S810" i="2" s="1"/>
  <c r="U809" i="2"/>
  <c r="S809" i="2"/>
  <c r="N809" i="2"/>
  <c r="M809" i="2"/>
  <c r="E809" i="2"/>
  <c r="D809" i="2"/>
  <c r="C809" i="2"/>
  <c r="L809" i="2" s="1"/>
  <c r="B809" i="2"/>
  <c r="U808" i="2"/>
  <c r="S808" i="2"/>
  <c r="N808" i="2"/>
  <c r="M808" i="2"/>
  <c r="E808" i="2"/>
  <c r="D808" i="2"/>
  <c r="C808" i="2"/>
  <c r="B808" i="2"/>
  <c r="U807" i="2"/>
  <c r="S807" i="2"/>
  <c r="N807" i="2"/>
  <c r="M807" i="2"/>
  <c r="E807" i="2"/>
  <c r="D807" i="2"/>
  <c r="C807" i="2"/>
  <c r="B807" i="2"/>
  <c r="U806" i="2"/>
  <c r="N806" i="2"/>
  <c r="M806" i="2"/>
  <c r="E806" i="2"/>
  <c r="D806" i="2"/>
  <c r="C806" i="2"/>
  <c r="B806" i="2"/>
  <c r="S806" i="2" s="1"/>
  <c r="U805" i="2"/>
  <c r="S805" i="2"/>
  <c r="N805" i="2"/>
  <c r="M805" i="2"/>
  <c r="E805" i="2"/>
  <c r="D805" i="2"/>
  <c r="C805" i="2"/>
  <c r="B805" i="2"/>
  <c r="U804" i="2"/>
  <c r="S804" i="2"/>
  <c r="N804" i="2"/>
  <c r="M804" i="2"/>
  <c r="E804" i="2"/>
  <c r="D804" i="2"/>
  <c r="C804" i="2"/>
  <c r="B804" i="2"/>
  <c r="U803" i="2"/>
  <c r="S803" i="2"/>
  <c r="N803" i="2"/>
  <c r="M803" i="2"/>
  <c r="E803" i="2"/>
  <c r="D803" i="2"/>
  <c r="C803" i="2"/>
  <c r="L803" i="2" s="1"/>
  <c r="B803" i="2"/>
  <c r="U802" i="2"/>
  <c r="N802" i="2"/>
  <c r="M802" i="2"/>
  <c r="E802" i="2"/>
  <c r="D802" i="2"/>
  <c r="C802" i="2"/>
  <c r="B802" i="2"/>
  <c r="S802" i="2" s="1"/>
  <c r="U801" i="2"/>
  <c r="N801" i="2"/>
  <c r="M801" i="2"/>
  <c r="E801" i="2"/>
  <c r="D801" i="2"/>
  <c r="C801" i="2"/>
  <c r="B801" i="2"/>
  <c r="S801" i="2" s="1"/>
  <c r="U800" i="2"/>
  <c r="S800" i="2"/>
  <c r="N800" i="2"/>
  <c r="M800" i="2"/>
  <c r="E800" i="2"/>
  <c r="D800" i="2"/>
  <c r="C800" i="2"/>
  <c r="B800" i="2"/>
  <c r="U799" i="2"/>
  <c r="N799" i="2"/>
  <c r="M799" i="2"/>
  <c r="E799" i="2"/>
  <c r="D799" i="2"/>
  <c r="C799" i="2"/>
  <c r="B799" i="2"/>
  <c r="S799" i="2" s="1"/>
  <c r="U798" i="2"/>
  <c r="N798" i="2"/>
  <c r="M798" i="2"/>
  <c r="E798" i="2"/>
  <c r="D798" i="2"/>
  <c r="C798" i="2"/>
  <c r="B798" i="2"/>
  <c r="S798" i="2" s="1"/>
  <c r="U797" i="2"/>
  <c r="S797" i="2"/>
  <c r="N797" i="2"/>
  <c r="M797" i="2"/>
  <c r="E797" i="2"/>
  <c r="D797" i="2"/>
  <c r="C797" i="2"/>
  <c r="B797" i="2"/>
  <c r="U796" i="2"/>
  <c r="N796" i="2"/>
  <c r="M796" i="2"/>
  <c r="E796" i="2"/>
  <c r="D796" i="2"/>
  <c r="C796" i="2"/>
  <c r="B796" i="2"/>
  <c r="S796" i="2" s="1"/>
  <c r="U795" i="2"/>
  <c r="S795" i="2"/>
  <c r="N795" i="2"/>
  <c r="M795" i="2"/>
  <c r="E795" i="2"/>
  <c r="D795" i="2"/>
  <c r="C795" i="2"/>
  <c r="L795" i="2" s="1"/>
  <c r="B795" i="2"/>
  <c r="U794" i="2"/>
  <c r="N794" i="2"/>
  <c r="M794" i="2"/>
  <c r="E794" i="2"/>
  <c r="D794" i="2"/>
  <c r="C794" i="2"/>
  <c r="B794" i="2"/>
  <c r="S794" i="2" s="1"/>
  <c r="U793" i="2"/>
  <c r="N793" i="2"/>
  <c r="M793" i="2"/>
  <c r="E793" i="2"/>
  <c r="D793" i="2"/>
  <c r="C793" i="2"/>
  <c r="B793" i="2"/>
  <c r="S793" i="2" s="1"/>
  <c r="U792" i="2"/>
  <c r="N792" i="2"/>
  <c r="M792" i="2"/>
  <c r="E792" i="2"/>
  <c r="D792" i="2"/>
  <c r="C792" i="2"/>
  <c r="B792" i="2"/>
  <c r="S792" i="2" s="1"/>
  <c r="U791" i="2"/>
  <c r="N791" i="2"/>
  <c r="M791" i="2"/>
  <c r="E791" i="2"/>
  <c r="D791" i="2"/>
  <c r="C791" i="2"/>
  <c r="B791" i="2"/>
  <c r="S791" i="2" s="1"/>
  <c r="U790" i="2"/>
  <c r="N790" i="2"/>
  <c r="M790" i="2"/>
  <c r="E790" i="2"/>
  <c r="D790" i="2"/>
  <c r="C790" i="2"/>
  <c r="B790" i="2"/>
  <c r="S790" i="2" s="1"/>
  <c r="U789" i="2"/>
  <c r="S789" i="2"/>
  <c r="N789" i="2"/>
  <c r="M789" i="2"/>
  <c r="E789" i="2"/>
  <c r="D789" i="2"/>
  <c r="C789" i="2"/>
  <c r="B789" i="2"/>
  <c r="U788" i="2"/>
  <c r="S788" i="2"/>
  <c r="N788" i="2"/>
  <c r="M788" i="2"/>
  <c r="E788" i="2"/>
  <c r="D788" i="2"/>
  <c r="C788" i="2"/>
  <c r="B788" i="2"/>
  <c r="U787" i="2"/>
  <c r="S787" i="2"/>
  <c r="N787" i="2"/>
  <c r="M787" i="2"/>
  <c r="E787" i="2"/>
  <c r="D787" i="2"/>
  <c r="C787" i="2"/>
  <c r="B787" i="2"/>
  <c r="U786" i="2"/>
  <c r="N786" i="2"/>
  <c r="M786" i="2"/>
  <c r="E786" i="2"/>
  <c r="D786" i="2"/>
  <c r="C786" i="2"/>
  <c r="B786" i="2"/>
  <c r="S786" i="2" s="1"/>
  <c r="U785" i="2"/>
  <c r="N785" i="2"/>
  <c r="M785" i="2"/>
  <c r="E785" i="2"/>
  <c r="D785" i="2"/>
  <c r="C785" i="2"/>
  <c r="B785" i="2"/>
  <c r="S785" i="2" s="1"/>
  <c r="U784" i="2"/>
  <c r="S784" i="2"/>
  <c r="N784" i="2"/>
  <c r="M784" i="2"/>
  <c r="E784" i="2"/>
  <c r="D784" i="2"/>
  <c r="C784" i="2"/>
  <c r="B784" i="2"/>
  <c r="U783" i="2"/>
  <c r="S783" i="2"/>
  <c r="N783" i="2"/>
  <c r="M783" i="2"/>
  <c r="E783" i="2"/>
  <c r="D783" i="2"/>
  <c r="C783" i="2"/>
  <c r="B783" i="2"/>
  <c r="U782" i="2"/>
  <c r="N782" i="2"/>
  <c r="M782" i="2"/>
  <c r="E782" i="2"/>
  <c r="D782" i="2"/>
  <c r="C782" i="2"/>
  <c r="B782" i="2"/>
  <c r="S782" i="2" s="1"/>
  <c r="U781" i="2"/>
  <c r="N781" i="2"/>
  <c r="M781" i="2"/>
  <c r="E781" i="2"/>
  <c r="D781" i="2"/>
  <c r="C781" i="2"/>
  <c r="B781" i="2"/>
  <c r="S781" i="2" s="1"/>
  <c r="U780" i="2"/>
  <c r="N780" i="2"/>
  <c r="M780" i="2"/>
  <c r="E780" i="2"/>
  <c r="D780" i="2"/>
  <c r="C780" i="2"/>
  <c r="B780" i="2"/>
  <c r="S780" i="2" s="1"/>
  <c r="U779" i="2"/>
  <c r="N779" i="2"/>
  <c r="M779" i="2"/>
  <c r="E779" i="2"/>
  <c r="D779" i="2"/>
  <c r="C779" i="2"/>
  <c r="B779" i="2"/>
  <c r="S779" i="2" s="1"/>
  <c r="U778" i="2"/>
  <c r="N778" i="2"/>
  <c r="M778" i="2"/>
  <c r="E778" i="2"/>
  <c r="D778" i="2"/>
  <c r="C778" i="2"/>
  <c r="B778" i="2"/>
  <c r="S778" i="2" s="1"/>
  <c r="U777" i="2"/>
  <c r="S777" i="2"/>
  <c r="N777" i="2"/>
  <c r="M777" i="2"/>
  <c r="E777" i="2"/>
  <c r="D777" i="2"/>
  <c r="C777" i="2"/>
  <c r="B777" i="2"/>
  <c r="U776" i="2"/>
  <c r="N776" i="2"/>
  <c r="M776" i="2"/>
  <c r="E776" i="2"/>
  <c r="D776" i="2"/>
  <c r="C776" i="2"/>
  <c r="B776" i="2"/>
  <c r="S776" i="2" s="1"/>
  <c r="U775" i="2"/>
  <c r="N775" i="2"/>
  <c r="M775" i="2"/>
  <c r="E775" i="2"/>
  <c r="D775" i="2"/>
  <c r="C775" i="2"/>
  <c r="B775" i="2"/>
  <c r="S775" i="2" s="1"/>
  <c r="U774" i="2"/>
  <c r="S774" i="2"/>
  <c r="N774" i="2"/>
  <c r="M774" i="2"/>
  <c r="E774" i="2"/>
  <c r="D774" i="2"/>
  <c r="C774" i="2"/>
  <c r="B774" i="2"/>
  <c r="U773" i="2"/>
  <c r="N773" i="2"/>
  <c r="M773" i="2"/>
  <c r="E773" i="2"/>
  <c r="D773" i="2"/>
  <c r="C773" i="2"/>
  <c r="B773" i="2"/>
  <c r="S773" i="2" s="1"/>
  <c r="U772" i="2"/>
  <c r="N772" i="2"/>
  <c r="M772" i="2"/>
  <c r="E772" i="2"/>
  <c r="D772" i="2"/>
  <c r="C772" i="2"/>
  <c r="B772" i="2"/>
  <c r="S772" i="2" s="1"/>
  <c r="U771" i="2"/>
  <c r="N771" i="2"/>
  <c r="M771" i="2"/>
  <c r="E771" i="2"/>
  <c r="D771" i="2"/>
  <c r="C771" i="2"/>
  <c r="L771" i="2" s="1"/>
  <c r="B771" i="2"/>
  <c r="S771" i="2" s="1"/>
  <c r="U770" i="2"/>
  <c r="N770" i="2"/>
  <c r="M770" i="2"/>
  <c r="E770" i="2"/>
  <c r="D770" i="2"/>
  <c r="C770" i="2"/>
  <c r="B770" i="2"/>
  <c r="S770" i="2" s="1"/>
  <c r="U769" i="2"/>
  <c r="S769" i="2"/>
  <c r="N769" i="2"/>
  <c r="M769" i="2"/>
  <c r="E769" i="2"/>
  <c r="D769" i="2"/>
  <c r="C769" i="2"/>
  <c r="B769" i="2"/>
  <c r="U768" i="2"/>
  <c r="S768" i="2"/>
  <c r="N768" i="2"/>
  <c r="M768" i="2"/>
  <c r="E768" i="2"/>
  <c r="D768" i="2"/>
  <c r="C768" i="2"/>
  <c r="B768" i="2"/>
  <c r="U767" i="2"/>
  <c r="N767" i="2"/>
  <c r="M767" i="2"/>
  <c r="E767" i="2"/>
  <c r="D767" i="2"/>
  <c r="C767" i="2"/>
  <c r="B767" i="2"/>
  <c r="S767" i="2" s="1"/>
  <c r="U766" i="2"/>
  <c r="N766" i="2"/>
  <c r="M766" i="2"/>
  <c r="E766" i="2"/>
  <c r="D766" i="2"/>
  <c r="C766" i="2"/>
  <c r="B766" i="2"/>
  <c r="S766" i="2" s="1"/>
  <c r="U765" i="2"/>
  <c r="S765" i="2"/>
  <c r="N765" i="2"/>
  <c r="M765" i="2"/>
  <c r="E765" i="2"/>
  <c r="D765" i="2"/>
  <c r="C765" i="2"/>
  <c r="B765" i="2"/>
  <c r="U764" i="2"/>
  <c r="S764" i="2"/>
  <c r="N764" i="2"/>
  <c r="M764" i="2"/>
  <c r="E764" i="2"/>
  <c r="D764" i="2"/>
  <c r="C764" i="2"/>
  <c r="B764" i="2"/>
  <c r="U763" i="2"/>
  <c r="S763" i="2"/>
  <c r="N763" i="2"/>
  <c r="M763" i="2"/>
  <c r="E763" i="2"/>
  <c r="D763" i="2"/>
  <c r="C763" i="2"/>
  <c r="B763" i="2"/>
  <c r="U762" i="2"/>
  <c r="N762" i="2"/>
  <c r="M762" i="2"/>
  <c r="E762" i="2"/>
  <c r="D762" i="2"/>
  <c r="C762" i="2"/>
  <c r="B762" i="2"/>
  <c r="S762" i="2" s="1"/>
  <c r="U761" i="2"/>
  <c r="S761" i="2"/>
  <c r="N761" i="2"/>
  <c r="M761" i="2"/>
  <c r="E761" i="2"/>
  <c r="D761" i="2"/>
  <c r="C761" i="2"/>
  <c r="B761" i="2"/>
  <c r="U760" i="2"/>
  <c r="N760" i="2"/>
  <c r="M760" i="2"/>
  <c r="E760" i="2"/>
  <c r="D760" i="2"/>
  <c r="C760" i="2"/>
  <c r="B760" i="2"/>
  <c r="S760" i="2" s="1"/>
  <c r="U759" i="2"/>
  <c r="S759" i="2"/>
  <c r="N759" i="2"/>
  <c r="M759" i="2"/>
  <c r="E759" i="2"/>
  <c r="D759" i="2"/>
  <c r="C759" i="2"/>
  <c r="B759" i="2"/>
  <c r="U758" i="2"/>
  <c r="N758" i="2"/>
  <c r="M758" i="2"/>
  <c r="E758" i="2"/>
  <c r="D758" i="2"/>
  <c r="C758" i="2"/>
  <c r="B758" i="2"/>
  <c r="S758" i="2" s="1"/>
  <c r="U757" i="2"/>
  <c r="S757" i="2"/>
  <c r="N757" i="2"/>
  <c r="M757" i="2"/>
  <c r="E757" i="2"/>
  <c r="D757" i="2"/>
  <c r="C757" i="2"/>
  <c r="B757" i="2"/>
  <c r="U756" i="2"/>
  <c r="S756" i="2"/>
  <c r="N756" i="2"/>
  <c r="M756" i="2"/>
  <c r="E756" i="2"/>
  <c r="D756" i="2"/>
  <c r="C756" i="2"/>
  <c r="B756" i="2"/>
  <c r="U755" i="2"/>
  <c r="S755" i="2"/>
  <c r="N755" i="2"/>
  <c r="M755" i="2"/>
  <c r="E755" i="2"/>
  <c r="D755" i="2"/>
  <c r="C755" i="2"/>
  <c r="B755" i="2"/>
  <c r="U754" i="2"/>
  <c r="S754" i="2"/>
  <c r="N754" i="2"/>
  <c r="M754" i="2"/>
  <c r="E754" i="2"/>
  <c r="D754" i="2"/>
  <c r="C754" i="2"/>
  <c r="B754" i="2"/>
  <c r="U753" i="2"/>
  <c r="S753" i="2"/>
  <c r="N753" i="2"/>
  <c r="M753" i="2"/>
  <c r="E753" i="2"/>
  <c r="D753" i="2"/>
  <c r="C753" i="2"/>
  <c r="B753" i="2"/>
  <c r="U752" i="2"/>
  <c r="S752" i="2"/>
  <c r="N752" i="2"/>
  <c r="M752" i="2"/>
  <c r="E752" i="2"/>
  <c r="D752" i="2"/>
  <c r="C752" i="2"/>
  <c r="B752" i="2"/>
  <c r="U751" i="2"/>
  <c r="N751" i="2"/>
  <c r="M751" i="2"/>
  <c r="E751" i="2"/>
  <c r="D751" i="2"/>
  <c r="C751" i="2"/>
  <c r="B751" i="2"/>
  <c r="S751" i="2" s="1"/>
  <c r="U750" i="2"/>
  <c r="S750" i="2"/>
  <c r="N750" i="2"/>
  <c r="M750" i="2"/>
  <c r="E750" i="2"/>
  <c r="D750" i="2"/>
  <c r="C750" i="2"/>
  <c r="B750" i="2"/>
  <c r="U749" i="2"/>
  <c r="N749" i="2"/>
  <c r="M749" i="2"/>
  <c r="E749" i="2"/>
  <c r="D749" i="2"/>
  <c r="C749" i="2"/>
  <c r="B749" i="2"/>
  <c r="S749" i="2" s="1"/>
  <c r="U748" i="2"/>
  <c r="S748" i="2"/>
  <c r="N748" i="2"/>
  <c r="M748" i="2"/>
  <c r="E748" i="2"/>
  <c r="D748" i="2"/>
  <c r="C748" i="2"/>
  <c r="B748" i="2"/>
  <c r="U747" i="2"/>
  <c r="N747" i="2"/>
  <c r="M747" i="2"/>
  <c r="E747" i="2"/>
  <c r="D747" i="2"/>
  <c r="C747" i="2"/>
  <c r="B747" i="2"/>
  <c r="S747" i="2" s="1"/>
  <c r="U746" i="2"/>
  <c r="N746" i="2"/>
  <c r="M746" i="2"/>
  <c r="E746" i="2"/>
  <c r="D746" i="2"/>
  <c r="C746" i="2"/>
  <c r="B746" i="2"/>
  <c r="S746" i="2" s="1"/>
  <c r="U745" i="2"/>
  <c r="N745" i="2"/>
  <c r="M745" i="2"/>
  <c r="E745" i="2"/>
  <c r="D745" i="2"/>
  <c r="C745" i="2"/>
  <c r="B745" i="2"/>
  <c r="S745" i="2" s="1"/>
  <c r="U744" i="2"/>
  <c r="N744" i="2"/>
  <c r="M744" i="2"/>
  <c r="E744" i="2"/>
  <c r="D744" i="2"/>
  <c r="C744" i="2"/>
  <c r="B744" i="2"/>
  <c r="S744" i="2" s="1"/>
  <c r="U743" i="2"/>
  <c r="S743" i="2"/>
  <c r="N743" i="2"/>
  <c r="M743" i="2"/>
  <c r="E743" i="2"/>
  <c r="D743" i="2"/>
  <c r="C743" i="2"/>
  <c r="B743" i="2"/>
  <c r="U742" i="2"/>
  <c r="S742" i="2"/>
  <c r="N742" i="2"/>
  <c r="M742" i="2"/>
  <c r="E742" i="2"/>
  <c r="D742" i="2"/>
  <c r="C742" i="2"/>
  <c r="B742" i="2"/>
  <c r="U741" i="2"/>
  <c r="S741" i="2"/>
  <c r="N741" i="2"/>
  <c r="M741" i="2"/>
  <c r="E741" i="2"/>
  <c r="D741" i="2"/>
  <c r="C741" i="2"/>
  <c r="B741" i="2"/>
  <c r="U740" i="2"/>
  <c r="S740" i="2"/>
  <c r="N740" i="2"/>
  <c r="M740" i="2"/>
  <c r="E740" i="2"/>
  <c r="D740" i="2"/>
  <c r="C740" i="2"/>
  <c r="B740" i="2"/>
  <c r="U739" i="2"/>
  <c r="S739" i="2"/>
  <c r="N739" i="2"/>
  <c r="M739" i="2"/>
  <c r="E739" i="2"/>
  <c r="D739" i="2"/>
  <c r="C739" i="2"/>
  <c r="B739" i="2"/>
  <c r="U738" i="2"/>
  <c r="N738" i="2"/>
  <c r="M738" i="2"/>
  <c r="E738" i="2"/>
  <c r="D738" i="2"/>
  <c r="C738" i="2"/>
  <c r="B738" i="2"/>
  <c r="S738" i="2" s="1"/>
  <c r="U737" i="2"/>
  <c r="S737" i="2"/>
  <c r="N737" i="2"/>
  <c r="M737" i="2"/>
  <c r="E737" i="2"/>
  <c r="D737" i="2"/>
  <c r="C737" i="2"/>
  <c r="B737" i="2"/>
  <c r="U736" i="2"/>
  <c r="S736" i="2"/>
  <c r="N736" i="2"/>
  <c r="M736" i="2"/>
  <c r="E736" i="2"/>
  <c r="D736" i="2"/>
  <c r="C736" i="2"/>
  <c r="B736" i="2"/>
  <c r="U735" i="2"/>
  <c r="S735" i="2"/>
  <c r="N735" i="2"/>
  <c r="M735" i="2"/>
  <c r="E735" i="2"/>
  <c r="D735" i="2"/>
  <c r="C735" i="2"/>
  <c r="B735" i="2"/>
  <c r="U734" i="2"/>
  <c r="S734" i="2"/>
  <c r="N734" i="2"/>
  <c r="M734" i="2"/>
  <c r="E734" i="2"/>
  <c r="D734" i="2"/>
  <c r="C734" i="2"/>
  <c r="B734" i="2"/>
  <c r="U733" i="2"/>
  <c r="N733" i="2"/>
  <c r="M733" i="2"/>
  <c r="E733" i="2"/>
  <c r="D733" i="2"/>
  <c r="C733" i="2"/>
  <c r="B733" i="2"/>
  <c r="S733" i="2" s="1"/>
  <c r="U732" i="2"/>
  <c r="S732" i="2"/>
  <c r="N732" i="2"/>
  <c r="M732" i="2"/>
  <c r="E732" i="2"/>
  <c r="D732" i="2"/>
  <c r="C732" i="2"/>
  <c r="B732" i="2"/>
  <c r="U731" i="2"/>
  <c r="N731" i="2"/>
  <c r="M731" i="2"/>
  <c r="E731" i="2"/>
  <c r="D731" i="2"/>
  <c r="C731" i="2"/>
  <c r="B731" i="2"/>
  <c r="S731" i="2" s="1"/>
  <c r="U730" i="2"/>
  <c r="S730" i="2"/>
  <c r="N730" i="2"/>
  <c r="M730" i="2"/>
  <c r="E730" i="2"/>
  <c r="D730" i="2"/>
  <c r="C730" i="2"/>
  <c r="B730" i="2"/>
  <c r="U729" i="2"/>
  <c r="N729" i="2"/>
  <c r="M729" i="2"/>
  <c r="E729" i="2"/>
  <c r="D729" i="2"/>
  <c r="C729" i="2"/>
  <c r="B729" i="2"/>
  <c r="S729" i="2" s="1"/>
  <c r="U728" i="2"/>
  <c r="S728" i="2"/>
  <c r="N728" i="2"/>
  <c r="M728" i="2"/>
  <c r="E728" i="2"/>
  <c r="D728" i="2"/>
  <c r="C728" i="2"/>
  <c r="B728" i="2"/>
  <c r="U727" i="2"/>
  <c r="S727" i="2"/>
  <c r="N727" i="2"/>
  <c r="M727" i="2"/>
  <c r="E727" i="2"/>
  <c r="D727" i="2"/>
  <c r="C727" i="2"/>
  <c r="B727" i="2"/>
  <c r="U726" i="2"/>
  <c r="N726" i="2"/>
  <c r="M726" i="2"/>
  <c r="E726" i="2"/>
  <c r="D726" i="2"/>
  <c r="C726" i="2"/>
  <c r="B726" i="2"/>
  <c r="S726" i="2" s="1"/>
  <c r="U725" i="2"/>
  <c r="S725" i="2"/>
  <c r="N725" i="2"/>
  <c r="M725" i="2"/>
  <c r="E725" i="2"/>
  <c r="D725" i="2"/>
  <c r="C725" i="2"/>
  <c r="B725" i="2"/>
  <c r="U724" i="2"/>
  <c r="S724" i="2"/>
  <c r="N724" i="2"/>
  <c r="M724" i="2"/>
  <c r="E724" i="2"/>
  <c r="D724" i="2"/>
  <c r="C724" i="2"/>
  <c r="B724" i="2"/>
  <c r="U723" i="2"/>
  <c r="S723" i="2"/>
  <c r="N723" i="2"/>
  <c r="M723" i="2"/>
  <c r="E723" i="2"/>
  <c r="D723" i="2"/>
  <c r="C723" i="2"/>
  <c r="B723" i="2"/>
  <c r="U722" i="2"/>
  <c r="S722" i="2"/>
  <c r="N722" i="2"/>
  <c r="M722" i="2"/>
  <c r="E722" i="2"/>
  <c r="D722" i="2"/>
  <c r="C722" i="2"/>
  <c r="B722" i="2"/>
  <c r="U721" i="2"/>
  <c r="S721" i="2"/>
  <c r="N721" i="2"/>
  <c r="M721" i="2"/>
  <c r="E721" i="2"/>
  <c r="D721" i="2"/>
  <c r="C721" i="2"/>
  <c r="B721" i="2"/>
  <c r="U720" i="2"/>
  <c r="N720" i="2"/>
  <c r="M720" i="2"/>
  <c r="E720" i="2"/>
  <c r="D720" i="2"/>
  <c r="C720" i="2"/>
  <c r="B720" i="2"/>
  <c r="S720" i="2" s="1"/>
  <c r="U719" i="2"/>
  <c r="S719" i="2"/>
  <c r="N719" i="2"/>
  <c r="M719" i="2"/>
  <c r="E719" i="2"/>
  <c r="D719" i="2"/>
  <c r="C719" i="2"/>
  <c r="B719" i="2"/>
  <c r="U718" i="2"/>
  <c r="S718" i="2"/>
  <c r="N718" i="2"/>
  <c r="M718" i="2"/>
  <c r="E718" i="2"/>
  <c r="D718" i="2"/>
  <c r="C718" i="2"/>
  <c r="B718" i="2"/>
  <c r="U717" i="2"/>
  <c r="S717" i="2"/>
  <c r="N717" i="2"/>
  <c r="M717" i="2"/>
  <c r="E717" i="2"/>
  <c r="D717" i="2"/>
  <c r="C717" i="2"/>
  <c r="B717" i="2"/>
  <c r="U716" i="2"/>
  <c r="N716" i="2"/>
  <c r="M716" i="2"/>
  <c r="E716" i="2"/>
  <c r="D716" i="2"/>
  <c r="C716" i="2"/>
  <c r="B716" i="2"/>
  <c r="S716" i="2" s="1"/>
  <c r="U715" i="2"/>
  <c r="N715" i="2"/>
  <c r="M715" i="2"/>
  <c r="E715" i="2"/>
  <c r="D715" i="2"/>
  <c r="C715" i="2"/>
  <c r="B715" i="2"/>
  <c r="S715" i="2" s="1"/>
  <c r="U714" i="2"/>
  <c r="S714" i="2"/>
  <c r="N714" i="2"/>
  <c r="M714" i="2"/>
  <c r="E714" i="2"/>
  <c r="D714" i="2"/>
  <c r="C714" i="2"/>
  <c r="B714" i="2"/>
  <c r="U713" i="2"/>
  <c r="S713" i="2"/>
  <c r="N713" i="2"/>
  <c r="M713" i="2"/>
  <c r="E713" i="2"/>
  <c r="D713" i="2"/>
  <c r="C713" i="2"/>
  <c r="B713" i="2"/>
  <c r="U712" i="2"/>
  <c r="N712" i="2"/>
  <c r="M712" i="2"/>
  <c r="E712" i="2"/>
  <c r="D712" i="2"/>
  <c r="C712" i="2"/>
  <c r="B712" i="2"/>
  <c r="S712" i="2" s="1"/>
  <c r="U711" i="2"/>
  <c r="N711" i="2"/>
  <c r="M711" i="2"/>
  <c r="E711" i="2"/>
  <c r="D711" i="2"/>
  <c r="C711" i="2"/>
  <c r="B711" i="2"/>
  <c r="S711" i="2" s="1"/>
  <c r="U710" i="2"/>
  <c r="N710" i="2"/>
  <c r="M710" i="2"/>
  <c r="E710" i="2"/>
  <c r="D710" i="2"/>
  <c r="C710" i="2"/>
  <c r="B710" i="2"/>
  <c r="S710" i="2" s="1"/>
  <c r="U709" i="2"/>
  <c r="N709" i="2"/>
  <c r="M709" i="2"/>
  <c r="E709" i="2"/>
  <c r="D709" i="2"/>
  <c r="C709" i="2"/>
  <c r="B709" i="2"/>
  <c r="S709" i="2" s="1"/>
  <c r="U708" i="2"/>
  <c r="S708" i="2"/>
  <c r="N708" i="2"/>
  <c r="M708" i="2"/>
  <c r="E708" i="2"/>
  <c r="D708" i="2"/>
  <c r="C708" i="2"/>
  <c r="B708" i="2"/>
  <c r="U707" i="2"/>
  <c r="S707" i="2"/>
  <c r="N707" i="2"/>
  <c r="M707" i="2"/>
  <c r="E707" i="2"/>
  <c r="D707" i="2"/>
  <c r="C707" i="2"/>
  <c r="B707" i="2"/>
  <c r="U706" i="2"/>
  <c r="N706" i="2"/>
  <c r="M706" i="2"/>
  <c r="E706" i="2"/>
  <c r="D706" i="2"/>
  <c r="C706" i="2"/>
  <c r="B706" i="2"/>
  <c r="S706" i="2" s="1"/>
  <c r="U705" i="2"/>
  <c r="S705" i="2"/>
  <c r="N705" i="2"/>
  <c r="M705" i="2"/>
  <c r="E705" i="2"/>
  <c r="D705" i="2"/>
  <c r="C705" i="2"/>
  <c r="B705" i="2"/>
  <c r="U704" i="2"/>
  <c r="S704" i="2"/>
  <c r="N704" i="2"/>
  <c r="M704" i="2"/>
  <c r="E704" i="2"/>
  <c r="D704" i="2"/>
  <c r="C704" i="2"/>
  <c r="B704" i="2"/>
  <c r="U703" i="2"/>
  <c r="S703" i="2"/>
  <c r="N703" i="2"/>
  <c r="M703" i="2"/>
  <c r="E703" i="2"/>
  <c r="D703" i="2"/>
  <c r="C703" i="2"/>
  <c r="B703" i="2"/>
  <c r="U702" i="2"/>
  <c r="S702" i="2"/>
  <c r="N702" i="2"/>
  <c r="M702" i="2"/>
  <c r="E702" i="2"/>
  <c r="D702" i="2"/>
  <c r="C702" i="2"/>
  <c r="B702" i="2"/>
  <c r="U701" i="2"/>
  <c r="S701" i="2"/>
  <c r="N701" i="2"/>
  <c r="M701" i="2"/>
  <c r="E701" i="2"/>
  <c r="D701" i="2"/>
  <c r="C701" i="2"/>
  <c r="B701" i="2"/>
  <c r="U700" i="2"/>
  <c r="S700" i="2"/>
  <c r="N700" i="2"/>
  <c r="M700" i="2"/>
  <c r="E700" i="2"/>
  <c r="D700" i="2"/>
  <c r="C700" i="2"/>
  <c r="B700" i="2"/>
  <c r="U699" i="2"/>
  <c r="S699" i="2"/>
  <c r="N699" i="2"/>
  <c r="M699" i="2"/>
  <c r="E699" i="2"/>
  <c r="D699" i="2"/>
  <c r="C699" i="2"/>
  <c r="B699" i="2"/>
  <c r="U698" i="2"/>
  <c r="S698" i="2"/>
  <c r="N698" i="2"/>
  <c r="M698" i="2"/>
  <c r="E698" i="2"/>
  <c r="D698" i="2"/>
  <c r="C698" i="2"/>
  <c r="B698" i="2"/>
  <c r="U697" i="2"/>
  <c r="N697" i="2"/>
  <c r="M697" i="2"/>
  <c r="E697" i="2"/>
  <c r="D697" i="2"/>
  <c r="C697" i="2"/>
  <c r="B697" i="2"/>
  <c r="S697" i="2" s="1"/>
  <c r="U696" i="2"/>
  <c r="N696" i="2"/>
  <c r="M696" i="2"/>
  <c r="E696" i="2"/>
  <c r="D696" i="2"/>
  <c r="C696" i="2"/>
  <c r="B696" i="2"/>
  <c r="S696" i="2" s="1"/>
  <c r="U695" i="2"/>
  <c r="N695" i="2"/>
  <c r="M695" i="2"/>
  <c r="E695" i="2"/>
  <c r="D695" i="2"/>
  <c r="C695" i="2"/>
  <c r="B695" i="2"/>
  <c r="S695" i="2" s="1"/>
  <c r="U694" i="2"/>
  <c r="N694" i="2"/>
  <c r="M694" i="2"/>
  <c r="E694" i="2"/>
  <c r="D694" i="2"/>
  <c r="C694" i="2"/>
  <c r="B694" i="2"/>
  <c r="S694" i="2" s="1"/>
  <c r="U693" i="2"/>
  <c r="N693" i="2"/>
  <c r="M693" i="2"/>
  <c r="E693" i="2"/>
  <c r="D693" i="2"/>
  <c r="C693" i="2"/>
  <c r="B693" i="2"/>
  <c r="S693" i="2" s="1"/>
  <c r="U692" i="2"/>
  <c r="S692" i="2"/>
  <c r="N692" i="2"/>
  <c r="M692" i="2"/>
  <c r="E692" i="2"/>
  <c r="D692" i="2"/>
  <c r="C692" i="2"/>
  <c r="B692" i="2"/>
  <c r="U691" i="2"/>
  <c r="N691" i="2"/>
  <c r="M691" i="2"/>
  <c r="E691" i="2"/>
  <c r="D691" i="2"/>
  <c r="C691" i="2"/>
  <c r="B691" i="2"/>
  <c r="S691" i="2" s="1"/>
  <c r="U690" i="2"/>
  <c r="S690" i="2"/>
  <c r="N690" i="2"/>
  <c r="M690" i="2"/>
  <c r="E690" i="2"/>
  <c r="D690" i="2"/>
  <c r="C690" i="2"/>
  <c r="B690" i="2"/>
  <c r="U689" i="2"/>
  <c r="N689" i="2"/>
  <c r="M689" i="2"/>
  <c r="E689" i="2"/>
  <c r="D689" i="2"/>
  <c r="C689" i="2"/>
  <c r="B689" i="2"/>
  <c r="S689" i="2" s="1"/>
  <c r="U688" i="2"/>
  <c r="S688" i="2"/>
  <c r="N688" i="2"/>
  <c r="M688" i="2"/>
  <c r="E688" i="2"/>
  <c r="D688" i="2"/>
  <c r="C688" i="2"/>
  <c r="B688" i="2"/>
  <c r="U687" i="2"/>
  <c r="N687" i="2"/>
  <c r="M687" i="2"/>
  <c r="E687" i="2"/>
  <c r="D687" i="2"/>
  <c r="C687" i="2"/>
  <c r="B687" i="2"/>
  <c r="S687" i="2" s="1"/>
  <c r="U686" i="2"/>
  <c r="N686" i="2"/>
  <c r="M686" i="2"/>
  <c r="E686" i="2"/>
  <c r="D686" i="2"/>
  <c r="C686" i="2"/>
  <c r="B686" i="2"/>
  <c r="S686" i="2" s="1"/>
  <c r="U685" i="2"/>
  <c r="S685" i="2"/>
  <c r="N685" i="2"/>
  <c r="M685" i="2"/>
  <c r="E685" i="2"/>
  <c r="D685" i="2"/>
  <c r="C685" i="2"/>
  <c r="B685" i="2"/>
  <c r="U684" i="2"/>
  <c r="S684" i="2"/>
  <c r="N684" i="2"/>
  <c r="M684" i="2"/>
  <c r="E684" i="2"/>
  <c r="D684" i="2"/>
  <c r="C684" i="2"/>
  <c r="B684" i="2"/>
  <c r="U683" i="2"/>
  <c r="S683" i="2"/>
  <c r="N683" i="2"/>
  <c r="M683" i="2"/>
  <c r="E683" i="2"/>
  <c r="D683" i="2"/>
  <c r="C683" i="2"/>
  <c r="G683" i="2" s="1"/>
  <c r="P683" i="2" s="1"/>
  <c r="B683" i="2"/>
  <c r="U682" i="2"/>
  <c r="N682" i="2"/>
  <c r="M682" i="2"/>
  <c r="E682" i="2"/>
  <c r="D682" i="2"/>
  <c r="C682" i="2"/>
  <c r="B682" i="2"/>
  <c r="S682" i="2" s="1"/>
  <c r="U681" i="2"/>
  <c r="S681" i="2"/>
  <c r="N681" i="2"/>
  <c r="M681" i="2"/>
  <c r="E681" i="2"/>
  <c r="D681" i="2"/>
  <c r="C681" i="2"/>
  <c r="B681" i="2"/>
  <c r="U680" i="2"/>
  <c r="S680" i="2"/>
  <c r="N680" i="2"/>
  <c r="M680" i="2"/>
  <c r="E680" i="2"/>
  <c r="D680" i="2"/>
  <c r="C680" i="2"/>
  <c r="B680" i="2"/>
  <c r="U679" i="2"/>
  <c r="S679" i="2"/>
  <c r="N679" i="2"/>
  <c r="M679" i="2"/>
  <c r="E679" i="2"/>
  <c r="D679" i="2"/>
  <c r="C679" i="2"/>
  <c r="B679" i="2"/>
  <c r="U678" i="2"/>
  <c r="S678" i="2"/>
  <c r="N678" i="2"/>
  <c r="M678" i="2"/>
  <c r="E678" i="2"/>
  <c r="D678" i="2"/>
  <c r="C678" i="2"/>
  <c r="B678" i="2"/>
  <c r="U677" i="2"/>
  <c r="N677" i="2"/>
  <c r="M677" i="2"/>
  <c r="E677" i="2"/>
  <c r="D677" i="2"/>
  <c r="C677" i="2"/>
  <c r="B677" i="2"/>
  <c r="S677" i="2" s="1"/>
  <c r="U676" i="2"/>
  <c r="S676" i="2"/>
  <c r="N676" i="2"/>
  <c r="M676" i="2"/>
  <c r="E676" i="2"/>
  <c r="D676" i="2"/>
  <c r="C676" i="2"/>
  <c r="B676" i="2"/>
  <c r="U675" i="2"/>
  <c r="N675" i="2"/>
  <c r="M675" i="2"/>
  <c r="E675" i="2"/>
  <c r="D675" i="2"/>
  <c r="C675" i="2"/>
  <c r="B675" i="2"/>
  <c r="S675" i="2" s="1"/>
  <c r="U674" i="2"/>
  <c r="N674" i="2"/>
  <c r="M674" i="2"/>
  <c r="E674" i="2"/>
  <c r="D674" i="2"/>
  <c r="C674" i="2"/>
  <c r="B674" i="2"/>
  <c r="S674" i="2" s="1"/>
  <c r="U673" i="2"/>
  <c r="N673" i="2"/>
  <c r="M673" i="2"/>
  <c r="E673" i="2"/>
  <c r="D673" i="2"/>
  <c r="C673" i="2"/>
  <c r="B673" i="2"/>
  <c r="S673" i="2" s="1"/>
  <c r="U672" i="2"/>
  <c r="S672" i="2"/>
  <c r="N672" i="2"/>
  <c r="M672" i="2"/>
  <c r="E672" i="2"/>
  <c r="D672" i="2"/>
  <c r="C672" i="2"/>
  <c r="B672" i="2"/>
  <c r="U671" i="2"/>
  <c r="N671" i="2"/>
  <c r="M671" i="2"/>
  <c r="E671" i="2"/>
  <c r="D671" i="2"/>
  <c r="C671" i="2"/>
  <c r="B671" i="2"/>
  <c r="S671" i="2" s="1"/>
  <c r="U670" i="2"/>
  <c r="N670" i="2"/>
  <c r="M670" i="2"/>
  <c r="E670" i="2"/>
  <c r="D670" i="2"/>
  <c r="C670" i="2"/>
  <c r="B670" i="2"/>
  <c r="S670" i="2" s="1"/>
  <c r="U669" i="2"/>
  <c r="N669" i="2"/>
  <c r="M669" i="2"/>
  <c r="E669" i="2"/>
  <c r="D669" i="2"/>
  <c r="C669" i="2"/>
  <c r="B669" i="2"/>
  <c r="S669" i="2" s="1"/>
  <c r="U668" i="2"/>
  <c r="S668" i="2"/>
  <c r="N668" i="2"/>
  <c r="M668" i="2"/>
  <c r="E668" i="2"/>
  <c r="D668" i="2"/>
  <c r="C668" i="2"/>
  <c r="B668" i="2"/>
  <c r="U667" i="2"/>
  <c r="S667" i="2"/>
  <c r="N667" i="2"/>
  <c r="M667" i="2"/>
  <c r="E667" i="2"/>
  <c r="D667" i="2"/>
  <c r="C667" i="2"/>
  <c r="B667" i="2"/>
  <c r="U666" i="2"/>
  <c r="S666" i="2"/>
  <c r="N666" i="2"/>
  <c r="M666" i="2"/>
  <c r="E666" i="2"/>
  <c r="D666" i="2"/>
  <c r="C666" i="2"/>
  <c r="B666" i="2"/>
  <c r="U665" i="2"/>
  <c r="N665" i="2"/>
  <c r="M665" i="2"/>
  <c r="E665" i="2"/>
  <c r="D665" i="2"/>
  <c r="C665" i="2"/>
  <c r="B665" i="2"/>
  <c r="S665" i="2" s="1"/>
  <c r="U664" i="2"/>
  <c r="S664" i="2"/>
  <c r="N664" i="2"/>
  <c r="M664" i="2"/>
  <c r="E664" i="2"/>
  <c r="D664" i="2"/>
  <c r="C664" i="2"/>
  <c r="B664" i="2"/>
  <c r="U663" i="2"/>
  <c r="N663" i="2"/>
  <c r="M663" i="2"/>
  <c r="E663" i="2"/>
  <c r="D663" i="2"/>
  <c r="C663" i="2"/>
  <c r="B663" i="2"/>
  <c r="S663" i="2" s="1"/>
  <c r="U662" i="2"/>
  <c r="N662" i="2"/>
  <c r="M662" i="2"/>
  <c r="E662" i="2"/>
  <c r="D662" i="2"/>
  <c r="C662" i="2"/>
  <c r="B662" i="2"/>
  <c r="S662" i="2" s="1"/>
  <c r="U661" i="2"/>
  <c r="N661" i="2"/>
  <c r="M661" i="2"/>
  <c r="E661" i="2"/>
  <c r="D661" i="2"/>
  <c r="C661" i="2"/>
  <c r="B661" i="2"/>
  <c r="S661" i="2" s="1"/>
  <c r="U660" i="2"/>
  <c r="N660" i="2"/>
  <c r="M660" i="2"/>
  <c r="E660" i="2"/>
  <c r="D660" i="2"/>
  <c r="C660" i="2"/>
  <c r="B660" i="2"/>
  <c r="S660" i="2" s="1"/>
  <c r="U659" i="2"/>
  <c r="N659" i="2"/>
  <c r="M659" i="2"/>
  <c r="E659" i="2"/>
  <c r="D659" i="2"/>
  <c r="C659" i="2"/>
  <c r="B659" i="2"/>
  <c r="S659" i="2" s="1"/>
  <c r="U658" i="2"/>
  <c r="N658" i="2"/>
  <c r="M658" i="2"/>
  <c r="E658" i="2"/>
  <c r="D658" i="2"/>
  <c r="C658" i="2"/>
  <c r="B658" i="2"/>
  <c r="S658" i="2" s="1"/>
  <c r="U657" i="2"/>
  <c r="S657" i="2"/>
  <c r="N657" i="2"/>
  <c r="M657" i="2"/>
  <c r="E657" i="2"/>
  <c r="D657" i="2"/>
  <c r="C657" i="2"/>
  <c r="B657" i="2"/>
  <c r="U656" i="2"/>
  <c r="S656" i="2"/>
  <c r="N656" i="2"/>
  <c r="M656" i="2"/>
  <c r="E656" i="2"/>
  <c r="D656" i="2"/>
  <c r="C656" i="2"/>
  <c r="B656" i="2"/>
  <c r="U655" i="2"/>
  <c r="N655" i="2"/>
  <c r="M655" i="2"/>
  <c r="E655" i="2"/>
  <c r="D655" i="2"/>
  <c r="C655" i="2"/>
  <c r="B655" i="2"/>
  <c r="S655" i="2" s="1"/>
  <c r="U654" i="2"/>
  <c r="N654" i="2"/>
  <c r="M654" i="2"/>
  <c r="E654" i="2"/>
  <c r="D654" i="2"/>
  <c r="C654" i="2"/>
  <c r="B654" i="2"/>
  <c r="S654" i="2" s="1"/>
  <c r="U653" i="2"/>
  <c r="S653" i="2"/>
  <c r="N653" i="2"/>
  <c r="M653" i="2"/>
  <c r="E653" i="2"/>
  <c r="D653" i="2"/>
  <c r="C653" i="2"/>
  <c r="B653" i="2"/>
  <c r="U652" i="2"/>
  <c r="S652" i="2"/>
  <c r="N652" i="2"/>
  <c r="M652" i="2"/>
  <c r="E652" i="2"/>
  <c r="D652" i="2"/>
  <c r="C652" i="2"/>
  <c r="B652" i="2"/>
  <c r="U651" i="2"/>
  <c r="N651" i="2"/>
  <c r="M651" i="2"/>
  <c r="E651" i="2"/>
  <c r="D651" i="2"/>
  <c r="C651" i="2"/>
  <c r="B651" i="2"/>
  <c r="S651" i="2" s="1"/>
  <c r="U650" i="2"/>
  <c r="S650" i="2"/>
  <c r="N650" i="2"/>
  <c r="M650" i="2"/>
  <c r="E650" i="2"/>
  <c r="D650" i="2"/>
  <c r="C650" i="2"/>
  <c r="B650" i="2"/>
  <c r="U649" i="2"/>
  <c r="S649" i="2"/>
  <c r="N649" i="2"/>
  <c r="M649" i="2"/>
  <c r="E649" i="2"/>
  <c r="D649" i="2"/>
  <c r="C649" i="2"/>
  <c r="B649" i="2"/>
  <c r="U648" i="2"/>
  <c r="S648" i="2"/>
  <c r="N648" i="2"/>
  <c r="M648" i="2"/>
  <c r="E648" i="2"/>
  <c r="D648" i="2"/>
  <c r="C648" i="2"/>
  <c r="B648" i="2"/>
  <c r="U647" i="2"/>
  <c r="N647" i="2"/>
  <c r="M647" i="2"/>
  <c r="E647" i="2"/>
  <c r="D647" i="2"/>
  <c r="C647" i="2"/>
  <c r="B647" i="2"/>
  <c r="S647" i="2" s="1"/>
  <c r="U646" i="2"/>
  <c r="N646" i="2"/>
  <c r="M646" i="2"/>
  <c r="E646" i="2"/>
  <c r="D646" i="2"/>
  <c r="C646" i="2"/>
  <c r="G646" i="2" s="1"/>
  <c r="B646" i="2"/>
  <c r="S646" i="2" s="1"/>
  <c r="U645" i="2"/>
  <c r="N645" i="2"/>
  <c r="M645" i="2"/>
  <c r="E645" i="2"/>
  <c r="D645" i="2"/>
  <c r="C645" i="2"/>
  <c r="B645" i="2"/>
  <c r="S645" i="2" s="1"/>
  <c r="U644" i="2"/>
  <c r="N644" i="2"/>
  <c r="M644" i="2"/>
  <c r="E644" i="2"/>
  <c r="D644" i="2"/>
  <c r="C644" i="2"/>
  <c r="B644" i="2"/>
  <c r="S644" i="2" s="1"/>
  <c r="U643" i="2"/>
  <c r="N643" i="2"/>
  <c r="M643" i="2"/>
  <c r="E643" i="2"/>
  <c r="D643" i="2"/>
  <c r="C643" i="2"/>
  <c r="B643" i="2"/>
  <c r="S643" i="2" s="1"/>
  <c r="U642" i="2"/>
  <c r="N642" i="2"/>
  <c r="M642" i="2"/>
  <c r="E642" i="2"/>
  <c r="D642" i="2"/>
  <c r="C642" i="2"/>
  <c r="B642" i="2"/>
  <c r="S642" i="2" s="1"/>
  <c r="U641" i="2"/>
  <c r="N641" i="2"/>
  <c r="M641" i="2"/>
  <c r="E641" i="2"/>
  <c r="D641" i="2"/>
  <c r="C641" i="2"/>
  <c r="B641" i="2"/>
  <c r="S641" i="2" s="1"/>
  <c r="U640" i="2"/>
  <c r="N640" i="2"/>
  <c r="M640" i="2"/>
  <c r="E640" i="2"/>
  <c r="D640" i="2"/>
  <c r="C640" i="2"/>
  <c r="B640" i="2"/>
  <c r="S640" i="2" s="1"/>
  <c r="U639" i="2"/>
  <c r="N639" i="2"/>
  <c r="M639" i="2"/>
  <c r="E639" i="2"/>
  <c r="D639" i="2"/>
  <c r="C639" i="2"/>
  <c r="B639" i="2"/>
  <c r="S639" i="2" s="1"/>
  <c r="U638" i="2"/>
  <c r="N638" i="2"/>
  <c r="M638" i="2"/>
  <c r="E638" i="2"/>
  <c r="D638" i="2"/>
  <c r="C638" i="2"/>
  <c r="B638" i="2"/>
  <c r="S638" i="2" s="1"/>
  <c r="U637" i="2"/>
  <c r="N637" i="2"/>
  <c r="M637" i="2"/>
  <c r="E637" i="2"/>
  <c r="D637" i="2"/>
  <c r="C637" i="2"/>
  <c r="B637" i="2"/>
  <c r="S637" i="2" s="1"/>
  <c r="U636" i="2"/>
  <c r="S636" i="2"/>
  <c r="N636" i="2"/>
  <c r="M636" i="2"/>
  <c r="E636" i="2"/>
  <c r="D636" i="2"/>
  <c r="C636" i="2"/>
  <c r="B636" i="2"/>
  <c r="U635" i="2"/>
  <c r="S635" i="2"/>
  <c r="N635" i="2"/>
  <c r="M635" i="2"/>
  <c r="E635" i="2"/>
  <c r="D635" i="2"/>
  <c r="C635" i="2"/>
  <c r="B635" i="2"/>
  <c r="U634" i="2"/>
  <c r="S634" i="2"/>
  <c r="N634" i="2"/>
  <c r="M634" i="2"/>
  <c r="E634" i="2"/>
  <c r="D634" i="2"/>
  <c r="C634" i="2"/>
  <c r="B634" i="2"/>
  <c r="U633" i="2"/>
  <c r="S633" i="2"/>
  <c r="N633" i="2"/>
  <c r="M633" i="2"/>
  <c r="E633" i="2"/>
  <c r="D633" i="2"/>
  <c r="C633" i="2"/>
  <c r="B633" i="2"/>
  <c r="U632" i="2"/>
  <c r="S632" i="2"/>
  <c r="N632" i="2"/>
  <c r="M632" i="2"/>
  <c r="E632" i="2"/>
  <c r="D632" i="2"/>
  <c r="C632" i="2"/>
  <c r="B632" i="2"/>
  <c r="U631" i="2"/>
  <c r="N631" i="2"/>
  <c r="M631" i="2"/>
  <c r="E631" i="2"/>
  <c r="D631" i="2"/>
  <c r="C631" i="2"/>
  <c r="B631" i="2"/>
  <c r="S631" i="2" s="1"/>
  <c r="U630" i="2"/>
  <c r="S630" i="2"/>
  <c r="N630" i="2"/>
  <c r="M630" i="2"/>
  <c r="E630" i="2"/>
  <c r="D630" i="2"/>
  <c r="C630" i="2"/>
  <c r="B630" i="2"/>
  <c r="U629" i="2"/>
  <c r="S629" i="2"/>
  <c r="N629" i="2"/>
  <c r="M629" i="2"/>
  <c r="E629" i="2"/>
  <c r="D629" i="2"/>
  <c r="C629" i="2"/>
  <c r="B629" i="2"/>
  <c r="U628" i="2"/>
  <c r="S628" i="2"/>
  <c r="N628" i="2"/>
  <c r="M628" i="2"/>
  <c r="E628" i="2"/>
  <c r="D628" i="2"/>
  <c r="C628" i="2"/>
  <c r="B628" i="2"/>
  <c r="U627" i="2"/>
  <c r="N627" i="2"/>
  <c r="M627" i="2"/>
  <c r="E627" i="2"/>
  <c r="D627" i="2"/>
  <c r="C627" i="2"/>
  <c r="B627" i="2"/>
  <c r="S627" i="2" s="1"/>
  <c r="U626" i="2"/>
  <c r="S626" i="2"/>
  <c r="N626" i="2"/>
  <c r="M626" i="2"/>
  <c r="E626" i="2"/>
  <c r="D626" i="2"/>
  <c r="C626" i="2"/>
  <c r="B626" i="2"/>
  <c r="U625" i="2"/>
  <c r="N625" i="2"/>
  <c r="M625" i="2"/>
  <c r="E625" i="2"/>
  <c r="D625" i="2"/>
  <c r="C625" i="2"/>
  <c r="B625" i="2"/>
  <c r="S625" i="2" s="1"/>
  <c r="U624" i="2"/>
  <c r="S624" i="2"/>
  <c r="N624" i="2"/>
  <c r="M624" i="2"/>
  <c r="E624" i="2"/>
  <c r="D624" i="2"/>
  <c r="C624" i="2"/>
  <c r="B624" i="2"/>
  <c r="U623" i="2"/>
  <c r="N623" i="2"/>
  <c r="M623" i="2"/>
  <c r="E623" i="2"/>
  <c r="D623" i="2"/>
  <c r="C623" i="2"/>
  <c r="B623" i="2"/>
  <c r="S623" i="2" s="1"/>
  <c r="U622" i="2"/>
  <c r="N622" i="2"/>
  <c r="M622" i="2"/>
  <c r="E622" i="2"/>
  <c r="D622" i="2"/>
  <c r="C622" i="2"/>
  <c r="B622" i="2"/>
  <c r="S622" i="2" s="1"/>
  <c r="U621" i="2"/>
  <c r="N621" i="2"/>
  <c r="M621" i="2"/>
  <c r="E621" i="2"/>
  <c r="D621" i="2"/>
  <c r="C621" i="2"/>
  <c r="B621" i="2"/>
  <c r="S621" i="2" s="1"/>
  <c r="U620" i="2"/>
  <c r="S620" i="2"/>
  <c r="N620" i="2"/>
  <c r="M620" i="2"/>
  <c r="E620" i="2"/>
  <c r="D620" i="2"/>
  <c r="C620" i="2"/>
  <c r="B620" i="2"/>
  <c r="U619" i="2"/>
  <c r="N619" i="2"/>
  <c r="M619" i="2"/>
  <c r="E619" i="2"/>
  <c r="D619" i="2"/>
  <c r="C619" i="2"/>
  <c r="B619" i="2"/>
  <c r="S619" i="2" s="1"/>
  <c r="U618" i="2"/>
  <c r="S618" i="2"/>
  <c r="N618" i="2"/>
  <c r="M618" i="2"/>
  <c r="E618" i="2"/>
  <c r="D618" i="2"/>
  <c r="C618" i="2"/>
  <c r="B618" i="2"/>
  <c r="U617" i="2"/>
  <c r="N617" i="2"/>
  <c r="M617" i="2"/>
  <c r="E617" i="2"/>
  <c r="D617" i="2"/>
  <c r="C617" i="2"/>
  <c r="B617" i="2"/>
  <c r="S617" i="2" s="1"/>
  <c r="U616" i="2"/>
  <c r="N616" i="2"/>
  <c r="M616" i="2"/>
  <c r="E616" i="2"/>
  <c r="D616" i="2"/>
  <c r="C616" i="2"/>
  <c r="B616" i="2"/>
  <c r="S616" i="2" s="1"/>
  <c r="U615" i="2"/>
  <c r="S615" i="2"/>
  <c r="N615" i="2"/>
  <c r="M615" i="2"/>
  <c r="E615" i="2"/>
  <c r="D615" i="2"/>
  <c r="C615" i="2"/>
  <c r="B615" i="2"/>
  <c r="U614" i="2"/>
  <c r="N614" i="2"/>
  <c r="M614" i="2"/>
  <c r="E614" i="2"/>
  <c r="D614" i="2"/>
  <c r="C614" i="2"/>
  <c r="B614" i="2"/>
  <c r="S614" i="2" s="1"/>
  <c r="U613" i="2"/>
  <c r="N613" i="2"/>
  <c r="M613" i="2"/>
  <c r="E613" i="2"/>
  <c r="D613" i="2"/>
  <c r="C613" i="2"/>
  <c r="B613" i="2"/>
  <c r="S613" i="2" s="1"/>
  <c r="U612" i="2"/>
  <c r="S612" i="2"/>
  <c r="N612" i="2"/>
  <c r="M612" i="2"/>
  <c r="E612" i="2"/>
  <c r="D612" i="2"/>
  <c r="C612" i="2"/>
  <c r="B612" i="2"/>
  <c r="U611" i="2"/>
  <c r="N611" i="2"/>
  <c r="M611" i="2"/>
  <c r="E611" i="2"/>
  <c r="D611" i="2"/>
  <c r="C611" i="2"/>
  <c r="B611" i="2"/>
  <c r="S611" i="2" s="1"/>
  <c r="U610" i="2"/>
  <c r="S610" i="2"/>
  <c r="N610" i="2"/>
  <c r="M610" i="2"/>
  <c r="E610" i="2"/>
  <c r="D610" i="2"/>
  <c r="C610" i="2"/>
  <c r="B610" i="2"/>
  <c r="U609" i="2"/>
  <c r="N609" i="2"/>
  <c r="M609" i="2"/>
  <c r="E609" i="2"/>
  <c r="D609" i="2"/>
  <c r="C609" i="2"/>
  <c r="B609" i="2"/>
  <c r="S609" i="2" s="1"/>
  <c r="U608" i="2"/>
  <c r="S608" i="2"/>
  <c r="N608" i="2"/>
  <c r="M608" i="2"/>
  <c r="E608" i="2"/>
  <c r="D608" i="2"/>
  <c r="C608" i="2"/>
  <c r="B608" i="2"/>
  <c r="U607" i="2"/>
  <c r="N607" i="2"/>
  <c r="M607" i="2"/>
  <c r="E607" i="2"/>
  <c r="D607" i="2"/>
  <c r="C607" i="2"/>
  <c r="B607" i="2"/>
  <c r="S607" i="2" s="1"/>
  <c r="U606" i="2"/>
  <c r="N606" i="2"/>
  <c r="M606" i="2"/>
  <c r="E606" i="2"/>
  <c r="D606" i="2"/>
  <c r="C606" i="2"/>
  <c r="B606" i="2"/>
  <c r="S606" i="2" s="1"/>
  <c r="U605" i="2"/>
  <c r="S605" i="2"/>
  <c r="N605" i="2"/>
  <c r="M605" i="2"/>
  <c r="E605" i="2"/>
  <c r="D605" i="2"/>
  <c r="C605" i="2"/>
  <c r="B605" i="2"/>
  <c r="U604" i="2"/>
  <c r="N604" i="2"/>
  <c r="M604" i="2"/>
  <c r="E604" i="2"/>
  <c r="D604" i="2"/>
  <c r="C604" i="2"/>
  <c r="B604" i="2"/>
  <c r="S604" i="2" s="1"/>
  <c r="U603" i="2"/>
  <c r="S603" i="2"/>
  <c r="N603" i="2"/>
  <c r="M603" i="2"/>
  <c r="E603" i="2"/>
  <c r="D603" i="2"/>
  <c r="C603" i="2"/>
  <c r="B603" i="2"/>
  <c r="U602" i="2"/>
  <c r="S602" i="2"/>
  <c r="N602" i="2"/>
  <c r="M602" i="2"/>
  <c r="E602" i="2"/>
  <c r="D602" i="2"/>
  <c r="C602" i="2"/>
  <c r="L602" i="2" s="1"/>
  <c r="B602" i="2"/>
  <c r="U601" i="2"/>
  <c r="S601" i="2"/>
  <c r="N601" i="2"/>
  <c r="M601" i="2"/>
  <c r="E601" i="2"/>
  <c r="D601" i="2"/>
  <c r="C601" i="2"/>
  <c r="B601" i="2"/>
  <c r="U600" i="2"/>
  <c r="N600" i="2"/>
  <c r="M600" i="2"/>
  <c r="E600" i="2"/>
  <c r="D600" i="2"/>
  <c r="C600" i="2"/>
  <c r="B600" i="2"/>
  <c r="S600" i="2" s="1"/>
  <c r="U599" i="2"/>
  <c r="S599" i="2"/>
  <c r="N599" i="2"/>
  <c r="M599" i="2"/>
  <c r="E599" i="2"/>
  <c r="D599" i="2"/>
  <c r="C599" i="2"/>
  <c r="B599" i="2"/>
  <c r="U598" i="2"/>
  <c r="N598" i="2"/>
  <c r="M598" i="2"/>
  <c r="E598" i="2"/>
  <c r="D598" i="2"/>
  <c r="C598" i="2"/>
  <c r="B598" i="2"/>
  <c r="S598" i="2" s="1"/>
  <c r="U597" i="2"/>
  <c r="N597" i="2"/>
  <c r="M597" i="2"/>
  <c r="E597" i="2"/>
  <c r="D597" i="2"/>
  <c r="C597" i="2"/>
  <c r="B597" i="2"/>
  <c r="S597" i="2" s="1"/>
  <c r="U596" i="2"/>
  <c r="N596" i="2"/>
  <c r="M596" i="2"/>
  <c r="E596" i="2"/>
  <c r="D596" i="2"/>
  <c r="C596" i="2"/>
  <c r="B596" i="2"/>
  <c r="S596" i="2" s="1"/>
  <c r="U595" i="2"/>
  <c r="S595" i="2"/>
  <c r="N595" i="2"/>
  <c r="M595" i="2"/>
  <c r="E595" i="2"/>
  <c r="D595" i="2"/>
  <c r="C595" i="2"/>
  <c r="B595" i="2"/>
  <c r="U594" i="2"/>
  <c r="S594" i="2"/>
  <c r="N594" i="2"/>
  <c r="M594" i="2"/>
  <c r="E594" i="2"/>
  <c r="D594" i="2"/>
  <c r="C594" i="2"/>
  <c r="B594" i="2"/>
  <c r="U593" i="2"/>
  <c r="N593" i="2"/>
  <c r="M593" i="2"/>
  <c r="E593" i="2"/>
  <c r="D593" i="2"/>
  <c r="C593" i="2"/>
  <c r="B593" i="2"/>
  <c r="S593" i="2" s="1"/>
  <c r="U592" i="2"/>
  <c r="N592" i="2"/>
  <c r="M592" i="2"/>
  <c r="E592" i="2"/>
  <c r="D592" i="2"/>
  <c r="C592" i="2"/>
  <c r="B592" i="2"/>
  <c r="S592" i="2" s="1"/>
  <c r="U591" i="2"/>
  <c r="N591" i="2"/>
  <c r="M591" i="2"/>
  <c r="E591" i="2"/>
  <c r="D591" i="2"/>
  <c r="C591" i="2"/>
  <c r="B591" i="2"/>
  <c r="S591" i="2" s="1"/>
  <c r="U590" i="2"/>
  <c r="N590" i="2"/>
  <c r="M590" i="2"/>
  <c r="E590" i="2"/>
  <c r="D590" i="2"/>
  <c r="C590" i="2"/>
  <c r="B590" i="2"/>
  <c r="S590" i="2" s="1"/>
  <c r="U589" i="2"/>
  <c r="N589" i="2"/>
  <c r="M589" i="2"/>
  <c r="E589" i="2"/>
  <c r="D589" i="2"/>
  <c r="C589" i="2"/>
  <c r="B589" i="2"/>
  <c r="S589" i="2" s="1"/>
  <c r="U588" i="2"/>
  <c r="N588" i="2"/>
  <c r="M588" i="2"/>
  <c r="E588" i="2"/>
  <c r="D588" i="2"/>
  <c r="C588" i="2"/>
  <c r="B588" i="2"/>
  <c r="S588" i="2" s="1"/>
  <c r="U587" i="2"/>
  <c r="N587" i="2"/>
  <c r="M587" i="2"/>
  <c r="E587" i="2"/>
  <c r="D587" i="2"/>
  <c r="C587" i="2"/>
  <c r="B587" i="2"/>
  <c r="S587" i="2" s="1"/>
  <c r="U586" i="2"/>
  <c r="N586" i="2"/>
  <c r="M586" i="2"/>
  <c r="E586" i="2"/>
  <c r="D586" i="2"/>
  <c r="C586" i="2"/>
  <c r="B586" i="2"/>
  <c r="S586" i="2" s="1"/>
  <c r="U585" i="2"/>
  <c r="N585" i="2"/>
  <c r="M585" i="2"/>
  <c r="E585" i="2"/>
  <c r="D585" i="2"/>
  <c r="C585" i="2"/>
  <c r="B585" i="2"/>
  <c r="S585" i="2" s="1"/>
  <c r="U584" i="2"/>
  <c r="N584" i="2"/>
  <c r="M584" i="2"/>
  <c r="E584" i="2"/>
  <c r="D584" i="2"/>
  <c r="C584" i="2"/>
  <c r="B584" i="2"/>
  <c r="S584" i="2" s="1"/>
  <c r="U583" i="2"/>
  <c r="S583" i="2"/>
  <c r="N583" i="2"/>
  <c r="M583" i="2"/>
  <c r="E583" i="2"/>
  <c r="D583" i="2"/>
  <c r="C583" i="2"/>
  <c r="B583" i="2"/>
  <c r="U582" i="2"/>
  <c r="N582" i="2"/>
  <c r="M582" i="2"/>
  <c r="E582" i="2"/>
  <c r="D582" i="2"/>
  <c r="C582" i="2"/>
  <c r="B582" i="2"/>
  <c r="S582" i="2" s="1"/>
  <c r="U581" i="2"/>
  <c r="S581" i="2"/>
  <c r="N581" i="2"/>
  <c r="M581" i="2"/>
  <c r="E581" i="2"/>
  <c r="D581" i="2"/>
  <c r="C581" i="2"/>
  <c r="B581" i="2"/>
  <c r="U580" i="2"/>
  <c r="S580" i="2"/>
  <c r="N580" i="2"/>
  <c r="M580" i="2"/>
  <c r="E580" i="2"/>
  <c r="D580" i="2"/>
  <c r="C580" i="2"/>
  <c r="B580" i="2"/>
  <c r="U579" i="2"/>
  <c r="N579" i="2"/>
  <c r="M579" i="2"/>
  <c r="E579" i="2"/>
  <c r="D579" i="2"/>
  <c r="C579" i="2"/>
  <c r="B579" i="2"/>
  <c r="S579" i="2" s="1"/>
  <c r="U578" i="2"/>
  <c r="N578" i="2"/>
  <c r="M578" i="2"/>
  <c r="E578" i="2"/>
  <c r="D578" i="2"/>
  <c r="C578" i="2"/>
  <c r="B578" i="2"/>
  <c r="S578" i="2" s="1"/>
  <c r="U577" i="2"/>
  <c r="N577" i="2"/>
  <c r="M577" i="2"/>
  <c r="E577" i="2"/>
  <c r="D577" i="2"/>
  <c r="C577" i="2"/>
  <c r="B577" i="2"/>
  <c r="S577" i="2" s="1"/>
  <c r="U576" i="2"/>
  <c r="N576" i="2"/>
  <c r="M576" i="2"/>
  <c r="E576" i="2"/>
  <c r="D576" i="2"/>
  <c r="C576" i="2"/>
  <c r="B576" i="2"/>
  <c r="S576" i="2" s="1"/>
  <c r="U575" i="2"/>
  <c r="N575" i="2"/>
  <c r="M575" i="2"/>
  <c r="E575" i="2"/>
  <c r="D575" i="2"/>
  <c r="C575" i="2"/>
  <c r="B575" i="2"/>
  <c r="S575" i="2" s="1"/>
  <c r="U574" i="2"/>
  <c r="N574" i="2"/>
  <c r="M574" i="2"/>
  <c r="E574" i="2"/>
  <c r="D574" i="2"/>
  <c r="C574" i="2"/>
  <c r="B574" i="2"/>
  <c r="S574" i="2" s="1"/>
  <c r="U573" i="2"/>
  <c r="N573" i="2"/>
  <c r="M573" i="2"/>
  <c r="E573" i="2"/>
  <c r="D573" i="2"/>
  <c r="C573" i="2"/>
  <c r="B573" i="2"/>
  <c r="S573" i="2" s="1"/>
  <c r="U572" i="2"/>
  <c r="N572" i="2"/>
  <c r="M572" i="2"/>
  <c r="E572" i="2"/>
  <c r="D572" i="2"/>
  <c r="C572" i="2"/>
  <c r="B572" i="2"/>
  <c r="S572" i="2" s="1"/>
  <c r="U571" i="2"/>
  <c r="S571" i="2"/>
  <c r="N571" i="2"/>
  <c r="M571" i="2"/>
  <c r="E571" i="2"/>
  <c r="D571" i="2"/>
  <c r="C571" i="2"/>
  <c r="B571" i="2"/>
  <c r="U570" i="2"/>
  <c r="S570" i="2"/>
  <c r="N570" i="2"/>
  <c r="M570" i="2"/>
  <c r="E570" i="2"/>
  <c r="D570" i="2"/>
  <c r="C570" i="2"/>
  <c r="B570" i="2"/>
  <c r="U569" i="2"/>
  <c r="S569" i="2"/>
  <c r="N569" i="2"/>
  <c r="M569" i="2"/>
  <c r="E569" i="2"/>
  <c r="D569" i="2"/>
  <c r="C569" i="2"/>
  <c r="B569" i="2"/>
  <c r="U568" i="2"/>
  <c r="N568" i="2"/>
  <c r="M568" i="2"/>
  <c r="E568" i="2"/>
  <c r="D568" i="2"/>
  <c r="C568" i="2"/>
  <c r="B568" i="2"/>
  <c r="S568" i="2" s="1"/>
  <c r="U567" i="2"/>
  <c r="S567" i="2"/>
  <c r="N567" i="2"/>
  <c r="M567" i="2"/>
  <c r="E567" i="2"/>
  <c r="D567" i="2"/>
  <c r="C567" i="2"/>
  <c r="B567" i="2"/>
  <c r="U566" i="2"/>
  <c r="N566" i="2"/>
  <c r="M566" i="2"/>
  <c r="E566" i="2"/>
  <c r="D566" i="2"/>
  <c r="C566" i="2"/>
  <c r="B566" i="2"/>
  <c r="S566" i="2" s="1"/>
  <c r="U565" i="2"/>
  <c r="N565" i="2"/>
  <c r="M565" i="2"/>
  <c r="E565" i="2"/>
  <c r="D565" i="2"/>
  <c r="C565" i="2"/>
  <c r="B565" i="2"/>
  <c r="S565" i="2" s="1"/>
  <c r="U564" i="2"/>
  <c r="N564" i="2"/>
  <c r="M564" i="2"/>
  <c r="E564" i="2"/>
  <c r="D564" i="2"/>
  <c r="C564" i="2"/>
  <c r="B564" i="2"/>
  <c r="S564" i="2" s="1"/>
  <c r="U563" i="2"/>
  <c r="S563" i="2"/>
  <c r="N563" i="2"/>
  <c r="M563" i="2"/>
  <c r="E563" i="2"/>
  <c r="D563" i="2"/>
  <c r="C563" i="2"/>
  <c r="B563" i="2"/>
  <c r="U562" i="2"/>
  <c r="S562" i="2"/>
  <c r="N562" i="2"/>
  <c r="M562" i="2"/>
  <c r="E562" i="2"/>
  <c r="D562" i="2"/>
  <c r="C562" i="2"/>
  <c r="L562" i="2" s="1"/>
  <c r="B562" i="2"/>
  <c r="U561" i="2"/>
  <c r="N561" i="2"/>
  <c r="M561" i="2"/>
  <c r="E561" i="2"/>
  <c r="D561" i="2"/>
  <c r="C561" i="2"/>
  <c r="B561" i="2"/>
  <c r="S561" i="2" s="1"/>
  <c r="U560" i="2"/>
  <c r="S560" i="2"/>
  <c r="N560" i="2"/>
  <c r="M560" i="2"/>
  <c r="E560" i="2"/>
  <c r="D560" i="2"/>
  <c r="C560" i="2"/>
  <c r="B560" i="2"/>
  <c r="U559" i="2"/>
  <c r="N559" i="2"/>
  <c r="M559" i="2"/>
  <c r="E559" i="2"/>
  <c r="D559" i="2"/>
  <c r="C559" i="2"/>
  <c r="B559" i="2"/>
  <c r="S559" i="2" s="1"/>
  <c r="U558" i="2"/>
  <c r="S558" i="2"/>
  <c r="N558" i="2"/>
  <c r="M558" i="2"/>
  <c r="E558" i="2"/>
  <c r="D558" i="2"/>
  <c r="C558" i="2"/>
  <c r="B558" i="2"/>
  <c r="U557" i="2"/>
  <c r="N557" i="2"/>
  <c r="M557" i="2"/>
  <c r="E557" i="2"/>
  <c r="D557" i="2"/>
  <c r="C557" i="2"/>
  <c r="B557" i="2"/>
  <c r="S557" i="2" s="1"/>
  <c r="U556" i="2"/>
  <c r="N556" i="2"/>
  <c r="M556" i="2"/>
  <c r="E556" i="2"/>
  <c r="D556" i="2"/>
  <c r="C556" i="2"/>
  <c r="B556" i="2"/>
  <c r="S556" i="2" s="1"/>
  <c r="U555" i="2"/>
  <c r="S555" i="2"/>
  <c r="N555" i="2"/>
  <c r="M555" i="2"/>
  <c r="E555" i="2"/>
  <c r="D555" i="2"/>
  <c r="C555" i="2"/>
  <c r="B555" i="2"/>
  <c r="U554" i="2"/>
  <c r="N554" i="2"/>
  <c r="M554" i="2"/>
  <c r="E554" i="2"/>
  <c r="D554" i="2"/>
  <c r="C554" i="2"/>
  <c r="B554" i="2"/>
  <c r="S554" i="2" s="1"/>
  <c r="U553" i="2"/>
  <c r="N553" i="2"/>
  <c r="M553" i="2"/>
  <c r="E553" i="2"/>
  <c r="D553" i="2"/>
  <c r="C553" i="2"/>
  <c r="B553" i="2"/>
  <c r="S553" i="2" s="1"/>
  <c r="U552" i="2"/>
  <c r="S552" i="2"/>
  <c r="N552" i="2"/>
  <c r="M552" i="2"/>
  <c r="E552" i="2"/>
  <c r="D552" i="2"/>
  <c r="C552" i="2"/>
  <c r="B552" i="2"/>
  <c r="U551" i="2"/>
  <c r="N551" i="2"/>
  <c r="M551" i="2"/>
  <c r="E551" i="2"/>
  <c r="D551" i="2"/>
  <c r="C551" i="2"/>
  <c r="B551" i="2"/>
  <c r="S551" i="2" s="1"/>
  <c r="U550" i="2"/>
  <c r="N550" i="2"/>
  <c r="M550" i="2"/>
  <c r="E550" i="2"/>
  <c r="D550" i="2"/>
  <c r="C550" i="2"/>
  <c r="B550" i="2"/>
  <c r="S550" i="2" s="1"/>
  <c r="U549" i="2"/>
  <c r="S549" i="2"/>
  <c r="N549" i="2"/>
  <c r="M549" i="2"/>
  <c r="E549" i="2"/>
  <c r="D549" i="2"/>
  <c r="C549" i="2"/>
  <c r="B549" i="2"/>
  <c r="U548" i="2"/>
  <c r="S548" i="2"/>
  <c r="N548" i="2"/>
  <c r="M548" i="2"/>
  <c r="E548" i="2"/>
  <c r="D548" i="2"/>
  <c r="C548" i="2"/>
  <c r="B548" i="2"/>
  <c r="U547" i="2"/>
  <c r="S547" i="2"/>
  <c r="N547" i="2"/>
  <c r="M547" i="2"/>
  <c r="E547" i="2"/>
  <c r="D547" i="2"/>
  <c r="C547" i="2"/>
  <c r="B547" i="2"/>
  <c r="U546" i="2"/>
  <c r="N546" i="2"/>
  <c r="M546" i="2"/>
  <c r="E546" i="2"/>
  <c r="D546" i="2"/>
  <c r="C546" i="2"/>
  <c r="B546" i="2"/>
  <c r="S546" i="2" s="1"/>
  <c r="U545" i="2"/>
  <c r="S545" i="2"/>
  <c r="N545" i="2"/>
  <c r="M545" i="2"/>
  <c r="E545" i="2"/>
  <c r="D545" i="2"/>
  <c r="C545" i="2"/>
  <c r="B545" i="2"/>
  <c r="U544" i="2"/>
  <c r="S544" i="2"/>
  <c r="N544" i="2"/>
  <c r="M544" i="2"/>
  <c r="E544" i="2"/>
  <c r="D544" i="2"/>
  <c r="C544" i="2"/>
  <c r="B544" i="2"/>
  <c r="U543" i="2"/>
  <c r="S543" i="2"/>
  <c r="N543" i="2"/>
  <c r="M543" i="2"/>
  <c r="E543" i="2"/>
  <c r="D543" i="2"/>
  <c r="C543" i="2"/>
  <c r="B543" i="2"/>
  <c r="U542" i="2"/>
  <c r="S542" i="2"/>
  <c r="N542" i="2"/>
  <c r="M542" i="2"/>
  <c r="E542" i="2"/>
  <c r="D542" i="2"/>
  <c r="C542" i="2"/>
  <c r="B542" i="2"/>
  <c r="U541" i="2"/>
  <c r="N541" i="2"/>
  <c r="M541" i="2"/>
  <c r="E541" i="2"/>
  <c r="D541" i="2"/>
  <c r="C541" i="2"/>
  <c r="B541" i="2"/>
  <c r="S541" i="2" s="1"/>
  <c r="U540" i="2"/>
  <c r="S540" i="2"/>
  <c r="N540" i="2"/>
  <c r="M540" i="2"/>
  <c r="E540" i="2"/>
  <c r="D540" i="2"/>
  <c r="C540" i="2"/>
  <c r="B540" i="2"/>
  <c r="U539" i="2"/>
  <c r="S539" i="2"/>
  <c r="N539" i="2"/>
  <c r="M539" i="2"/>
  <c r="E539" i="2"/>
  <c r="D539" i="2"/>
  <c r="C539" i="2"/>
  <c r="B539" i="2"/>
  <c r="U538" i="2"/>
  <c r="S538" i="2"/>
  <c r="N538" i="2"/>
  <c r="M538" i="2"/>
  <c r="E538" i="2"/>
  <c r="D538" i="2"/>
  <c r="C538" i="2"/>
  <c r="B538" i="2"/>
  <c r="U537" i="2"/>
  <c r="S537" i="2"/>
  <c r="N537" i="2"/>
  <c r="M537" i="2"/>
  <c r="E537" i="2"/>
  <c r="D537" i="2"/>
  <c r="C537" i="2"/>
  <c r="B537" i="2"/>
  <c r="U536" i="2"/>
  <c r="N536" i="2"/>
  <c r="M536" i="2"/>
  <c r="E536" i="2"/>
  <c r="D536" i="2"/>
  <c r="C536" i="2"/>
  <c r="B536" i="2"/>
  <c r="S536" i="2" s="1"/>
  <c r="U535" i="2"/>
  <c r="N535" i="2"/>
  <c r="M535" i="2"/>
  <c r="E535" i="2"/>
  <c r="D535" i="2"/>
  <c r="C535" i="2"/>
  <c r="B535" i="2"/>
  <c r="S535" i="2" s="1"/>
  <c r="U534" i="2"/>
  <c r="S534" i="2"/>
  <c r="N534" i="2"/>
  <c r="M534" i="2"/>
  <c r="E534" i="2"/>
  <c r="D534" i="2"/>
  <c r="C534" i="2"/>
  <c r="B534" i="2"/>
  <c r="U533" i="2"/>
  <c r="N533" i="2"/>
  <c r="M533" i="2"/>
  <c r="E533" i="2"/>
  <c r="D533" i="2"/>
  <c r="C533" i="2"/>
  <c r="B533" i="2"/>
  <c r="S533" i="2" s="1"/>
  <c r="U532" i="2"/>
  <c r="S532" i="2"/>
  <c r="N532" i="2"/>
  <c r="M532" i="2"/>
  <c r="E532" i="2"/>
  <c r="D532" i="2"/>
  <c r="C532" i="2"/>
  <c r="B532" i="2"/>
  <c r="U531" i="2"/>
  <c r="N531" i="2"/>
  <c r="M531" i="2"/>
  <c r="E531" i="2"/>
  <c r="D531" i="2"/>
  <c r="C531" i="2"/>
  <c r="B531" i="2"/>
  <c r="S531" i="2" s="1"/>
  <c r="U530" i="2"/>
  <c r="N530" i="2"/>
  <c r="M530" i="2"/>
  <c r="E530" i="2"/>
  <c r="D530" i="2"/>
  <c r="C530" i="2"/>
  <c r="B530" i="2"/>
  <c r="S530" i="2" s="1"/>
  <c r="U529" i="2"/>
  <c r="N529" i="2"/>
  <c r="M529" i="2"/>
  <c r="E529" i="2"/>
  <c r="D529" i="2"/>
  <c r="C529" i="2"/>
  <c r="B529" i="2"/>
  <c r="S529" i="2" s="1"/>
  <c r="U528" i="2"/>
  <c r="S528" i="2"/>
  <c r="N528" i="2"/>
  <c r="M528" i="2"/>
  <c r="E528" i="2"/>
  <c r="D528" i="2"/>
  <c r="C528" i="2"/>
  <c r="B528" i="2"/>
  <c r="U527" i="2"/>
  <c r="S527" i="2"/>
  <c r="N527" i="2"/>
  <c r="M527" i="2"/>
  <c r="E527" i="2"/>
  <c r="D527" i="2"/>
  <c r="C527" i="2"/>
  <c r="B527" i="2"/>
  <c r="U526" i="2"/>
  <c r="N526" i="2"/>
  <c r="M526" i="2"/>
  <c r="E526" i="2"/>
  <c r="D526" i="2"/>
  <c r="C526" i="2"/>
  <c r="B526" i="2"/>
  <c r="S526" i="2" s="1"/>
  <c r="U525" i="2"/>
  <c r="N525" i="2"/>
  <c r="M525" i="2"/>
  <c r="E525" i="2"/>
  <c r="D525" i="2"/>
  <c r="C525" i="2"/>
  <c r="B525" i="2"/>
  <c r="S525" i="2" s="1"/>
  <c r="U524" i="2"/>
  <c r="N524" i="2"/>
  <c r="M524" i="2"/>
  <c r="E524" i="2"/>
  <c r="D524" i="2"/>
  <c r="C524" i="2"/>
  <c r="B524" i="2"/>
  <c r="S524" i="2" s="1"/>
  <c r="U523" i="2"/>
  <c r="S523" i="2"/>
  <c r="N523" i="2"/>
  <c r="M523" i="2"/>
  <c r="E523" i="2"/>
  <c r="D523" i="2"/>
  <c r="C523" i="2"/>
  <c r="B523" i="2"/>
  <c r="U522" i="2"/>
  <c r="N522" i="2"/>
  <c r="M522" i="2"/>
  <c r="E522" i="2"/>
  <c r="D522" i="2"/>
  <c r="C522" i="2"/>
  <c r="B522" i="2"/>
  <c r="S522" i="2" s="1"/>
  <c r="U521" i="2"/>
  <c r="N521" i="2"/>
  <c r="M521" i="2"/>
  <c r="E521" i="2"/>
  <c r="D521" i="2"/>
  <c r="C521" i="2"/>
  <c r="L521" i="2" s="1"/>
  <c r="B521" i="2"/>
  <c r="S521" i="2" s="1"/>
  <c r="U520" i="2"/>
  <c r="N520" i="2"/>
  <c r="M520" i="2"/>
  <c r="E520" i="2"/>
  <c r="D520" i="2"/>
  <c r="C520" i="2"/>
  <c r="B520" i="2"/>
  <c r="S520" i="2" s="1"/>
  <c r="U519" i="2"/>
  <c r="N519" i="2"/>
  <c r="M519" i="2"/>
  <c r="E519" i="2"/>
  <c r="D519" i="2"/>
  <c r="C519" i="2"/>
  <c r="B519" i="2"/>
  <c r="S519" i="2" s="1"/>
  <c r="U518" i="2"/>
  <c r="S518" i="2"/>
  <c r="N518" i="2"/>
  <c r="M518" i="2"/>
  <c r="E518" i="2"/>
  <c r="D518" i="2"/>
  <c r="C518" i="2"/>
  <c r="B518" i="2"/>
  <c r="U517" i="2"/>
  <c r="S517" i="2"/>
  <c r="N517" i="2"/>
  <c r="M517" i="2"/>
  <c r="E517" i="2"/>
  <c r="D517" i="2"/>
  <c r="C517" i="2"/>
  <c r="L517" i="2" s="1"/>
  <c r="B517" i="2"/>
  <c r="U516" i="2"/>
  <c r="S516" i="2"/>
  <c r="N516" i="2"/>
  <c r="M516" i="2"/>
  <c r="E516" i="2"/>
  <c r="D516" i="2"/>
  <c r="C516" i="2"/>
  <c r="B516" i="2"/>
  <c r="U515" i="2"/>
  <c r="N515" i="2"/>
  <c r="M515" i="2"/>
  <c r="E515" i="2"/>
  <c r="D515" i="2"/>
  <c r="C515" i="2"/>
  <c r="B515" i="2"/>
  <c r="S515" i="2" s="1"/>
  <c r="U514" i="2"/>
  <c r="S514" i="2"/>
  <c r="N514" i="2"/>
  <c r="M514" i="2"/>
  <c r="E514" i="2"/>
  <c r="D514" i="2"/>
  <c r="C514" i="2"/>
  <c r="B514" i="2"/>
  <c r="U513" i="2"/>
  <c r="S513" i="2"/>
  <c r="N513" i="2"/>
  <c r="M513" i="2"/>
  <c r="E513" i="2"/>
  <c r="D513" i="2"/>
  <c r="C513" i="2"/>
  <c r="B513" i="2"/>
  <c r="U512" i="2"/>
  <c r="S512" i="2"/>
  <c r="N512" i="2"/>
  <c r="M512" i="2"/>
  <c r="E512" i="2"/>
  <c r="D512" i="2"/>
  <c r="C512" i="2"/>
  <c r="B512" i="2"/>
  <c r="U511" i="2"/>
  <c r="N511" i="2"/>
  <c r="M511" i="2"/>
  <c r="E511" i="2"/>
  <c r="D511" i="2"/>
  <c r="C511" i="2"/>
  <c r="B511" i="2"/>
  <c r="S511" i="2" s="1"/>
  <c r="U510" i="2"/>
  <c r="N510" i="2"/>
  <c r="M510" i="2"/>
  <c r="E510" i="2"/>
  <c r="D510" i="2"/>
  <c r="C510" i="2"/>
  <c r="B510" i="2"/>
  <c r="S510" i="2" s="1"/>
  <c r="U509" i="2"/>
  <c r="S509" i="2"/>
  <c r="N509" i="2"/>
  <c r="M509" i="2"/>
  <c r="E509" i="2"/>
  <c r="D509" i="2"/>
  <c r="C509" i="2"/>
  <c r="B509" i="2"/>
  <c r="U508" i="2"/>
  <c r="S508" i="2"/>
  <c r="N508" i="2"/>
  <c r="M508" i="2"/>
  <c r="E508" i="2"/>
  <c r="D508" i="2"/>
  <c r="C508" i="2"/>
  <c r="B508" i="2"/>
  <c r="U507" i="2"/>
  <c r="S507" i="2"/>
  <c r="N507" i="2"/>
  <c r="M507" i="2"/>
  <c r="E507" i="2"/>
  <c r="D507" i="2"/>
  <c r="C507" i="2"/>
  <c r="B507" i="2"/>
  <c r="U506" i="2"/>
  <c r="N506" i="2"/>
  <c r="M506" i="2"/>
  <c r="E506" i="2"/>
  <c r="D506" i="2"/>
  <c r="C506" i="2"/>
  <c r="L506" i="2" s="1"/>
  <c r="B506" i="2"/>
  <c r="S506" i="2" s="1"/>
  <c r="U505" i="2"/>
  <c r="S505" i="2"/>
  <c r="N505" i="2"/>
  <c r="M505" i="2"/>
  <c r="E505" i="2"/>
  <c r="D505" i="2"/>
  <c r="C505" i="2"/>
  <c r="B505" i="2"/>
  <c r="U504" i="2"/>
  <c r="S504" i="2"/>
  <c r="N504" i="2"/>
  <c r="M504" i="2"/>
  <c r="E504" i="2"/>
  <c r="D504" i="2"/>
  <c r="C504" i="2"/>
  <c r="B504" i="2"/>
  <c r="U503" i="2"/>
  <c r="S503" i="2"/>
  <c r="N503" i="2"/>
  <c r="M503" i="2"/>
  <c r="E503" i="2"/>
  <c r="D503" i="2"/>
  <c r="C503" i="2"/>
  <c r="B503" i="2"/>
  <c r="U502" i="2"/>
  <c r="S502" i="2"/>
  <c r="N502" i="2"/>
  <c r="M502" i="2"/>
  <c r="E502" i="2"/>
  <c r="D502" i="2"/>
  <c r="C502" i="2"/>
  <c r="B502" i="2"/>
  <c r="U501" i="2"/>
  <c r="S501" i="2"/>
  <c r="N501" i="2"/>
  <c r="M501" i="2"/>
  <c r="E501" i="2"/>
  <c r="D501" i="2"/>
  <c r="C501" i="2"/>
  <c r="B501" i="2"/>
  <c r="U500" i="2"/>
  <c r="N500" i="2"/>
  <c r="M500" i="2"/>
  <c r="E500" i="2"/>
  <c r="D500" i="2"/>
  <c r="C500" i="2"/>
  <c r="B500" i="2"/>
  <c r="S500" i="2" s="1"/>
  <c r="U499" i="2"/>
  <c r="N499" i="2"/>
  <c r="M499" i="2"/>
  <c r="E499" i="2"/>
  <c r="D499" i="2"/>
  <c r="C499" i="2"/>
  <c r="B499" i="2"/>
  <c r="S499" i="2" s="1"/>
  <c r="U498" i="2"/>
  <c r="S498" i="2"/>
  <c r="N498" i="2"/>
  <c r="M498" i="2"/>
  <c r="E498" i="2"/>
  <c r="D498" i="2"/>
  <c r="C498" i="2"/>
  <c r="B498" i="2"/>
  <c r="U497" i="2"/>
  <c r="N497" i="2"/>
  <c r="M497" i="2"/>
  <c r="E497" i="2"/>
  <c r="D497" i="2"/>
  <c r="C497" i="2"/>
  <c r="B497" i="2"/>
  <c r="S497" i="2" s="1"/>
  <c r="U496" i="2"/>
  <c r="S496" i="2"/>
  <c r="N496" i="2"/>
  <c r="M496" i="2"/>
  <c r="E496" i="2"/>
  <c r="D496" i="2"/>
  <c r="C496" i="2"/>
  <c r="B496" i="2"/>
  <c r="U495" i="2"/>
  <c r="S495" i="2"/>
  <c r="N495" i="2"/>
  <c r="M495" i="2"/>
  <c r="E495" i="2"/>
  <c r="D495" i="2"/>
  <c r="C495" i="2"/>
  <c r="B495" i="2"/>
  <c r="U494" i="2"/>
  <c r="N494" i="2"/>
  <c r="M494" i="2"/>
  <c r="E494" i="2"/>
  <c r="D494" i="2"/>
  <c r="C494" i="2"/>
  <c r="B494" i="2"/>
  <c r="S494" i="2" s="1"/>
  <c r="U493" i="2"/>
  <c r="S493" i="2"/>
  <c r="N493" i="2"/>
  <c r="M493" i="2"/>
  <c r="E493" i="2"/>
  <c r="D493" i="2"/>
  <c r="C493" i="2"/>
  <c r="B493" i="2"/>
  <c r="U492" i="2"/>
  <c r="S492" i="2"/>
  <c r="N492" i="2"/>
  <c r="M492" i="2"/>
  <c r="E492" i="2"/>
  <c r="D492" i="2"/>
  <c r="C492" i="2"/>
  <c r="B492" i="2"/>
  <c r="U491" i="2"/>
  <c r="N491" i="2"/>
  <c r="M491" i="2"/>
  <c r="E491" i="2"/>
  <c r="D491" i="2"/>
  <c r="C491" i="2"/>
  <c r="B491" i="2"/>
  <c r="S491" i="2" s="1"/>
  <c r="U490" i="2"/>
  <c r="S490" i="2"/>
  <c r="N490" i="2"/>
  <c r="M490" i="2"/>
  <c r="E490" i="2"/>
  <c r="D490" i="2"/>
  <c r="C490" i="2"/>
  <c r="B490" i="2"/>
  <c r="U489" i="2"/>
  <c r="N489" i="2"/>
  <c r="M489" i="2"/>
  <c r="E489" i="2"/>
  <c r="D489" i="2"/>
  <c r="C489" i="2"/>
  <c r="B489" i="2"/>
  <c r="S489" i="2" s="1"/>
  <c r="U488" i="2"/>
  <c r="S488" i="2"/>
  <c r="N488" i="2"/>
  <c r="M488" i="2"/>
  <c r="E488" i="2"/>
  <c r="D488" i="2"/>
  <c r="C488" i="2"/>
  <c r="B488" i="2"/>
  <c r="U487" i="2"/>
  <c r="S487" i="2"/>
  <c r="N487" i="2"/>
  <c r="M487" i="2"/>
  <c r="E487" i="2"/>
  <c r="D487" i="2"/>
  <c r="C487" i="2"/>
  <c r="B487" i="2"/>
  <c r="U486" i="2"/>
  <c r="S486" i="2"/>
  <c r="N486" i="2"/>
  <c r="M486" i="2"/>
  <c r="E486" i="2"/>
  <c r="D486" i="2"/>
  <c r="C486" i="2"/>
  <c r="B486" i="2"/>
  <c r="U485" i="2"/>
  <c r="S485" i="2"/>
  <c r="N485" i="2"/>
  <c r="M485" i="2"/>
  <c r="E485" i="2"/>
  <c r="D485" i="2"/>
  <c r="C485" i="2"/>
  <c r="B485" i="2"/>
  <c r="U484" i="2"/>
  <c r="S484" i="2"/>
  <c r="N484" i="2"/>
  <c r="M484" i="2"/>
  <c r="E484" i="2"/>
  <c r="D484" i="2"/>
  <c r="C484" i="2"/>
  <c r="B484" i="2"/>
  <c r="U483" i="2"/>
  <c r="S483" i="2"/>
  <c r="N483" i="2"/>
  <c r="M483" i="2"/>
  <c r="E483" i="2"/>
  <c r="D483" i="2"/>
  <c r="C483" i="2"/>
  <c r="B483" i="2"/>
  <c r="U482" i="2"/>
  <c r="S482" i="2"/>
  <c r="N482" i="2"/>
  <c r="M482" i="2"/>
  <c r="E482" i="2"/>
  <c r="D482" i="2"/>
  <c r="C482" i="2"/>
  <c r="B482" i="2"/>
  <c r="U481" i="2"/>
  <c r="S481" i="2"/>
  <c r="N481" i="2"/>
  <c r="M481" i="2"/>
  <c r="E481" i="2"/>
  <c r="D481" i="2"/>
  <c r="C481" i="2"/>
  <c r="B481" i="2"/>
  <c r="U480" i="2"/>
  <c r="S480" i="2"/>
  <c r="N480" i="2"/>
  <c r="M480" i="2"/>
  <c r="E480" i="2"/>
  <c r="D480" i="2"/>
  <c r="C480" i="2"/>
  <c r="B480" i="2"/>
  <c r="U479" i="2"/>
  <c r="S479" i="2"/>
  <c r="N479" i="2"/>
  <c r="M479" i="2"/>
  <c r="E479" i="2"/>
  <c r="D479" i="2"/>
  <c r="C479" i="2"/>
  <c r="B479" i="2"/>
  <c r="U478" i="2"/>
  <c r="S478" i="2"/>
  <c r="N478" i="2"/>
  <c r="M478" i="2"/>
  <c r="E478" i="2"/>
  <c r="D478" i="2"/>
  <c r="C478" i="2"/>
  <c r="B478" i="2"/>
  <c r="U477" i="2"/>
  <c r="N477" i="2"/>
  <c r="M477" i="2"/>
  <c r="E477" i="2"/>
  <c r="D477" i="2"/>
  <c r="C477" i="2"/>
  <c r="B477" i="2"/>
  <c r="S477" i="2" s="1"/>
  <c r="U476" i="2"/>
  <c r="N476" i="2"/>
  <c r="M476" i="2"/>
  <c r="E476" i="2"/>
  <c r="D476" i="2"/>
  <c r="C476" i="2"/>
  <c r="B476" i="2"/>
  <c r="S476" i="2" s="1"/>
  <c r="U475" i="2"/>
  <c r="N475" i="2"/>
  <c r="M475" i="2"/>
  <c r="E475" i="2"/>
  <c r="D475" i="2"/>
  <c r="C475" i="2"/>
  <c r="B475" i="2"/>
  <c r="S475" i="2" s="1"/>
  <c r="U474" i="2"/>
  <c r="S474" i="2"/>
  <c r="N474" i="2"/>
  <c r="M474" i="2"/>
  <c r="E474" i="2"/>
  <c r="D474" i="2"/>
  <c r="C474" i="2"/>
  <c r="B474" i="2"/>
  <c r="U473" i="2"/>
  <c r="N473" i="2"/>
  <c r="M473" i="2"/>
  <c r="E473" i="2"/>
  <c r="D473" i="2"/>
  <c r="C473" i="2"/>
  <c r="B473" i="2"/>
  <c r="S473" i="2" s="1"/>
  <c r="U472" i="2"/>
  <c r="N472" i="2"/>
  <c r="M472" i="2"/>
  <c r="E472" i="2"/>
  <c r="D472" i="2"/>
  <c r="C472" i="2"/>
  <c r="B472" i="2"/>
  <c r="S472" i="2" s="1"/>
  <c r="U471" i="2"/>
  <c r="N471" i="2"/>
  <c r="M471" i="2"/>
  <c r="E471" i="2"/>
  <c r="D471" i="2"/>
  <c r="C471" i="2"/>
  <c r="B471" i="2"/>
  <c r="S471" i="2" s="1"/>
  <c r="U470" i="2"/>
  <c r="N470" i="2"/>
  <c r="M470" i="2"/>
  <c r="E470" i="2"/>
  <c r="D470" i="2"/>
  <c r="C470" i="2"/>
  <c r="B470" i="2"/>
  <c r="S470" i="2" s="1"/>
  <c r="U469" i="2"/>
  <c r="N469" i="2"/>
  <c r="M469" i="2"/>
  <c r="E469" i="2"/>
  <c r="D469" i="2"/>
  <c r="C469" i="2"/>
  <c r="B469" i="2"/>
  <c r="S469" i="2" s="1"/>
  <c r="U468" i="2"/>
  <c r="S468" i="2"/>
  <c r="N468" i="2"/>
  <c r="M468" i="2"/>
  <c r="E468" i="2"/>
  <c r="D468" i="2"/>
  <c r="C468" i="2"/>
  <c r="B468" i="2"/>
  <c r="U467" i="2"/>
  <c r="N467" i="2"/>
  <c r="M467" i="2"/>
  <c r="E467" i="2"/>
  <c r="D467" i="2"/>
  <c r="C467" i="2"/>
  <c r="B467" i="2"/>
  <c r="S467" i="2" s="1"/>
  <c r="U466" i="2"/>
  <c r="S466" i="2"/>
  <c r="N466" i="2"/>
  <c r="M466" i="2"/>
  <c r="E466" i="2"/>
  <c r="D466" i="2"/>
  <c r="C466" i="2"/>
  <c r="B466" i="2"/>
  <c r="U465" i="2"/>
  <c r="N465" i="2"/>
  <c r="M465" i="2"/>
  <c r="E465" i="2"/>
  <c r="D465" i="2"/>
  <c r="C465" i="2"/>
  <c r="B465" i="2"/>
  <c r="S465" i="2" s="1"/>
  <c r="U464" i="2"/>
  <c r="S464" i="2"/>
  <c r="N464" i="2"/>
  <c r="M464" i="2"/>
  <c r="E464" i="2"/>
  <c r="D464" i="2"/>
  <c r="C464" i="2"/>
  <c r="B464" i="2"/>
  <c r="U463" i="2"/>
  <c r="N463" i="2"/>
  <c r="M463" i="2"/>
  <c r="E463" i="2"/>
  <c r="D463" i="2"/>
  <c r="C463" i="2"/>
  <c r="B463" i="2"/>
  <c r="S463" i="2" s="1"/>
  <c r="U462" i="2"/>
  <c r="N462" i="2"/>
  <c r="M462" i="2"/>
  <c r="E462" i="2"/>
  <c r="D462" i="2"/>
  <c r="C462" i="2"/>
  <c r="B462" i="2"/>
  <c r="S462" i="2" s="1"/>
  <c r="U461" i="2"/>
  <c r="S461" i="2"/>
  <c r="N461" i="2"/>
  <c r="M461" i="2"/>
  <c r="E461" i="2"/>
  <c r="D461" i="2"/>
  <c r="C461" i="2"/>
  <c r="B461" i="2"/>
  <c r="U460" i="2"/>
  <c r="S460" i="2"/>
  <c r="N460" i="2"/>
  <c r="M460" i="2"/>
  <c r="E460" i="2"/>
  <c r="D460" i="2"/>
  <c r="C460" i="2"/>
  <c r="B460" i="2"/>
  <c r="U459" i="2"/>
  <c r="S459" i="2"/>
  <c r="N459" i="2"/>
  <c r="M459" i="2"/>
  <c r="E459" i="2"/>
  <c r="D459" i="2"/>
  <c r="C459" i="2"/>
  <c r="B459" i="2"/>
  <c r="U458" i="2"/>
  <c r="S458" i="2"/>
  <c r="N458" i="2"/>
  <c r="M458" i="2"/>
  <c r="E458" i="2"/>
  <c r="D458" i="2"/>
  <c r="C458" i="2"/>
  <c r="B458" i="2"/>
  <c r="U457" i="2"/>
  <c r="S457" i="2"/>
  <c r="N457" i="2"/>
  <c r="M457" i="2"/>
  <c r="E457" i="2"/>
  <c r="D457" i="2"/>
  <c r="C457" i="2"/>
  <c r="B457" i="2"/>
  <c r="U456" i="2"/>
  <c r="S456" i="2"/>
  <c r="N456" i="2"/>
  <c r="M456" i="2"/>
  <c r="E456" i="2"/>
  <c r="D456" i="2"/>
  <c r="C456" i="2"/>
  <c r="B456" i="2"/>
  <c r="U455" i="2"/>
  <c r="N455" i="2"/>
  <c r="M455" i="2"/>
  <c r="E455" i="2"/>
  <c r="D455" i="2"/>
  <c r="C455" i="2"/>
  <c r="B455" i="2"/>
  <c r="S455" i="2" s="1"/>
  <c r="U454" i="2"/>
  <c r="S454" i="2"/>
  <c r="N454" i="2"/>
  <c r="M454" i="2"/>
  <c r="E454" i="2"/>
  <c r="D454" i="2"/>
  <c r="C454" i="2"/>
  <c r="B454" i="2"/>
  <c r="U453" i="2"/>
  <c r="S453" i="2"/>
  <c r="N453" i="2"/>
  <c r="M453" i="2"/>
  <c r="E453" i="2"/>
  <c r="D453" i="2"/>
  <c r="C453" i="2"/>
  <c r="B453" i="2"/>
  <c r="U452" i="2"/>
  <c r="N452" i="2"/>
  <c r="M452" i="2"/>
  <c r="E452" i="2"/>
  <c r="D452" i="2"/>
  <c r="C452" i="2"/>
  <c r="B452" i="2"/>
  <c r="S452" i="2" s="1"/>
  <c r="U451" i="2"/>
  <c r="N451" i="2"/>
  <c r="M451" i="2"/>
  <c r="E451" i="2"/>
  <c r="D451" i="2"/>
  <c r="C451" i="2"/>
  <c r="B451" i="2"/>
  <c r="S451" i="2" s="1"/>
  <c r="U450" i="2"/>
  <c r="S450" i="2"/>
  <c r="N450" i="2"/>
  <c r="M450" i="2"/>
  <c r="E450" i="2"/>
  <c r="D450" i="2"/>
  <c r="C450" i="2"/>
  <c r="B450" i="2"/>
  <c r="U449" i="2"/>
  <c r="S449" i="2"/>
  <c r="N449" i="2"/>
  <c r="M449" i="2"/>
  <c r="E449" i="2"/>
  <c r="D449" i="2"/>
  <c r="C449" i="2"/>
  <c r="B449" i="2"/>
  <c r="U448" i="2"/>
  <c r="S448" i="2"/>
  <c r="N448" i="2"/>
  <c r="M448" i="2"/>
  <c r="E448" i="2"/>
  <c r="D448" i="2"/>
  <c r="C448" i="2"/>
  <c r="B448" i="2"/>
  <c r="U447" i="2"/>
  <c r="S447" i="2"/>
  <c r="N447" i="2"/>
  <c r="M447" i="2"/>
  <c r="E447" i="2"/>
  <c r="D447" i="2"/>
  <c r="C447" i="2"/>
  <c r="B447" i="2"/>
  <c r="U446" i="2"/>
  <c r="S446" i="2"/>
  <c r="N446" i="2"/>
  <c r="M446" i="2"/>
  <c r="E446" i="2"/>
  <c r="D446" i="2"/>
  <c r="C446" i="2"/>
  <c r="G446" i="2" s="1"/>
  <c r="J446" i="2" s="1"/>
  <c r="B446" i="2"/>
  <c r="U445" i="2"/>
  <c r="N445" i="2"/>
  <c r="M445" i="2"/>
  <c r="E445" i="2"/>
  <c r="D445" i="2"/>
  <c r="C445" i="2"/>
  <c r="B445" i="2"/>
  <c r="S445" i="2" s="1"/>
  <c r="U444" i="2"/>
  <c r="N444" i="2"/>
  <c r="M444" i="2"/>
  <c r="E444" i="2"/>
  <c r="D444" i="2"/>
  <c r="C444" i="2"/>
  <c r="B444" i="2"/>
  <c r="S444" i="2" s="1"/>
  <c r="U443" i="2"/>
  <c r="S443" i="2"/>
  <c r="N443" i="2"/>
  <c r="M443" i="2"/>
  <c r="E443" i="2"/>
  <c r="D443" i="2"/>
  <c r="C443" i="2"/>
  <c r="B443" i="2"/>
  <c r="U442" i="2"/>
  <c r="N442" i="2"/>
  <c r="M442" i="2"/>
  <c r="E442" i="2"/>
  <c r="D442" i="2"/>
  <c r="C442" i="2"/>
  <c r="B442" i="2"/>
  <c r="S442" i="2" s="1"/>
  <c r="U441" i="2"/>
  <c r="N441" i="2"/>
  <c r="M441" i="2"/>
  <c r="E441" i="2"/>
  <c r="D441" i="2"/>
  <c r="C441" i="2"/>
  <c r="B441" i="2"/>
  <c r="S441" i="2" s="1"/>
  <c r="U440" i="2"/>
  <c r="N440" i="2"/>
  <c r="M440" i="2"/>
  <c r="E440" i="2"/>
  <c r="D440" i="2"/>
  <c r="C440" i="2"/>
  <c r="B440" i="2"/>
  <c r="S440" i="2" s="1"/>
  <c r="U439" i="2"/>
  <c r="N439" i="2"/>
  <c r="M439" i="2"/>
  <c r="E439" i="2"/>
  <c r="D439" i="2"/>
  <c r="C439" i="2"/>
  <c r="B439" i="2"/>
  <c r="S439" i="2" s="1"/>
  <c r="U438" i="2"/>
  <c r="N438" i="2"/>
  <c r="M438" i="2"/>
  <c r="E438" i="2"/>
  <c r="D438" i="2"/>
  <c r="C438" i="2"/>
  <c r="B438" i="2"/>
  <c r="S438" i="2" s="1"/>
  <c r="U437" i="2"/>
  <c r="S437" i="2"/>
  <c r="N437" i="2"/>
  <c r="M437" i="2"/>
  <c r="E437" i="2"/>
  <c r="D437" i="2"/>
  <c r="C437" i="2"/>
  <c r="B437" i="2"/>
  <c r="U436" i="2"/>
  <c r="S436" i="2"/>
  <c r="N436" i="2"/>
  <c r="M436" i="2"/>
  <c r="E436" i="2"/>
  <c r="D436" i="2"/>
  <c r="C436" i="2"/>
  <c r="B436" i="2"/>
  <c r="U435" i="2"/>
  <c r="S435" i="2"/>
  <c r="N435" i="2"/>
  <c r="M435" i="2"/>
  <c r="E435" i="2"/>
  <c r="D435" i="2"/>
  <c r="C435" i="2"/>
  <c r="B435" i="2"/>
  <c r="U434" i="2"/>
  <c r="N434" i="2"/>
  <c r="M434" i="2"/>
  <c r="E434" i="2"/>
  <c r="D434" i="2"/>
  <c r="C434" i="2"/>
  <c r="B434" i="2"/>
  <c r="S434" i="2" s="1"/>
  <c r="U433" i="2"/>
  <c r="S433" i="2"/>
  <c r="N433" i="2"/>
  <c r="M433" i="2"/>
  <c r="E433" i="2"/>
  <c r="D433" i="2"/>
  <c r="C433" i="2"/>
  <c r="B433" i="2"/>
  <c r="U432" i="2"/>
  <c r="S432" i="2"/>
  <c r="N432" i="2"/>
  <c r="M432" i="2"/>
  <c r="E432" i="2"/>
  <c r="D432" i="2"/>
  <c r="C432" i="2"/>
  <c r="B432" i="2"/>
  <c r="U431" i="2"/>
  <c r="N431" i="2"/>
  <c r="M431" i="2"/>
  <c r="E431" i="2"/>
  <c r="D431" i="2"/>
  <c r="C431" i="2"/>
  <c r="B431" i="2"/>
  <c r="S431" i="2" s="1"/>
  <c r="U430" i="2"/>
  <c r="N430" i="2"/>
  <c r="M430" i="2"/>
  <c r="E430" i="2"/>
  <c r="D430" i="2"/>
  <c r="C430" i="2"/>
  <c r="B430" i="2"/>
  <c r="S430" i="2" s="1"/>
  <c r="U429" i="2"/>
  <c r="S429" i="2"/>
  <c r="N429" i="2"/>
  <c r="M429" i="2"/>
  <c r="E429" i="2"/>
  <c r="D429" i="2"/>
  <c r="C429" i="2"/>
  <c r="B429" i="2"/>
  <c r="U428" i="2"/>
  <c r="S428" i="2"/>
  <c r="N428" i="2"/>
  <c r="M428" i="2"/>
  <c r="E428" i="2"/>
  <c r="D428" i="2"/>
  <c r="C428" i="2"/>
  <c r="B428" i="2"/>
  <c r="U427" i="2"/>
  <c r="N427" i="2"/>
  <c r="M427" i="2"/>
  <c r="E427" i="2"/>
  <c r="D427" i="2"/>
  <c r="C427" i="2"/>
  <c r="G427" i="2" s="1"/>
  <c r="B427" i="2"/>
  <c r="S427" i="2" s="1"/>
  <c r="U426" i="2"/>
  <c r="N426" i="2"/>
  <c r="M426" i="2"/>
  <c r="E426" i="2"/>
  <c r="D426" i="2"/>
  <c r="C426" i="2"/>
  <c r="B426" i="2"/>
  <c r="S426" i="2" s="1"/>
  <c r="U425" i="2"/>
  <c r="S425" i="2"/>
  <c r="N425" i="2"/>
  <c r="M425" i="2"/>
  <c r="E425" i="2"/>
  <c r="D425" i="2"/>
  <c r="C425" i="2"/>
  <c r="B425" i="2"/>
  <c r="U424" i="2"/>
  <c r="N424" i="2"/>
  <c r="M424" i="2"/>
  <c r="E424" i="2"/>
  <c r="D424" i="2"/>
  <c r="C424" i="2"/>
  <c r="B424" i="2"/>
  <c r="S424" i="2" s="1"/>
  <c r="U423" i="2"/>
  <c r="N423" i="2"/>
  <c r="M423" i="2"/>
  <c r="E423" i="2"/>
  <c r="D423" i="2"/>
  <c r="C423" i="2"/>
  <c r="B423" i="2"/>
  <c r="S423" i="2" s="1"/>
  <c r="U422" i="2"/>
  <c r="N422" i="2"/>
  <c r="M422" i="2"/>
  <c r="E422" i="2"/>
  <c r="D422" i="2"/>
  <c r="C422" i="2"/>
  <c r="B422" i="2"/>
  <c r="S422" i="2" s="1"/>
  <c r="U421" i="2"/>
  <c r="N421" i="2"/>
  <c r="M421" i="2"/>
  <c r="E421" i="2"/>
  <c r="D421" i="2"/>
  <c r="C421" i="2"/>
  <c r="B421" i="2"/>
  <c r="S421" i="2" s="1"/>
  <c r="U420" i="2"/>
  <c r="N420" i="2"/>
  <c r="M420" i="2"/>
  <c r="E420" i="2"/>
  <c r="D420" i="2"/>
  <c r="C420" i="2"/>
  <c r="B420" i="2"/>
  <c r="S420" i="2" s="1"/>
  <c r="U419" i="2"/>
  <c r="N419" i="2"/>
  <c r="M419" i="2"/>
  <c r="E419" i="2"/>
  <c r="D419" i="2"/>
  <c r="C419" i="2"/>
  <c r="B419" i="2"/>
  <c r="S419" i="2" s="1"/>
  <c r="U418" i="2"/>
  <c r="N418" i="2"/>
  <c r="M418" i="2"/>
  <c r="E418" i="2"/>
  <c r="D418" i="2"/>
  <c r="C418" i="2"/>
  <c r="B418" i="2"/>
  <c r="S418" i="2" s="1"/>
  <c r="U417" i="2"/>
  <c r="N417" i="2"/>
  <c r="M417" i="2"/>
  <c r="E417" i="2"/>
  <c r="D417" i="2"/>
  <c r="C417" i="2"/>
  <c r="B417" i="2"/>
  <c r="S417" i="2" s="1"/>
  <c r="U416" i="2"/>
  <c r="S416" i="2"/>
  <c r="N416" i="2"/>
  <c r="M416" i="2"/>
  <c r="E416" i="2"/>
  <c r="D416" i="2"/>
  <c r="C416" i="2"/>
  <c r="B416" i="2"/>
  <c r="U415" i="2"/>
  <c r="S415" i="2"/>
  <c r="N415" i="2"/>
  <c r="M415" i="2"/>
  <c r="E415" i="2"/>
  <c r="D415" i="2"/>
  <c r="C415" i="2"/>
  <c r="B415" i="2"/>
  <c r="U414" i="2"/>
  <c r="S414" i="2"/>
  <c r="N414" i="2"/>
  <c r="M414" i="2"/>
  <c r="E414" i="2"/>
  <c r="D414" i="2"/>
  <c r="C414" i="2"/>
  <c r="B414" i="2"/>
  <c r="U413" i="2"/>
  <c r="S413" i="2"/>
  <c r="N413" i="2"/>
  <c r="M413" i="2"/>
  <c r="E413" i="2"/>
  <c r="D413" i="2"/>
  <c r="C413" i="2"/>
  <c r="B413" i="2"/>
  <c r="U412" i="2"/>
  <c r="S412" i="2"/>
  <c r="N412" i="2"/>
  <c r="M412" i="2"/>
  <c r="E412" i="2"/>
  <c r="D412" i="2"/>
  <c r="C412" i="2"/>
  <c r="B412" i="2"/>
  <c r="U411" i="2"/>
  <c r="N411" i="2"/>
  <c r="M411" i="2"/>
  <c r="E411" i="2"/>
  <c r="D411" i="2"/>
  <c r="C411" i="2"/>
  <c r="B411" i="2"/>
  <c r="S411" i="2" s="1"/>
  <c r="U410" i="2"/>
  <c r="S410" i="2"/>
  <c r="N410" i="2"/>
  <c r="M410" i="2"/>
  <c r="E410" i="2"/>
  <c r="D410" i="2"/>
  <c r="C410" i="2"/>
  <c r="B410" i="2"/>
  <c r="U409" i="2"/>
  <c r="N409" i="2"/>
  <c r="M409" i="2"/>
  <c r="E409" i="2"/>
  <c r="D409" i="2"/>
  <c r="C409" i="2"/>
  <c r="B409" i="2"/>
  <c r="S409" i="2" s="1"/>
  <c r="U408" i="2"/>
  <c r="S408" i="2"/>
  <c r="N408" i="2"/>
  <c r="M408" i="2"/>
  <c r="E408" i="2"/>
  <c r="D408" i="2"/>
  <c r="C408" i="2"/>
  <c r="B408" i="2"/>
  <c r="U407" i="2"/>
  <c r="S407" i="2"/>
  <c r="N407" i="2"/>
  <c r="M407" i="2"/>
  <c r="E407" i="2"/>
  <c r="D407" i="2"/>
  <c r="C407" i="2"/>
  <c r="B407" i="2"/>
  <c r="U406" i="2"/>
  <c r="S406" i="2"/>
  <c r="N406" i="2"/>
  <c r="M406" i="2"/>
  <c r="E406" i="2"/>
  <c r="D406" i="2"/>
  <c r="C406" i="2"/>
  <c r="B406" i="2"/>
  <c r="U405" i="2"/>
  <c r="S405" i="2"/>
  <c r="N405" i="2"/>
  <c r="M405" i="2"/>
  <c r="E405" i="2"/>
  <c r="D405" i="2"/>
  <c r="C405" i="2"/>
  <c r="B405" i="2"/>
  <c r="U404" i="2"/>
  <c r="S404" i="2"/>
  <c r="N404" i="2"/>
  <c r="M404" i="2"/>
  <c r="E404" i="2"/>
  <c r="D404" i="2"/>
  <c r="C404" i="2"/>
  <c r="B404" i="2"/>
  <c r="U403" i="2"/>
  <c r="N403" i="2"/>
  <c r="M403" i="2"/>
  <c r="E403" i="2"/>
  <c r="D403" i="2"/>
  <c r="C403" i="2"/>
  <c r="B403" i="2"/>
  <c r="S403" i="2" s="1"/>
  <c r="U402" i="2"/>
  <c r="S402" i="2"/>
  <c r="N402" i="2"/>
  <c r="M402" i="2"/>
  <c r="E402" i="2"/>
  <c r="D402" i="2"/>
  <c r="C402" i="2"/>
  <c r="B402" i="2"/>
  <c r="U401" i="2"/>
  <c r="N401" i="2"/>
  <c r="M401" i="2"/>
  <c r="E401" i="2"/>
  <c r="D401" i="2"/>
  <c r="C401" i="2"/>
  <c r="B401" i="2"/>
  <c r="S401" i="2" s="1"/>
  <c r="U400" i="2"/>
  <c r="S400" i="2"/>
  <c r="N400" i="2"/>
  <c r="M400" i="2"/>
  <c r="E400" i="2"/>
  <c r="D400" i="2"/>
  <c r="C400" i="2"/>
  <c r="B400" i="2"/>
  <c r="U399" i="2"/>
  <c r="S399" i="2"/>
  <c r="N399" i="2"/>
  <c r="M399" i="2"/>
  <c r="E399" i="2"/>
  <c r="D399" i="2"/>
  <c r="C399" i="2"/>
  <c r="B399" i="2"/>
  <c r="U398" i="2"/>
  <c r="N398" i="2"/>
  <c r="M398" i="2"/>
  <c r="E398" i="2"/>
  <c r="D398" i="2"/>
  <c r="C398" i="2"/>
  <c r="B398" i="2"/>
  <c r="S398" i="2" s="1"/>
  <c r="U397" i="2"/>
  <c r="N397" i="2"/>
  <c r="M397" i="2"/>
  <c r="E397" i="2"/>
  <c r="D397" i="2"/>
  <c r="C397" i="2"/>
  <c r="B397" i="2"/>
  <c r="S397" i="2" s="1"/>
  <c r="U396" i="2"/>
  <c r="N396" i="2"/>
  <c r="M396" i="2"/>
  <c r="E396" i="2"/>
  <c r="D396" i="2"/>
  <c r="C396" i="2"/>
  <c r="B396" i="2"/>
  <c r="S396" i="2" s="1"/>
  <c r="U395" i="2"/>
  <c r="N395" i="2"/>
  <c r="M395" i="2"/>
  <c r="E395" i="2"/>
  <c r="D395" i="2"/>
  <c r="C395" i="2"/>
  <c r="B395" i="2"/>
  <c r="S395" i="2" s="1"/>
  <c r="U394" i="2"/>
  <c r="N394" i="2"/>
  <c r="M394" i="2"/>
  <c r="E394" i="2"/>
  <c r="D394" i="2"/>
  <c r="C394" i="2"/>
  <c r="B394" i="2"/>
  <c r="S394" i="2" s="1"/>
  <c r="U393" i="2"/>
  <c r="N393" i="2"/>
  <c r="M393" i="2"/>
  <c r="E393" i="2"/>
  <c r="D393" i="2"/>
  <c r="C393" i="2"/>
  <c r="B393" i="2"/>
  <c r="S393" i="2" s="1"/>
  <c r="U392" i="2"/>
  <c r="S392" i="2"/>
  <c r="N392" i="2"/>
  <c r="M392" i="2"/>
  <c r="E392" i="2"/>
  <c r="D392" i="2"/>
  <c r="C392" i="2"/>
  <c r="B392" i="2"/>
  <c r="U391" i="2"/>
  <c r="N391" i="2"/>
  <c r="M391" i="2"/>
  <c r="E391" i="2"/>
  <c r="D391" i="2"/>
  <c r="C391" i="2"/>
  <c r="B391" i="2"/>
  <c r="S391" i="2" s="1"/>
  <c r="U390" i="2"/>
  <c r="S390" i="2"/>
  <c r="N390" i="2"/>
  <c r="M390" i="2"/>
  <c r="E390" i="2"/>
  <c r="D390" i="2"/>
  <c r="C390" i="2"/>
  <c r="L390" i="2" s="1"/>
  <c r="B390" i="2"/>
  <c r="U389" i="2"/>
  <c r="N389" i="2"/>
  <c r="M389" i="2"/>
  <c r="E389" i="2"/>
  <c r="D389" i="2"/>
  <c r="C389" i="2"/>
  <c r="B389" i="2"/>
  <c r="S389" i="2" s="1"/>
  <c r="U388" i="2"/>
  <c r="S388" i="2"/>
  <c r="N388" i="2"/>
  <c r="M388" i="2"/>
  <c r="E388" i="2"/>
  <c r="D388" i="2"/>
  <c r="C388" i="2"/>
  <c r="B388" i="2"/>
  <c r="U387" i="2"/>
  <c r="S387" i="2"/>
  <c r="N387" i="2"/>
  <c r="M387" i="2"/>
  <c r="E387" i="2"/>
  <c r="D387" i="2"/>
  <c r="C387" i="2"/>
  <c r="B387" i="2"/>
  <c r="U386" i="2"/>
  <c r="N386" i="2"/>
  <c r="M386" i="2"/>
  <c r="E386" i="2"/>
  <c r="D386" i="2"/>
  <c r="C386" i="2"/>
  <c r="B386" i="2"/>
  <c r="S386" i="2" s="1"/>
  <c r="U385" i="2"/>
  <c r="S385" i="2"/>
  <c r="N385" i="2"/>
  <c r="M385" i="2"/>
  <c r="E385" i="2"/>
  <c r="D385" i="2"/>
  <c r="C385" i="2"/>
  <c r="B385" i="2"/>
  <c r="U384" i="2"/>
  <c r="N384" i="2"/>
  <c r="M384" i="2"/>
  <c r="E384" i="2"/>
  <c r="D384" i="2"/>
  <c r="C384" i="2"/>
  <c r="G384" i="2" s="1"/>
  <c r="J384" i="2" s="1"/>
  <c r="B384" i="2"/>
  <c r="S384" i="2" s="1"/>
  <c r="U383" i="2"/>
  <c r="N383" i="2"/>
  <c r="M383" i="2"/>
  <c r="E383" i="2"/>
  <c r="D383" i="2"/>
  <c r="C383" i="2"/>
  <c r="B383" i="2"/>
  <c r="S383" i="2" s="1"/>
  <c r="U382" i="2"/>
  <c r="N382" i="2"/>
  <c r="M382" i="2"/>
  <c r="E382" i="2"/>
  <c r="D382" i="2"/>
  <c r="C382" i="2"/>
  <c r="B382" i="2"/>
  <c r="S382" i="2" s="1"/>
  <c r="U381" i="2"/>
  <c r="N381" i="2"/>
  <c r="M381" i="2"/>
  <c r="E381" i="2"/>
  <c r="D381" i="2"/>
  <c r="C381" i="2"/>
  <c r="B381" i="2"/>
  <c r="S381" i="2" s="1"/>
  <c r="U380" i="2"/>
  <c r="N380" i="2"/>
  <c r="M380" i="2"/>
  <c r="E380" i="2"/>
  <c r="D380" i="2"/>
  <c r="C380" i="2"/>
  <c r="B380" i="2"/>
  <c r="S380" i="2" s="1"/>
  <c r="U379" i="2"/>
  <c r="S379" i="2"/>
  <c r="N379" i="2"/>
  <c r="M379" i="2"/>
  <c r="E379" i="2"/>
  <c r="D379" i="2"/>
  <c r="C379" i="2"/>
  <c r="B379" i="2"/>
  <c r="U378" i="2"/>
  <c r="N378" i="2"/>
  <c r="M378" i="2"/>
  <c r="E378" i="2"/>
  <c r="D378" i="2"/>
  <c r="C378" i="2"/>
  <c r="B378" i="2"/>
  <c r="S378" i="2" s="1"/>
  <c r="U377" i="2"/>
  <c r="S377" i="2"/>
  <c r="N377" i="2"/>
  <c r="M377" i="2"/>
  <c r="E377" i="2"/>
  <c r="D377" i="2"/>
  <c r="C377" i="2"/>
  <c r="B377" i="2"/>
  <c r="U376" i="2"/>
  <c r="N376" i="2"/>
  <c r="M376" i="2"/>
  <c r="E376" i="2"/>
  <c r="D376" i="2"/>
  <c r="C376" i="2"/>
  <c r="G376" i="2" s="1"/>
  <c r="J376" i="2" s="1"/>
  <c r="B376" i="2"/>
  <c r="S376" i="2" s="1"/>
  <c r="U375" i="2"/>
  <c r="N375" i="2"/>
  <c r="M375" i="2"/>
  <c r="E375" i="2"/>
  <c r="D375" i="2"/>
  <c r="C375" i="2"/>
  <c r="B375" i="2"/>
  <c r="S375" i="2" s="1"/>
  <c r="U374" i="2"/>
  <c r="S374" i="2"/>
  <c r="N374" i="2"/>
  <c r="M374" i="2"/>
  <c r="E374" i="2"/>
  <c r="D374" i="2"/>
  <c r="C374" i="2"/>
  <c r="B374" i="2"/>
  <c r="U373" i="2"/>
  <c r="N373" i="2"/>
  <c r="M373" i="2"/>
  <c r="E373" i="2"/>
  <c r="D373" i="2"/>
  <c r="C373" i="2"/>
  <c r="B373" i="2"/>
  <c r="S373" i="2" s="1"/>
  <c r="U372" i="2"/>
  <c r="N372" i="2"/>
  <c r="M372" i="2"/>
  <c r="E372" i="2"/>
  <c r="D372" i="2"/>
  <c r="C372" i="2"/>
  <c r="B372" i="2"/>
  <c r="S372" i="2" s="1"/>
  <c r="U371" i="2"/>
  <c r="N371" i="2"/>
  <c r="M371" i="2"/>
  <c r="E371" i="2"/>
  <c r="D371" i="2"/>
  <c r="C371" i="2"/>
  <c r="B371" i="2"/>
  <c r="S371" i="2" s="1"/>
  <c r="U370" i="2"/>
  <c r="N370" i="2"/>
  <c r="M370" i="2"/>
  <c r="E370" i="2"/>
  <c r="D370" i="2"/>
  <c r="C370" i="2"/>
  <c r="B370" i="2"/>
  <c r="S370" i="2" s="1"/>
  <c r="U369" i="2"/>
  <c r="N369" i="2"/>
  <c r="M369" i="2"/>
  <c r="E369" i="2"/>
  <c r="D369" i="2"/>
  <c r="C369" i="2"/>
  <c r="B369" i="2"/>
  <c r="S369" i="2" s="1"/>
  <c r="U368" i="2"/>
  <c r="S368" i="2"/>
  <c r="N368" i="2"/>
  <c r="M368" i="2"/>
  <c r="E368" i="2"/>
  <c r="D368" i="2"/>
  <c r="C368" i="2"/>
  <c r="B368" i="2"/>
  <c r="U367" i="2"/>
  <c r="N367" i="2"/>
  <c r="M367" i="2"/>
  <c r="E367" i="2"/>
  <c r="D367" i="2"/>
  <c r="C367" i="2"/>
  <c r="B367" i="2"/>
  <c r="S367" i="2" s="1"/>
  <c r="U366" i="2"/>
  <c r="S366" i="2"/>
  <c r="N366" i="2"/>
  <c r="M366" i="2"/>
  <c r="E366" i="2"/>
  <c r="D366" i="2"/>
  <c r="C366" i="2"/>
  <c r="B366" i="2"/>
  <c r="U365" i="2"/>
  <c r="S365" i="2"/>
  <c r="N365" i="2"/>
  <c r="M365" i="2"/>
  <c r="E365" i="2"/>
  <c r="D365" i="2"/>
  <c r="C365" i="2"/>
  <c r="B365" i="2"/>
  <c r="U364" i="2"/>
  <c r="N364" i="2"/>
  <c r="M364" i="2"/>
  <c r="E364" i="2"/>
  <c r="D364" i="2"/>
  <c r="C364" i="2"/>
  <c r="B364" i="2"/>
  <c r="S364" i="2" s="1"/>
  <c r="U363" i="2"/>
  <c r="N363" i="2"/>
  <c r="M363" i="2"/>
  <c r="E363" i="2"/>
  <c r="D363" i="2"/>
  <c r="C363" i="2"/>
  <c r="B363" i="2"/>
  <c r="S363" i="2" s="1"/>
  <c r="U362" i="2"/>
  <c r="N362" i="2"/>
  <c r="M362" i="2"/>
  <c r="E362" i="2"/>
  <c r="D362" i="2"/>
  <c r="C362" i="2"/>
  <c r="B362" i="2"/>
  <c r="S362" i="2" s="1"/>
  <c r="U361" i="2"/>
  <c r="N361" i="2"/>
  <c r="M361" i="2"/>
  <c r="E361" i="2"/>
  <c r="D361" i="2"/>
  <c r="C361" i="2"/>
  <c r="B361" i="2"/>
  <c r="S361" i="2" s="1"/>
  <c r="U360" i="2"/>
  <c r="N360" i="2"/>
  <c r="M360" i="2"/>
  <c r="E360" i="2"/>
  <c r="D360" i="2"/>
  <c r="C360" i="2"/>
  <c r="B360" i="2"/>
  <c r="S360" i="2" s="1"/>
  <c r="U359" i="2"/>
  <c r="N359" i="2"/>
  <c r="M359" i="2"/>
  <c r="E359" i="2"/>
  <c r="D359" i="2"/>
  <c r="C359" i="2"/>
  <c r="B359" i="2"/>
  <c r="S359" i="2" s="1"/>
  <c r="U358" i="2"/>
  <c r="S358" i="2"/>
  <c r="N358" i="2"/>
  <c r="M358" i="2"/>
  <c r="E358" i="2"/>
  <c r="D358" i="2"/>
  <c r="C358" i="2"/>
  <c r="B358" i="2"/>
  <c r="U357" i="2"/>
  <c r="S357" i="2"/>
  <c r="N357" i="2"/>
  <c r="M357" i="2"/>
  <c r="E357" i="2"/>
  <c r="D357" i="2"/>
  <c r="C357" i="2"/>
  <c r="B357" i="2"/>
  <c r="U356" i="2"/>
  <c r="N356" i="2"/>
  <c r="M356" i="2"/>
  <c r="E356" i="2"/>
  <c r="D356" i="2"/>
  <c r="C356" i="2"/>
  <c r="B356" i="2"/>
  <c r="S356" i="2" s="1"/>
  <c r="U355" i="2"/>
  <c r="N355" i="2"/>
  <c r="M355" i="2"/>
  <c r="E355" i="2"/>
  <c r="D355" i="2"/>
  <c r="C355" i="2"/>
  <c r="B355" i="2"/>
  <c r="S355" i="2" s="1"/>
  <c r="U354" i="2"/>
  <c r="N354" i="2"/>
  <c r="M354" i="2"/>
  <c r="E354" i="2"/>
  <c r="D354" i="2"/>
  <c r="C354" i="2"/>
  <c r="B354" i="2"/>
  <c r="S354" i="2" s="1"/>
  <c r="U353" i="2"/>
  <c r="N353" i="2"/>
  <c r="M353" i="2"/>
  <c r="E353" i="2"/>
  <c r="D353" i="2"/>
  <c r="C353" i="2"/>
  <c r="L353" i="2" s="1"/>
  <c r="B353" i="2"/>
  <c r="S353" i="2" s="1"/>
  <c r="U352" i="2"/>
  <c r="N352" i="2"/>
  <c r="M352" i="2"/>
  <c r="E352" i="2"/>
  <c r="D352" i="2"/>
  <c r="C352" i="2"/>
  <c r="B352" i="2"/>
  <c r="S352" i="2" s="1"/>
  <c r="U351" i="2"/>
  <c r="N351" i="2"/>
  <c r="M351" i="2"/>
  <c r="E351" i="2"/>
  <c r="D351" i="2"/>
  <c r="C351" i="2"/>
  <c r="B351" i="2"/>
  <c r="S351" i="2" s="1"/>
  <c r="U350" i="2"/>
  <c r="N350" i="2"/>
  <c r="M350" i="2"/>
  <c r="E350" i="2"/>
  <c r="D350" i="2"/>
  <c r="C350" i="2"/>
  <c r="B350" i="2"/>
  <c r="S350" i="2" s="1"/>
  <c r="U349" i="2"/>
  <c r="N349" i="2"/>
  <c r="M349" i="2"/>
  <c r="E349" i="2"/>
  <c r="D349" i="2"/>
  <c r="C349" i="2"/>
  <c r="B349" i="2"/>
  <c r="S349" i="2" s="1"/>
  <c r="U348" i="2"/>
  <c r="S348" i="2"/>
  <c r="N348" i="2"/>
  <c r="M348" i="2"/>
  <c r="E348" i="2"/>
  <c r="D348" i="2"/>
  <c r="C348" i="2"/>
  <c r="B348" i="2"/>
  <c r="U347" i="2"/>
  <c r="S347" i="2"/>
  <c r="N347" i="2"/>
  <c r="M347" i="2"/>
  <c r="E347" i="2"/>
  <c r="D347" i="2"/>
  <c r="C347" i="2"/>
  <c r="B347" i="2"/>
  <c r="U346" i="2"/>
  <c r="S346" i="2"/>
  <c r="N346" i="2"/>
  <c r="M346" i="2"/>
  <c r="E346" i="2"/>
  <c r="D346" i="2"/>
  <c r="C346" i="2"/>
  <c r="B346" i="2"/>
  <c r="U345" i="2"/>
  <c r="S345" i="2"/>
  <c r="N345" i="2"/>
  <c r="M345" i="2"/>
  <c r="E345" i="2"/>
  <c r="D345" i="2"/>
  <c r="C345" i="2"/>
  <c r="B345" i="2"/>
  <c r="U344" i="2"/>
  <c r="N344" i="2"/>
  <c r="M344" i="2"/>
  <c r="E344" i="2"/>
  <c r="D344" i="2"/>
  <c r="C344" i="2"/>
  <c r="B344" i="2"/>
  <c r="S344" i="2" s="1"/>
  <c r="U343" i="2"/>
  <c r="S343" i="2"/>
  <c r="N343" i="2"/>
  <c r="M343" i="2"/>
  <c r="E343" i="2"/>
  <c r="D343" i="2"/>
  <c r="C343" i="2"/>
  <c r="B343" i="2"/>
  <c r="U342" i="2"/>
  <c r="S342" i="2"/>
  <c r="N342" i="2"/>
  <c r="M342" i="2"/>
  <c r="E342" i="2"/>
  <c r="D342" i="2"/>
  <c r="C342" i="2"/>
  <c r="B342" i="2"/>
  <c r="U341" i="2"/>
  <c r="S341" i="2"/>
  <c r="N341" i="2"/>
  <c r="M341" i="2"/>
  <c r="E341" i="2"/>
  <c r="D341" i="2"/>
  <c r="C341" i="2"/>
  <c r="B341" i="2"/>
  <c r="U340" i="2"/>
  <c r="N340" i="2"/>
  <c r="M340" i="2"/>
  <c r="E340" i="2"/>
  <c r="D340" i="2"/>
  <c r="C340" i="2"/>
  <c r="B340" i="2"/>
  <c r="S340" i="2" s="1"/>
  <c r="U339" i="2"/>
  <c r="N339" i="2"/>
  <c r="M339" i="2"/>
  <c r="E339" i="2"/>
  <c r="D339" i="2"/>
  <c r="C339" i="2"/>
  <c r="B339" i="2"/>
  <c r="S339" i="2" s="1"/>
  <c r="U338" i="2"/>
  <c r="S338" i="2"/>
  <c r="N338" i="2"/>
  <c r="M338" i="2"/>
  <c r="E338" i="2"/>
  <c r="D338" i="2"/>
  <c r="C338" i="2"/>
  <c r="B338" i="2"/>
  <c r="U337" i="2"/>
  <c r="S337" i="2"/>
  <c r="N337" i="2"/>
  <c r="M337" i="2"/>
  <c r="E337" i="2"/>
  <c r="D337" i="2"/>
  <c r="C337" i="2"/>
  <c r="B337" i="2"/>
  <c r="U336" i="2"/>
  <c r="S336" i="2"/>
  <c r="N336" i="2"/>
  <c r="M336" i="2"/>
  <c r="E336" i="2"/>
  <c r="D336" i="2"/>
  <c r="C336" i="2"/>
  <c r="B336" i="2"/>
  <c r="U335" i="2"/>
  <c r="S335" i="2"/>
  <c r="N335" i="2"/>
  <c r="M335" i="2"/>
  <c r="E335" i="2"/>
  <c r="D335" i="2"/>
  <c r="C335" i="2"/>
  <c r="B335" i="2"/>
  <c r="U334" i="2"/>
  <c r="N334" i="2"/>
  <c r="M334" i="2"/>
  <c r="E334" i="2"/>
  <c r="D334" i="2"/>
  <c r="C334" i="2"/>
  <c r="B334" i="2"/>
  <c r="S334" i="2" s="1"/>
  <c r="U333" i="2"/>
  <c r="N333" i="2"/>
  <c r="M333" i="2"/>
  <c r="E333" i="2"/>
  <c r="D333" i="2"/>
  <c r="C333" i="2"/>
  <c r="B333" i="2"/>
  <c r="S333" i="2" s="1"/>
  <c r="U332" i="2"/>
  <c r="S332" i="2"/>
  <c r="N332" i="2"/>
  <c r="M332" i="2"/>
  <c r="E332" i="2"/>
  <c r="D332" i="2"/>
  <c r="C332" i="2"/>
  <c r="B332" i="2"/>
  <c r="U331" i="2"/>
  <c r="N331" i="2"/>
  <c r="M331" i="2"/>
  <c r="E331" i="2"/>
  <c r="D331" i="2"/>
  <c r="C331" i="2"/>
  <c r="B331" i="2"/>
  <c r="S331" i="2" s="1"/>
  <c r="U330" i="2"/>
  <c r="N330" i="2"/>
  <c r="M330" i="2"/>
  <c r="E330" i="2"/>
  <c r="D330" i="2"/>
  <c r="C330" i="2"/>
  <c r="B330" i="2"/>
  <c r="S330" i="2" s="1"/>
  <c r="U329" i="2"/>
  <c r="S329" i="2"/>
  <c r="N329" i="2"/>
  <c r="M329" i="2"/>
  <c r="E329" i="2"/>
  <c r="D329" i="2"/>
  <c r="C329" i="2"/>
  <c r="B329" i="2"/>
  <c r="U328" i="2"/>
  <c r="S328" i="2"/>
  <c r="N328" i="2"/>
  <c r="M328" i="2"/>
  <c r="E328" i="2"/>
  <c r="D328" i="2"/>
  <c r="C328" i="2"/>
  <c r="B328" i="2"/>
  <c r="U327" i="2"/>
  <c r="S327" i="2"/>
  <c r="N327" i="2"/>
  <c r="M327" i="2"/>
  <c r="E327" i="2"/>
  <c r="D327" i="2"/>
  <c r="C327" i="2"/>
  <c r="B327" i="2"/>
  <c r="U326" i="2"/>
  <c r="N326" i="2"/>
  <c r="M326" i="2"/>
  <c r="E326" i="2"/>
  <c r="D326" i="2"/>
  <c r="C326" i="2"/>
  <c r="B326" i="2"/>
  <c r="S326" i="2" s="1"/>
  <c r="U325" i="2"/>
  <c r="N325" i="2"/>
  <c r="M325" i="2"/>
  <c r="E325" i="2"/>
  <c r="D325" i="2"/>
  <c r="C325" i="2"/>
  <c r="B325" i="2"/>
  <c r="S325" i="2" s="1"/>
  <c r="U324" i="2"/>
  <c r="S324" i="2"/>
  <c r="N324" i="2"/>
  <c r="M324" i="2"/>
  <c r="E324" i="2"/>
  <c r="D324" i="2"/>
  <c r="C324" i="2"/>
  <c r="B324" i="2"/>
  <c r="U323" i="2"/>
  <c r="S323" i="2"/>
  <c r="N323" i="2"/>
  <c r="M323" i="2"/>
  <c r="E323" i="2"/>
  <c r="D323" i="2"/>
  <c r="C323" i="2"/>
  <c r="B323" i="2"/>
  <c r="U322" i="2"/>
  <c r="S322" i="2"/>
  <c r="N322" i="2"/>
  <c r="M322" i="2"/>
  <c r="E322" i="2"/>
  <c r="D322" i="2"/>
  <c r="C322" i="2"/>
  <c r="B322" i="2"/>
  <c r="U321" i="2"/>
  <c r="S321" i="2"/>
  <c r="N321" i="2"/>
  <c r="M321" i="2"/>
  <c r="E321" i="2"/>
  <c r="D321" i="2"/>
  <c r="C321" i="2"/>
  <c r="B321" i="2"/>
  <c r="U320" i="2"/>
  <c r="N320" i="2"/>
  <c r="M320" i="2"/>
  <c r="E320" i="2"/>
  <c r="D320" i="2"/>
  <c r="C320" i="2"/>
  <c r="B320" i="2"/>
  <c r="S320" i="2" s="1"/>
  <c r="U319" i="2"/>
  <c r="N319" i="2"/>
  <c r="M319" i="2"/>
  <c r="E319" i="2"/>
  <c r="D319" i="2"/>
  <c r="C319" i="2"/>
  <c r="B319" i="2"/>
  <c r="S319" i="2" s="1"/>
  <c r="U318" i="2"/>
  <c r="S318" i="2"/>
  <c r="N318" i="2"/>
  <c r="M318" i="2"/>
  <c r="E318" i="2"/>
  <c r="D318" i="2"/>
  <c r="C318" i="2"/>
  <c r="B318" i="2"/>
  <c r="U317" i="2"/>
  <c r="N317" i="2"/>
  <c r="M317" i="2"/>
  <c r="E317" i="2"/>
  <c r="D317" i="2"/>
  <c r="C317" i="2"/>
  <c r="B317" i="2"/>
  <c r="S317" i="2" s="1"/>
  <c r="U316" i="2"/>
  <c r="N316" i="2"/>
  <c r="M316" i="2"/>
  <c r="E316" i="2"/>
  <c r="D316" i="2"/>
  <c r="C316" i="2"/>
  <c r="B316" i="2"/>
  <c r="S316" i="2" s="1"/>
  <c r="U315" i="2"/>
  <c r="N315" i="2"/>
  <c r="M315" i="2"/>
  <c r="E315" i="2"/>
  <c r="D315" i="2"/>
  <c r="C315" i="2"/>
  <c r="L315" i="2" s="1"/>
  <c r="B315" i="2"/>
  <c r="S315" i="2" s="1"/>
  <c r="U314" i="2"/>
  <c r="N314" i="2"/>
  <c r="M314" i="2"/>
  <c r="E314" i="2"/>
  <c r="D314" i="2"/>
  <c r="C314" i="2"/>
  <c r="B314" i="2"/>
  <c r="S314" i="2" s="1"/>
  <c r="U313" i="2"/>
  <c r="S313" i="2"/>
  <c r="N313" i="2"/>
  <c r="M313" i="2"/>
  <c r="E313" i="2"/>
  <c r="D313" i="2"/>
  <c r="C313" i="2"/>
  <c r="B313" i="2"/>
  <c r="U312" i="2"/>
  <c r="N312" i="2"/>
  <c r="M312" i="2"/>
  <c r="E312" i="2"/>
  <c r="D312" i="2"/>
  <c r="C312" i="2"/>
  <c r="B312" i="2"/>
  <c r="S312" i="2" s="1"/>
  <c r="U311" i="2"/>
  <c r="N311" i="2"/>
  <c r="M311" i="2"/>
  <c r="E311" i="2"/>
  <c r="D311" i="2"/>
  <c r="C311" i="2"/>
  <c r="F311" i="2" s="1"/>
  <c r="B311" i="2"/>
  <c r="S311" i="2" s="1"/>
  <c r="U310" i="2"/>
  <c r="N310" i="2"/>
  <c r="M310" i="2"/>
  <c r="E310" i="2"/>
  <c r="D310" i="2"/>
  <c r="C310" i="2"/>
  <c r="B310" i="2"/>
  <c r="S310" i="2" s="1"/>
  <c r="U309" i="2"/>
  <c r="N309" i="2"/>
  <c r="M309" i="2"/>
  <c r="E309" i="2"/>
  <c r="D309" i="2"/>
  <c r="C309" i="2"/>
  <c r="B309" i="2"/>
  <c r="S309" i="2" s="1"/>
  <c r="U308" i="2"/>
  <c r="S308" i="2"/>
  <c r="N308" i="2"/>
  <c r="M308" i="2"/>
  <c r="E308" i="2"/>
  <c r="D308" i="2"/>
  <c r="C308" i="2"/>
  <c r="B308" i="2"/>
  <c r="U307" i="2"/>
  <c r="N307" i="2"/>
  <c r="M307" i="2"/>
  <c r="E307" i="2"/>
  <c r="D307" i="2"/>
  <c r="C307" i="2"/>
  <c r="B307" i="2"/>
  <c r="S307" i="2" s="1"/>
  <c r="U306" i="2"/>
  <c r="S306" i="2"/>
  <c r="N306" i="2"/>
  <c r="M306" i="2"/>
  <c r="E306" i="2"/>
  <c r="D306" i="2"/>
  <c r="C306" i="2"/>
  <c r="L306" i="2" s="1"/>
  <c r="B306" i="2"/>
  <c r="U305" i="2"/>
  <c r="S305" i="2"/>
  <c r="N305" i="2"/>
  <c r="M305" i="2"/>
  <c r="E305" i="2"/>
  <c r="D305" i="2"/>
  <c r="C305" i="2"/>
  <c r="F305" i="2" s="1"/>
  <c r="B305" i="2"/>
  <c r="U304" i="2"/>
  <c r="N304" i="2"/>
  <c r="M304" i="2"/>
  <c r="E304" i="2"/>
  <c r="D304" i="2"/>
  <c r="C304" i="2"/>
  <c r="B304" i="2"/>
  <c r="S304" i="2" s="1"/>
  <c r="U303" i="2"/>
  <c r="S303" i="2"/>
  <c r="N303" i="2"/>
  <c r="M303" i="2"/>
  <c r="E303" i="2"/>
  <c r="D303" i="2"/>
  <c r="C303" i="2"/>
  <c r="F303" i="2" s="1"/>
  <c r="B303" i="2"/>
  <c r="U302" i="2"/>
  <c r="S302" i="2"/>
  <c r="N302" i="2"/>
  <c r="M302" i="2"/>
  <c r="E302" i="2"/>
  <c r="D302" i="2"/>
  <c r="C302" i="2"/>
  <c r="B302" i="2"/>
  <c r="U301" i="2"/>
  <c r="S301" i="2"/>
  <c r="N301" i="2"/>
  <c r="M301" i="2"/>
  <c r="E301" i="2"/>
  <c r="D301" i="2"/>
  <c r="C301" i="2"/>
  <c r="B301" i="2"/>
  <c r="U300" i="2"/>
  <c r="S300" i="2"/>
  <c r="N300" i="2"/>
  <c r="M300" i="2"/>
  <c r="E300" i="2"/>
  <c r="D300" i="2"/>
  <c r="C300" i="2"/>
  <c r="B300" i="2"/>
  <c r="U299" i="2"/>
  <c r="S299" i="2"/>
  <c r="N299" i="2"/>
  <c r="M299" i="2"/>
  <c r="E299" i="2"/>
  <c r="D299" i="2"/>
  <c r="C299" i="2"/>
  <c r="B299" i="2"/>
  <c r="U298" i="2"/>
  <c r="N298" i="2"/>
  <c r="M298" i="2"/>
  <c r="E298" i="2"/>
  <c r="D298" i="2"/>
  <c r="C298" i="2"/>
  <c r="B298" i="2"/>
  <c r="S298" i="2" s="1"/>
  <c r="U297" i="2"/>
  <c r="S297" i="2"/>
  <c r="N297" i="2"/>
  <c r="M297" i="2"/>
  <c r="E297" i="2"/>
  <c r="D297" i="2"/>
  <c r="C297" i="2"/>
  <c r="B297" i="2"/>
  <c r="U296" i="2"/>
  <c r="N296" i="2"/>
  <c r="M296" i="2"/>
  <c r="E296" i="2"/>
  <c r="D296" i="2"/>
  <c r="C296" i="2"/>
  <c r="B296" i="2"/>
  <c r="S296" i="2" s="1"/>
  <c r="U295" i="2"/>
  <c r="S295" i="2"/>
  <c r="N295" i="2"/>
  <c r="M295" i="2"/>
  <c r="E295" i="2"/>
  <c r="D295" i="2"/>
  <c r="C295" i="2"/>
  <c r="B295" i="2"/>
  <c r="U294" i="2"/>
  <c r="N294" i="2"/>
  <c r="M294" i="2"/>
  <c r="E294" i="2"/>
  <c r="D294" i="2"/>
  <c r="C294" i="2"/>
  <c r="B294" i="2"/>
  <c r="S294" i="2" s="1"/>
  <c r="U293" i="2"/>
  <c r="S293" i="2"/>
  <c r="N293" i="2"/>
  <c r="M293" i="2"/>
  <c r="E293" i="2"/>
  <c r="D293" i="2"/>
  <c r="C293" i="2"/>
  <c r="L293" i="2" s="1"/>
  <c r="B293" i="2"/>
  <c r="U292" i="2"/>
  <c r="S292" i="2"/>
  <c r="N292" i="2"/>
  <c r="M292" i="2"/>
  <c r="E292" i="2"/>
  <c r="D292" i="2"/>
  <c r="C292" i="2"/>
  <c r="B292" i="2"/>
  <c r="U291" i="2"/>
  <c r="N291" i="2"/>
  <c r="M291" i="2"/>
  <c r="E291" i="2"/>
  <c r="D291" i="2"/>
  <c r="C291" i="2"/>
  <c r="B291" i="2"/>
  <c r="S291" i="2" s="1"/>
  <c r="U290" i="2"/>
  <c r="S290" i="2"/>
  <c r="N290" i="2"/>
  <c r="M290" i="2"/>
  <c r="E290" i="2"/>
  <c r="D290" i="2"/>
  <c r="C290" i="2"/>
  <c r="B290" i="2"/>
  <c r="U289" i="2"/>
  <c r="N289" i="2"/>
  <c r="M289" i="2"/>
  <c r="E289" i="2"/>
  <c r="D289" i="2"/>
  <c r="C289" i="2"/>
  <c r="B289" i="2"/>
  <c r="S289" i="2" s="1"/>
  <c r="U288" i="2"/>
  <c r="S288" i="2"/>
  <c r="N288" i="2"/>
  <c r="M288" i="2"/>
  <c r="E288" i="2"/>
  <c r="D288" i="2"/>
  <c r="C288" i="2"/>
  <c r="B288" i="2"/>
  <c r="U287" i="2"/>
  <c r="S287" i="2"/>
  <c r="N287" i="2"/>
  <c r="M287" i="2"/>
  <c r="E287" i="2"/>
  <c r="D287" i="2"/>
  <c r="C287" i="2"/>
  <c r="B287" i="2"/>
  <c r="U286" i="2"/>
  <c r="S286" i="2"/>
  <c r="N286" i="2"/>
  <c r="M286" i="2"/>
  <c r="E286" i="2"/>
  <c r="D286" i="2"/>
  <c r="C286" i="2"/>
  <c r="B286" i="2"/>
  <c r="U285" i="2"/>
  <c r="N285" i="2"/>
  <c r="M285" i="2"/>
  <c r="E285" i="2"/>
  <c r="D285" i="2"/>
  <c r="C285" i="2"/>
  <c r="B285" i="2"/>
  <c r="S285" i="2" s="1"/>
  <c r="U284" i="2"/>
  <c r="N284" i="2"/>
  <c r="M284" i="2"/>
  <c r="E284" i="2"/>
  <c r="D284" i="2"/>
  <c r="C284" i="2"/>
  <c r="B284" i="2"/>
  <c r="S284" i="2" s="1"/>
  <c r="U283" i="2"/>
  <c r="S283" i="2"/>
  <c r="N283" i="2"/>
  <c r="M283" i="2"/>
  <c r="E283" i="2"/>
  <c r="D283" i="2"/>
  <c r="C283" i="2"/>
  <c r="B283" i="2"/>
  <c r="U282" i="2"/>
  <c r="S282" i="2"/>
  <c r="N282" i="2"/>
  <c r="M282" i="2"/>
  <c r="E282" i="2"/>
  <c r="D282" i="2"/>
  <c r="C282" i="2"/>
  <c r="B282" i="2"/>
  <c r="U281" i="2"/>
  <c r="S281" i="2"/>
  <c r="N281" i="2"/>
  <c r="M281" i="2"/>
  <c r="E281" i="2"/>
  <c r="D281" i="2"/>
  <c r="C281" i="2"/>
  <c r="B281" i="2"/>
  <c r="U280" i="2"/>
  <c r="N280" i="2"/>
  <c r="M280" i="2"/>
  <c r="E280" i="2"/>
  <c r="D280" i="2"/>
  <c r="C280" i="2"/>
  <c r="L280" i="2" s="1"/>
  <c r="B280" i="2"/>
  <c r="S280" i="2" s="1"/>
  <c r="U279" i="2"/>
  <c r="S279" i="2"/>
  <c r="N279" i="2"/>
  <c r="M279" i="2"/>
  <c r="E279" i="2"/>
  <c r="D279" i="2"/>
  <c r="C279" i="2"/>
  <c r="B279" i="2"/>
  <c r="U278" i="2"/>
  <c r="N278" i="2"/>
  <c r="M278" i="2"/>
  <c r="E278" i="2"/>
  <c r="D278" i="2"/>
  <c r="C278" i="2"/>
  <c r="B278" i="2"/>
  <c r="S278" i="2" s="1"/>
  <c r="U277" i="2"/>
  <c r="N277" i="2"/>
  <c r="M277" i="2"/>
  <c r="E277" i="2"/>
  <c r="D277" i="2"/>
  <c r="C277" i="2"/>
  <c r="B277" i="2"/>
  <c r="S277" i="2" s="1"/>
  <c r="U276" i="2"/>
  <c r="S276" i="2"/>
  <c r="N276" i="2"/>
  <c r="M276" i="2"/>
  <c r="E276" i="2"/>
  <c r="D276" i="2"/>
  <c r="C276" i="2"/>
  <c r="B276" i="2"/>
  <c r="U275" i="2"/>
  <c r="N275" i="2"/>
  <c r="M275" i="2"/>
  <c r="E275" i="2"/>
  <c r="D275" i="2"/>
  <c r="C275" i="2"/>
  <c r="B275" i="2"/>
  <c r="S275" i="2" s="1"/>
  <c r="U274" i="2"/>
  <c r="S274" i="2"/>
  <c r="N274" i="2"/>
  <c r="M274" i="2"/>
  <c r="E274" i="2"/>
  <c r="D274" i="2"/>
  <c r="C274" i="2"/>
  <c r="B274" i="2"/>
  <c r="U273" i="2"/>
  <c r="N273" i="2"/>
  <c r="M273" i="2"/>
  <c r="E273" i="2"/>
  <c r="D273" i="2"/>
  <c r="C273" i="2"/>
  <c r="B273" i="2"/>
  <c r="S273" i="2" s="1"/>
  <c r="U272" i="2"/>
  <c r="N272" i="2"/>
  <c r="M272" i="2"/>
  <c r="E272" i="2"/>
  <c r="D272" i="2"/>
  <c r="C272" i="2"/>
  <c r="B272" i="2"/>
  <c r="S272" i="2" s="1"/>
  <c r="U271" i="2"/>
  <c r="N271" i="2"/>
  <c r="M271" i="2"/>
  <c r="E271" i="2"/>
  <c r="D271" i="2"/>
  <c r="C271" i="2"/>
  <c r="B271" i="2"/>
  <c r="S271" i="2" s="1"/>
  <c r="U270" i="2"/>
  <c r="S270" i="2"/>
  <c r="N270" i="2"/>
  <c r="M270" i="2"/>
  <c r="E270" i="2"/>
  <c r="D270" i="2"/>
  <c r="C270" i="2"/>
  <c r="B270" i="2"/>
  <c r="U269" i="2"/>
  <c r="S269" i="2"/>
  <c r="N269" i="2"/>
  <c r="M269" i="2"/>
  <c r="E269" i="2"/>
  <c r="D269" i="2"/>
  <c r="C269" i="2"/>
  <c r="B269" i="2"/>
  <c r="U268" i="2"/>
  <c r="S268" i="2"/>
  <c r="N268" i="2"/>
  <c r="M268" i="2"/>
  <c r="E268" i="2"/>
  <c r="D268" i="2"/>
  <c r="C268" i="2"/>
  <c r="B268" i="2"/>
  <c r="U267" i="2"/>
  <c r="S267" i="2"/>
  <c r="N267" i="2"/>
  <c r="M267" i="2"/>
  <c r="E267" i="2"/>
  <c r="D267" i="2"/>
  <c r="C267" i="2"/>
  <c r="B267" i="2"/>
  <c r="U266" i="2"/>
  <c r="N266" i="2"/>
  <c r="M266" i="2"/>
  <c r="E266" i="2"/>
  <c r="D266" i="2"/>
  <c r="C266" i="2"/>
  <c r="B266" i="2"/>
  <c r="S266" i="2" s="1"/>
  <c r="U265" i="2"/>
  <c r="N265" i="2"/>
  <c r="M265" i="2"/>
  <c r="E265" i="2"/>
  <c r="D265" i="2"/>
  <c r="C265" i="2"/>
  <c r="B265" i="2"/>
  <c r="S265" i="2" s="1"/>
  <c r="U264" i="2"/>
  <c r="N264" i="2"/>
  <c r="M264" i="2"/>
  <c r="E264" i="2"/>
  <c r="D264" i="2"/>
  <c r="C264" i="2"/>
  <c r="B264" i="2"/>
  <c r="S264" i="2" s="1"/>
  <c r="U263" i="2"/>
  <c r="N263" i="2"/>
  <c r="M263" i="2"/>
  <c r="E263" i="2"/>
  <c r="D263" i="2"/>
  <c r="C263" i="2"/>
  <c r="B263" i="2"/>
  <c r="S263" i="2" s="1"/>
  <c r="U262" i="2"/>
  <c r="N262" i="2"/>
  <c r="M262" i="2"/>
  <c r="E262" i="2"/>
  <c r="D262" i="2"/>
  <c r="C262" i="2"/>
  <c r="B262" i="2"/>
  <c r="S262" i="2" s="1"/>
  <c r="U261" i="2"/>
  <c r="S261" i="2"/>
  <c r="N261" i="2"/>
  <c r="M261" i="2"/>
  <c r="E261" i="2"/>
  <c r="D261" i="2"/>
  <c r="C261" i="2"/>
  <c r="B261" i="2"/>
  <c r="U260" i="2"/>
  <c r="N260" i="2"/>
  <c r="M260" i="2"/>
  <c r="E260" i="2"/>
  <c r="D260" i="2"/>
  <c r="C260" i="2"/>
  <c r="B260" i="2"/>
  <c r="S260" i="2" s="1"/>
  <c r="U259" i="2"/>
  <c r="S259" i="2"/>
  <c r="N259" i="2"/>
  <c r="M259" i="2"/>
  <c r="E259" i="2"/>
  <c r="D259" i="2"/>
  <c r="C259" i="2"/>
  <c r="B259" i="2"/>
  <c r="U258" i="2"/>
  <c r="S258" i="2"/>
  <c r="N258" i="2"/>
  <c r="M258" i="2"/>
  <c r="E258" i="2"/>
  <c r="D258" i="2"/>
  <c r="C258" i="2"/>
  <c r="B258" i="2"/>
  <c r="U257" i="2"/>
  <c r="N257" i="2"/>
  <c r="M257" i="2"/>
  <c r="E257" i="2"/>
  <c r="D257" i="2"/>
  <c r="C257" i="2"/>
  <c r="B257" i="2"/>
  <c r="S257" i="2" s="1"/>
  <c r="U256" i="2"/>
  <c r="S256" i="2"/>
  <c r="N256" i="2"/>
  <c r="M256" i="2"/>
  <c r="E256" i="2"/>
  <c r="D256" i="2"/>
  <c r="C256" i="2"/>
  <c r="B256" i="2"/>
  <c r="U255" i="2"/>
  <c r="N255" i="2"/>
  <c r="M255" i="2"/>
  <c r="E255" i="2"/>
  <c r="D255" i="2"/>
  <c r="C255" i="2"/>
  <c r="B255" i="2"/>
  <c r="S255" i="2" s="1"/>
  <c r="U254" i="2"/>
  <c r="N254" i="2"/>
  <c r="M254" i="2"/>
  <c r="E254" i="2"/>
  <c r="D254" i="2"/>
  <c r="C254" i="2"/>
  <c r="B254" i="2"/>
  <c r="S254" i="2" s="1"/>
  <c r="U253" i="2"/>
  <c r="S253" i="2"/>
  <c r="N253" i="2"/>
  <c r="M253" i="2"/>
  <c r="E253" i="2"/>
  <c r="D253" i="2"/>
  <c r="C253" i="2"/>
  <c r="B253" i="2"/>
  <c r="U252" i="2"/>
  <c r="N252" i="2"/>
  <c r="M252" i="2"/>
  <c r="E252" i="2"/>
  <c r="D252" i="2"/>
  <c r="C252" i="2"/>
  <c r="B252" i="2"/>
  <c r="S252" i="2" s="1"/>
  <c r="U251" i="2"/>
  <c r="N251" i="2"/>
  <c r="M251" i="2"/>
  <c r="E251" i="2"/>
  <c r="D251" i="2"/>
  <c r="C251" i="2"/>
  <c r="B251" i="2"/>
  <c r="S251" i="2" s="1"/>
  <c r="U250" i="2"/>
  <c r="S250" i="2"/>
  <c r="N250" i="2"/>
  <c r="M250" i="2"/>
  <c r="E250" i="2"/>
  <c r="D250" i="2"/>
  <c r="C250" i="2"/>
  <c r="B250" i="2"/>
  <c r="U249" i="2"/>
  <c r="S249" i="2"/>
  <c r="N249" i="2"/>
  <c r="M249" i="2"/>
  <c r="E249" i="2"/>
  <c r="D249" i="2"/>
  <c r="C249" i="2"/>
  <c r="B249" i="2"/>
  <c r="U248" i="2"/>
  <c r="S248" i="2"/>
  <c r="N248" i="2"/>
  <c r="M248" i="2"/>
  <c r="E248" i="2"/>
  <c r="D248" i="2"/>
  <c r="C248" i="2"/>
  <c r="B248" i="2"/>
  <c r="U247" i="2"/>
  <c r="N247" i="2"/>
  <c r="M247" i="2"/>
  <c r="E247" i="2"/>
  <c r="D247" i="2"/>
  <c r="C247" i="2"/>
  <c r="B247" i="2"/>
  <c r="S247" i="2" s="1"/>
  <c r="U246" i="2"/>
  <c r="N246" i="2"/>
  <c r="M246" i="2"/>
  <c r="E246" i="2"/>
  <c r="D246" i="2"/>
  <c r="C246" i="2"/>
  <c r="B246" i="2"/>
  <c r="S246" i="2" s="1"/>
  <c r="U245" i="2"/>
  <c r="N245" i="2"/>
  <c r="M245" i="2"/>
  <c r="E245" i="2"/>
  <c r="D245" i="2"/>
  <c r="C245" i="2"/>
  <c r="B245" i="2"/>
  <c r="S245" i="2" s="1"/>
  <c r="U244" i="2"/>
  <c r="N244" i="2"/>
  <c r="M244" i="2"/>
  <c r="E244" i="2"/>
  <c r="D244" i="2"/>
  <c r="C244" i="2"/>
  <c r="B244" i="2"/>
  <c r="S244" i="2" s="1"/>
  <c r="U243" i="2"/>
  <c r="S243" i="2"/>
  <c r="N243" i="2"/>
  <c r="M243" i="2"/>
  <c r="E243" i="2"/>
  <c r="D243" i="2"/>
  <c r="C243" i="2"/>
  <c r="B243" i="2"/>
  <c r="U242" i="2"/>
  <c r="S242" i="2"/>
  <c r="N242" i="2"/>
  <c r="M242" i="2"/>
  <c r="E242" i="2"/>
  <c r="D242" i="2"/>
  <c r="C242" i="2"/>
  <c r="B242" i="2"/>
  <c r="U241" i="2"/>
  <c r="N241" i="2"/>
  <c r="M241" i="2"/>
  <c r="E241" i="2"/>
  <c r="D241" i="2"/>
  <c r="C241" i="2"/>
  <c r="B241" i="2"/>
  <c r="S241" i="2" s="1"/>
  <c r="U240" i="2"/>
  <c r="S240" i="2"/>
  <c r="N240" i="2"/>
  <c r="M240" i="2"/>
  <c r="E240" i="2"/>
  <c r="D240" i="2"/>
  <c r="C240" i="2"/>
  <c r="B240" i="2"/>
  <c r="U239" i="2"/>
  <c r="N239" i="2"/>
  <c r="M239" i="2"/>
  <c r="E239" i="2"/>
  <c r="D239" i="2"/>
  <c r="C239" i="2"/>
  <c r="B239" i="2"/>
  <c r="S239" i="2" s="1"/>
  <c r="U238" i="2"/>
  <c r="S238" i="2"/>
  <c r="N238" i="2"/>
  <c r="M238" i="2"/>
  <c r="E238" i="2"/>
  <c r="D238" i="2"/>
  <c r="C238" i="2"/>
  <c r="B238" i="2"/>
  <c r="U237" i="2"/>
  <c r="S237" i="2"/>
  <c r="N237" i="2"/>
  <c r="M237" i="2"/>
  <c r="E237" i="2"/>
  <c r="D237" i="2"/>
  <c r="C237" i="2"/>
  <c r="B237" i="2"/>
  <c r="U236" i="2"/>
  <c r="N236" i="2"/>
  <c r="M236" i="2"/>
  <c r="E236" i="2"/>
  <c r="D236" i="2"/>
  <c r="C236" i="2"/>
  <c r="B236" i="2"/>
  <c r="S236" i="2" s="1"/>
  <c r="U235" i="2"/>
  <c r="S235" i="2"/>
  <c r="N235" i="2"/>
  <c r="M235" i="2"/>
  <c r="E235" i="2"/>
  <c r="D235" i="2"/>
  <c r="C235" i="2"/>
  <c r="B235" i="2"/>
  <c r="U234" i="2"/>
  <c r="S234" i="2"/>
  <c r="N234" i="2"/>
  <c r="M234" i="2"/>
  <c r="E234" i="2"/>
  <c r="D234" i="2"/>
  <c r="C234" i="2"/>
  <c r="B234" i="2"/>
  <c r="U233" i="2"/>
  <c r="S233" i="2"/>
  <c r="N233" i="2"/>
  <c r="M233" i="2"/>
  <c r="E233" i="2"/>
  <c r="D233" i="2"/>
  <c r="C233" i="2"/>
  <c r="B233" i="2"/>
  <c r="U232" i="2"/>
  <c r="S232" i="2"/>
  <c r="N232" i="2"/>
  <c r="M232" i="2"/>
  <c r="E232" i="2"/>
  <c r="D232" i="2"/>
  <c r="C232" i="2"/>
  <c r="B232" i="2"/>
  <c r="U231" i="2"/>
  <c r="N231" i="2"/>
  <c r="M231" i="2"/>
  <c r="E231" i="2"/>
  <c r="D231" i="2"/>
  <c r="C231" i="2"/>
  <c r="B231" i="2"/>
  <c r="S231" i="2" s="1"/>
  <c r="U230" i="2"/>
  <c r="S230" i="2"/>
  <c r="N230" i="2"/>
  <c r="M230" i="2"/>
  <c r="E230" i="2"/>
  <c r="D230" i="2"/>
  <c r="C230" i="2"/>
  <c r="B230" i="2"/>
  <c r="U229" i="2"/>
  <c r="S229" i="2"/>
  <c r="N229" i="2"/>
  <c r="M229" i="2"/>
  <c r="E229" i="2"/>
  <c r="D229" i="2"/>
  <c r="C229" i="2"/>
  <c r="B229" i="2"/>
  <c r="U228" i="2"/>
  <c r="N228" i="2"/>
  <c r="M228" i="2"/>
  <c r="E228" i="2"/>
  <c r="D228" i="2"/>
  <c r="C228" i="2"/>
  <c r="B228" i="2"/>
  <c r="S228" i="2" s="1"/>
  <c r="U227" i="2"/>
  <c r="N227" i="2"/>
  <c r="M227" i="2"/>
  <c r="E227" i="2"/>
  <c r="D227" i="2"/>
  <c r="C227" i="2"/>
  <c r="B227" i="2"/>
  <c r="S227" i="2" s="1"/>
  <c r="U226" i="2"/>
  <c r="S226" i="2"/>
  <c r="N226" i="2"/>
  <c r="M226" i="2"/>
  <c r="E226" i="2"/>
  <c r="D226" i="2"/>
  <c r="C226" i="2"/>
  <c r="B226" i="2"/>
  <c r="U225" i="2"/>
  <c r="S225" i="2"/>
  <c r="N225" i="2"/>
  <c r="M225" i="2"/>
  <c r="E225" i="2"/>
  <c r="D225" i="2"/>
  <c r="C225" i="2"/>
  <c r="B225" i="2"/>
  <c r="U224" i="2"/>
  <c r="S224" i="2"/>
  <c r="N224" i="2"/>
  <c r="M224" i="2"/>
  <c r="E224" i="2"/>
  <c r="D224" i="2"/>
  <c r="C224" i="2"/>
  <c r="B224" i="2"/>
  <c r="U223" i="2"/>
  <c r="S223" i="2"/>
  <c r="N223" i="2"/>
  <c r="M223" i="2"/>
  <c r="E223" i="2"/>
  <c r="D223" i="2"/>
  <c r="C223" i="2"/>
  <c r="B223" i="2"/>
  <c r="U222" i="2"/>
  <c r="S222" i="2"/>
  <c r="N222" i="2"/>
  <c r="M222" i="2"/>
  <c r="E222" i="2"/>
  <c r="D222" i="2"/>
  <c r="C222" i="2"/>
  <c r="B222" i="2"/>
  <c r="U221" i="2"/>
  <c r="N221" i="2"/>
  <c r="M221" i="2"/>
  <c r="E221" i="2"/>
  <c r="D221" i="2"/>
  <c r="C221" i="2"/>
  <c r="B221" i="2"/>
  <c r="S221" i="2" s="1"/>
  <c r="U220" i="2"/>
  <c r="S220" i="2"/>
  <c r="N220" i="2"/>
  <c r="M220" i="2"/>
  <c r="E220" i="2"/>
  <c r="D220" i="2"/>
  <c r="C220" i="2"/>
  <c r="B220" i="2"/>
  <c r="U219" i="2"/>
  <c r="S219" i="2"/>
  <c r="N219" i="2"/>
  <c r="M219" i="2"/>
  <c r="E219" i="2"/>
  <c r="D219" i="2"/>
  <c r="C219" i="2"/>
  <c r="B219" i="2"/>
  <c r="U218" i="2"/>
  <c r="N218" i="2"/>
  <c r="M218" i="2"/>
  <c r="E218" i="2"/>
  <c r="D218" i="2"/>
  <c r="C218" i="2"/>
  <c r="B218" i="2"/>
  <c r="S218" i="2" s="1"/>
  <c r="U217" i="2"/>
  <c r="N217" i="2"/>
  <c r="M217" i="2"/>
  <c r="E217" i="2"/>
  <c r="D217" i="2"/>
  <c r="C217" i="2"/>
  <c r="B217" i="2"/>
  <c r="S217" i="2" s="1"/>
  <c r="U216" i="2"/>
  <c r="N216" i="2"/>
  <c r="M216" i="2"/>
  <c r="E216" i="2"/>
  <c r="D216" i="2"/>
  <c r="C216" i="2"/>
  <c r="F216" i="2" s="1"/>
  <c r="B216" i="2"/>
  <c r="S216" i="2" s="1"/>
  <c r="U215" i="2"/>
  <c r="S215" i="2"/>
  <c r="N215" i="2"/>
  <c r="M215" i="2"/>
  <c r="E215" i="2"/>
  <c r="D215" i="2"/>
  <c r="C215" i="2"/>
  <c r="B215" i="2"/>
  <c r="U214" i="2"/>
  <c r="S214" i="2"/>
  <c r="N214" i="2"/>
  <c r="M214" i="2"/>
  <c r="E214" i="2"/>
  <c r="D214" i="2"/>
  <c r="C214" i="2"/>
  <c r="B214" i="2"/>
  <c r="U213" i="2"/>
  <c r="N213" i="2"/>
  <c r="M213" i="2"/>
  <c r="E213" i="2"/>
  <c r="D213" i="2"/>
  <c r="C213" i="2"/>
  <c r="B213" i="2"/>
  <c r="S213" i="2" s="1"/>
  <c r="U212" i="2"/>
  <c r="S212" i="2"/>
  <c r="N212" i="2"/>
  <c r="M212" i="2"/>
  <c r="E212" i="2"/>
  <c r="D212" i="2"/>
  <c r="C212" i="2"/>
  <c r="B212" i="2"/>
  <c r="U211" i="2"/>
  <c r="N211" i="2"/>
  <c r="M211" i="2"/>
  <c r="E211" i="2"/>
  <c r="D211" i="2"/>
  <c r="C211" i="2"/>
  <c r="L211" i="2" s="1"/>
  <c r="B211" i="2"/>
  <c r="S211" i="2" s="1"/>
  <c r="U210" i="2"/>
  <c r="S210" i="2"/>
  <c r="N210" i="2"/>
  <c r="M210" i="2"/>
  <c r="E210" i="2"/>
  <c r="D210" i="2"/>
  <c r="C210" i="2"/>
  <c r="B210" i="2"/>
  <c r="U209" i="2"/>
  <c r="N209" i="2"/>
  <c r="M209" i="2"/>
  <c r="E209" i="2"/>
  <c r="D209" i="2"/>
  <c r="C209" i="2"/>
  <c r="B209" i="2"/>
  <c r="S209" i="2" s="1"/>
  <c r="U208" i="2"/>
  <c r="N208" i="2"/>
  <c r="M208" i="2"/>
  <c r="E208" i="2"/>
  <c r="D208" i="2"/>
  <c r="C208" i="2"/>
  <c r="L208" i="2" s="1"/>
  <c r="B208" i="2"/>
  <c r="S208" i="2" s="1"/>
  <c r="U207" i="2"/>
  <c r="S207" i="2"/>
  <c r="N207" i="2"/>
  <c r="M207" i="2"/>
  <c r="E207" i="2"/>
  <c r="D207" i="2"/>
  <c r="C207" i="2"/>
  <c r="B207" i="2"/>
  <c r="U206" i="2"/>
  <c r="S206" i="2"/>
  <c r="N206" i="2"/>
  <c r="M206" i="2"/>
  <c r="E206" i="2"/>
  <c r="D206" i="2"/>
  <c r="C206" i="2"/>
  <c r="B206" i="2"/>
  <c r="U205" i="2"/>
  <c r="N205" i="2"/>
  <c r="M205" i="2"/>
  <c r="E205" i="2"/>
  <c r="D205" i="2"/>
  <c r="C205" i="2"/>
  <c r="B205" i="2"/>
  <c r="S205" i="2" s="1"/>
  <c r="U204" i="2"/>
  <c r="N204" i="2"/>
  <c r="M204" i="2"/>
  <c r="E204" i="2"/>
  <c r="D204" i="2"/>
  <c r="C204" i="2"/>
  <c r="B204" i="2"/>
  <c r="S204" i="2" s="1"/>
  <c r="U203" i="2"/>
  <c r="N203" i="2"/>
  <c r="M203" i="2"/>
  <c r="E203" i="2"/>
  <c r="D203" i="2"/>
  <c r="C203" i="2"/>
  <c r="L203" i="2" s="1"/>
  <c r="B203" i="2"/>
  <c r="S203" i="2" s="1"/>
  <c r="U202" i="2"/>
  <c r="N202" i="2"/>
  <c r="M202" i="2"/>
  <c r="E202" i="2"/>
  <c r="D202" i="2"/>
  <c r="C202" i="2"/>
  <c r="B202" i="2"/>
  <c r="S202" i="2" s="1"/>
  <c r="U201" i="2"/>
  <c r="S201" i="2"/>
  <c r="N201" i="2"/>
  <c r="M201" i="2"/>
  <c r="E201" i="2"/>
  <c r="D201" i="2"/>
  <c r="C201" i="2"/>
  <c r="B201" i="2"/>
  <c r="U200" i="2"/>
  <c r="N200" i="2"/>
  <c r="M200" i="2"/>
  <c r="E200" i="2"/>
  <c r="D200" i="2"/>
  <c r="C200" i="2"/>
  <c r="B200" i="2"/>
  <c r="S200" i="2" s="1"/>
  <c r="U199" i="2"/>
  <c r="N199" i="2"/>
  <c r="M199" i="2"/>
  <c r="E199" i="2"/>
  <c r="D199" i="2"/>
  <c r="C199" i="2"/>
  <c r="B199" i="2"/>
  <c r="S199" i="2" s="1"/>
  <c r="U198" i="2"/>
  <c r="N198" i="2"/>
  <c r="M198" i="2"/>
  <c r="E198" i="2"/>
  <c r="D198" i="2"/>
  <c r="C198" i="2"/>
  <c r="B198" i="2"/>
  <c r="S198" i="2" s="1"/>
  <c r="U197" i="2"/>
  <c r="N197" i="2"/>
  <c r="M197" i="2"/>
  <c r="E197" i="2"/>
  <c r="D197" i="2"/>
  <c r="C197" i="2"/>
  <c r="B197" i="2"/>
  <c r="S197" i="2" s="1"/>
  <c r="U196" i="2"/>
  <c r="N196" i="2"/>
  <c r="M196" i="2"/>
  <c r="E196" i="2"/>
  <c r="D196" i="2"/>
  <c r="C196" i="2"/>
  <c r="B196" i="2"/>
  <c r="S196" i="2" s="1"/>
  <c r="U195" i="2"/>
  <c r="S195" i="2"/>
  <c r="N195" i="2"/>
  <c r="M195" i="2"/>
  <c r="E195" i="2"/>
  <c r="D195" i="2"/>
  <c r="C195" i="2"/>
  <c r="B195" i="2"/>
  <c r="U194" i="2"/>
  <c r="S194" i="2"/>
  <c r="N194" i="2"/>
  <c r="M194" i="2"/>
  <c r="E194" i="2"/>
  <c r="D194" i="2"/>
  <c r="C194" i="2"/>
  <c r="B194" i="2"/>
  <c r="U193" i="2"/>
  <c r="S193" i="2"/>
  <c r="N193" i="2"/>
  <c r="M193" i="2"/>
  <c r="E193" i="2"/>
  <c r="D193" i="2"/>
  <c r="C193" i="2"/>
  <c r="B193" i="2"/>
  <c r="U192" i="2"/>
  <c r="N192" i="2"/>
  <c r="M192" i="2"/>
  <c r="E192" i="2"/>
  <c r="D192" i="2"/>
  <c r="C192" i="2"/>
  <c r="B192" i="2"/>
  <c r="S192" i="2" s="1"/>
  <c r="U191" i="2"/>
  <c r="N191" i="2"/>
  <c r="M191" i="2"/>
  <c r="E191" i="2"/>
  <c r="D191" i="2"/>
  <c r="C191" i="2"/>
  <c r="B191" i="2"/>
  <c r="S191" i="2" s="1"/>
  <c r="U190" i="2"/>
  <c r="N190" i="2"/>
  <c r="M190" i="2"/>
  <c r="E190" i="2"/>
  <c r="D190" i="2"/>
  <c r="C190" i="2"/>
  <c r="B190" i="2"/>
  <c r="S190" i="2" s="1"/>
  <c r="U189" i="2"/>
  <c r="N189" i="2"/>
  <c r="M189" i="2"/>
  <c r="E189" i="2"/>
  <c r="D189" i="2"/>
  <c r="C189" i="2"/>
  <c r="B189" i="2"/>
  <c r="S189" i="2" s="1"/>
  <c r="U188" i="2"/>
  <c r="N188" i="2"/>
  <c r="M188" i="2"/>
  <c r="E188" i="2"/>
  <c r="D188" i="2"/>
  <c r="C188" i="2"/>
  <c r="B188" i="2"/>
  <c r="S188" i="2" s="1"/>
  <c r="U187" i="2"/>
  <c r="N187" i="2"/>
  <c r="M187" i="2"/>
  <c r="E187" i="2"/>
  <c r="D187" i="2"/>
  <c r="C187" i="2"/>
  <c r="B187" i="2"/>
  <c r="S187" i="2" s="1"/>
  <c r="U186" i="2"/>
  <c r="N186" i="2"/>
  <c r="M186" i="2"/>
  <c r="E186" i="2"/>
  <c r="D186" i="2"/>
  <c r="C186" i="2"/>
  <c r="G186" i="2" s="1"/>
  <c r="J186" i="2" s="1"/>
  <c r="B186" i="2"/>
  <c r="S186" i="2" s="1"/>
  <c r="U185" i="2"/>
  <c r="N185" i="2"/>
  <c r="M185" i="2"/>
  <c r="E185" i="2"/>
  <c r="D185" i="2"/>
  <c r="C185" i="2"/>
  <c r="B185" i="2"/>
  <c r="S185" i="2" s="1"/>
  <c r="U184" i="2"/>
  <c r="N184" i="2"/>
  <c r="M184" i="2"/>
  <c r="E184" i="2"/>
  <c r="D184" i="2"/>
  <c r="C184" i="2"/>
  <c r="B184" i="2"/>
  <c r="S184" i="2" s="1"/>
  <c r="U183" i="2"/>
  <c r="S183" i="2"/>
  <c r="N183" i="2"/>
  <c r="M183" i="2"/>
  <c r="E183" i="2"/>
  <c r="D183" i="2"/>
  <c r="C183" i="2"/>
  <c r="B183" i="2"/>
  <c r="U182" i="2"/>
  <c r="S182" i="2"/>
  <c r="N182" i="2"/>
  <c r="M182" i="2"/>
  <c r="E182" i="2"/>
  <c r="D182" i="2"/>
  <c r="C182" i="2"/>
  <c r="B182" i="2"/>
  <c r="U181" i="2"/>
  <c r="S181" i="2"/>
  <c r="N181" i="2"/>
  <c r="M181" i="2"/>
  <c r="E181" i="2"/>
  <c r="D181" i="2"/>
  <c r="C181" i="2"/>
  <c r="L181" i="2" s="1"/>
  <c r="B181" i="2"/>
  <c r="U180" i="2"/>
  <c r="S180" i="2"/>
  <c r="N180" i="2"/>
  <c r="M180" i="2"/>
  <c r="E180" i="2"/>
  <c r="D180" i="2"/>
  <c r="C180" i="2"/>
  <c r="B180" i="2"/>
  <c r="U179" i="2"/>
  <c r="S179" i="2"/>
  <c r="N179" i="2"/>
  <c r="M179" i="2"/>
  <c r="E179" i="2"/>
  <c r="D179" i="2"/>
  <c r="C179" i="2"/>
  <c r="B179" i="2"/>
  <c r="U178" i="2"/>
  <c r="N178" i="2"/>
  <c r="M178" i="2"/>
  <c r="E178" i="2"/>
  <c r="D178" i="2"/>
  <c r="C178" i="2"/>
  <c r="B178" i="2"/>
  <c r="S178" i="2" s="1"/>
  <c r="U177" i="2"/>
  <c r="S177" i="2"/>
  <c r="N177" i="2"/>
  <c r="M177" i="2"/>
  <c r="E177" i="2"/>
  <c r="D177" i="2"/>
  <c r="C177" i="2"/>
  <c r="B177" i="2"/>
  <c r="U176" i="2"/>
  <c r="S176" i="2"/>
  <c r="N176" i="2"/>
  <c r="M176" i="2"/>
  <c r="E176" i="2"/>
  <c r="D176" i="2"/>
  <c r="C176" i="2"/>
  <c r="G176" i="2" s="1"/>
  <c r="B176" i="2"/>
  <c r="U175" i="2"/>
  <c r="S175" i="2"/>
  <c r="N175" i="2"/>
  <c r="M175" i="2"/>
  <c r="E175" i="2"/>
  <c r="D175" i="2"/>
  <c r="C175" i="2"/>
  <c r="B175" i="2"/>
  <c r="U174" i="2"/>
  <c r="S174" i="2"/>
  <c r="N174" i="2"/>
  <c r="M174" i="2"/>
  <c r="E174" i="2"/>
  <c r="D174" i="2"/>
  <c r="C174" i="2"/>
  <c r="B174" i="2"/>
  <c r="U173" i="2"/>
  <c r="N173" i="2"/>
  <c r="M173" i="2"/>
  <c r="E173" i="2"/>
  <c r="D173" i="2"/>
  <c r="C173" i="2"/>
  <c r="B173" i="2"/>
  <c r="S173" i="2" s="1"/>
  <c r="U172" i="2"/>
  <c r="N172" i="2"/>
  <c r="M172" i="2"/>
  <c r="E172" i="2"/>
  <c r="D172" i="2"/>
  <c r="C172" i="2"/>
  <c r="B172" i="2"/>
  <c r="S172" i="2" s="1"/>
  <c r="U171" i="2"/>
  <c r="N171" i="2"/>
  <c r="M171" i="2"/>
  <c r="E171" i="2"/>
  <c r="D171" i="2"/>
  <c r="C171" i="2"/>
  <c r="B171" i="2"/>
  <c r="S171" i="2" s="1"/>
  <c r="U170" i="2"/>
  <c r="S170" i="2"/>
  <c r="N170" i="2"/>
  <c r="M170" i="2"/>
  <c r="E170" i="2"/>
  <c r="D170" i="2"/>
  <c r="C170" i="2"/>
  <c r="G170" i="2" s="1"/>
  <c r="B170" i="2"/>
  <c r="U169" i="2"/>
  <c r="S169" i="2"/>
  <c r="N169" i="2"/>
  <c r="M169" i="2"/>
  <c r="E169" i="2"/>
  <c r="D169" i="2"/>
  <c r="C169" i="2"/>
  <c r="B169" i="2"/>
  <c r="U168" i="2"/>
  <c r="N168" i="2"/>
  <c r="M168" i="2"/>
  <c r="E168" i="2"/>
  <c r="D168" i="2"/>
  <c r="C168" i="2"/>
  <c r="B168" i="2"/>
  <c r="S168" i="2" s="1"/>
  <c r="U167" i="2"/>
  <c r="N167" i="2"/>
  <c r="M167" i="2"/>
  <c r="E167" i="2"/>
  <c r="D167" i="2"/>
  <c r="C167" i="2"/>
  <c r="B167" i="2"/>
  <c r="S167" i="2" s="1"/>
  <c r="U166" i="2"/>
  <c r="S166" i="2"/>
  <c r="N166" i="2"/>
  <c r="M166" i="2"/>
  <c r="E166" i="2"/>
  <c r="D166" i="2"/>
  <c r="C166" i="2"/>
  <c r="B166" i="2"/>
  <c r="U165" i="2"/>
  <c r="N165" i="2"/>
  <c r="M165" i="2"/>
  <c r="E165" i="2"/>
  <c r="D165" i="2"/>
  <c r="C165" i="2"/>
  <c r="B165" i="2"/>
  <c r="S165" i="2" s="1"/>
  <c r="U164" i="2"/>
  <c r="S164" i="2"/>
  <c r="N164" i="2"/>
  <c r="M164" i="2"/>
  <c r="E164" i="2"/>
  <c r="D164" i="2"/>
  <c r="C164" i="2"/>
  <c r="B164" i="2"/>
  <c r="U163" i="2"/>
  <c r="S163" i="2"/>
  <c r="N163" i="2"/>
  <c r="M163" i="2"/>
  <c r="E163" i="2"/>
  <c r="D163" i="2"/>
  <c r="C163" i="2"/>
  <c r="B163" i="2"/>
  <c r="U162" i="2"/>
  <c r="N162" i="2"/>
  <c r="M162" i="2"/>
  <c r="E162" i="2"/>
  <c r="D162" i="2"/>
  <c r="C162" i="2"/>
  <c r="B162" i="2"/>
  <c r="S162" i="2" s="1"/>
  <c r="U161" i="2"/>
  <c r="S161" i="2"/>
  <c r="N161" i="2"/>
  <c r="M161" i="2"/>
  <c r="E161" i="2"/>
  <c r="D161" i="2"/>
  <c r="C161" i="2"/>
  <c r="B161" i="2"/>
  <c r="U160" i="2"/>
  <c r="S160" i="2"/>
  <c r="N160" i="2"/>
  <c r="M160" i="2"/>
  <c r="E160" i="2"/>
  <c r="D160" i="2"/>
  <c r="C160" i="2"/>
  <c r="B160" i="2"/>
  <c r="U159" i="2"/>
  <c r="S159" i="2"/>
  <c r="N159" i="2"/>
  <c r="M159" i="2"/>
  <c r="E159" i="2"/>
  <c r="D159" i="2"/>
  <c r="C159" i="2"/>
  <c r="B159" i="2"/>
  <c r="U158" i="2"/>
  <c r="N158" i="2"/>
  <c r="M158" i="2"/>
  <c r="E158" i="2"/>
  <c r="D158" i="2"/>
  <c r="C158" i="2"/>
  <c r="B158" i="2"/>
  <c r="S158" i="2" s="1"/>
  <c r="U157" i="2"/>
  <c r="N157" i="2"/>
  <c r="M157" i="2"/>
  <c r="E157" i="2"/>
  <c r="D157" i="2"/>
  <c r="C157" i="2"/>
  <c r="B157" i="2"/>
  <c r="S157" i="2" s="1"/>
  <c r="U156" i="2"/>
  <c r="N156" i="2"/>
  <c r="M156" i="2"/>
  <c r="E156" i="2"/>
  <c r="D156" i="2"/>
  <c r="C156" i="2"/>
  <c r="B156" i="2"/>
  <c r="S156" i="2" s="1"/>
  <c r="U155" i="2"/>
  <c r="S155" i="2"/>
  <c r="N155" i="2"/>
  <c r="M155" i="2"/>
  <c r="E155" i="2"/>
  <c r="D155" i="2"/>
  <c r="C155" i="2"/>
  <c r="B155" i="2"/>
  <c r="U154" i="2"/>
  <c r="S154" i="2"/>
  <c r="N154" i="2"/>
  <c r="M154" i="2"/>
  <c r="E154" i="2"/>
  <c r="D154" i="2"/>
  <c r="C154" i="2"/>
  <c r="B154" i="2"/>
  <c r="U153" i="2"/>
  <c r="N153" i="2"/>
  <c r="M153" i="2"/>
  <c r="E153" i="2"/>
  <c r="D153" i="2"/>
  <c r="C153" i="2"/>
  <c r="B153" i="2"/>
  <c r="S153" i="2" s="1"/>
  <c r="U152" i="2"/>
  <c r="S152" i="2"/>
  <c r="N152" i="2"/>
  <c r="M152" i="2"/>
  <c r="E152" i="2"/>
  <c r="D152" i="2"/>
  <c r="C152" i="2"/>
  <c r="B152" i="2"/>
  <c r="U151" i="2"/>
  <c r="S151" i="2"/>
  <c r="N151" i="2"/>
  <c r="M151" i="2"/>
  <c r="E151" i="2"/>
  <c r="D151" i="2"/>
  <c r="C151" i="2"/>
  <c r="B151" i="2"/>
  <c r="U150" i="2"/>
  <c r="S150" i="2"/>
  <c r="N150" i="2"/>
  <c r="M150" i="2"/>
  <c r="E150" i="2"/>
  <c r="D150" i="2"/>
  <c r="C150" i="2"/>
  <c r="B150" i="2"/>
  <c r="U149" i="2"/>
  <c r="S149" i="2"/>
  <c r="N149" i="2"/>
  <c r="M149" i="2"/>
  <c r="E149" i="2"/>
  <c r="D149" i="2"/>
  <c r="C149" i="2"/>
  <c r="G149" i="2" s="1"/>
  <c r="B149" i="2"/>
  <c r="U148" i="2"/>
  <c r="N148" i="2"/>
  <c r="M148" i="2"/>
  <c r="E148" i="2"/>
  <c r="D148" i="2"/>
  <c r="C148" i="2"/>
  <c r="B148" i="2"/>
  <c r="S148" i="2" s="1"/>
  <c r="U147" i="2"/>
  <c r="S147" i="2"/>
  <c r="N147" i="2"/>
  <c r="M147" i="2"/>
  <c r="E147" i="2"/>
  <c r="D147" i="2"/>
  <c r="C147" i="2"/>
  <c r="F147" i="2" s="1"/>
  <c r="B147" i="2"/>
  <c r="U146" i="2"/>
  <c r="S146" i="2"/>
  <c r="N146" i="2"/>
  <c r="M146" i="2"/>
  <c r="E146" i="2"/>
  <c r="D146" i="2"/>
  <c r="C146" i="2"/>
  <c r="B146" i="2"/>
  <c r="U145" i="2"/>
  <c r="S145" i="2"/>
  <c r="N145" i="2"/>
  <c r="M145" i="2"/>
  <c r="E145" i="2"/>
  <c r="D145" i="2"/>
  <c r="C145" i="2"/>
  <c r="B145" i="2"/>
  <c r="U144" i="2"/>
  <c r="S144" i="2"/>
  <c r="N144" i="2"/>
  <c r="M144" i="2"/>
  <c r="E144" i="2"/>
  <c r="D144" i="2"/>
  <c r="C144" i="2"/>
  <c r="B144" i="2"/>
  <c r="U143" i="2"/>
  <c r="S143" i="2"/>
  <c r="N143" i="2"/>
  <c r="M143" i="2"/>
  <c r="E143" i="2"/>
  <c r="D143" i="2"/>
  <c r="C143" i="2"/>
  <c r="B143" i="2"/>
  <c r="U142" i="2"/>
  <c r="N142" i="2"/>
  <c r="M142" i="2"/>
  <c r="E142" i="2"/>
  <c r="D142" i="2"/>
  <c r="C142" i="2"/>
  <c r="B142" i="2"/>
  <c r="S142" i="2" s="1"/>
  <c r="U141" i="2"/>
  <c r="N141" i="2"/>
  <c r="M141" i="2"/>
  <c r="E141" i="2"/>
  <c r="D141" i="2"/>
  <c r="C141" i="2"/>
  <c r="L141" i="2" s="1"/>
  <c r="B141" i="2"/>
  <c r="S141" i="2" s="1"/>
  <c r="U140" i="2"/>
  <c r="S140" i="2"/>
  <c r="N140" i="2"/>
  <c r="M140" i="2"/>
  <c r="E140" i="2"/>
  <c r="D140" i="2"/>
  <c r="C140" i="2"/>
  <c r="B140" i="2"/>
  <c r="U139" i="2"/>
  <c r="S139" i="2"/>
  <c r="N139" i="2"/>
  <c r="M139" i="2"/>
  <c r="E139" i="2"/>
  <c r="D139" i="2"/>
  <c r="C139" i="2"/>
  <c r="B139" i="2"/>
  <c r="U138" i="2"/>
  <c r="S138" i="2"/>
  <c r="N138" i="2"/>
  <c r="M138" i="2"/>
  <c r="E138" i="2"/>
  <c r="D138" i="2"/>
  <c r="C138" i="2"/>
  <c r="B138" i="2"/>
  <c r="U137" i="2"/>
  <c r="N137" i="2"/>
  <c r="M137" i="2"/>
  <c r="E137" i="2"/>
  <c r="D137" i="2"/>
  <c r="C137" i="2"/>
  <c r="B137" i="2"/>
  <c r="S137" i="2" s="1"/>
  <c r="U136" i="2"/>
  <c r="N136" i="2"/>
  <c r="M136" i="2"/>
  <c r="E136" i="2"/>
  <c r="D136" i="2"/>
  <c r="C136" i="2"/>
  <c r="B136" i="2"/>
  <c r="S136" i="2" s="1"/>
  <c r="U135" i="2"/>
  <c r="N135" i="2"/>
  <c r="M135" i="2"/>
  <c r="E135" i="2"/>
  <c r="D135" i="2"/>
  <c r="C135" i="2"/>
  <c r="B135" i="2"/>
  <c r="S135" i="2" s="1"/>
  <c r="U134" i="2"/>
  <c r="N134" i="2"/>
  <c r="M134" i="2"/>
  <c r="E134" i="2"/>
  <c r="D134" i="2"/>
  <c r="C134" i="2"/>
  <c r="B134" i="2"/>
  <c r="S134" i="2" s="1"/>
  <c r="U133" i="2"/>
  <c r="S133" i="2"/>
  <c r="N133" i="2"/>
  <c r="M133" i="2"/>
  <c r="E133" i="2"/>
  <c r="D133" i="2"/>
  <c r="C133" i="2"/>
  <c r="B133" i="2"/>
  <c r="U132" i="2"/>
  <c r="N132" i="2"/>
  <c r="M132" i="2"/>
  <c r="E132" i="2"/>
  <c r="D132" i="2"/>
  <c r="C132" i="2"/>
  <c r="B132" i="2"/>
  <c r="S132" i="2" s="1"/>
  <c r="U131" i="2"/>
  <c r="S131" i="2"/>
  <c r="N131" i="2"/>
  <c r="M131" i="2"/>
  <c r="E131" i="2"/>
  <c r="D131" i="2"/>
  <c r="C131" i="2"/>
  <c r="B131" i="2"/>
  <c r="U130" i="2"/>
  <c r="S130" i="2"/>
  <c r="N130" i="2"/>
  <c r="M130" i="2"/>
  <c r="E130" i="2"/>
  <c r="D130" i="2"/>
  <c r="C130" i="2"/>
  <c r="B130" i="2"/>
  <c r="U129" i="2"/>
  <c r="N129" i="2"/>
  <c r="M129" i="2"/>
  <c r="E129" i="2"/>
  <c r="D129" i="2"/>
  <c r="C129" i="2"/>
  <c r="B129" i="2"/>
  <c r="S129" i="2" s="1"/>
  <c r="U128" i="2"/>
  <c r="N128" i="2"/>
  <c r="M128" i="2"/>
  <c r="E128" i="2"/>
  <c r="D128" i="2"/>
  <c r="C128" i="2"/>
  <c r="B128" i="2"/>
  <c r="S128" i="2" s="1"/>
  <c r="U127" i="2"/>
  <c r="N127" i="2"/>
  <c r="M127" i="2"/>
  <c r="E127" i="2"/>
  <c r="D127" i="2"/>
  <c r="C127" i="2"/>
  <c r="B127" i="2"/>
  <c r="S127" i="2" s="1"/>
  <c r="U126" i="2"/>
  <c r="N126" i="2"/>
  <c r="M126" i="2"/>
  <c r="E126" i="2"/>
  <c r="D126" i="2"/>
  <c r="C126" i="2"/>
  <c r="B126" i="2"/>
  <c r="S126" i="2" s="1"/>
  <c r="U125" i="2"/>
  <c r="N125" i="2"/>
  <c r="M125" i="2"/>
  <c r="E125" i="2"/>
  <c r="D125" i="2"/>
  <c r="C125" i="2"/>
  <c r="B125" i="2"/>
  <c r="S125" i="2" s="1"/>
  <c r="U124" i="2"/>
  <c r="S124" i="2"/>
  <c r="N124" i="2"/>
  <c r="M124" i="2"/>
  <c r="E124" i="2"/>
  <c r="D124" i="2"/>
  <c r="C124" i="2"/>
  <c r="B124" i="2"/>
  <c r="U123" i="2"/>
  <c r="S123" i="2"/>
  <c r="N123" i="2"/>
  <c r="M123" i="2"/>
  <c r="E123" i="2"/>
  <c r="D123" i="2"/>
  <c r="C123" i="2"/>
  <c r="B123" i="2"/>
  <c r="U122" i="2"/>
  <c r="S122" i="2"/>
  <c r="N122" i="2"/>
  <c r="M122" i="2"/>
  <c r="E122" i="2"/>
  <c r="D122" i="2"/>
  <c r="C122" i="2"/>
  <c r="B122" i="2"/>
  <c r="U121" i="2"/>
  <c r="N121" i="2"/>
  <c r="M121" i="2"/>
  <c r="E121" i="2"/>
  <c r="D121" i="2"/>
  <c r="C121" i="2"/>
  <c r="B121" i="2"/>
  <c r="S121" i="2" s="1"/>
  <c r="U120" i="2"/>
  <c r="N120" i="2"/>
  <c r="M120" i="2"/>
  <c r="E120" i="2"/>
  <c r="D120" i="2"/>
  <c r="C120" i="2"/>
  <c r="B120" i="2"/>
  <c r="S120" i="2" s="1"/>
  <c r="U119" i="2"/>
  <c r="N119" i="2"/>
  <c r="M119" i="2"/>
  <c r="E119" i="2"/>
  <c r="D119" i="2"/>
  <c r="C119" i="2"/>
  <c r="B119" i="2"/>
  <c r="S119" i="2" s="1"/>
  <c r="U118" i="2"/>
  <c r="S118" i="2"/>
  <c r="N118" i="2"/>
  <c r="M118" i="2"/>
  <c r="E118" i="2"/>
  <c r="D118" i="2"/>
  <c r="C118" i="2"/>
  <c r="B118" i="2"/>
  <c r="U117" i="2"/>
  <c r="S117" i="2"/>
  <c r="N117" i="2"/>
  <c r="M117" i="2"/>
  <c r="E117" i="2"/>
  <c r="D117" i="2"/>
  <c r="C117" i="2"/>
  <c r="B117" i="2"/>
  <c r="U116" i="2"/>
  <c r="N116" i="2"/>
  <c r="M116" i="2"/>
  <c r="E116" i="2"/>
  <c r="D116" i="2"/>
  <c r="C116" i="2"/>
  <c r="B116" i="2"/>
  <c r="S116" i="2" s="1"/>
  <c r="U115" i="2"/>
  <c r="N115" i="2"/>
  <c r="M115" i="2"/>
  <c r="E115" i="2"/>
  <c r="D115" i="2"/>
  <c r="C115" i="2"/>
  <c r="B115" i="2"/>
  <c r="S115" i="2" s="1"/>
  <c r="U114" i="2"/>
  <c r="S114" i="2"/>
  <c r="N114" i="2"/>
  <c r="M114" i="2"/>
  <c r="E114" i="2"/>
  <c r="D114" i="2"/>
  <c r="C114" i="2"/>
  <c r="B114" i="2"/>
  <c r="U113" i="2"/>
  <c r="S113" i="2"/>
  <c r="N113" i="2"/>
  <c r="M113" i="2"/>
  <c r="E113" i="2"/>
  <c r="D113" i="2"/>
  <c r="C113" i="2"/>
  <c r="B113" i="2"/>
  <c r="U112" i="2"/>
  <c r="N112" i="2"/>
  <c r="M112" i="2"/>
  <c r="E112" i="2"/>
  <c r="D112" i="2"/>
  <c r="C112" i="2"/>
  <c r="B112" i="2"/>
  <c r="S112" i="2" s="1"/>
  <c r="U111" i="2"/>
  <c r="S111" i="2"/>
  <c r="N111" i="2"/>
  <c r="M111" i="2"/>
  <c r="E111" i="2"/>
  <c r="D111" i="2"/>
  <c r="C111" i="2"/>
  <c r="B111" i="2"/>
  <c r="U110" i="2"/>
  <c r="S110" i="2"/>
  <c r="N110" i="2"/>
  <c r="M110" i="2"/>
  <c r="E110" i="2"/>
  <c r="D110" i="2"/>
  <c r="C110" i="2"/>
  <c r="B110" i="2"/>
  <c r="U109" i="2"/>
  <c r="S109" i="2"/>
  <c r="N109" i="2"/>
  <c r="M109" i="2"/>
  <c r="E109" i="2"/>
  <c r="D109" i="2"/>
  <c r="C109" i="2"/>
  <c r="B109" i="2"/>
  <c r="U108" i="2"/>
  <c r="S108" i="2"/>
  <c r="N108" i="2"/>
  <c r="M108" i="2"/>
  <c r="E108" i="2"/>
  <c r="D108" i="2"/>
  <c r="C108" i="2"/>
  <c r="B108" i="2"/>
  <c r="U107" i="2"/>
  <c r="S107" i="2"/>
  <c r="N107" i="2"/>
  <c r="M107" i="2"/>
  <c r="E107" i="2"/>
  <c r="D107" i="2"/>
  <c r="C107" i="2"/>
  <c r="B107" i="2"/>
  <c r="U106" i="2"/>
  <c r="S106" i="2"/>
  <c r="N106" i="2"/>
  <c r="M106" i="2"/>
  <c r="E106" i="2"/>
  <c r="D106" i="2"/>
  <c r="C106" i="2"/>
  <c r="B106" i="2"/>
  <c r="U105" i="2"/>
  <c r="S105" i="2"/>
  <c r="N105" i="2"/>
  <c r="M105" i="2"/>
  <c r="E105" i="2"/>
  <c r="D105" i="2"/>
  <c r="C105" i="2"/>
  <c r="L105" i="2" s="1"/>
  <c r="B105" i="2"/>
  <c r="U104" i="2"/>
  <c r="S104" i="2"/>
  <c r="N104" i="2"/>
  <c r="M104" i="2"/>
  <c r="E104" i="2"/>
  <c r="D104" i="2"/>
  <c r="C104" i="2"/>
  <c r="B104" i="2"/>
  <c r="U103" i="2"/>
  <c r="S103" i="2"/>
  <c r="N103" i="2"/>
  <c r="M103" i="2"/>
  <c r="E103" i="2"/>
  <c r="D103" i="2"/>
  <c r="C103" i="2"/>
  <c r="B103" i="2"/>
  <c r="U102" i="2"/>
  <c r="S102" i="2"/>
  <c r="N102" i="2"/>
  <c r="M102" i="2"/>
  <c r="E102" i="2"/>
  <c r="D102" i="2"/>
  <c r="C102" i="2"/>
  <c r="B102" i="2"/>
  <c r="U101" i="2"/>
  <c r="N101" i="2"/>
  <c r="M101" i="2"/>
  <c r="E101" i="2"/>
  <c r="D101" i="2"/>
  <c r="C101" i="2"/>
  <c r="B101" i="2"/>
  <c r="S101" i="2" s="1"/>
  <c r="U100" i="2"/>
  <c r="N100" i="2"/>
  <c r="M100" i="2"/>
  <c r="E100" i="2"/>
  <c r="D100" i="2"/>
  <c r="C100" i="2"/>
  <c r="B100" i="2"/>
  <c r="S100" i="2" s="1"/>
  <c r="U99" i="2"/>
  <c r="N99" i="2"/>
  <c r="M99" i="2"/>
  <c r="E99" i="2"/>
  <c r="D99" i="2"/>
  <c r="C99" i="2"/>
  <c r="B99" i="2"/>
  <c r="S99" i="2" s="1"/>
  <c r="U98" i="2"/>
  <c r="S98" i="2"/>
  <c r="N98" i="2"/>
  <c r="M98" i="2"/>
  <c r="E98" i="2"/>
  <c r="D98" i="2"/>
  <c r="C98" i="2"/>
  <c r="B98" i="2"/>
  <c r="U97" i="2"/>
  <c r="N97" i="2"/>
  <c r="M97" i="2"/>
  <c r="E97" i="2"/>
  <c r="D97" i="2"/>
  <c r="C97" i="2"/>
  <c r="B97" i="2"/>
  <c r="S97" i="2" s="1"/>
  <c r="U96" i="2"/>
  <c r="N96" i="2"/>
  <c r="M96" i="2"/>
  <c r="E96" i="2"/>
  <c r="D96" i="2"/>
  <c r="C96" i="2"/>
  <c r="B96" i="2"/>
  <c r="S96" i="2" s="1"/>
  <c r="U95" i="2"/>
  <c r="N95" i="2"/>
  <c r="M95" i="2"/>
  <c r="E95" i="2"/>
  <c r="D95" i="2"/>
  <c r="C95" i="2"/>
  <c r="B95" i="2"/>
  <c r="S95" i="2" s="1"/>
  <c r="U94" i="2"/>
  <c r="N94" i="2"/>
  <c r="M94" i="2"/>
  <c r="E94" i="2"/>
  <c r="D94" i="2"/>
  <c r="C94" i="2"/>
  <c r="B94" i="2"/>
  <c r="S94" i="2" s="1"/>
  <c r="U93" i="2"/>
  <c r="S93" i="2"/>
  <c r="N93" i="2"/>
  <c r="M93" i="2"/>
  <c r="E93" i="2"/>
  <c r="D93" i="2"/>
  <c r="C93" i="2"/>
  <c r="B93" i="2"/>
  <c r="U92" i="2"/>
  <c r="S92" i="2"/>
  <c r="N92" i="2"/>
  <c r="M92" i="2"/>
  <c r="E92" i="2"/>
  <c r="D92" i="2"/>
  <c r="C92" i="2"/>
  <c r="B92" i="2"/>
  <c r="U91" i="2"/>
  <c r="N91" i="2"/>
  <c r="M91" i="2"/>
  <c r="E91" i="2"/>
  <c r="D91" i="2"/>
  <c r="C91" i="2"/>
  <c r="B91" i="2"/>
  <c r="S91" i="2" s="1"/>
  <c r="U90" i="2"/>
  <c r="N90" i="2"/>
  <c r="M90" i="2"/>
  <c r="E90" i="2"/>
  <c r="D90" i="2"/>
  <c r="C90" i="2"/>
  <c r="B90" i="2"/>
  <c r="S90" i="2" s="1"/>
  <c r="U89" i="2"/>
  <c r="S89" i="2"/>
  <c r="N89" i="2"/>
  <c r="M89" i="2"/>
  <c r="E89" i="2"/>
  <c r="D89" i="2"/>
  <c r="C89" i="2"/>
  <c r="B89" i="2"/>
  <c r="U88" i="2"/>
  <c r="N88" i="2"/>
  <c r="M88" i="2"/>
  <c r="E88" i="2"/>
  <c r="D88" i="2"/>
  <c r="C88" i="2"/>
  <c r="B88" i="2"/>
  <c r="S88" i="2" s="1"/>
  <c r="U87" i="2"/>
  <c r="N87" i="2"/>
  <c r="M87" i="2"/>
  <c r="E87" i="2"/>
  <c r="D87" i="2"/>
  <c r="C87" i="2"/>
  <c r="B87" i="2"/>
  <c r="S87" i="2" s="1"/>
  <c r="U86" i="2"/>
  <c r="N86" i="2"/>
  <c r="M86" i="2"/>
  <c r="E86" i="2"/>
  <c r="D86" i="2"/>
  <c r="C86" i="2"/>
  <c r="B86" i="2"/>
  <c r="S86" i="2" s="1"/>
  <c r="U85" i="2"/>
  <c r="S85" i="2"/>
  <c r="N85" i="2"/>
  <c r="M85" i="2"/>
  <c r="E85" i="2"/>
  <c r="D85" i="2"/>
  <c r="C85" i="2"/>
  <c r="B85" i="2"/>
  <c r="U84" i="2"/>
  <c r="S84" i="2"/>
  <c r="N84" i="2"/>
  <c r="M84" i="2"/>
  <c r="E84" i="2"/>
  <c r="D84" i="2"/>
  <c r="C84" i="2"/>
  <c r="B84" i="2"/>
  <c r="U83" i="2"/>
  <c r="N83" i="2"/>
  <c r="M83" i="2"/>
  <c r="E83" i="2"/>
  <c r="D83" i="2"/>
  <c r="C83" i="2"/>
  <c r="G83" i="2" s="1"/>
  <c r="B83" i="2"/>
  <c r="S83" i="2" s="1"/>
  <c r="U82" i="2"/>
  <c r="N82" i="2"/>
  <c r="M82" i="2"/>
  <c r="E82" i="2"/>
  <c r="D82" i="2"/>
  <c r="C82" i="2"/>
  <c r="B82" i="2"/>
  <c r="S82" i="2" s="1"/>
  <c r="U81" i="2"/>
  <c r="N81" i="2"/>
  <c r="M81" i="2"/>
  <c r="E81" i="2"/>
  <c r="D81" i="2"/>
  <c r="C81" i="2"/>
  <c r="B81" i="2"/>
  <c r="S81" i="2" s="1"/>
  <c r="U80" i="2"/>
  <c r="N80" i="2"/>
  <c r="M80" i="2"/>
  <c r="E80" i="2"/>
  <c r="D80" i="2"/>
  <c r="C80" i="2"/>
  <c r="B80" i="2"/>
  <c r="S80" i="2" s="1"/>
  <c r="U79" i="2"/>
  <c r="N79" i="2"/>
  <c r="M79" i="2"/>
  <c r="E79" i="2"/>
  <c r="D79" i="2"/>
  <c r="C79" i="2"/>
  <c r="B79" i="2"/>
  <c r="S79" i="2" s="1"/>
  <c r="U78" i="2"/>
  <c r="S78" i="2"/>
  <c r="N78" i="2"/>
  <c r="M78" i="2"/>
  <c r="E78" i="2"/>
  <c r="D78" i="2"/>
  <c r="C78" i="2"/>
  <c r="B78" i="2"/>
  <c r="U77" i="2"/>
  <c r="N77" i="2"/>
  <c r="M77" i="2"/>
  <c r="E77" i="2"/>
  <c r="D77" i="2"/>
  <c r="C77" i="2"/>
  <c r="B77" i="2"/>
  <c r="S77" i="2" s="1"/>
  <c r="U76" i="2"/>
  <c r="N76" i="2"/>
  <c r="M76" i="2"/>
  <c r="E76" i="2"/>
  <c r="D76" i="2"/>
  <c r="C76" i="2"/>
  <c r="B76" i="2"/>
  <c r="S76" i="2" s="1"/>
  <c r="U75" i="2"/>
  <c r="S75" i="2"/>
  <c r="N75" i="2"/>
  <c r="M75" i="2"/>
  <c r="E75" i="2"/>
  <c r="D75" i="2"/>
  <c r="C75" i="2"/>
  <c r="B75" i="2"/>
  <c r="U74" i="2"/>
  <c r="N74" i="2"/>
  <c r="M74" i="2"/>
  <c r="E74" i="2"/>
  <c r="D74" i="2"/>
  <c r="C74" i="2"/>
  <c r="B74" i="2"/>
  <c r="S74" i="2" s="1"/>
  <c r="U73" i="2"/>
  <c r="S73" i="2"/>
  <c r="N73" i="2"/>
  <c r="M73" i="2"/>
  <c r="E73" i="2"/>
  <c r="D73" i="2"/>
  <c r="C73" i="2"/>
  <c r="B73" i="2"/>
  <c r="U72" i="2"/>
  <c r="S72" i="2"/>
  <c r="N72" i="2"/>
  <c r="M72" i="2"/>
  <c r="E72" i="2"/>
  <c r="D72" i="2"/>
  <c r="C72" i="2"/>
  <c r="B72" i="2"/>
  <c r="U71" i="2"/>
  <c r="S71" i="2"/>
  <c r="N71" i="2"/>
  <c r="M71" i="2"/>
  <c r="E71" i="2"/>
  <c r="D71" i="2"/>
  <c r="C71" i="2"/>
  <c r="B71" i="2"/>
  <c r="U70" i="2"/>
  <c r="S70" i="2"/>
  <c r="N70" i="2"/>
  <c r="M70" i="2"/>
  <c r="E70" i="2"/>
  <c r="D70" i="2"/>
  <c r="C70" i="2"/>
  <c r="F70" i="2" s="1"/>
  <c r="B70" i="2"/>
  <c r="U69" i="2"/>
  <c r="N69" i="2"/>
  <c r="M69" i="2"/>
  <c r="E69" i="2"/>
  <c r="D69" i="2"/>
  <c r="C69" i="2"/>
  <c r="B69" i="2"/>
  <c r="S69" i="2" s="1"/>
  <c r="U68" i="2"/>
  <c r="N68" i="2"/>
  <c r="M68" i="2"/>
  <c r="E68" i="2"/>
  <c r="D68" i="2"/>
  <c r="C68" i="2"/>
  <c r="B68" i="2"/>
  <c r="S68" i="2" s="1"/>
  <c r="U67" i="2"/>
  <c r="S67" i="2"/>
  <c r="N67" i="2"/>
  <c r="M67" i="2"/>
  <c r="E67" i="2"/>
  <c r="D67" i="2"/>
  <c r="C67" i="2"/>
  <c r="B67" i="2"/>
  <c r="U66" i="2"/>
  <c r="S66" i="2"/>
  <c r="N66" i="2"/>
  <c r="M66" i="2"/>
  <c r="E66" i="2"/>
  <c r="D66" i="2"/>
  <c r="C66" i="2"/>
  <c r="B66" i="2"/>
  <c r="U65" i="2"/>
  <c r="S65" i="2"/>
  <c r="N65" i="2"/>
  <c r="M65" i="2"/>
  <c r="E65" i="2"/>
  <c r="D65" i="2"/>
  <c r="C65" i="2"/>
  <c r="B65" i="2"/>
  <c r="U64" i="2"/>
  <c r="S64" i="2"/>
  <c r="N64" i="2"/>
  <c r="M64" i="2"/>
  <c r="E64" i="2"/>
  <c r="D64" i="2"/>
  <c r="C64" i="2"/>
  <c r="B64" i="2"/>
  <c r="U63" i="2"/>
  <c r="N63" i="2"/>
  <c r="M63" i="2"/>
  <c r="E63" i="2"/>
  <c r="D63" i="2"/>
  <c r="C63" i="2"/>
  <c r="B63" i="2"/>
  <c r="S63" i="2" s="1"/>
  <c r="U62" i="2"/>
  <c r="N62" i="2"/>
  <c r="M62" i="2"/>
  <c r="E62" i="2"/>
  <c r="D62" i="2"/>
  <c r="C62" i="2"/>
  <c r="B62" i="2"/>
  <c r="S62" i="2" s="1"/>
  <c r="U61" i="2"/>
  <c r="N61" i="2"/>
  <c r="M61" i="2"/>
  <c r="E61" i="2"/>
  <c r="D61" i="2"/>
  <c r="C61" i="2"/>
  <c r="B61" i="2"/>
  <c r="S61" i="2" s="1"/>
  <c r="U60" i="2"/>
  <c r="S60" i="2"/>
  <c r="N60" i="2"/>
  <c r="M60" i="2"/>
  <c r="E60" i="2"/>
  <c r="D60" i="2"/>
  <c r="C60" i="2"/>
  <c r="B60" i="2"/>
  <c r="U59" i="2"/>
  <c r="S59" i="2"/>
  <c r="N59" i="2"/>
  <c r="M59" i="2"/>
  <c r="E59" i="2"/>
  <c r="D59" i="2"/>
  <c r="C59" i="2"/>
  <c r="G59" i="2" s="1"/>
  <c r="B59" i="2"/>
  <c r="U58" i="2"/>
  <c r="S58" i="2"/>
  <c r="N58" i="2"/>
  <c r="M58" i="2"/>
  <c r="E58" i="2"/>
  <c r="D58" i="2"/>
  <c r="C58" i="2"/>
  <c r="B58" i="2"/>
  <c r="U57" i="2"/>
  <c r="N57" i="2"/>
  <c r="M57" i="2"/>
  <c r="E57" i="2"/>
  <c r="D57" i="2"/>
  <c r="C57" i="2"/>
  <c r="B57" i="2"/>
  <c r="S57" i="2" s="1"/>
  <c r="U56" i="2"/>
  <c r="N56" i="2"/>
  <c r="M56" i="2"/>
  <c r="E56" i="2"/>
  <c r="D56" i="2"/>
  <c r="C56" i="2"/>
  <c r="B56" i="2"/>
  <c r="S56" i="2" s="1"/>
  <c r="U55" i="2"/>
  <c r="S55" i="2"/>
  <c r="N55" i="2"/>
  <c r="M55" i="2"/>
  <c r="E55" i="2"/>
  <c r="D55" i="2"/>
  <c r="C55" i="2"/>
  <c r="B55" i="2"/>
  <c r="U54" i="2"/>
  <c r="N54" i="2"/>
  <c r="M54" i="2"/>
  <c r="E54" i="2"/>
  <c r="D54" i="2"/>
  <c r="C54" i="2"/>
  <c r="B54" i="2"/>
  <c r="S54" i="2" s="1"/>
  <c r="U53" i="2"/>
  <c r="S53" i="2"/>
  <c r="N53" i="2"/>
  <c r="M53" i="2"/>
  <c r="E53" i="2"/>
  <c r="D53" i="2"/>
  <c r="C53" i="2"/>
  <c r="F53" i="2" s="1"/>
  <c r="B53" i="2"/>
  <c r="U52" i="2"/>
  <c r="S52" i="2"/>
  <c r="N52" i="2"/>
  <c r="M52" i="2"/>
  <c r="E52" i="2"/>
  <c r="D52" i="2"/>
  <c r="C52" i="2"/>
  <c r="B52" i="2"/>
  <c r="U51" i="2"/>
  <c r="S51" i="2"/>
  <c r="N51" i="2"/>
  <c r="M51" i="2"/>
  <c r="E51" i="2"/>
  <c r="D51" i="2"/>
  <c r="C51" i="2"/>
  <c r="B51" i="2"/>
  <c r="U50" i="2"/>
  <c r="N50" i="2"/>
  <c r="M50" i="2"/>
  <c r="E50" i="2"/>
  <c r="D50" i="2"/>
  <c r="C50" i="2"/>
  <c r="B50" i="2"/>
  <c r="S50" i="2" s="1"/>
  <c r="U49" i="2"/>
  <c r="S49" i="2"/>
  <c r="N49" i="2"/>
  <c r="M49" i="2"/>
  <c r="E49" i="2"/>
  <c r="D49" i="2"/>
  <c r="C49" i="2"/>
  <c r="B49" i="2"/>
  <c r="U48" i="2"/>
  <c r="S48" i="2"/>
  <c r="N48" i="2"/>
  <c r="M48" i="2"/>
  <c r="E48" i="2"/>
  <c r="D48" i="2"/>
  <c r="C48" i="2"/>
  <c r="B48" i="2"/>
  <c r="U47" i="2"/>
  <c r="N47" i="2"/>
  <c r="M47" i="2"/>
  <c r="E47" i="2"/>
  <c r="D47" i="2"/>
  <c r="C47" i="2"/>
  <c r="B47" i="2"/>
  <c r="S47" i="2" s="1"/>
  <c r="U46" i="2"/>
  <c r="S46" i="2"/>
  <c r="N46" i="2"/>
  <c r="M46" i="2"/>
  <c r="E46" i="2"/>
  <c r="D46" i="2"/>
  <c r="C46" i="2"/>
  <c r="B46" i="2"/>
  <c r="U45" i="2"/>
  <c r="S45" i="2"/>
  <c r="N45" i="2"/>
  <c r="M45" i="2"/>
  <c r="E45" i="2"/>
  <c r="D45" i="2"/>
  <c r="C45" i="2"/>
  <c r="B45" i="2"/>
  <c r="U44" i="2"/>
  <c r="N44" i="2"/>
  <c r="M44" i="2"/>
  <c r="E44" i="2"/>
  <c r="D44" i="2"/>
  <c r="C44" i="2"/>
  <c r="B44" i="2"/>
  <c r="S44" i="2" s="1"/>
  <c r="U43" i="2"/>
  <c r="S43" i="2"/>
  <c r="N43" i="2"/>
  <c r="M43" i="2"/>
  <c r="E43" i="2"/>
  <c r="D43" i="2"/>
  <c r="C43" i="2"/>
  <c r="B43" i="2"/>
  <c r="U42" i="2"/>
  <c r="N42" i="2"/>
  <c r="M42" i="2"/>
  <c r="E42" i="2"/>
  <c r="D42" i="2"/>
  <c r="C42" i="2"/>
  <c r="B42" i="2"/>
  <c r="S42" i="2" s="1"/>
  <c r="U41" i="2"/>
  <c r="N41" i="2"/>
  <c r="M41" i="2"/>
  <c r="E41" i="2"/>
  <c r="D41" i="2"/>
  <c r="C41" i="2"/>
  <c r="B41" i="2"/>
  <c r="S41" i="2" s="1"/>
  <c r="U40" i="2"/>
  <c r="N40" i="2"/>
  <c r="M40" i="2"/>
  <c r="E40" i="2"/>
  <c r="D40" i="2"/>
  <c r="C40" i="2"/>
  <c r="B40" i="2"/>
  <c r="S40" i="2" s="1"/>
  <c r="U39" i="2"/>
  <c r="N39" i="2"/>
  <c r="M39" i="2"/>
  <c r="E39" i="2"/>
  <c r="D39" i="2"/>
  <c r="C39" i="2"/>
  <c r="B39" i="2"/>
  <c r="S39" i="2" s="1"/>
  <c r="U38" i="2"/>
  <c r="S38" i="2"/>
  <c r="N38" i="2"/>
  <c r="M38" i="2"/>
  <c r="E38" i="2"/>
  <c r="D38" i="2"/>
  <c r="C38" i="2"/>
  <c r="B38" i="2"/>
  <c r="U37" i="2"/>
  <c r="S37" i="2"/>
  <c r="N37" i="2"/>
  <c r="M37" i="2"/>
  <c r="E37" i="2"/>
  <c r="D37" i="2"/>
  <c r="C37" i="2"/>
  <c r="B37" i="2"/>
  <c r="U36" i="2"/>
  <c r="N36" i="2"/>
  <c r="M36" i="2"/>
  <c r="E36" i="2"/>
  <c r="D36" i="2"/>
  <c r="C36" i="2"/>
  <c r="B36" i="2"/>
  <c r="S36" i="2" s="1"/>
  <c r="U35" i="2"/>
  <c r="S35" i="2"/>
  <c r="N35" i="2"/>
  <c r="M35" i="2"/>
  <c r="E35" i="2"/>
  <c r="D35" i="2"/>
  <c r="C35" i="2"/>
  <c r="L35" i="2" s="1"/>
  <c r="B35" i="2"/>
  <c r="U34" i="2"/>
  <c r="N34" i="2"/>
  <c r="M34" i="2"/>
  <c r="E34" i="2"/>
  <c r="D34" i="2"/>
  <c r="C34" i="2"/>
  <c r="B34" i="2"/>
  <c r="S34" i="2" s="1"/>
  <c r="U33" i="2"/>
  <c r="S33" i="2"/>
  <c r="N33" i="2"/>
  <c r="M33" i="2"/>
  <c r="E33" i="2"/>
  <c r="D33" i="2"/>
  <c r="C33" i="2"/>
  <c r="B33" i="2"/>
  <c r="U32" i="2"/>
  <c r="S32" i="2"/>
  <c r="N32" i="2"/>
  <c r="M32" i="2"/>
  <c r="E32" i="2"/>
  <c r="D32" i="2"/>
  <c r="C32" i="2"/>
  <c r="L32" i="2" s="1"/>
  <c r="B32" i="2"/>
  <c r="U31" i="2"/>
  <c r="S31" i="2"/>
  <c r="N31" i="2"/>
  <c r="M31" i="2"/>
  <c r="E31" i="2"/>
  <c r="D31" i="2"/>
  <c r="C31" i="2"/>
  <c r="B31" i="2"/>
  <c r="U30" i="2"/>
  <c r="N30" i="2"/>
  <c r="M30" i="2"/>
  <c r="E30" i="2"/>
  <c r="D30" i="2"/>
  <c r="C30" i="2"/>
  <c r="B30" i="2"/>
  <c r="S30" i="2" s="1"/>
  <c r="U29" i="2"/>
  <c r="N29" i="2"/>
  <c r="M29" i="2"/>
  <c r="E29" i="2"/>
  <c r="D29" i="2"/>
  <c r="C29" i="2"/>
  <c r="B29" i="2"/>
  <c r="S29" i="2" s="1"/>
  <c r="U28" i="2"/>
  <c r="S28" i="2"/>
  <c r="N28" i="2"/>
  <c r="M28" i="2"/>
  <c r="E28" i="2"/>
  <c r="D28" i="2"/>
  <c r="C28" i="2"/>
  <c r="B28" i="2"/>
  <c r="U27" i="2"/>
  <c r="S27" i="2"/>
  <c r="N27" i="2"/>
  <c r="M27" i="2"/>
  <c r="E27" i="2"/>
  <c r="D27" i="2"/>
  <c r="C27" i="2"/>
  <c r="B27" i="2"/>
  <c r="U26" i="2"/>
  <c r="S26" i="2"/>
  <c r="N26" i="2"/>
  <c r="M26" i="2"/>
  <c r="E26" i="2"/>
  <c r="D26" i="2"/>
  <c r="C26" i="2"/>
  <c r="B26" i="2"/>
  <c r="U25" i="2"/>
  <c r="S25" i="2"/>
  <c r="N25" i="2"/>
  <c r="M25" i="2"/>
  <c r="E25" i="2"/>
  <c r="D25" i="2"/>
  <c r="C25" i="2"/>
  <c r="B25" i="2"/>
  <c r="U24" i="2"/>
  <c r="S24" i="2"/>
  <c r="N24" i="2"/>
  <c r="M24" i="2"/>
  <c r="E24" i="2"/>
  <c r="D24" i="2"/>
  <c r="C24" i="2"/>
  <c r="B24" i="2"/>
  <c r="U23" i="2"/>
  <c r="N23" i="2"/>
  <c r="M23" i="2"/>
  <c r="E23" i="2"/>
  <c r="D23" i="2"/>
  <c r="C23" i="2"/>
  <c r="B23" i="2"/>
  <c r="S23" i="2" s="1"/>
  <c r="U22" i="2"/>
  <c r="N22" i="2"/>
  <c r="M22" i="2"/>
  <c r="E22" i="2"/>
  <c r="D22" i="2"/>
  <c r="C22" i="2"/>
  <c r="B22" i="2"/>
  <c r="S22" i="2" s="1"/>
  <c r="U21" i="2"/>
  <c r="N21" i="2"/>
  <c r="M21" i="2"/>
  <c r="E21" i="2"/>
  <c r="D21" i="2"/>
  <c r="C21" i="2"/>
  <c r="B21" i="2"/>
  <c r="S21" i="2" s="1"/>
  <c r="U20" i="2"/>
  <c r="S20" i="2"/>
  <c r="N20" i="2"/>
  <c r="M20" i="2"/>
  <c r="E20" i="2"/>
  <c r="D20" i="2"/>
  <c r="C20" i="2"/>
  <c r="B20" i="2"/>
  <c r="U19" i="2"/>
  <c r="N19" i="2"/>
  <c r="M19" i="2"/>
  <c r="E19" i="2"/>
  <c r="D19" i="2"/>
  <c r="C19" i="2"/>
  <c r="B19" i="2"/>
  <c r="S19" i="2" s="1"/>
  <c r="U18" i="2"/>
  <c r="S18" i="2"/>
  <c r="N18" i="2"/>
  <c r="M18" i="2"/>
  <c r="E18" i="2"/>
  <c r="D18" i="2"/>
  <c r="C18" i="2"/>
  <c r="B18" i="2"/>
  <c r="U17" i="2"/>
  <c r="S17" i="2"/>
  <c r="N17" i="2"/>
  <c r="M17" i="2"/>
  <c r="E17" i="2"/>
  <c r="D17" i="2"/>
  <c r="C17" i="2"/>
  <c r="B17" i="2"/>
  <c r="U16" i="2"/>
  <c r="N16" i="2"/>
  <c r="M16" i="2"/>
  <c r="E16" i="2"/>
  <c r="D16" i="2"/>
  <c r="C16" i="2"/>
  <c r="B16" i="2"/>
  <c r="S16" i="2" s="1"/>
  <c r="U15" i="2"/>
  <c r="S15" i="2"/>
  <c r="N15" i="2"/>
  <c r="M15" i="2"/>
  <c r="E15" i="2"/>
  <c r="D15" i="2"/>
  <c r="C15" i="2"/>
  <c r="B15" i="2"/>
  <c r="U14" i="2"/>
  <c r="N14" i="2"/>
  <c r="M14" i="2"/>
  <c r="E14" i="2"/>
  <c r="D14" i="2"/>
  <c r="C14" i="2"/>
  <c r="B14" i="2"/>
  <c r="S14" i="2" s="1"/>
  <c r="U13" i="2"/>
  <c r="S13" i="2"/>
  <c r="N13" i="2"/>
  <c r="M13" i="2"/>
  <c r="E13" i="2"/>
  <c r="D13" i="2"/>
  <c r="C13" i="2"/>
  <c r="B13" i="2"/>
  <c r="U12" i="2"/>
  <c r="S12" i="2"/>
  <c r="N12" i="2"/>
  <c r="M12" i="2"/>
  <c r="E12" i="2"/>
  <c r="D12" i="2"/>
  <c r="C12" i="2"/>
  <c r="B12" i="2"/>
  <c r="U11" i="2"/>
  <c r="S11" i="2"/>
  <c r="N11" i="2"/>
  <c r="M11" i="2"/>
  <c r="E11" i="2"/>
  <c r="D11" i="2"/>
  <c r="C11" i="2"/>
  <c r="B11" i="2"/>
  <c r="U10" i="2"/>
  <c r="N10" i="2"/>
  <c r="M10" i="2"/>
  <c r="E10" i="2"/>
  <c r="D10" i="2"/>
  <c r="C10" i="2"/>
  <c r="B10" i="2"/>
  <c r="S10" i="2" s="1"/>
  <c r="U9" i="2"/>
  <c r="S9" i="2"/>
  <c r="N9" i="2"/>
  <c r="M9" i="2"/>
  <c r="E9" i="2"/>
  <c r="D9" i="2"/>
  <c r="C9" i="2"/>
  <c r="L9" i="2" s="1"/>
  <c r="B9" i="2"/>
  <c r="U8" i="2"/>
  <c r="N8" i="2"/>
  <c r="M8" i="2"/>
  <c r="E8" i="2"/>
  <c r="D8" i="2"/>
  <c r="C8" i="2"/>
  <c r="B8" i="2"/>
  <c r="S8" i="2" s="1"/>
  <c r="U7" i="2"/>
  <c r="N7" i="2"/>
  <c r="M7" i="2"/>
  <c r="E7" i="2"/>
  <c r="D7" i="2"/>
  <c r="C7" i="2"/>
  <c r="B7" i="2"/>
  <c r="S7" i="2" s="1"/>
  <c r="U6" i="2"/>
  <c r="N6" i="2"/>
  <c r="M6" i="2"/>
  <c r="E6" i="2"/>
  <c r="D6" i="2"/>
  <c r="C6" i="2"/>
  <c r="B6" i="2"/>
  <c r="S6" i="2" s="1"/>
  <c r="U5" i="2"/>
  <c r="N5" i="2"/>
  <c r="M5" i="2"/>
  <c r="E5" i="2"/>
  <c r="D5" i="2"/>
  <c r="C5" i="2"/>
  <c r="B5" i="2"/>
  <c r="S5" i="2" s="1"/>
  <c r="F24" i="1"/>
  <c r="L874" i="2" l="1"/>
  <c r="F957" i="2"/>
  <c r="F40" i="4"/>
  <c r="G111" i="4"/>
  <c r="F230" i="4"/>
  <c r="F682" i="4"/>
  <c r="L13" i="2"/>
  <c r="L79" i="2"/>
  <c r="G101" i="2"/>
  <c r="J101" i="2" s="1"/>
  <c r="G130" i="2"/>
  <c r="H130" i="2" s="1"/>
  <c r="G159" i="2"/>
  <c r="J159" i="2" s="1"/>
  <c r="F418" i="2"/>
  <c r="F437" i="2"/>
  <c r="F503" i="2"/>
  <c r="G524" i="2"/>
  <c r="J524" i="2" s="1"/>
  <c r="L675" i="2"/>
  <c r="L699" i="2"/>
  <c r="G712" i="2"/>
  <c r="J712" i="2" s="1"/>
  <c r="L759" i="2"/>
  <c r="G821" i="2"/>
  <c r="P821" i="2" s="1"/>
  <c r="F917" i="2"/>
  <c r="G1003" i="2"/>
  <c r="P1003" i="2" s="1"/>
  <c r="F97" i="4"/>
  <c r="L100" i="4"/>
  <c r="G145" i="4"/>
  <c r="H145" i="4" s="1"/>
  <c r="L157" i="4"/>
  <c r="G199" i="4"/>
  <c r="P199" i="4" s="1"/>
  <c r="F213" i="4"/>
  <c r="G308" i="4"/>
  <c r="H308" i="4" s="1"/>
  <c r="G314" i="4"/>
  <c r="J314" i="4" s="1"/>
  <c r="F317" i="4"/>
  <c r="F333" i="4"/>
  <c r="L419" i="4"/>
  <c r="G429" i="4"/>
  <c r="H429" i="4" s="1"/>
  <c r="G439" i="4"/>
  <c r="P439" i="4" s="1"/>
  <c r="L501" i="4"/>
  <c r="G527" i="4"/>
  <c r="J527" i="4" s="1"/>
  <c r="G573" i="4"/>
  <c r="H573" i="4" s="1"/>
  <c r="F623" i="4"/>
  <c r="G782" i="4"/>
  <c r="J782" i="4" s="1"/>
  <c r="G895" i="4"/>
  <c r="H895" i="4" s="1"/>
  <c r="G915" i="4"/>
  <c r="H915" i="4" s="1"/>
  <c r="L955" i="4"/>
  <c r="L995" i="4"/>
  <c r="L145" i="2"/>
  <c r="L655" i="2"/>
  <c r="L711" i="2"/>
  <c r="F758" i="2"/>
  <c r="G828" i="2"/>
  <c r="P828" i="2" s="1"/>
  <c r="F839" i="2"/>
  <c r="G625" i="4"/>
  <c r="J625" i="4" s="1"/>
  <c r="G721" i="4"/>
  <c r="P721" i="4" s="1"/>
  <c r="F751" i="4"/>
  <c r="F645" i="2"/>
  <c r="L386" i="4"/>
  <c r="F442" i="4"/>
  <c r="F356" i="2"/>
  <c r="L429" i="2"/>
  <c r="G979" i="2"/>
  <c r="P979" i="2" s="1"/>
  <c r="L16" i="4"/>
  <c r="G77" i="4"/>
  <c r="P77" i="4" s="1"/>
  <c r="L151" i="4"/>
  <c r="L166" i="4"/>
  <c r="L193" i="4"/>
  <c r="L481" i="4"/>
  <c r="G732" i="4"/>
  <c r="J732" i="4" s="1"/>
  <c r="F752" i="4"/>
  <c r="G805" i="4"/>
  <c r="P805" i="4" s="1"/>
  <c r="F145" i="2"/>
  <c r="G198" i="2"/>
  <c r="P198" i="2" s="1"/>
  <c r="G555" i="2"/>
  <c r="H555" i="2" s="1"/>
  <c r="F655" i="2"/>
  <c r="G753" i="2"/>
  <c r="P753" i="2" s="1"/>
  <c r="L860" i="2"/>
  <c r="L895" i="2"/>
  <c r="L150" i="4"/>
  <c r="L288" i="4"/>
  <c r="G307" i="4"/>
  <c r="P307" i="4" s="1"/>
  <c r="F319" i="4"/>
  <c r="G338" i="4"/>
  <c r="H338" i="4" s="1"/>
  <c r="F395" i="4"/>
  <c r="G658" i="4"/>
  <c r="H658" i="4" s="1"/>
  <c r="L711" i="4"/>
  <c r="G814" i="4"/>
  <c r="J814" i="4" s="1"/>
  <c r="L209" i="2"/>
  <c r="G417" i="2"/>
  <c r="H417" i="2" s="1"/>
  <c r="F563" i="2"/>
  <c r="F666" i="2"/>
  <c r="F674" i="2"/>
  <c r="F828" i="2"/>
  <c r="L908" i="2"/>
  <c r="F1002" i="2"/>
  <c r="G156" i="4"/>
  <c r="J156" i="4" s="1"/>
  <c r="F192" i="4"/>
  <c r="L285" i="4"/>
  <c r="F68" i="2"/>
  <c r="F116" i="2"/>
  <c r="G124" i="2"/>
  <c r="P124" i="2" s="1"/>
  <c r="G228" i="2"/>
  <c r="P228" i="2" s="1"/>
  <c r="G241" i="2"/>
  <c r="J241" i="2" s="1"/>
  <c r="L268" i="2"/>
  <c r="G329" i="2"/>
  <c r="H329" i="2" s="1"/>
  <c r="G426" i="2"/>
  <c r="P426" i="2" s="1"/>
  <c r="F463" i="2"/>
  <c r="L474" i="2"/>
  <c r="F550" i="2"/>
  <c r="L569" i="2"/>
  <c r="F580" i="2"/>
  <c r="G618" i="2"/>
  <c r="P618" i="2" s="1"/>
  <c r="G661" i="2"/>
  <c r="J661" i="2" s="1"/>
  <c r="G984" i="2"/>
  <c r="H984" i="2" s="1"/>
  <c r="G298" i="4"/>
  <c r="H298" i="4" s="1"/>
  <c r="F648" i="2"/>
  <c r="F456" i="4"/>
  <c r="L717" i="2"/>
  <c r="F455" i="4"/>
  <c r="L971" i="2"/>
  <c r="L204" i="4"/>
  <c r="G452" i="4"/>
  <c r="P452" i="4" s="1"/>
  <c r="F632" i="4"/>
  <c r="G717" i="2"/>
  <c r="H717" i="2" s="1"/>
  <c r="F439" i="2"/>
  <c r="G537" i="2"/>
  <c r="H537" i="2" s="1"/>
  <c r="F946" i="2"/>
  <c r="F102" i="4"/>
  <c r="L276" i="4"/>
  <c r="L44" i="2"/>
  <c r="G168" i="4"/>
  <c r="P168" i="4" s="1"/>
  <c r="F10" i="2"/>
  <c r="L642" i="2"/>
  <c r="L13" i="4"/>
  <c r="G138" i="2"/>
  <c r="P138" i="2" s="1"/>
  <c r="F743" i="2"/>
  <c r="F636" i="4"/>
  <c r="L712" i="4"/>
  <c r="L732" i="4"/>
  <c r="L45" i="2"/>
  <c r="L175" i="2"/>
  <c r="L247" i="2"/>
  <c r="L263" i="2"/>
  <c r="F295" i="2"/>
  <c r="F308" i="2"/>
  <c r="G400" i="2"/>
  <c r="P400" i="2" s="1"/>
  <c r="G527" i="2"/>
  <c r="H527" i="2" s="1"/>
  <c r="L556" i="2"/>
  <c r="G572" i="2"/>
  <c r="P572" i="2" s="1"/>
  <c r="F597" i="2"/>
  <c r="F667" i="2"/>
  <c r="L683" i="2"/>
  <c r="L746" i="2"/>
  <c r="F920" i="2"/>
  <c r="G134" i="4"/>
  <c r="J134" i="4" s="1"/>
  <c r="F190" i="4"/>
  <c r="F311" i="4"/>
  <c r="L406" i="4"/>
  <c r="L560" i="4"/>
  <c r="L646" i="4"/>
  <c r="F709" i="4"/>
  <c r="F24" i="2"/>
  <c r="L93" i="2"/>
  <c r="G266" i="2"/>
  <c r="P266" i="2" s="1"/>
  <c r="G381" i="2"/>
  <c r="J381" i="2" s="1"/>
  <c r="G440" i="2"/>
  <c r="J440" i="2" s="1"/>
  <c r="F498" i="2"/>
  <c r="G872" i="2"/>
  <c r="P872" i="2" s="1"/>
  <c r="F939" i="2"/>
  <c r="L255" i="4"/>
  <c r="G277" i="4"/>
  <c r="H277" i="4" s="1"/>
  <c r="G330" i="4"/>
  <c r="H330" i="4" s="1"/>
  <c r="F358" i="4"/>
  <c r="F377" i="4"/>
  <c r="G403" i="4"/>
  <c r="P403" i="4" s="1"/>
  <c r="G544" i="4"/>
  <c r="P544" i="4" s="1"/>
  <c r="L590" i="4"/>
  <c r="G942" i="4"/>
  <c r="J942" i="4" s="1"/>
  <c r="G205" i="2"/>
  <c r="J205" i="2" s="1"/>
  <c r="L221" i="2"/>
  <c r="G362" i="2"/>
  <c r="P362" i="2" s="1"/>
  <c r="L384" i="2"/>
  <c r="L443" i="2"/>
  <c r="L608" i="2"/>
  <c r="G749" i="2"/>
  <c r="P749" i="2" s="1"/>
  <c r="G781" i="2"/>
  <c r="H781" i="2" s="1"/>
  <c r="F789" i="2"/>
  <c r="G44" i="4"/>
  <c r="P44" i="4" s="1"/>
  <c r="L327" i="4"/>
  <c r="G390" i="4"/>
  <c r="P390" i="4" s="1"/>
  <c r="G567" i="4"/>
  <c r="P567" i="4" s="1"/>
  <c r="G706" i="4"/>
  <c r="H706" i="4" s="1"/>
  <c r="L746" i="4"/>
  <c r="F32" i="2"/>
  <c r="G229" i="2"/>
  <c r="J229" i="2" s="1"/>
  <c r="L501" i="2"/>
  <c r="G519" i="2"/>
  <c r="P519" i="2" s="1"/>
  <c r="L551" i="2"/>
  <c r="F627" i="2"/>
  <c r="L643" i="2"/>
  <c r="L662" i="2"/>
  <c r="L694" i="2"/>
  <c r="L723" i="2"/>
  <c r="L808" i="2"/>
  <c r="G816" i="2"/>
  <c r="P816" i="2" s="1"/>
  <c r="G923" i="2"/>
  <c r="H923" i="2" s="1"/>
  <c r="F985" i="2"/>
  <c r="L6" i="4"/>
  <c r="L14" i="4"/>
  <c r="G75" i="4"/>
  <c r="P75" i="4" s="1"/>
  <c r="F86" i="4"/>
  <c r="L109" i="4"/>
  <c r="L231" i="4"/>
  <c r="G299" i="4"/>
  <c r="H299" i="4" s="1"/>
  <c r="L400" i="4"/>
  <c r="F423" i="4"/>
  <c r="G191" i="2"/>
  <c r="H191" i="2" s="1"/>
  <c r="L319" i="2"/>
  <c r="F448" i="2"/>
  <c r="F733" i="2"/>
  <c r="G754" i="2"/>
  <c r="P754" i="2" s="1"/>
  <c r="G797" i="2"/>
  <c r="H797" i="2" s="1"/>
  <c r="L888" i="2"/>
  <c r="F909" i="2"/>
  <c r="F944" i="2"/>
  <c r="L184" i="4"/>
  <c r="L393" i="4"/>
  <c r="G478" i="4"/>
  <c r="P478" i="4" s="1"/>
  <c r="L699" i="4"/>
  <c r="G719" i="4"/>
  <c r="J719" i="4" s="1"/>
  <c r="F759" i="4"/>
  <c r="G842" i="4"/>
  <c r="J842" i="4" s="1"/>
  <c r="G29" i="2"/>
  <c r="P29" i="2" s="1"/>
  <c r="L239" i="2"/>
  <c r="F274" i="2"/>
  <c r="L359" i="2"/>
  <c r="G456" i="2"/>
  <c r="P456" i="2" s="1"/>
  <c r="L586" i="2"/>
  <c r="G824" i="2"/>
  <c r="J824" i="2" s="1"/>
  <c r="G67" i="4"/>
  <c r="H67" i="4" s="1"/>
  <c r="L83" i="4"/>
  <c r="F181" i="4"/>
  <c r="L237" i="4"/>
  <c r="F271" i="4"/>
  <c r="G511" i="4"/>
  <c r="J511" i="4" s="1"/>
  <c r="G521" i="4"/>
  <c r="J521" i="4" s="1"/>
  <c r="F620" i="4"/>
  <c r="F902" i="4"/>
  <c r="L104" i="2"/>
  <c r="F154" i="2"/>
  <c r="G234" i="2"/>
  <c r="P234" i="2" s="1"/>
  <c r="G311" i="2"/>
  <c r="J311" i="2" s="1"/>
  <c r="F640" i="2"/>
  <c r="G707" i="2"/>
  <c r="H707" i="2" s="1"/>
  <c r="L728" i="2"/>
  <c r="G856" i="2"/>
  <c r="J856" i="2" s="1"/>
  <c r="L883" i="2"/>
  <c r="F891" i="2"/>
  <c r="F25" i="4"/>
  <c r="G38" i="4"/>
  <c r="J38" i="4" s="1"/>
  <c r="G41" i="4"/>
  <c r="P41" i="4" s="1"/>
  <c r="G178" i="4"/>
  <c r="J178" i="4" s="1"/>
  <c r="G234" i="4"/>
  <c r="H234" i="4" s="1"/>
  <c r="F240" i="4"/>
  <c r="F249" i="4"/>
  <c r="F475" i="4"/>
  <c r="L630" i="4"/>
  <c r="F756" i="4"/>
  <c r="F829" i="4"/>
  <c r="L849" i="4"/>
  <c r="L96" i="2"/>
  <c r="G117" i="2"/>
  <c r="H117" i="2" s="1"/>
  <c r="L149" i="2"/>
  <c r="L485" i="4"/>
  <c r="L495" i="4"/>
  <c r="F541" i="4"/>
  <c r="L577" i="4"/>
  <c r="G640" i="4"/>
  <c r="P640" i="4" s="1"/>
  <c r="G673" i="4"/>
  <c r="H673" i="4" s="1"/>
  <c r="G683" i="4"/>
  <c r="H683" i="4" s="1"/>
  <c r="L693" i="4"/>
  <c r="G796" i="4"/>
  <c r="H796" i="4" s="1"/>
  <c r="L64" i="2"/>
  <c r="G136" i="2"/>
  <c r="P136" i="2" s="1"/>
  <c r="F354" i="2"/>
  <c r="L387" i="2"/>
  <c r="F446" i="2"/>
  <c r="F522" i="2"/>
  <c r="F646" i="2"/>
  <c r="L697" i="2"/>
  <c r="F752" i="2"/>
  <c r="G773" i="2"/>
  <c r="H773" i="2" s="1"/>
  <c r="G792" i="2"/>
  <c r="J792" i="2" s="1"/>
  <c r="F819" i="2"/>
  <c r="L886" i="2"/>
  <c r="F907" i="2"/>
  <c r="L934" i="2"/>
  <c r="L1001" i="2"/>
  <c r="L62" i="4"/>
  <c r="L152" i="4"/>
  <c r="L343" i="4"/>
  <c r="F637" i="4"/>
  <c r="F650" i="4"/>
  <c r="L660" i="4"/>
  <c r="F703" i="4"/>
  <c r="G733" i="4"/>
  <c r="H733" i="4" s="1"/>
  <c r="L743" i="4"/>
  <c r="L753" i="4"/>
  <c r="F763" i="4"/>
  <c r="G826" i="4"/>
  <c r="J826" i="4" s="1"/>
  <c r="G836" i="4"/>
  <c r="H836" i="4" s="1"/>
  <c r="L846" i="4"/>
  <c r="F19" i="2"/>
  <c r="L27" i="2"/>
  <c r="L186" i="2"/>
  <c r="G253" i="2"/>
  <c r="P253" i="2" s="1"/>
  <c r="G261" i="2"/>
  <c r="J261" i="2" s="1"/>
  <c r="G293" i="2"/>
  <c r="J293" i="2" s="1"/>
  <c r="G306" i="2"/>
  <c r="J306" i="2" s="1"/>
  <c r="L357" i="2"/>
  <c r="F478" i="2"/>
  <c r="F483" i="2"/>
  <c r="G595" i="2"/>
  <c r="P595" i="2" s="1"/>
  <c r="L673" i="2"/>
  <c r="F681" i="2"/>
  <c r="L710" i="2"/>
  <c r="F731" i="2"/>
  <c r="F926" i="2"/>
  <c r="L950" i="2"/>
  <c r="G28" i="4"/>
  <c r="J28" i="4" s="1"/>
  <c r="G78" i="4"/>
  <c r="J78" i="4" s="1"/>
  <c r="F106" i="4"/>
  <c r="L167" i="4"/>
  <c r="G318" i="4"/>
  <c r="J318" i="4" s="1"/>
  <c r="L420" i="4"/>
  <c r="G492" i="4"/>
  <c r="P492" i="4" s="1"/>
  <c r="G574" i="4"/>
  <c r="J574" i="4" s="1"/>
  <c r="G604" i="4"/>
  <c r="P604" i="4" s="1"/>
  <c r="G624" i="4"/>
  <c r="J624" i="4" s="1"/>
  <c r="F670" i="4"/>
  <c r="L773" i="4"/>
  <c r="G856" i="4"/>
  <c r="P856" i="4" s="1"/>
  <c r="L866" i="4"/>
  <c r="G876" i="4"/>
  <c r="J876" i="4" s="1"/>
  <c r="L886" i="4"/>
  <c r="L896" i="4"/>
  <c r="G966" i="4"/>
  <c r="P966" i="4" s="1"/>
  <c r="L976" i="4"/>
  <c r="G107" i="2"/>
  <c r="J107" i="2" s="1"/>
  <c r="G139" i="2"/>
  <c r="H139" i="2" s="1"/>
  <c r="F165" i="2"/>
  <c r="F280" i="2"/>
  <c r="G379" i="2"/>
  <c r="J379" i="2" s="1"/>
  <c r="G622" i="2"/>
  <c r="J622" i="2" s="1"/>
  <c r="L95" i="4"/>
  <c r="L132" i="4"/>
  <c r="L173" i="4"/>
  <c r="L197" i="4"/>
  <c r="L217" i="4"/>
  <c r="G35" i="2"/>
  <c r="P35" i="2" s="1"/>
  <c r="F102" i="2"/>
  <c r="L120" i="2"/>
  <c r="L189" i="2"/>
  <c r="F200" i="2"/>
  <c r="G219" i="2"/>
  <c r="P219" i="2" s="1"/>
  <c r="L245" i="2"/>
  <c r="G325" i="2"/>
  <c r="P325" i="2" s="1"/>
  <c r="G419" i="2"/>
  <c r="J419" i="2" s="1"/>
  <c r="F430" i="2"/>
  <c r="F496" i="2"/>
  <c r="F509" i="2"/>
  <c r="F525" i="2"/>
  <c r="L739" i="2"/>
  <c r="G918" i="2"/>
  <c r="J918" i="2" s="1"/>
  <c r="L1004" i="2"/>
  <c r="F9" i="4"/>
  <c r="F65" i="4"/>
  <c r="L38" i="2"/>
  <c r="L94" i="2"/>
  <c r="F214" i="2"/>
  <c r="F385" i="2"/>
  <c r="F462" i="2"/>
  <c r="L544" i="2"/>
  <c r="F560" i="2"/>
  <c r="L579" i="2"/>
  <c r="G590" i="2"/>
  <c r="J590" i="2" s="1"/>
  <c r="G601" i="2"/>
  <c r="P601" i="2" s="1"/>
  <c r="F617" i="2"/>
  <c r="F641" i="2"/>
  <c r="L660" i="2"/>
  <c r="F750" i="2"/>
  <c r="F849" i="2"/>
  <c r="L900" i="2"/>
  <c r="G932" i="2"/>
  <c r="H932" i="2" s="1"/>
  <c r="F956" i="2"/>
  <c r="F57" i="4"/>
  <c r="F110" i="4"/>
  <c r="L121" i="4"/>
  <c r="L235" i="4"/>
  <c r="G347" i="4"/>
  <c r="P347" i="4" s="1"/>
  <c r="F388" i="4"/>
  <c r="G424" i="4"/>
  <c r="H424" i="4" s="1"/>
  <c r="F444" i="4"/>
  <c r="L463" i="4"/>
  <c r="L486" i="4"/>
  <c r="G532" i="4"/>
  <c r="P532" i="4" s="1"/>
  <c r="L641" i="4"/>
  <c r="F674" i="4"/>
  <c r="F860" i="4"/>
  <c r="L880" i="4"/>
  <c r="L900" i="4"/>
  <c r="F920" i="4"/>
  <c r="G1000" i="4"/>
  <c r="P1000" i="4" s="1"/>
  <c r="F306" i="4"/>
  <c r="G309" i="4"/>
  <c r="J309" i="4" s="1"/>
  <c r="L312" i="4"/>
  <c r="L315" i="4"/>
  <c r="F571" i="4"/>
  <c r="G634" i="4"/>
  <c r="J634" i="4" s="1"/>
  <c r="G647" i="4"/>
  <c r="P647" i="4" s="1"/>
  <c r="F657" i="4"/>
  <c r="F700" i="4"/>
  <c r="F730" i="4"/>
  <c r="L750" i="4"/>
  <c r="L823" i="4"/>
  <c r="L14" i="2"/>
  <c r="G160" i="2"/>
  <c r="P160" i="2" s="1"/>
  <c r="F181" i="2"/>
  <c r="F192" i="2"/>
  <c r="G211" i="2"/>
  <c r="H211" i="2" s="1"/>
  <c r="G256" i="2"/>
  <c r="J256" i="2" s="1"/>
  <c r="F272" i="2"/>
  <c r="F320" i="2"/>
  <c r="G390" i="2"/>
  <c r="H390" i="2" s="1"/>
  <c r="F438" i="2"/>
  <c r="G517" i="2"/>
  <c r="H517" i="2" s="1"/>
  <c r="F700" i="2"/>
  <c r="F726" i="2"/>
  <c r="L747" i="2"/>
  <c r="G881" i="2"/>
  <c r="P881" i="2" s="1"/>
  <c r="G921" i="2"/>
  <c r="J921" i="2" s="1"/>
  <c r="G945" i="2"/>
  <c r="J945" i="2" s="1"/>
  <c r="F953" i="2"/>
  <c r="F36" i="4"/>
  <c r="L101" i="4"/>
  <c r="G135" i="4"/>
  <c r="P135" i="4" s="1"/>
  <c r="G185" i="4"/>
  <c r="H185" i="4" s="1"/>
  <c r="L208" i="4"/>
  <c r="G278" i="4"/>
  <c r="P278" i="4" s="1"/>
  <c r="G331" i="4"/>
  <c r="J331" i="4" s="1"/>
  <c r="F489" i="4"/>
  <c r="G499" i="4"/>
  <c r="H499" i="4" s="1"/>
  <c r="L522" i="4"/>
  <c r="L581" i="4"/>
  <c r="L601" i="4"/>
  <c r="L687" i="4"/>
  <c r="G790" i="4"/>
  <c r="H790" i="4" s="1"/>
  <c r="L863" i="4"/>
  <c r="L873" i="4"/>
  <c r="F883" i="4"/>
  <c r="L963" i="4"/>
  <c r="L46" i="2"/>
  <c r="L67" i="2"/>
  <c r="G328" i="2"/>
  <c r="H328" i="2" s="1"/>
  <c r="F414" i="2"/>
  <c r="L441" i="2"/>
  <c r="F470" i="2"/>
  <c r="G528" i="2"/>
  <c r="P528" i="2" s="1"/>
  <c r="G576" i="2"/>
  <c r="P576" i="2" s="1"/>
  <c r="L587" i="2"/>
  <c r="L606" i="2"/>
  <c r="L625" i="2"/>
  <c r="F668" i="2"/>
  <c r="G684" i="2"/>
  <c r="P684" i="2" s="1"/>
  <c r="F692" i="2"/>
  <c r="F833" i="2"/>
  <c r="G873" i="2"/>
  <c r="P873" i="2" s="1"/>
  <c r="L999" i="2"/>
  <c r="G45" i="4"/>
  <c r="H45" i="4" s="1"/>
  <c r="G48" i="4"/>
  <c r="J48" i="4" s="1"/>
  <c r="F51" i="4"/>
  <c r="F73" i="4"/>
  <c r="L188" i="4"/>
  <c r="L241" i="4"/>
  <c r="L244" i="4"/>
  <c r="F247" i="4"/>
  <c r="F303" i="4"/>
  <c r="F328" i="4"/>
  <c r="F356" i="4"/>
  <c r="L375" i="4"/>
  <c r="F404" i="4"/>
  <c r="F476" i="4"/>
  <c r="L717" i="4"/>
  <c r="L737" i="4"/>
  <c r="F747" i="4"/>
  <c r="G757" i="4"/>
  <c r="H757" i="4" s="1"/>
  <c r="G767" i="4"/>
  <c r="H767" i="4" s="1"/>
  <c r="G840" i="4"/>
  <c r="H840" i="4" s="1"/>
  <c r="F28" i="2"/>
  <c r="L166" i="2"/>
  <c r="F44" i="2"/>
  <c r="F92" i="2"/>
  <c r="F121" i="2"/>
  <c r="F307" i="2"/>
  <c r="F489" i="2"/>
  <c r="F526" i="2"/>
  <c r="G542" i="2"/>
  <c r="J542" i="2" s="1"/>
  <c r="G54" i="2"/>
  <c r="P54" i="2" s="1"/>
  <c r="G105" i="2"/>
  <c r="H105" i="2" s="1"/>
  <c r="L110" i="2"/>
  <c r="L134" i="2"/>
  <c r="F155" i="2"/>
  <c r="L235" i="2"/>
  <c r="L259" i="2"/>
  <c r="F291" i="2"/>
  <c r="G304" i="2"/>
  <c r="P304" i="2" s="1"/>
  <c r="L352" i="2"/>
  <c r="G609" i="2"/>
  <c r="H609" i="2" s="1"/>
  <c r="G671" i="2"/>
  <c r="H671" i="2" s="1"/>
  <c r="L742" i="2"/>
  <c r="F790" i="2"/>
  <c r="G801" i="2"/>
  <c r="P801" i="2" s="1"/>
  <c r="G913" i="2"/>
  <c r="P913" i="2" s="1"/>
  <c r="L162" i="4"/>
  <c r="L203" i="4"/>
  <c r="F294" i="4"/>
  <c r="G297" i="4"/>
  <c r="P297" i="4" s="1"/>
  <c r="G322" i="4"/>
  <c r="P322" i="4" s="1"/>
  <c r="G341" i="4"/>
  <c r="J341" i="4" s="1"/>
  <c r="L555" i="4"/>
  <c r="F651" i="4"/>
  <c r="L714" i="4"/>
  <c r="L724" i="4"/>
  <c r="G744" i="4"/>
  <c r="H744" i="4" s="1"/>
  <c r="G764" i="4"/>
  <c r="J764" i="4" s="1"/>
  <c r="G817" i="4"/>
  <c r="P817" i="4" s="1"/>
  <c r="F12" i="2"/>
  <c r="F33" i="2"/>
  <c r="L179" i="2"/>
  <c r="F243" i="2"/>
  <c r="L251" i="2"/>
  <c r="G286" i="2"/>
  <c r="P286" i="2" s="1"/>
  <c r="L366" i="2"/>
  <c r="F436" i="2"/>
  <c r="F523" i="2"/>
  <c r="G620" i="2"/>
  <c r="H620" i="2" s="1"/>
  <c r="F737" i="2"/>
  <c r="F809" i="2"/>
  <c r="F924" i="2"/>
  <c r="F970" i="2"/>
  <c r="G978" i="2"/>
  <c r="P978" i="2" s="1"/>
  <c r="F76" i="4"/>
  <c r="F159" i="4"/>
  <c r="F441" i="4"/>
  <c r="L470" i="4"/>
  <c r="G516" i="4"/>
  <c r="J516" i="4" s="1"/>
  <c r="L529" i="4"/>
  <c r="L539" i="4"/>
  <c r="L615" i="4"/>
  <c r="G671" i="4"/>
  <c r="H671" i="4" s="1"/>
  <c r="L897" i="4"/>
  <c r="L917" i="4"/>
  <c r="L987" i="4"/>
  <c r="G690" i="2"/>
  <c r="H690" i="2" s="1"/>
  <c r="G796" i="2"/>
  <c r="J796" i="2" s="1"/>
  <c r="F871" i="2"/>
  <c r="F973" i="2"/>
  <c r="L997" i="2"/>
  <c r="G21" i="4"/>
  <c r="J21" i="4" s="1"/>
  <c r="L34" i="4"/>
  <c r="F71" i="4"/>
  <c r="L116" i="4"/>
  <c r="F147" i="4"/>
  <c r="L310" i="4"/>
  <c r="L335" i="4"/>
  <c r="G428" i="4"/>
  <c r="H428" i="4" s="1"/>
  <c r="G438" i="4"/>
  <c r="P438" i="4" s="1"/>
  <c r="L467" i="4"/>
  <c r="L513" i="4"/>
  <c r="L536" i="4"/>
  <c r="F546" i="4"/>
  <c r="G582" i="4"/>
  <c r="H582" i="4" s="1"/>
  <c r="L592" i="4"/>
  <c r="L612" i="4"/>
  <c r="G874" i="4"/>
  <c r="J874" i="4" s="1"/>
  <c r="F924" i="4"/>
  <c r="G974" i="4"/>
  <c r="J974" i="4" s="1"/>
  <c r="F984" i="4"/>
  <c r="L15" i="2"/>
  <c r="F84" i="2"/>
  <c r="G265" i="2"/>
  <c r="P265" i="2" s="1"/>
  <c r="F273" i="2"/>
  <c r="F407" i="2"/>
  <c r="F558" i="2"/>
  <c r="L599" i="2"/>
  <c r="G615" i="2"/>
  <c r="J615" i="2" s="1"/>
  <c r="F740" i="2"/>
  <c r="G981" i="2"/>
  <c r="H981" i="2" s="1"/>
  <c r="G46" i="4"/>
  <c r="J46" i="4" s="1"/>
  <c r="L136" i="4"/>
  <c r="G221" i="4"/>
  <c r="J221" i="4" s="1"/>
  <c r="F242" i="4"/>
  <c r="G276" i="4"/>
  <c r="P276" i="4" s="1"/>
  <c r="L304" i="4"/>
  <c r="L329" i="4"/>
  <c r="G357" i="4"/>
  <c r="J357" i="4" s="1"/>
  <c r="G376" i="4"/>
  <c r="P376" i="4" s="1"/>
  <c r="G392" i="4"/>
  <c r="H392" i="4" s="1"/>
  <c r="L523" i="4"/>
  <c r="L632" i="4"/>
  <c r="F698" i="4"/>
  <c r="G728" i="4"/>
  <c r="J728" i="4" s="1"/>
  <c r="L768" i="4"/>
  <c r="L801" i="4"/>
  <c r="F841" i="4"/>
  <c r="F182" i="2"/>
  <c r="F249" i="2"/>
  <c r="G297" i="2"/>
  <c r="J297" i="2" s="1"/>
  <c r="L391" i="2"/>
  <c r="L492" i="2"/>
  <c r="L639" i="2"/>
  <c r="L701" i="2"/>
  <c r="G722" i="2"/>
  <c r="H722" i="2" s="1"/>
  <c r="F807" i="2"/>
  <c r="L834" i="2"/>
  <c r="L842" i="2"/>
  <c r="L965" i="2"/>
  <c r="G24" i="4"/>
  <c r="P24" i="4" s="1"/>
  <c r="G43" i="4"/>
  <c r="H43" i="4" s="1"/>
  <c r="L55" i="4"/>
  <c r="L85" i="4"/>
  <c r="G139" i="4"/>
  <c r="J139" i="4" s="1"/>
  <c r="L236" i="4"/>
  <c r="F415" i="4"/>
  <c r="L487" i="4"/>
  <c r="G510" i="4"/>
  <c r="J510" i="4" s="1"/>
  <c r="G520" i="4"/>
  <c r="J520" i="4" s="1"/>
  <c r="L589" i="4"/>
  <c r="F609" i="4"/>
  <c r="F675" i="4"/>
  <c r="L695" i="4"/>
  <c r="F788" i="4"/>
  <c r="F861" i="4"/>
  <c r="F871" i="4"/>
  <c r="L891" i="4"/>
  <c r="G961" i="4"/>
  <c r="J961" i="4" s="1"/>
  <c r="L971" i="4"/>
  <c r="F1001" i="4"/>
  <c r="F629" i="4"/>
  <c r="L662" i="4"/>
  <c r="F808" i="4"/>
  <c r="L828" i="4"/>
  <c r="G838" i="4"/>
  <c r="H838" i="4" s="1"/>
  <c r="G39" i="2"/>
  <c r="H39" i="2" s="1"/>
  <c r="G63" i="2"/>
  <c r="J63" i="2" s="1"/>
  <c r="G98" i="2"/>
  <c r="P98" i="2" s="1"/>
  <c r="G207" i="2"/>
  <c r="J207" i="2" s="1"/>
  <c r="G386" i="2"/>
  <c r="H386" i="2" s="1"/>
  <c r="F394" i="2"/>
  <c r="F482" i="2"/>
  <c r="G487" i="2"/>
  <c r="H487" i="2" s="1"/>
  <c r="L532" i="2"/>
  <c r="L545" i="2"/>
  <c r="G602" i="2"/>
  <c r="H602" i="2" s="1"/>
  <c r="F634" i="2"/>
  <c r="L696" i="2"/>
  <c r="F818" i="2"/>
  <c r="L901" i="2"/>
  <c r="G914" i="2"/>
  <c r="J914" i="2" s="1"/>
  <c r="L941" i="2"/>
  <c r="L949" i="2"/>
  <c r="F27" i="4"/>
  <c r="L32" i="4"/>
  <c r="F412" i="4"/>
  <c r="L484" i="4"/>
  <c r="L918" i="4"/>
  <c r="G928" i="4"/>
  <c r="J928" i="4" s="1"/>
  <c r="L958" i="4"/>
  <c r="G968" i="4"/>
  <c r="J968" i="4" s="1"/>
  <c r="G508" i="2"/>
  <c r="P508" i="2" s="1"/>
  <c r="G629" i="2"/>
  <c r="H629" i="2" s="1"/>
  <c r="F709" i="2"/>
  <c r="F877" i="2"/>
  <c r="L364" i="4"/>
  <c r="L367" i="4"/>
  <c r="L563" i="4"/>
  <c r="G626" i="4"/>
  <c r="J626" i="4" s="1"/>
  <c r="L659" i="4"/>
  <c r="L222" i="2"/>
  <c r="G227" i="2"/>
  <c r="H227" i="2" s="1"/>
  <c r="L283" i="2"/>
  <c r="L782" i="2"/>
  <c r="F865" i="2"/>
  <c r="F434" i="4"/>
  <c r="L444" i="4"/>
  <c r="G900" i="4"/>
  <c r="J900" i="4" s="1"/>
  <c r="G920" i="4"/>
  <c r="H920" i="4" s="1"/>
  <c r="F990" i="4"/>
  <c r="L329" i="2"/>
  <c r="G474" i="2"/>
  <c r="J474" i="2" s="1"/>
  <c r="F397" i="2"/>
  <c r="F151" i="4"/>
  <c r="G220" i="2"/>
  <c r="J220" i="2" s="1"/>
  <c r="F455" i="2"/>
  <c r="L31" i="2"/>
  <c r="L249" i="2"/>
  <c r="G706" i="2"/>
  <c r="P706" i="2" s="1"/>
  <c r="G177" i="4"/>
  <c r="H177" i="4" s="1"/>
  <c r="F279" i="4"/>
  <c r="F310" i="4"/>
  <c r="L974" i="4"/>
  <c r="F255" i="4"/>
  <c r="F159" i="2"/>
  <c r="G154" i="4"/>
  <c r="J154" i="4" s="1"/>
  <c r="L196" i="4"/>
  <c r="L213" i="4"/>
  <c r="L345" i="4"/>
  <c r="F616" i="4"/>
  <c r="L938" i="4"/>
  <c r="G247" i="2"/>
  <c r="J247" i="2" s="1"/>
  <c r="L255" i="2"/>
  <c r="L271" i="2"/>
  <c r="L861" i="2"/>
  <c r="L266" i="2"/>
  <c r="L424" i="2"/>
  <c r="L440" i="2"/>
  <c r="L480" i="2"/>
  <c r="L511" i="2"/>
  <c r="F67" i="4"/>
  <c r="L429" i="4"/>
  <c r="L573" i="4"/>
  <c r="G274" i="2"/>
  <c r="H274" i="2" s="1"/>
  <c r="F581" i="4"/>
  <c r="L274" i="2"/>
  <c r="L527" i="2"/>
  <c r="G97" i="4"/>
  <c r="H97" i="4" s="1"/>
  <c r="L426" i="2"/>
  <c r="F139" i="4"/>
  <c r="L449" i="2"/>
  <c r="G536" i="2"/>
  <c r="J536" i="2" s="1"/>
  <c r="L781" i="2"/>
  <c r="G784" i="2"/>
  <c r="P784" i="2" s="1"/>
  <c r="L97" i="4"/>
  <c r="L261" i="4"/>
  <c r="L458" i="4"/>
  <c r="L530" i="4"/>
  <c r="L778" i="4"/>
  <c r="F499" i="2"/>
  <c r="L289" i="4"/>
  <c r="F439" i="4"/>
  <c r="G273" i="2"/>
  <c r="H273" i="2" s="1"/>
  <c r="L641" i="2"/>
  <c r="G109" i="4"/>
  <c r="J109" i="4" s="1"/>
  <c r="G639" i="4"/>
  <c r="P639" i="4" s="1"/>
  <c r="G95" i="2"/>
  <c r="P95" i="2" s="1"/>
  <c r="G726" i="2"/>
  <c r="J726" i="2" s="1"/>
  <c r="L649" i="4"/>
  <c r="L39" i="2"/>
  <c r="L726" i="2"/>
  <c r="L873" i="2"/>
  <c r="L889" i="2"/>
  <c r="L98" i="4"/>
  <c r="G106" i="4"/>
  <c r="J106" i="4" s="1"/>
  <c r="F534" i="4"/>
  <c r="F865" i="4"/>
  <c r="F796" i="4"/>
  <c r="F942" i="4"/>
  <c r="G144" i="2"/>
  <c r="P144" i="2" s="1"/>
  <c r="F378" i="2"/>
  <c r="G482" i="2"/>
  <c r="H482" i="2" s="1"/>
  <c r="L811" i="2"/>
  <c r="L915" i="2"/>
  <c r="L147" i="4"/>
  <c r="L431" i="4"/>
  <c r="L942" i="4"/>
  <c r="L256" i="2"/>
  <c r="L945" i="2"/>
  <c r="L524" i="2"/>
  <c r="F545" i="2"/>
  <c r="L190" i="2"/>
  <c r="G225" i="2"/>
  <c r="J225" i="2" s="1"/>
  <c r="F336" i="2"/>
  <c r="G467" i="2"/>
  <c r="P467" i="2" s="1"/>
  <c r="F656" i="2"/>
  <c r="G699" i="2"/>
  <c r="P699" i="2" s="1"/>
  <c r="L704" i="2"/>
  <c r="L712" i="2"/>
  <c r="L756" i="2"/>
  <c r="G367" i="4"/>
  <c r="P367" i="4" s="1"/>
  <c r="L468" i="4"/>
  <c r="L504" i="4"/>
  <c r="L629" i="4"/>
  <c r="L715" i="4"/>
  <c r="L725" i="4"/>
  <c r="F745" i="4"/>
  <c r="G14" i="4"/>
  <c r="P14" i="4" s="1"/>
  <c r="L339" i="2"/>
  <c r="F517" i="2"/>
  <c r="G643" i="2"/>
  <c r="P643" i="2" s="1"/>
  <c r="G34" i="4"/>
  <c r="H34" i="4" s="1"/>
  <c r="G124" i="4"/>
  <c r="P124" i="4" s="1"/>
  <c r="F567" i="4"/>
  <c r="F699" i="4"/>
  <c r="L739" i="4"/>
  <c r="F635" i="2"/>
  <c r="L665" i="2"/>
  <c r="L24" i="2"/>
  <c r="F93" i="2"/>
  <c r="G146" i="2"/>
  <c r="H146" i="2" s="1"/>
  <c r="F372" i="2"/>
  <c r="F391" i="2"/>
  <c r="F423" i="2"/>
  <c r="L909" i="2"/>
  <c r="F437" i="4"/>
  <c r="L528" i="4"/>
  <c r="L587" i="4"/>
  <c r="F693" i="4"/>
  <c r="L796" i="4"/>
  <c r="L872" i="4"/>
  <c r="F882" i="4"/>
  <c r="G902" i="4"/>
  <c r="P902" i="4" s="1"/>
  <c r="L912" i="4"/>
  <c r="F429" i="4"/>
  <c r="F35" i="2"/>
  <c r="F328" i="2"/>
  <c r="G151" i="4"/>
  <c r="H151" i="4" s="1"/>
  <c r="F683" i="2"/>
  <c r="G213" i="4"/>
  <c r="J213" i="4" s="1"/>
  <c r="F139" i="2"/>
  <c r="L576" i="2"/>
  <c r="G110" i="4"/>
  <c r="P110" i="4" s="1"/>
  <c r="F441" i="2"/>
  <c r="L307" i="4"/>
  <c r="G441" i="2"/>
  <c r="L446" i="2"/>
  <c r="F873" i="2"/>
  <c r="L362" i="2"/>
  <c r="L634" i="4"/>
  <c r="F207" i="2"/>
  <c r="G747" i="2"/>
  <c r="L978" i="2"/>
  <c r="F278" i="4"/>
  <c r="L207" i="2"/>
  <c r="F816" i="2"/>
  <c r="L73" i="4"/>
  <c r="F474" i="2"/>
  <c r="G965" i="2"/>
  <c r="J965" i="2" s="1"/>
  <c r="G236" i="4"/>
  <c r="P236" i="4" s="1"/>
  <c r="L560" i="2"/>
  <c r="H683" i="2"/>
  <c r="J683" i="2"/>
  <c r="F307" i="4"/>
  <c r="G27" i="4"/>
  <c r="J27" i="4" s="1"/>
  <c r="L110" i="4"/>
  <c r="L171" i="2"/>
  <c r="G179" i="2"/>
  <c r="L248" i="2"/>
  <c r="F375" i="2"/>
  <c r="F775" i="2"/>
  <c r="F77" i="4"/>
  <c r="F188" i="4"/>
  <c r="G354" i="4"/>
  <c r="H354" i="4" s="1"/>
  <c r="G489" i="4"/>
  <c r="P489" i="4" s="1"/>
  <c r="G607" i="4"/>
  <c r="J607" i="4" s="1"/>
  <c r="F834" i="2"/>
  <c r="G197" i="4"/>
  <c r="J197" i="4" s="1"/>
  <c r="G971" i="4"/>
  <c r="J971" i="4" s="1"/>
  <c r="L978" i="4"/>
  <c r="L988" i="4"/>
  <c r="G335" i="2"/>
  <c r="H335" i="2" s="1"/>
  <c r="L980" i="2"/>
  <c r="L80" i="4"/>
  <c r="G150" i="4"/>
  <c r="P150" i="4" s="1"/>
  <c r="L27" i="4"/>
  <c r="F256" i="2"/>
  <c r="G298" i="2"/>
  <c r="L348" i="2"/>
  <c r="F426" i="2"/>
  <c r="F538" i="2"/>
  <c r="G666" i="2"/>
  <c r="L871" i="2"/>
  <c r="L111" i="4"/>
  <c r="F376" i="4"/>
  <c r="L16" i="2"/>
  <c r="G50" i="2"/>
  <c r="J50" i="2" s="1"/>
  <c r="L58" i="2"/>
  <c r="L161" i="2"/>
  <c r="G169" i="2"/>
  <c r="J169" i="2" s="1"/>
  <c r="F285" i="2"/>
  <c r="L343" i="2"/>
  <c r="L370" i="2"/>
  <c r="F591" i="2"/>
  <c r="L626" i="2"/>
  <c r="G631" i="2"/>
  <c r="G882" i="2"/>
  <c r="H882" i="2" s="1"/>
  <c r="L991" i="2"/>
  <c r="F28" i="4"/>
  <c r="L389" i="4"/>
  <c r="F634" i="4"/>
  <c r="L793" i="4"/>
  <c r="L859" i="4"/>
  <c r="L879" i="4"/>
  <c r="L889" i="4"/>
  <c r="G908" i="4"/>
  <c r="J908" i="4" s="1"/>
  <c r="L908" i="4"/>
  <c r="L634" i="2"/>
  <c r="L669" i="2"/>
  <c r="G669" i="2"/>
  <c r="P669" i="2" s="1"/>
  <c r="G909" i="2"/>
  <c r="H909" i="2" s="1"/>
  <c r="G152" i="4"/>
  <c r="P152" i="4" s="1"/>
  <c r="L281" i="4"/>
  <c r="F299" i="4"/>
  <c r="G487" i="4"/>
  <c r="J487" i="4" s="1"/>
  <c r="G621" i="4"/>
  <c r="H621" i="4" s="1"/>
  <c r="L656" i="4"/>
  <c r="F336" i="4"/>
  <c r="G336" i="4"/>
  <c r="J336" i="4" s="1"/>
  <c r="L579" i="4"/>
  <c r="F579" i="4"/>
  <c r="F95" i="4"/>
  <c r="L903" i="2"/>
  <c r="G903" i="2"/>
  <c r="G95" i="4"/>
  <c r="H95" i="4" s="1"/>
  <c r="F318" i="4"/>
  <c r="L402" i="4"/>
  <c r="G402" i="4"/>
  <c r="F402" i="4"/>
  <c r="F521" i="4"/>
  <c r="G98" i="4"/>
  <c r="H98" i="4" s="1"/>
  <c r="F98" i="4"/>
  <c r="G788" i="4"/>
  <c r="J788" i="4" s="1"/>
  <c r="F186" i="2"/>
  <c r="L681" i="2"/>
  <c r="G192" i="4"/>
  <c r="G763" i="4"/>
  <c r="G795" i="4"/>
  <c r="L795" i="4"/>
  <c r="P808" i="4"/>
  <c r="J808" i="4"/>
  <c r="H808" i="4"/>
  <c r="F872" i="2"/>
  <c r="G953" i="2"/>
  <c r="P953" i="2" s="1"/>
  <c r="L192" i="4"/>
  <c r="L763" i="4"/>
  <c r="G776" i="4"/>
  <c r="L776" i="4"/>
  <c r="F422" i="2"/>
  <c r="G422" i="2"/>
  <c r="J422" i="2" s="1"/>
  <c r="L422" i="2"/>
  <c r="F536" i="2"/>
  <c r="L536" i="2"/>
  <c r="L953" i="2"/>
  <c r="F316" i="4"/>
  <c r="G316" i="4"/>
  <c r="H316" i="4" s="1"/>
  <c r="G310" i="4"/>
  <c r="G773" i="4"/>
  <c r="H773" i="4" s="1"/>
  <c r="F776" i="4"/>
  <c r="G833" i="2"/>
  <c r="F152" i="4"/>
  <c r="F104" i="2"/>
  <c r="L372" i="2"/>
  <c r="G372" i="2"/>
  <c r="J372" i="2" s="1"/>
  <c r="G759" i="2"/>
  <c r="H759" i="2" s="1"/>
  <c r="F338" i="4"/>
  <c r="F341" i="4"/>
  <c r="G356" i="4"/>
  <c r="P356" i="4" s="1"/>
  <c r="G646" i="4"/>
  <c r="J646" i="4" s="1"/>
  <c r="L473" i="2"/>
  <c r="F473" i="2"/>
  <c r="F984" i="2"/>
  <c r="F327" i="4"/>
  <c r="L984" i="2"/>
  <c r="G327" i="4"/>
  <c r="F234" i="4"/>
  <c r="G429" i="2"/>
  <c r="F217" i="4"/>
  <c r="F874" i="2"/>
  <c r="L521" i="4"/>
  <c r="L788" i="4"/>
  <c r="L757" i="4"/>
  <c r="G157" i="4"/>
  <c r="J157" i="4" s="1"/>
  <c r="L503" i="4"/>
  <c r="F503" i="4"/>
  <c r="L169" i="2"/>
  <c r="F169" i="2"/>
  <c r="L102" i="2"/>
  <c r="G104" i="2"/>
  <c r="P104" i="2" s="1"/>
  <c r="L109" i="2"/>
  <c r="F900" i="2"/>
  <c r="F420" i="4"/>
  <c r="F481" i="4"/>
  <c r="L559" i="4"/>
  <c r="G420" i="4"/>
  <c r="H420" i="4" s="1"/>
  <c r="G481" i="4"/>
  <c r="G7" i="2"/>
  <c r="G251" i="2"/>
  <c r="J251" i="2" s="1"/>
  <c r="G475" i="2"/>
  <c r="F475" i="2"/>
  <c r="L475" i="2"/>
  <c r="F747" i="2"/>
  <c r="F125" i="4"/>
  <c r="G147" i="4"/>
  <c r="P147" i="4" s="1"/>
  <c r="L336" i="4"/>
  <c r="L840" i="4"/>
  <c r="G866" i="4"/>
  <c r="H866" i="4" s="1"/>
  <c r="L876" i="4"/>
  <c r="G84" i="2"/>
  <c r="J84" i="2" s="1"/>
  <c r="L417" i="2"/>
  <c r="G526" i="2"/>
  <c r="F572" i="2"/>
  <c r="F697" i="2"/>
  <c r="G740" i="2"/>
  <c r="G36" i="4"/>
  <c r="H36" i="4" s="1"/>
  <c r="G85" i="4"/>
  <c r="P85" i="4" s="1"/>
  <c r="G319" i="4"/>
  <c r="H319" i="4" s="1"/>
  <c r="L544" i="4"/>
  <c r="L808" i="4"/>
  <c r="G880" i="4"/>
  <c r="J880" i="4" s="1"/>
  <c r="G883" i="4"/>
  <c r="G886" i="4"/>
  <c r="P886" i="4" s="1"/>
  <c r="L84" i="2"/>
  <c r="G92" i="2"/>
  <c r="J92" i="2" s="1"/>
  <c r="F120" i="2"/>
  <c r="F149" i="2"/>
  <c r="L159" i="2"/>
  <c r="F237" i="2"/>
  <c r="G239" i="2"/>
  <c r="J239" i="2" s="1"/>
  <c r="L526" i="2"/>
  <c r="F643" i="2"/>
  <c r="G697" i="2"/>
  <c r="P697" i="2" s="1"/>
  <c r="L740" i="2"/>
  <c r="F908" i="2"/>
  <c r="F1003" i="2"/>
  <c r="F48" i="4"/>
  <c r="L77" i="4"/>
  <c r="G173" i="4"/>
  <c r="H173" i="4" s="1"/>
  <c r="I173" i="4" s="1"/>
  <c r="O173" i="4" s="1"/>
  <c r="G240" i="4"/>
  <c r="G306" i="4"/>
  <c r="H306" i="4" s="1"/>
  <c r="G311" i="4"/>
  <c r="F314" i="4"/>
  <c r="G388" i="4"/>
  <c r="F513" i="4"/>
  <c r="G541" i="4"/>
  <c r="H541" i="4" s="1"/>
  <c r="L673" i="4"/>
  <c r="F838" i="4"/>
  <c r="L883" i="4"/>
  <c r="F961" i="4"/>
  <c r="F239" i="2"/>
  <c r="G294" i="4"/>
  <c r="P294" i="4" s="1"/>
  <c r="L322" i="4"/>
  <c r="G123" i="2"/>
  <c r="H123" i="2" s="1"/>
  <c r="G185" i="2"/>
  <c r="H185" i="2" s="1"/>
  <c r="L346" i="2"/>
  <c r="L438" i="2"/>
  <c r="F501" i="2"/>
  <c r="L607" i="2"/>
  <c r="L615" i="2"/>
  <c r="G700" i="2"/>
  <c r="H700" i="2" s="1"/>
  <c r="F738" i="2"/>
  <c r="F798" i="2"/>
  <c r="G834" i="2"/>
  <c r="H834" i="2" s="1"/>
  <c r="G908" i="2"/>
  <c r="P908" i="2" s="1"/>
  <c r="F1001" i="2"/>
  <c r="G16" i="4"/>
  <c r="P16" i="4" s="1"/>
  <c r="F21" i="4"/>
  <c r="F176" i="4"/>
  <c r="L182" i="4"/>
  <c r="F235" i="4"/>
  <c r="G334" i="4"/>
  <c r="P334" i="4" s="1"/>
  <c r="G337" i="4"/>
  <c r="J337" i="4" s="1"/>
  <c r="G340" i="4"/>
  <c r="H340" i="4" s="1"/>
  <c r="F394" i="4"/>
  <c r="F400" i="4"/>
  <c r="L403" i="4"/>
  <c r="L454" i="4"/>
  <c r="F495" i="4"/>
  <c r="L507" i="4"/>
  <c r="G513" i="4"/>
  <c r="L532" i="4"/>
  <c r="G577" i="4"/>
  <c r="G693" i="4"/>
  <c r="J693" i="4" s="1"/>
  <c r="L871" i="4"/>
  <c r="L961" i="4"/>
  <c r="F974" i="4"/>
  <c r="F1004" i="4"/>
  <c r="F276" i="4"/>
  <c r="F424" i="4"/>
  <c r="L902" i="4"/>
  <c r="F85" i="4"/>
  <c r="G167" i="4"/>
  <c r="H167" i="4" s="1"/>
  <c r="G190" i="4"/>
  <c r="G1001" i="2"/>
  <c r="G235" i="4"/>
  <c r="P235" i="4" s="1"/>
  <c r="L388" i="4"/>
  <c r="G400" i="4"/>
  <c r="L98" i="2"/>
  <c r="L142" i="2"/>
  <c r="L250" i="2"/>
  <c r="L413" i="2"/>
  <c r="F453" i="2"/>
  <c r="L690" i="2"/>
  <c r="F713" i="2"/>
  <c r="G728" i="2"/>
  <c r="P728" i="2" s="1"/>
  <c r="L932" i="2"/>
  <c r="L113" i="4"/>
  <c r="L135" i="4"/>
  <c r="G255" i="4"/>
  <c r="P255" i="4" s="1"/>
  <c r="F295" i="4"/>
  <c r="L298" i="4"/>
  <c r="L323" i="4"/>
  <c r="L352" i="4"/>
  <c r="F367" i="4"/>
  <c r="G501" i="4"/>
  <c r="L574" i="4"/>
  <c r="L664" i="4"/>
  <c r="G955" i="4"/>
  <c r="J955" i="4" s="1"/>
  <c r="F167" i="4"/>
  <c r="F390" i="4"/>
  <c r="G24" i="2"/>
  <c r="J24" i="2" s="1"/>
  <c r="L390" i="4"/>
  <c r="G291" i="2"/>
  <c r="H291" i="2" s="1"/>
  <c r="F586" i="2"/>
  <c r="F16" i="4"/>
  <c r="F309" i="4"/>
  <c r="G495" i="4"/>
  <c r="H495" i="4" s="1"/>
  <c r="F529" i="4"/>
  <c r="F532" i="4"/>
  <c r="L790" i="4"/>
  <c r="G871" i="4"/>
  <c r="H871" i="4" s="1"/>
  <c r="L101" i="2"/>
  <c r="L253" i="2"/>
  <c r="L519" i="2"/>
  <c r="G660" i="2"/>
  <c r="H660" i="2" s="1"/>
  <c r="F965" i="2"/>
  <c r="F836" i="4"/>
  <c r="G448" i="2"/>
  <c r="F456" i="2"/>
  <c r="G461" i="2"/>
  <c r="J461" i="2" s="1"/>
  <c r="L469" i="2"/>
  <c r="G507" i="2"/>
  <c r="P507" i="2" s="1"/>
  <c r="L801" i="2"/>
  <c r="F945" i="2"/>
  <c r="G6" i="4"/>
  <c r="H6" i="4" s="1"/>
  <c r="F43" i="4"/>
  <c r="F277" i="4"/>
  <c r="F343" i="4"/>
  <c r="G581" i="4"/>
  <c r="H581" i="4" s="1"/>
  <c r="L985" i="4"/>
  <c r="G995" i="4"/>
  <c r="G307" i="2"/>
  <c r="H307" i="2" s="1"/>
  <c r="G398" i="2"/>
  <c r="J398" i="2" s="1"/>
  <c r="L448" i="2"/>
  <c r="G472" i="2"/>
  <c r="L754" i="2"/>
  <c r="F759" i="2"/>
  <c r="L772" i="2"/>
  <c r="L922" i="2"/>
  <c r="G997" i="2"/>
  <c r="J997" i="2" s="1"/>
  <c r="F52" i="4"/>
  <c r="F92" i="4"/>
  <c r="G130" i="4"/>
  <c r="H130" i="4" s="1"/>
  <c r="G256" i="4"/>
  <c r="H256" i="4" s="1"/>
  <c r="L275" i="4"/>
  <c r="L338" i="4"/>
  <c r="L341" i="4"/>
  <c r="G423" i="4"/>
  <c r="P423" i="4" s="1"/>
  <c r="G445" i="4"/>
  <c r="H445" i="4" s="1"/>
  <c r="L614" i="4"/>
  <c r="F846" i="4"/>
  <c r="L342" i="2"/>
  <c r="G342" i="2"/>
  <c r="H342" i="2" s="1"/>
  <c r="F342" i="2"/>
  <c r="F374" i="2"/>
  <c r="L374" i="2"/>
  <c r="G374" i="2"/>
  <c r="H374" i="2" s="1"/>
  <c r="I374" i="2" s="1"/>
  <c r="O374" i="2" s="1"/>
  <c r="L434" i="2"/>
  <c r="G434" i="2"/>
  <c r="L180" i="2"/>
  <c r="F180" i="2"/>
  <c r="G180" i="2"/>
  <c r="P180" i="2" s="1"/>
  <c r="H646" i="2"/>
  <c r="P646" i="2"/>
  <c r="L730" i="2"/>
  <c r="G730" i="2"/>
  <c r="J730" i="2" s="1"/>
  <c r="F730" i="2"/>
  <c r="L147" i="2"/>
  <c r="G147" i="2"/>
  <c r="G56" i="4"/>
  <c r="J56" i="4" s="1"/>
  <c r="L56" i="4"/>
  <c r="L363" i="4"/>
  <c r="F363" i="4"/>
  <c r="F56" i="4"/>
  <c r="L837" i="4"/>
  <c r="G837" i="4"/>
  <c r="J837" i="4" s="1"/>
  <c r="L499" i="2"/>
  <c r="G499" i="2"/>
  <c r="F764" i="4"/>
  <c r="F352" i="2"/>
  <c r="L461" i="2"/>
  <c r="F461" i="2"/>
  <c r="G196" i="4"/>
  <c r="P196" i="4" s="1"/>
  <c r="F196" i="4"/>
  <c r="G786" i="4"/>
  <c r="F786" i="4"/>
  <c r="G206" i="2"/>
  <c r="L206" i="2"/>
  <c r="F206" i="2"/>
  <c r="L508" i="4"/>
  <c r="G508" i="4"/>
  <c r="P508" i="4" s="1"/>
  <c r="F508" i="4"/>
  <c r="F677" i="2"/>
  <c r="L677" i="2"/>
  <c r="G677" i="2"/>
  <c r="J677" i="2" s="1"/>
  <c r="F755" i="2"/>
  <c r="G760" i="2"/>
  <c r="F773" i="2"/>
  <c r="F781" i="2"/>
  <c r="L659" i="2"/>
  <c r="G659" i="2"/>
  <c r="J659" i="2" s="1"/>
  <c r="F659" i="2"/>
  <c r="G776" i="2"/>
  <c r="G102" i="2"/>
  <c r="J102" i="2" s="1"/>
  <c r="F268" i="2"/>
  <c r="F306" i="2"/>
  <c r="L425" i="2"/>
  <c r="F425" i="2"/>
  <c r="G425" i="2"/>
  <c r="H425" i="2" s="1"/>
  <c r="G9" i="4"/>
  <c r="J9" i="4" s="1"/>
  <c r="F109" i="4"/>
  <c r="G431" i="4"/>
  <c r="J431" i="4" s="1"/>
  <c r="F431" i="4"/>
  <c r="L604" i="4"/>
  <c r="G629" i="4"/>
  <c r="G714" i="4"/>
  <c r="G932" i="4"/>
  <c r="P932" i="4" s="1"/>
  <c r="F932" i="4"/>
  <c r="G233" i="2"/>
  <c r="J233" i="2" s="1"/>
  <c r="F238" i="2"/>
  <c r="G268" i="2"/>
  <c r="G402" i="2"/>
  <c r="P402" i="2" s="1"/>
  <c r="G926" i="2"/>
  <c r="P926" i="2" s="1"/>
  <c r="L944" i="2"/>
  <c r="G944" i="2"/>
  <c r="H944" i="2" s="1"/>
  <c r="L951" i="2"/>
  <c r="G951" i="2"/>
  <c r="F951" i="2"/>
  <c r="L106" i="4"/>
  <c r="L269" i="4"/>
  <c r="G401" i="4"/>
  <c r="G413" i="4"/>
  <c r="P413" i="4" s="1"/>
  <c r="F419" i="4"/>
  <c r="F647" i="4"/>
  <c r="L505" i="4"/>
  <c r="G505" i="4"/>
  <c r="P505" i="4" s="1"/>
  <c r="J170" i="2"/>
  <c r="P170" i="2"/>
  <c r="H170" i="2"/>
  <c r="G720" i="4"/>
  <c r="P720" i="4" s="1"/>
  <c r="F720" i="4"/>
  <c r="F170" i="2"/>
  <c r="L170" i="2"/>
  <c r="F997" i="2"/>
  <c r="F45" i="4"/>
  <c r="F135" i="4"/>
  <c r="G475" i="4"/>
  <c r="H475" i="4" s="1"/>
  <c r="G484" i="4"/>
  <c r="J484" i="4" s="1"/>
  <c r="F505" i="4"/>
  <c r="F13" i="2"/>
  <c r="F319" i="2"/>
  <c r="G432" i="2"/>
  <c r="F432" i="2"/>
  <c r="L432" i="2"/>
  <c r="L631" i="2"/>
  <c r="F631" i="2"/>
  <c r="L168" i="4"/>
  <c r="F168" i="4"/>
  <c r="F743" i="4"/>
  <c r="F124" i="2"/>
  <c r="G319" i="2"/>
  <c r="J319" i="2" s="1"/>
  <c r="G966" i="2"/>
  <c r="J966" i="2" s="1"/>
  <c r="F966" i="2"/>
  <c r="F111" i="4"/>
  <c r="F626" i="4"/>
  <c r="G743" i="4"/>
  <c r="P743" i="4" s="1"/>
  <c r="L925" i="4"/>
  <c r="G925" i="4"/>
  <c r="P925" i="4" s="1"/>
  <c r="F925" i="4"/>
  <c r="L990" i="4"/>
  <c r="G990" i="4"/>
  <c r="L154" i="4"/>
  <c r="F154" i="4"/>
  <c r="F298" i="4"/>
  <c r="G370" i="4"/>
  <c r="P370" i="4" s="1"/>
  <c r="F714" i="4"/>
  <c r="F921" i="2"/>
  <c r="L94" i="4"/>
  <c r="G94" i="4"/>
  <c r="P94" i="4" s="1"/>
  <c r="G419" i="4"/>
  <c r="J419" i="4" s="1"/>
  <c r="L663" i="4"/>
  <c r="G663" i="4"/>
  <c r="L921" i="2"/>
  <c r="G579" i="4"/>
  <c r="G654" i="4"/>
  <c r="L654" i="4"/>
  <c r="G934" i="2"/>
  <c r="H934" i="2" s="1"/>
  <c r="G58" i="2"/>
  <c r="J58" i="2" s="1"/>
  <c r="F58" i="2"/>
  <c r="G373" i="2"/>
  <c r="H373" i="2" s="1"/>
  <c r="F389" i="2"/>
  <c r="G389" i="2"/>
  <c r="J389" i="2" s="1"/>
  <c r="L389" i="2"/>
  <c r="L516" i="2"/>
  <c r="L76" i="4"/>
  <c r="L89" i="4"/>
  <c r="F368" i="4"/>
  <c r="L368" i="4"/>
  <c r="G368" i="4"/>
  <c r="J368" i="4" s="1"/>
  <c r="G89" i="4"/>
  <c r="F89" i="4"/>
  <c r="L350" i="4"/>
  <c r="G350" i="4"/>
  <c r="F350" i="4"/>
  <c r="F548" i="4"/>
  <c r="L43" i="2"/>
  <c r="F95" i="2"/>
  <c r="L95" i="2"/>
  <c r="G501" i="2"/>
  <c r="G817" i="2"/>
  <c r="P817" i="2" s="1"/>
  <c r="F817" i="2"/>
  <c r="L810" i="4"/>
  <c r="F810" i="4"/>
  <c r="G859" i="4"/>
  <c r="H859" i="4" s="1"/>
  <c r="F859" i="4"/>
  <c r="G43" i="2"/>
  <c r="J43" i="2" s="1"/>
  <c r="F43" i="2"/>
  <c r="L750" i="2"/>
  <c r="L773" i="2"/>
  <c r="L786" i="2"/>
  <c r="L807" i="2"/>
  <c r="G848" i="2"/>
  <c r="F848" i="2"/>
  <c r="G363" i="4"/>
  <c r="F770" i="4"/>
  <c r="F837" i="4"/>
  <c r="F694" i="2"/>
  <c r="F746" i="2"/>
  <c r="L787" i="2"/>
  <c r="G787" i="2"/>
  <c r="P787" i="2" s="1"/>
  <c r="F846" i="2"/>
  <c r="L846" i="2"/>
  <c r="L92" i="4"/>
  <c r="G92" i="4"/>
  <c r="P92" i="4" s="1"/>
  <c r="G317" i="4"/>
  <c r="L432" i="4"/>
  <c r="G432" i="4"/>
  <c r="J432" i="4" s="1"/>
  <c r="F432" i="4"/>
  <c r="G387" i="2"/>
  <c r="L392" i="2"/>
  <c r="L430" i="2"/>
  <c r="G430" i="2"/>
  <c r="F614" i="2"/>
  <c r="L627" i="2"/>
  <c r="G627" i="2"/>
  <c r="F675" i="2"/>
  <c r="G694" i="2"/>
  <c r="P694" i="2" s="1"/>
  <c r="G746" i="2"/>
  <c r="J746" i="2" s="1"/>
  <c r="L947" i="2"/>
  <c r="G947" i="2"/>
  <c r="F947" i="2"/>
  <c r="G155" i="4"/>
  <c r="P155" i="4" s="1"/>
  <c r="L194" i="4"/>
  <c r="F194" i="4"/>
  <c r="L297" i="4"/>
  <c r="L317" i="4"/>
  <c r="G555" i="4"/>
  <c r="F574" i="4"/>
  <c r="G735" i="4"/>
  <c r="P735" i="4" s="1"/>
  <c r="F744" i="4"/>
  <c r="F750" i="4"/>
  <c r="L966" i="4"/>
  <c r="F972" i="4"/>
  <c r="L975" i="4"/>
  <c r="L348" i="4"/>
  <c r="G348" i="4"/>
  <c r="F348" i="4"/>
  <c r="G771" i="4"/>
  <c r="P771" i="4" s="1"/>
  <c r="F771" i="4"/>
  <c r="L444" i="2"/>
  <c r="G444" i="2"/>
  <c r="H444" i="2" s="1"/>
  <c r="G872" i="4"/>
  <c r="H872" i="4" s="1"/>
  <c r="F872" i="4"/>
  <c r="F392" i="4"/>
  <c r="F869" i="4"/>
  <c r="L869" i="4"/>
  <c r="G869" i="4"/>
  <c r="P869" i="4" s="1"/>
  <c r="F67" i="2"/>
  <c r="F98" i="2"/>
  <c r="L477" i="2"/>
  <c r="G477" i="2"/>
  <c r="J477" i="2" s="1"/>
  <c r="F477" i="2"/>
  <c r="G675" i="2"/>
  <c r="J675" i="2" s="1"/>
  <c r="F699" i="2"/>
  <c r="F787" i="2"/>
  <c r="G846" i="2"/>
  <c r="H846" i="2" s="1"/>
  <c r="F62" i="4"/>
  <c r="F381" i="4"/>
  <c r="G381" i="4"/>
  <c r="J381" i="4" s="1"/>
  <c r="L738" i="4"/>
  <c r="G738" i="4"/>
  <c r="G750" i="4"/>
  <c r="P750" i="4" s="1"/>
  <c r="G975" i="4"/>
  <c r="P975" i="4" s="1"/>
  <c r="F975" i="4"/>
  <c r="G67" i="2"/>
  <c r="P67" i="2" s="1"/>
  <c r="L996" i="2"/>
  <c r="G996" i="2"/>
  <c r="H996" i="2" s="1"/>
  <c r="G158" i="4"/>
  <c r="F158" i="4"/>
  <c r="G543" i="4"/>
  <c r="F543" i="4"/>
  <c r="L854" i="4"/>
  <c r="G854" i="4"/>
  <c r="P854" i="4" s="1"/>
  <c r="F854" i="4"/>
  <c r="G52" i="2"/>
  <c r="G75" i="2"/>
  <c r="G141" i="2"/>
  <c r="F141" i="2"/>
  <c r="G290" i="2"/>
  <c r="H290" i="2" s="1"/>
  <c r="L325" i="2"/>
  <c r="L408" i="2"/>
  <c r="G418" i="2"/>
  <c r="H418" i="2" s="1"/>
  <c r="L547" i="2"/>
  <c r="L583" i="2"/>
  <c r="F594" i="2"/>
  <c r="G744" i="2"/>
  <c r="P744" i="2" s="1"/>
  <c r="L744" i="2"/>
  <c r="L18" i="4"/>
  <c r="G18" i="4"/>
  <c r="H18" i="4" s="1"/>
  <c r="F297" i="4"/>
  <c r="G352" i="4"/>
  <c r="H352" i="4" s="1"/>
  <c r="F352" i="4"/>
  <c r="F522" i="4"/>
  <c r="L719" i="4"/>
  <c r="F738" i="4"/>
  <c r="G841" i="4"/>
  <c r="F966" i="4"/>
  <c r="G991" i="2"/>
  <c r="J991" i="2" s="1"/>
  <c r="F991" i="2"/>
  <c r="G522" i="4"/>
  <c r="F732" i="4"/>
  <c r="F27" i="2"/>
  <c r="L29" i="2"/>
  <c r="F101" i="2"/>
  <c r="L297" i="2"/>
  <c r="G462" i="2"/>
  <c r="G505" i="2"/>
  <c r="P505" i="2" s="1"/>
  <c r="F599" i="2"/>
  <c r="F712" i="2"/>
  <c r="L880" i="2"/>
  <c r="G890" i="2"/>
  <c r="J890" i="2" s="1"/>
  <c r="L890" i="2"/>
  <c r="G971" i="2"/>
  <c r="J971" i="2" s="1"/>
  <c r="F18" i="4"/>
  <c r="F208" i="4"/>
  <c r="G228" i="4"/>
  <c r="F236" i="4"/>
  <c r="L277" i="4"/>
  <c r="F308" i="4"/>
  <c r="G528" i="4"/>
  <c r="J528" i="4" s="1"/>
  <c r="F528" i="4"/>
  <c r="L726" i="4"/>
  <c r="F726" i="4"/>
  <c r="G918" i="4"/>
  <c r="G27" i="2"/>
  <c r="G214" i="2"/>
  <c r="P214" i="2" s="1"/>
  <c r="F362" i="2"/>
  <c r="L462" i="2"/>
  <c r="F527" i="2"/>
  <c r="G599" i="2"/>
  <c r="P599" i="2" s="1"/>
  <c r="F661" i="2"/>
  <c r="G208" i="4"/>
  <c r="H208" i="4" s="1"/>
  <c r="L191" i="4"/>
  <c r="F191" i="4"/>
  <c r="G361" i="2"/>
  <c r="L361" i="2"/>
  <c r="L706" i="2"/>
  <c r="F706" i="2"/>
  <c r="G680" i="4"/>
  <c r="H680" i="4" s="1"/>
  <c r="F680" i="4"/>
  <c r="L756" i="4"/>
  <c r="G756" i="4"/>
  <c r="J756" i="4" s="1"/>
  <c r="G6" i="2"/>
  <c r="H6" i="2" s="1"/>
  <c r="F6" i="2"/>
  <c r="G208" i="2"/>
  <c r="H208" i="2" s="1"/>
  <c r="F208" i="2"/>
  <c r="G818" i="4"/>
  <c r="P818" i="4" s="1"/>
  <c r="F818" i="4"/>
  <c r="L470" i="2"/>
  <c r="G470" i="2"/>
  <c r="H470" i="2" s="1"/>
  <c r="G673" i="2"/>
  <c r="G55" i="2"/>
  <c r="J55" i="2" s="1"/>
  <c r="L174" i="2"/>
  <c r="F205" i="2"/>
  <c r="L217" i="2"/>
  <c r="F247" i="2"/>
  <c r="G295" i="2"/>
  <c r="H295" i="2" s="1"/>
  <c r="L300" i="2"/>
  <c r="F300" i="2"/>
  <c r="F365" i="2"/>
  <c r="G513" i="2"/>
  <c r="P513" i="2" s="1"/>
  <c r="G523" i="2"/>
  <c r="P523" i="2" s="1"/>
  <c r="F568" i="2"/>
  <c r="F628" i="2"/>
  <c r="L847" i="2"/>
  <c r="F852" i="2"/>
  <c r="F948" i="2"/>
  <c r="F958" i="2"/>
  <c r="L412" i="4"/>
  <c r="F446" i="4"/>
  <c r="G446" i="4"/>
  <c r="F610" i="4"/>
  <c r="L626" i="4"/>
  <c r="F782" i="4"/>
  <c r="F48" i="2"/>
  <c r="F73" i="2"/>
  <c r="F81" i="2"/>
  <c r="F94" i="2"/>
  <c r="F108" i="2"/>
  <c r="L284" i="2"/>
  <c r="F355" i="2"/>
  <c r="F368" i="2"/>
  <c r="F429" i="2"/>
  <c r="G473" i="2"/>
  <c r="J473" i="2" s="1"/>
  <c r="F654" i="2"/>
  <c r="G710" i="2"/>
  <c r="G727" i="2"/>
  <c r="H727" i="2" s="1"/>
  <c r="L836" i="2"/>
  <c r="L987" i="2"/>
  <c r="L347" i="4"/>
  <c r="G408" i="4"/>
  <c r="H408" i="4" s="1"/>
  <c r="G500" i="4"/>
  <c r="J500" i="4" s="1"/>
  <c r="G89" i="2"/>
  <c r="J89" i="2" s="1"/>
  <c r="F166" i="2"/>
  <c r="L368" i="2"/>
  <c r="G368" i="2"/>
  <c r="G468" i="2"/>
  <c r="L649" i="2"/>
  <c r="L654" i="2"/>
  <c r="G654" i="2"/>
  <c r="P654" i="2" s="1"/>
  <c r="G715" i="2"/>
  <c r="F801" i="2"/>
  <c r="F982" i="2"/>
  <c r="L333" i="4"/>
  <c r="F897" i="4"/>
  <c r="F900" i="4"/>
  <c r="F928" i="4"/>
  <c r="F593" i="2"/>
  <c r="G649" i="2"/>
  <c r="F649" i="2"/>
  <c r="F688" i="2"/>
  <c r="L21" i="4"/>
  <c r="F790" i="4"/>
  <c r="G891" i="4"/>
  <c r="J891" i="4" s="1"/>
  <c r="F497" i="2"/>
  <c r="L497" i="2"/>
  <c r="G497" i="2"/>
  <c r="J497" i="2" s="1"/>
  <c r="F347" i="4"/>
  <c r="L526" i="4"/>
  <c r="F526" i="4"/>
  <c r="L709" i="4"/>
  <c r="G709" i="4"/>
  <c r="H709" i="4" s="1"/>
  <c r="F876" i="4"/>
  <c r="G19" i="2"/>
  <c r="L126" i="2"/>
  <c r="F134" i="2"/>
  <c r="L272" i="2"/>
  <c r="F297" i="2"/>
  <c r="F434" i="2"/>
  <c r="G463" i="2"/>
  <c r="J463" i="2" s="1"/>
  <c r="F549" i="2"/>
  <c r="G567" i="2"/>
  <c r="L572" i="2"/>
  <c r="G679" i="2"/>
  <c r="L703" i="2"/>
  <c r="L757" i="2"/>
  <c r="F814" i="2"/>
  <c r="G1000" i="2"/>
  <c r="H1000" i="2" s="1"/>
  <c r="G31" i="4"/>
  <c r="L31" i="4"/>
  <c r="F31" i="4"/>
  <c r="L424" i="4"/>
  <c r="L464" i="4"/>
  <c r="G665" i="4"/>
  <c r="H665" i="4" s="1"/>
  <c r="F706" i="4"/>
  <c r="L932" i="4"/>
  <c r="L139" i="2"/>
  <c r="G218" i="2"/>
  <c r="H218" i="2" s="1"/>
  <c r="F286" i="2"/>
  <c r="L310" i="2"/>
  <c r="L341" i="2"/>
  <c r="F351" i="2"/>
  <c r="G366" i="2"/>
  <c r="F406" i="2"/>
  <c r="L514" i="2"/>
  <c r="L589" i="2"/>
  <c r="F625" i="2"/>
  <c r="F742" i="2"/>
  <c r="F868" i="2"/>
  <c r="F75" i="4"/>
  <c r="F175" i="4"/>
  <c r="G251" i="4"/>
  <c r="J251" i="4" s="1"/>
  <c r="G301" i="4"/>
  <c r="P301" i="4" s="1"/>
  <c r="L316" i="4"/>
  <c r="G343" i="4"/>
  <c r="P343" i="4" s="1"/>
  <c r="F512" i="4"/>
  <c r="F718" i="4"/>
  <c r="L386" i="2"/>
  <c r="F490" i="2"/>
  <c r="F519" i="2"/>
  <c r="G571" i="2"/>
  <c r="J571" i="2" s="1"/>
  <c r="L933" i="2"/>
  <c r="L139" i="4"/>
  <c r="F157" i="4"/>
  <c r="G181" i="4"/>
  <c r="H181" i="4" s="1"/>
  <c r="F197" i="4"/>
  <c r="L309" i="4"/>
  <c r="G878" i="4"/>
  <c r="F371" i="2"/>
  <c r="L381" i="2"/>
  <c r="G435" i="2"/>
  <c r="L989" i="2"/>
  <c r="L36" i="4"/>
  <c r="F290" i="4"/>
  <c r="L311" i="4"/>
  <c r="G860" i="4"/>
  <c r="H860" i="4" s="1"/>
  <c r="F863" i="4"/>
  <c r="L241" i="2"/>
  <c r="F657" i="2"/>
  <c r="G742" i="2"/>
  <c r="H742" i="2" s="1"/>
  <c r="L858" i="2"/>
  <c r="G901" i="2"/>
  <c r="H901" i="2" s="1"/>
  <c r="L928" i="2"/>
  <c r="G994" i="2"/>
  <c r="J994" i="2" s="1"/>
  <c r="L1003" i="2"/>
  <c r="L314" i="4"/>
  <c r="G332" i="4"/>
  <c r="P332" i="4" s="1"/>
  <c r="F501" i="4"/>
  <c r="G535" i="4"/>
  <c r="F547" i="4"/>
  <c r="G863" i="4"/>
  <c r="F386" i="2"/>
  <c r="F669" i="2"/>
  <c r="G752" i="2"/>
  <c r="P752" i="2" s="1"/>
  <c r="F673" i="4"/>
  <c r="F757" i="4"/>
  <c r="F795" i="4"/>
  <c r="F840" i="4"/>
  <c r="F908" i="4"/>
  <c r="G137" i="2"/>
  <c r="H137" i="2" s="1"/>
  <c r="G154" i="2"/>
  <c r="H154" i="2" s="1"/>
  <c r="F289" i="2"/>
  <c r="L291" i="2"/>
  <c r="G296" i="2"/>
  <c r="L379" i="2"/>
  <c r="G399" i="2"/>
  <c r="F419" i="2"/>
  <c r="L488" i="2"/>
  <c r="L546" i="2"/>
  <c r="G662" i="2"/>
  <c r="H662" i="2" s="1"/>
  <c r="G681" i="2"/>
  <c r="J681" i="2" s="1"/>
  <c r="L733" i="2"/>
  <c r="G790" i="2"/>
  <c r="J790" i="2" s="1"/>
  <c r="L813" i="2"/>
  <c r="F838" i="2"/>
  <c r="L848" i="2"/>
  <c r="G896" i="2"/>
  <c r="H896" i="2" s="1"/>
  <c r="L972" i="2"/>
  <c r="L299" i="4"/>
  <c r="L356" i="4"/>
  <c r="L396" i="4"/>
  <c r="L613" i="4"/>
  <c r="L704" i="4"/>
  <c r="L710" i="4"/>
  <c r="G737" i="4"/>
  <c r="H737" i="4" s="1"/>
  <c r="L769" i="4"/>
  <c r="G807" i="4"/>
  <c r="G843" i="4"/>
  <c r="F955" i="4"/>
  <c r="F992" i="4"/>
  <c r="F118" i="2"/>
  <c r="L118" i="2"/>
  <c r="G99" i="2"/>
  <c r="P99" i="2" s="1"/>
  <c r="L99" i="2"/>
  <c r="F99" i="2"/>
  <c r="L367" i="2"/>
  <c r="G367" i="2"/>
  <c r="J367" i="2" s="1"/>
  <c r="F367" i="2"/>
  <c r="G106" i="2"/>
  <c r="L106" i="2"/>
  <c r="F113" i="2"/>
  <c r="L561" i="2"/>
  <c r="G561" i="2"/>
  <c r="G279" i="4"/>
  <c r="L553" i="4"/>
  <c r="G553" i="4"/>
  <c r="J553" i="4" s="1"/>
  <c r="F553" i="4"/>
  <c r="L556" i="4"/>
  <c r="F556" i="4"/>
  <c r="F7" i="2"/>
  <c r="L333" i="2"/>
  <c r="F516" i="2"/>
  <c r="F559" i="2"/>
  <c r="G559" i="2"/>
  <c r="F786" i="2"/>
  <c r="L119" i="4"/>
  <c r="F119" i="4"/>
  <c r="L173" i="2"/>
  <c r="G173" i="2"/>
  <c r="L195" i="2"/>
  <c r="F195" i="2"/>
  <c r="G195" i="2"/>
  <c r="G516" i="2"/>
  <c r="F720" i="2"/>
  <c r="L720" i="2"/>
  <c r="G720" i="2"/>
  <c r="L114" i="4"/>
  <c r="G114" i="4"/>
  <c r="F106" i="2"/>
  <c r="G336" i="2"/>
  <c r="P336" i="2" s="1"/>
  <c r="F495" i="2"/>
  <c r="F561" i="2"/>
  <c r="L447" i="4"/>
  <c r="G447" i="4"/>
  <c r="G815" i="4"/>
  <c r="F815" i="4"/>
  <c r="F341" i="2"/>
  <c r="F514" i="2"/>
  <c r="L559" i="2"/>
  <c r="F776" i="2"/>
  <c r="G143" i="4"/>
  <c r="L143" i="4"/>
  <c r="F143" i="4"/>
  <c r="F447" i="4"/>
  <c r="L519" i="4"/>
  <c r="F519" i="4"/>
  <c r="G341" i="2"/>
  <c r="P341" i="2" s="1"/>
  <c r="F486" i="2"/>
  <c r="G486" i="2"/>
  <c r="F114" i="4"/>
  <c r="G240" i="2"/>
  <c r="H240" i="2" s="1"/>
  <c r="F240" i="2"/>
  <c r="L240" i="2"/>
  <c r="F502" i="2"/>
  <c r="L502" i="2"/>
  <c r="G502" i="2"/>
  <c r="G825" i="2"/>
  <c r="J825" i="2" s="1"/>
  <c r="L825" i="2"/>
  <c r="L830" i="2"/>
  <c r="G830" i="2"/>
  <c r="F830" i="2"/>
  <c r="G391" i="4"/>
  <c r="L391" i="4"/>
  <c r="F391" i="4"/>
  <c r="F488" i="2"/>
  <c r="L843" i="2"/>
  <c r="G843" i="2"/>
  <c r="G858" i="2"/>
  <c r="H858" i="2" s="1"/>
  <c r="G125" i="4"/>
  <c r="F185" i="2"/>
  <c r="G488" i="2"/>
  <c r="P488" i="2" s="1"/>
  <c r="L17" i="4"/>
  <c r="G17" i="4"/>
  <c r="G766" i="4"/>
  <c r="P83" i="2"/>
  <c r="H83" i="2"/>
  <c r="F408" i="2"/>
  <c r="F427" i="2"/>
  <c r="L486" i="2"/>
  <c r="F813" i="2"/>
  <c r="F17" i="4"/>
  <c r="G689" i="4"/>
  <c r="P689" i="4" s="1"/>
  <c r="F689" i="4"/>
  <c r="L784" i="4"/>
  <c r="G784" i="4"/>
  <c r="L213" i="2"/>
  <c r="G213" i="2"/>
  <c r="F213" i="2"/>
  <c r="G277" i="2"/>
  <c r="J277" i="2" s="1"/>
  <c r="F290" i="2"/>
  <c r="L317" i="2"/>
  <c r="F317" i="2"/>
  <c r="G458" i="2"/>
  <c r="F458" i="2"/>
  <c r="G813" i="2"/>
  <c r="H813" i="2" s="1"/>
  <c r="G167" i="2"/>
  <c r="P167" i="2" s="1"/>
  <c r="L167" i="2"/>
  <c r="F167" i="2"/>
  <c r="L273" i="2"/>
  <c r="G317" i="2"/>
  <c r="P317" i="2" s="1"/>
  <c r="L327" i="2"/>
  <c r="G327" i="2"/>
  <c r="J327" i="2" s="1"/>
  <c r="F327" i="2"/>
  <c r="G408" i="2"/>
  <c r="F413" i="2"/>
  <c r="L650" i="2"/>
  <c r="F650" i="2"/>
  <c r="G807" i="2"/>
  <c r="F811" i="2"/>
  <c r="L962" i="2"/>
  <c r="G962" i="2"/>
  <c r="H962" i="2" s="1"/>
  <c r="G781" i="4"/>
  <c r="G322" i="2"/>
  <c r="J322" i="2" s="1"/>
  <c r="F322" i="2"/>
  <c r="G406" i="2"/>
  <c r="L423" i="2"/>
  <c r="G621" i="2"/>
  <c r="F626" i="2"/>
  <c r="G811" i="2"/>
  <c r="L952" i="2"/>
  <c r="G952" i="2"/>
  <c r="H952" i="2" s="1"/>
  <c r="F952" i="2"/>
  <c r="G320" i="4"/>
  <c r="F320" i="4"/>
  <c r="L320" i="4"/>
  <c r="F382" i="2"/>
  <c r="L382" i="2"/>
  <c r="G382" i="2"/>
  <c r="L549" i="2"/>
  <c r="G549" i="2"/>
  <c r="L258" i="4"/>
  <c r="F258" i="4"/>
  <c r="L97" i="2"/>
  <c r="F97" i="2"/>
  <c r="F187" i="2"/>
  <c r="G786" i="2"/>
  <c r="L940" i="2"/>
  <c r="F940" i="2"/>
  <c r="L550" i="4"/>
  <c r="G550" i="4"/>
  <c r="F1003" i="4"/>
  <c r="G90" i="2"/>
  <c r="H90" i="2" s="1"/>
  <c r="F90" i="2"/>
  <c r="F173" i="2"/>
  <c r="G301" i="2"/>
  <c r="P301" i="2" s="1"/>
  <c r="F301" i="2"/>
  <c r="L301" i="2"/>
  <c r="F19" i="4"/>
  <c r="L19" i="4"/>
  <c r="G19" i="4"/>
  <c r="L133" i="4"/>
  <c r="F824" i="4"/>
  <c r="L815" i="4"/>
  <c r="G1003" i="4"/>
  <c r="H1003" i="4" s="1"/>
  <c r="L40" i="2"/>
  <c r="F40" i="2"/>
  <c r="G40" i="2"/>
  <c r="L85" i="2"/>
  <c r="G85" i="2"/>
  <c r="F85" i="2"/>
  <c r="F171" i="2"/>
  <c r="G171" i="2"/>
  <c r="F220" i="2"/>
  <c r="L427" i="2"/>
  <c r="L692" i="4"/>
  <c r="G692" i="4"/>
  <c r="H692" i="4" s="1"/>
  <c r="L923" i="4"/>
  <c r="G923" i="4"/>
  <c r="J923" i="4" s="1"/>
  <c r="F923" i="4"/>
  <c r="F324" i="2"/>
  <c r="G324" i="2"/>
  <c r="H324" i="2" s="1"/>
  <c r="L910" i="2"/>
  <c r="G910" i="2"/>
  <c r="F910" i="2"/>
  <c r="L128" i="4"/>
  <c r="G128" i="4"/>
  <c r="F128" i="4"/>
  <c r="L66" i="2"/>
  <c r="G66" i="2"/>
  <c r="F66" i="2"/>
  <c r="G275" i="2"/>
  <c r="L275" i="2"/>
  <c r="G312" i="2"/>
  <c r="L312" i="2"/>
  <c r="L406" i="2"/>
  <c r="G626" i="2"/>
  <c r="P626" i="2" s="1"/>
  <c r="L51" i="2"/>
  <c r="F51" i="2"/>
  <c r="G51" i="2"/>
  <c r="G795" i="2"/>
  <c r="L296" i="4"/>
  <c r="G296" i="4"/>
  <c r="L608" i="4"/>
  <c r="G608" i="4"/>
  <c r="F608" i="4"/>
  <c r="L614" i="2"/>
  <c r="G809" i="2"/>
  <c r="H809" i="2" s="1"/>
  <c r="L227" i="4"/>
  <c r="G227" i="4"/>
  <c r="F227" i="4"/>
  <c r="L287" i="4"/>
  <c r="G287" i="4"/>
  <c r="F287" i="4"/>
  <c r="F275" i="2"/>
  <c r="F312" i="2"/>
  <c r="L581" i="2"/>
  <c r="G581" i="2"/>
  <c r="F581" i="2"/>
  <c r="L609" i="2"/>
  <c r="F609" i="2"/>
  <c r="F795" i="2"/>
  <c r="F281" i="4"/>
  <c r="F577" i="4"/>
  <c r="L586" i="4"/>
  <c r="G586" i="4"/>
  <c r="P586" i="4" s="1"/>
  <c r="F586" i="4"/>
  <c r="G605" i="4"/>
  <c r="H605" i="4" s="1"/>
  <c r="L605" i="4"/>
  <c r="F605" i="4"/>
  <c r="L997" i="4"/>
  <c r="L234" i="2"/>
  <c r="F234" i="2"/>
  <c r="F241" i="2"/>
  <c r="G532" i="2"/>
  <c r="F532" i="2"/>
  <c r="L604" i="2"/>
  <c r="G604" i="2"/>
  <c r="P604" i="2" s="1"/>
  <c r="L790" i="2"/>
  <c r="G281" i="4"/>
  <c r="F962" i="2"/>
  <c r="L120" i="4"/>
  <c r="G120" i="4"/>
  <c r="J120" i="4" s="1"/>
  <c r="F120" i="4"/>
  <c r="L387" i="4"/>
  <c r="G387" i="4"/>
  <c r="F387" i="4"/>
  <c r="F550" i="4"/>
  <c r="L575" i="4"/>
  <c r="G575" i="4"/>
  <c r="F575" i="4"/>
  <c r="G78" i="2"/>
  <c r="F160" i="2"/>
  <c r="L160" i="2"/>
  <c r="L267" i="2"/>
  <c r="G267" i="2"/>
  <c r="F267" i="2"/>
  <c r="L394" i="2"/>
  <c r="F595" i="2"/>
  <c r="L691" i="2"/>
  <c r="F691" i="2"/>
  <c r="G691" i="2"/>
  <c r="F793" i="2"/>
  <c r="G793" i="2"/>
  <c r="H793" i="2" s="1"/>
  <c r="L372" i="4"/>
  <c r="G372" i="4"/>
  <c r="L398" i="4"/>
  <c r="G398" i="4"/>
  <c r="H398" i="4" s="1"/>
  <c r="F398" i="4"/>
  <c r="L1001" i="4"/>
  <c r="G1001" i="4"/>
  <c r="G18" i="2"/>
  <c r="H18" i="2" s="1"/>
  <c r="F18" i="2"/>
  <c r="G47" i="2"/>
  <c r="F47" i="2"/>
  <c r="F150" i="2"/>
  <c r="G235" i="2"/>
  <c r="F235" i="2"/>
  <c r="L307" i="2"/>
  <c r="L749" i="2"/>
  <c r="F749" i="2"/>
  <c r="G957" i="2"/>
  <c r="F100" i="4"/>
  <c r="G100" i="4"/>
  <c r="L290" i="4"/>
  <c r="L369" i="4"/>
  <c r="G369" i="4"/>
  <c r="F369" i="4"/>
  <c r="F520" i="4"/>
  <c r="L520" i="4"/>
  <c r="L525" i="4"/>
  <c r="G525" i="4"/>
  <c r="F525" i="4"/>
  <c r="L982" i="4"/>
  <c r="G982" i="4"/>
  <c r="F982" i="4"/>
  <c r="L720" i="4"/>
  <c r="G726" i="4"/>
  <c r="G973" i="4"/>
  <c r="J973" i="4" s="1"/>
  <c r="F973" i="4"/>
  <c r="G172" i="2"/>
  <c r="F172" i="2"/>
  <c r="L322" i="2"/>
  <c r="G380" i="2"/>
  <c r="F380" i="2"/>
  <c r="L482" i="2"/>
  <c r="G26" i="2"/>
  <c r="H26" i="2" s="1"/>
  <c r="F26" i="2"/>
  <c r="L52" i="2"/>
  <c r="L57" i="2"/>
  <c r="G57" i="2"/>
  <c r="L137" i="2"/>
  <c r="G153" i="2"/>
  <c r="H153" i="2" s="1"/>
  <c r="L153" i="2"/>
  <c r="L600" i="2"/>
  <c r="F600" i="2"/>
  <c r="F782" i="2"/>
  <c r="L995" i="2"/>
  <c r="G995" i="2"/>
  <c r="H995" i="2" s="1"/>
  <c r="F995" i="2"/>
  <c r="L207" i="4"/>
  <c r="G207" i="4"/>
  <c r="G858" i="4"/>
  <c r="J858" i="4" s="1"/>
  <c r="L858" i="4"/>
  <c r="F858" i="4"/>
  <c r="G964" i="4"/>
  <c r="L570" i="2"/>
  <c r="F570" i="2"/>
  <c r="G598" i="2"/>
  <c r="H598" i="2" s="1"/>
  <c r="F598" i="2"/>
  <c r="L682" i="2"/>
  <c r="G682" i="2"/>
  <c r="P682" i="2" s="1"/>
  <c r="L745" i="2"/>
  <c r="F745" i="2"/>
  <c r="G889" i="2"/>
  <c r="H889" i="2" s="1"/>
  <c r="L894" i="2"/>
  <c r="G894" i="2"/>
  <c r="H894" i="2" s="1"/>
  <c r="L899" i="2"/>
  <c r="G899" i="2"/>
  <c r="H899" i="2" s="1"/>
  <c r="L963" i="2"/>
  <c r="F963" i="2"/>
  <c r="L248" i="4"/>
  <c r="G248" i="4"/>
  <c r="F248" i="4"/>
  <c r="F514" i="4"/>
  <c r="L514" i="4"/>
  <c r="G514" i="4"/>
  <c r="L50" i="2"/>
  <c r="F52" i="2"/>
  <c r="F137" i="2"/>
  <c r="G168" i="2"/>
  <c r="H168" i="2" s="1"/>
  <c r="L168" i="2"/>
  <c r="F168" i="2"/>
  <c r="L172" i="2"/>
  <c r="G378" i="2"/>
  <c r="L380" i="2"/>
  <c r="G745" i="2"/>
  <c r="L767" i="2"/>
  <c r="G767" i="2"/>
  <c r="G163" i="4"/>
  <c r="L163" i="4"/>
  <c r="F163" i="4"/>
  <c r="F275" i="4"/>
  <c r="L694" i="4"/>
  <c r="G694" i="4"/>
  <c r="J694" i="4" s="1"/>
  <c r="L853" i="4"/>
  <c r="G853" i="4"/>
  <c r="P853" i="4" s="1"/>
  <c r="H855" i="4"/>
  <c r="L257" i="2"/>
  <c r="F257" i="2"/>
  <c r="G257" i="2"/>
  <c r="L71" i="2"/>
  <c r="F71" i="2"/>
  <c r="F296" i="2"/>
  <c r="L26" i="2"/>
  <c r="F57" i="2"/>
  <c r="F153" i="2"/>
  <c r="F250" i="2"/>
  <c r="G255" i="2"/>
  <c r="J255" i="2" s="1"/>
  <c r="F298" i="2"/>
  <c r="G454" i="2"/>
  <c r="F454" i="2"/>
  <c r="L454" i="2"/>
  <c r="G459" i="2"/>
  <c r="P459" i="2" s="1"/>
  <c r="L692" i="2"/>
  <c r="G692" i="2"/>
  <c r="L731" i="2"/>
  <c r="G731" i="2"/>
  <c r="J731" i="2" s="1"/>
  <c r="F767" i="2"/>
  <c r="F889" i="2"/>
  <c r="F928" i="2"/>
  <c r="F933" i="2"/>
  <c r="L160" i="4"/>
  <c r="G160" i="4"/>
  <c r="J160" i="4" s="1"/>
  <c r="F160" i="4"/>
  <c r="F207" i="4"/>
  <c r="G275" i="4"/>
  <c r="F613" i="4"/>
  <c r="F694" i="4"/>
  <c r="F50" i="2"/>
  <c r="G96" i="2"/>
  <c r="P96" i="2" s="1"/>
  <c r="F96" i="2"/>
  <c r="F144" i="2"/>
  <c r="L151" i="2"/>
  <c r="G151" i="2"/>
  <c r="G221" i="2"/>
  <c r="F221" i="2"/>
  <c r="G250" i="2"/>
  <c r="F710" i="2"/>
  <c r="F717" i="2"/>
  <c r="F847" i="2"/>
  <c r="F882" i="2"/>
  <c r="F894" i="2"/>
  <c r="G933" i="2"/>
  <c r="J933" i="2" s="1"/>
  <c r="L450" i="4"/>
  <c r="G450" i="4"/>
  <c r="J450" i="4" s="1"/>
  <c r="F450" i="4"/>
  <c r="G685" i="4"/>
  <c r="F685" i="4"/>
  <c r="L144" i="2"/>
  <c r="L243" i="2"/>
  <c r="F282" i="2"/>
  <c r="L313" i="2"/>
  <c r="G313" i="2"/>
  <c r="F313" i="2"/>
  <c r="F440" i="2"/>
  <c r="G551" i="2"/>
  <c r="F551" i="2"/>
  <c r="G855" i="2"/>
  <c r="F855" i="2"/>
  <c r="G865" i="2"/>
  <c r="L267" i="4"/>
  <c r="G267" i="4"/>
  <c r="P267" i="4" s="1"/>
  <c r="F267" i="4"/>
  <c r="G616" i="4"/>
  <c r="J616" i="4" s="1"/>
  <c r="L15" i="4"/>
  <c r="G15" i="4"/>
  <c r="P15" i="4" s="1"/>
  <c r="F15" i="4"/>
  <c r="L282" i="4"/>
  <c r="G282" i="4"/>
  <c r="H282" i="4" s="1"/>
  <c r="F372" i="4"/>
  <c r="L378" i="4"/>
  <c r="G378" i="4"/>
  <c r="J378" i="4" s="1"/>
  <c r="L409" i="4"/>
  <c r="F409" i="4"/>
  <c r="G583" i="4"/>
  <c r="L583" i="4"/>
  <c r="F583" i="4"/>
  <c r="L689" i="4"/>
  <c r="P915" i="4"/>
  <c r="J915" i="4"/>
  <c r="G79" i="2"/>
  <c r="P79" i="2" s="1"/>
  <c r="F79" i="2"/>
  <c r="F487" i="2"/>
  <c r="L487" i="2"/>
  <c r="L550" i="2"/>
  <c r="G550" i="2"/>
  <c r="H550" i="2" s="1"/>
  <c r="L943" i="2"/>
  <c r="G943" i="2"/>
  <c r="G86" i="4"/>
  <c r="L86" i="4"/>
  <c r="L456" i="4"/>
  <c r="G456" i="4"/>
  <c r="H456" i="4" s="1"/>
  <c r="F477" i="4"/>
  <c r="L483" i="4"/>
  <c r="G483" i="4"/>
  <c r="P483" i="4" s="1"/>
  <c r="F483" i="4"/>
  <c r="L567" i="4"/>
  <c r="L668" i="4"/>
  <c r="G668" i="4"/>
  <c r="F668" i="4"/>
  <c r="L18" i="2"/>
  <c r="G23" i="2"/>
  <c r="L100" i="2"/>
  <c r="F123" i="2"/>
  <c r="L140" i="2"/>
  <c r="F140" i="2"/>
  <c r="F190" i="2"/>
  <c r="F339" i="2"/>
  <c r="L552" i="2"/>
  <c r="F552" i="2"/>
  <c r="F607" i="2"/>
  <c r="L612" i="2"/>
  <c r="G612" i="2"/>
  <c r="J612" i="2" s="1"/>
  <c r="G650" i="2"/>
  <c r="P650" i="2" s="1"/>
  <c r="F682" i="2"/>
  <c r="G777" i="2"/>
  <c r="H777" i="2" s="1"/>
  <c r="G911" i="2"/>
  <c r="L911" i="2"/>
  <c r="F911" i="2"/>
  <c r="L136" i="2"/>
  <c r="F136" i="2"/>
  <c r="G193" i="2"/>
  <c r="L193" i="2"/>
  <c r="F193" i="2"/>
  <c r="L407" i="2"/>
  <c r="G407" i="2"/>
  <c r="J407" i="2" s="1"/>
  <c r="L489" i="2"/>
  <c r="G489" i="2"/>
  <c r="P489" i="2" s="1"/>
  <c r="F270" i="4"/>
  <c r="L270" i="4"/>
  <c r="G270" i="4"/>
  <c r="P270" i="4" s="1"/>
  <c r="G593" i="4"/>
  <c r="F593" i="4"/>
  <c r="G32" i="2"/>
  <c r="H32" i="2" s="1"/>
  <c r="F39" i="2"/>
  <c r="G121" i="2"/>
  <c r="H121" i="2" s="1"/>
  <c r="L121" i="2"/>
  <c r="G140" i="2"/>
  <c r="L154" i="2"/>
  <c r="G166" i="2"/>
  <c r="F293" i="2"/>
  <c r="F329" i="2"/>
  <c r="G337" i="2"/>
  <c r="H337" i="2" s="1"/>
  <c r="F337" i="2"/>
  <c r="F379" i="2"/>
  <c r="F390" i="2"/>
  <c r="G469" i="2"/>
  <c r="J469" i="2" s="1"/>
  <c r="L485" i="2"/>
  <c r="L543" i="2"/>
  <c r="G552" i="2"/>
  <c r="J552" i="2" s="1"/>
  <c r="F612" i="2"/>
  <c r="G696" i="2"/>
  <c r="J696" i="2" s="1"/>
  <c r="F696" i="2"/>
  <c r="L707" i="2"/>
  <c r="F707" i="2"/>
  <c r="L924" i="2"/>
  <c r="G924" i="2"/>
  <c r="P924" i="2" s="1"/>
  <c r="L228" i="4"/>
  <c r="F403" i="4"/>
  <c r="L442" i="4"/>
  <c r="G442" i="4"/>
  <c r="J442" i="4" s="1"/>
  <c r="F573" i="4"/>
  <c r="L650" i="4"/>
  <c r="G650" i="4"/>
  <c r="J650" i="4" s="1"/>
  <c r="L814" i="4"/>
  <c r="F814" i="4"/>
  <c r="L959" i="4"/>
  <c r="L253" i="4"/>
  <c r="G253" i="4"/>
  <c r="L540" i="4"/>
  <c r="G540" i="4"/>
  <c r="F540" i="4"/>
  <c r="L578" i="4"/>
  <c r="G578" i="4"/>
  <c r="P578" i="4" s="1"/>
  <c r="F578" i="4"/>
  <c r="H901" i="4"/>
  <c r="J901" i="4"/>
  <c r="P901" i="4"/>
  <c r="G913" i="4"/>
  <c r="F913" i="4"/>
  <c r="L962" i="4"/>
  <c r="G962" i="4"/>
  <c r="F962" i="4"/>
  <c r="F82" i="2"/>
  <c r="G260" i="2"/>
  <c r="P260" i="2" s="1"/>
  <c r="L260" i="2"/>
  <c r="G562" i="2"/>
  <c r="G564" i="2"/>
  <c r="P564" i="2" s="1"/>
  <c r="L735" i="2"/>
  <c r="G735" i="2"/>
  <c r="J735" i="2" s="1"/>
  <c r="G812" i="2"/>
  <c r="F812" i="2"/>
  <c r="L993" i="2"/>
  <c r="L220" i="4"/>
  <c r="G220" i="4"/>
  <c r="F220" i="4"/>
  <c r="F253" i="4"/>
  <c r="G811" i="4"/>
  <c r="P811" i="4" s="1"/>
  <c r="F811" i="4"/>
  <c r="G44" i="2"/>
  <c r="G249" i="2"/>
  <c r="L276" i="2"/>
  <c r="L323" i="2"/>
  <c r="F323" i="2"/>
  <c r="L419" i="2"/>
  <c r="G424" i="2"/>
  <c r="J424" i="2" s="1"/>
  <c r="G439" i="2"/>
  <c r="J439" i="2" s="1"/>
  <c r="F513" i="2"/>
  <c r="F567" i="2"/>
  <c r="G641" i="2"/>
  <c r="J646" i="2"/>
  <c r="L67" i="4"/>
  <c r="G132" i="4"/>
  <c r="H132" i="4" s="1"/>
  <c r="F132" i="4"/>
  <c r="G175" i="4"/>
  <c r="H175" i="4" s="1"/>
  <c r="F558" i="4"/>
  <c r="G705" i="4"/>
  <c r="H705" i="4" s="1"/>
  <c r="F705" i="4"/>
  <c r="F803" i="4"/>
  <c r="G803" i="4"/>
  <c r="L836" i="4"/>
  <c r="L916" i="4"/>
  <c r="L107" i="2"/>
  <c r="F107" i="2"/>
  <c r="G455" i="2"/>
  <c r="P455" i="2" s="1"/>
  <c r="L539" i="2"/>
  <c r="G539" i="2"/>
  <c r="F562" i="2"/>
  <c r="L646" i="2"/>
  <c r="F662" i="2"/>
  <c r="L674" i="2"/>
  <c r="G674" i="2"/>
  <c r="H674" i="2" s="1"/>
  <c r="F728" i="2"/>
  <c r="L854" i="2"/>
  <c r="G854" i="2"/>
  <c r="J854" i="2" s="1"/>
  <c r="F854" i="2"/>
  <c r="G52" i="4"/>
  <c r="P52" i="4" s="1"/>
  <c r="L57" i="4"/>
  <c r="G57" i="4"/>
  <c r="G79" i="4"/>
  <c r="F79" i="4"/>
  <c r="L79" i="4"/>
  <c r="F150" i="4"/>
  <c r="L669" i="4"/>
  <c r="G669" i="4"/>
  <c r="J669" i="4" s="1"/>
  <c r="F669" i="4"/>
  <c r="G846" i="4"/>
  <c r="L893" i="4"/>
  <c r="G893" i="4"/>
  <c r="L913" i="4"/>
  <c r="G94" i="2"/>
  <c r="F105" i="2"/>
  <c r="G157" i="2"/>
  <c r="G189" i="2"/>
  <c r="F189" i="2"/>
  <c r="L210" i="2"/>
  <c r="L279" i="2"/>
  <c r="G352" i="2"/>
  <c r="F366" i="2"/>
  <c r="L455" i="2"/>
  <c r="L577" i="2"/>
  <c r="G577" i="2"/>
  <c r="F577" i="2"/>
  <c r="F589" i="2"/>
  <c r="F660" i="2"/>
  <c r="F735" i="2"/>
  <c r="L812" i="2"/>
  <c r="L849" i="2"/>
  <c r="G849" i="2"/>
  <c r="L920" i="2"/>
  <c r="G920" i="2"/>
  <c r="L969" i="2"/>
  <c r="L52" i="4"/>
  <c r="H101" i="4"/>
  <c r="P101" i="4"/>
  <c r="J101" i="4"/>
  <c r="L187" i="4"/>
  <c r="G187" i="4"/>
  <c r="F187" i="4"/>
  <c r="L242" i="4"/>
  <c r="G242" i="4"/>
  <c r="H242" i="4" s="1"/>
  <c r="F322" i="4"/>
  <c r="L330" i="4"/>
  <c r="F330" i="4"/>
  <c r="L399" i="4"/>
  <c r="G399" i="4"/>
  <c r="F399" i="4"/>
  <c r="G565" i="4"/>
  <c r="L565" i="4"/>
  <c r="F565" i="4"/>
  <c r="L789" i="4"/>
  <c r="G789" i="4"/>
  <c r="F789" i="4"/>
  <c r="L941" i="4"/>
  <c r="G941" i="4"/>
  <c r="H941" i="4" s="1"/>
  <c r="F941" i="4"/>
  <c r="G589" i="2"/>
  <c r="H589" i="2" s="1"/>
  <c r="L640" i="2"/>
  <c r="L765" i="2"/>
  <c r="G765" i="2"/>
  <c r="J765" i="2" s="1"/>
  <c r="L929" i="2"/>
  <c r="G929" i="2"/>
  <c r="L936" i="2"/>
  <c r="G936" i="2"/>
  <c r="H936" i="2" s="1"/>
  <c r="F936" i="2"/>
  <c r="F666" i="4"/>
  <c r="L702" i="4"/>
  <c r="F702" i="4"/>
  <c r="G868" i="4"/>
  <c r="H868" i="4" s="1"/>
  <c r="F868" i="4"/>
  <c r="G911" i="4"/>
  <c r="L10" i="2"/>
  <c r="G49" i="2"/>
  <c r="J49" i="2" s="1"/>
  <c r="G97" i="2"/>
  <c r="J97" i="2" s="1"/>
  <c r="G114" i="2"/>
  <c r="J114" i="2" s="1"/>
  <c r="G158" i="2"/>
  <c r="F260" i="2"/>
  <c r="G316" i="2"/>
  <c r="P316" i="2" s="1"/>
  <c r="G685" i="2"/>
  <c r="P685" i="2" s="1"/>
  <c r="F831" i="2"/>
  <c r="L885" i="2"/>
  <c r="G885" i="2"/>
  <c r="F885" i="2"/>
  <c r="L280" i="4"/>
  <c r="G280" i="4"/>
  <c r="H280" i="4" s="1"/>
  <c r="F280" i="4"/>
  <c r="G288" i="4"/>
  <c r="F288" i="4"/>
  <c r="L351" i="4"/>
  <c r="L373" i="4"/>
  <c r="L404" i="4"/>
  <c r="G404" i="4"/>
  <c r="J404" i="4" s="1"/>
  <c r="L407" i="4"/>
  <c r="L600" i="4"/>
  <c r="G600" i="4"/>
  <c r="J600" i="4" s="1"/>
  <c r="F600" i="4"/>
  <c r="L759" i="4"/>
  <c r="G759" i="4"/>
  <c r="L825" i="4"/>
  <c r="G825" i="4"/>
  <c r="G996" i="4"/>
  <c r="P996" i="4" s="1"/>
  <c r="L996" i="4"/>
  <c r="L262" i="4"/>
  <c r="G262" i="4"/>
  <c r="J262" i="4" s="1"/>
  <c r="L425" i="4"/>
  <c r="G425" i="4"/>
  <c r="P425" i="4" s="1"/>
  <c r="F425" i="4"/>
  <c r="L568" i="4"/>
  <c r="G568" i="4"/>
  <c r="H568" i="4" s="1"/>
  <c r="F568" i="4"/>
  <c r="L822" i="4"/>
  <c r="G822" i="4"/>
  <c r="P822" i="4" s="1"/>
  <c r="F822" i="4"/>
  <c r="L53" i="2"/>
  <c r="L269" i="2"/>
  <c r="F703" i="2"/>
  <c r="L734" i="2"/>
  <c r="F861" i="2"/>
  <c r="F929" i="2"/>
  <c r="F987" i="2"/>
  <c r="F13" i="4"/>
  <c r="G80" i="4"/>
  <c r="F101" i="4"/>
  <c r="F113" i="4"/>
  <c r="F179" i="4"/>
  <c r="F262" i="4"/>
  <c r="G302" i="4"/>
  <c r="F302" i="4"/>
  <c r="F337" i="4"/>
  <c r="F349" i="4"/>
  <c r="G632" i="4"/>
  <c r="F649" i="4"/>
  <c r="F739" i="4"/>
  <c r="G799" i="4"/>
  <c r="J799" i="4" s="1"/>
  <c r="F799" i="4"/>
  <c r="L868" i="4"/>
  <c r="G929" i="4"/>
  <c r="F929" i="4"/>
  <c r="L981" i="4"/>
  <c r="G981" i="4"/>
  <c r="L993" i="4"/>
  <c r="F993" i="4"/>
  <c r="G587" i="2"/>
  <c r="J587" i="2" s="1"/>
  <c r="F587" i="2"/>
  <c r="G763" i="2"/>
  <c r="L763" i="2"/>
  <c r="F763" i="2"/>
  <c r="G861" i="2"/>
  <c r="F878" i="2"/>
  <c r="L878" i="2"/>
  <c r="G878" i="2"/>
  <c r="G987" i="2"/>
  <c r="J987" i="2" s="1"/>
  <c r="G113" i="4"/>
  <c r="P113" i="4" s="1"/>
  <c r="H199" i="4"/>
  <c r="F225" i="4"/>
  <c r="L225" i="4"/>
  <c r="G225" i="4"/>
  <c r="H225" i="4" s="1"/>
  <c r="G349" i="4"/>
  <c r="L397" i="4"/>
  <c r="G397" i="4"/>
  <c r="H397" i="4" s="1"/>
  <c r="L518" i="4"/>
  <c r="G518" i="4"/>
  <c r="H518" i="4" s="1"/>
  <c r="G649" i="4"/>
  <c r="G739" i="4"/>
  <c r="P739" i="4" s="1"/>
  <c r="L819" i="4"/>
  <c r="G819" i="4"/>
  <c r="F819" i="4"/>
  <c r="G993" i="4"/>
  <c r="P993" i="4" s="1"/>
  <c r="F996" i="4"/>
  <c r="G129" i="2"/>
  <c r="H129" i="2" s="1"/>
  <c r="F836" i="2"/>
  <c r="G900" i="2"/>
  <c r="P900" i="2" s="1"/>
  <c r="F971" i="2"/>
  <c r="G985" i="2"/>
  <c r="J985" i="2" s="1"/>
  <c r="L985" i="2"/>
  <c r="L11" i="4"/>
  <c r="G11" i="4"/>
  <c r="H11" i="4" s="1"/>
  <c r="F11" i="4"/>
  <c r="F80" i="4"/>
  <c r="L126" i="4"/>
  <c r="G126" i="4"/>
  <c r="F126" i="4"/>
  <c r="F332" i="4"/>
  <c r="F340" i="4"/>
  <c r="F389" i="4"/>
  <c r="F487" i="4"/>
  <c r="F621" i="4"/>
  <c r="F737" i="4"/>
  <c r="L906" i="4"/>
  <c r="F915" i="4"/>
  <c r="L915" i="4"/>
  <c r="G314" i="2"/>
  <c r="F573" i="2"/>
  <c r="G836" i="2"/>
  <c r="G857" i="2"/>
  <c r="P857" i="2" s="1"/>
  <c r="F857" i="2"/>
  <c r="F925" i="2"/>
  <c r="L925" i="2"/>
  <c r="G925" i="2"/>
  <c r="L332" i="4"/>
  <c r="G389" i="4"/>
  <c r="F507" i="4"/>
  <c r="F688" i="4"/>
  <c r="L688" i="4"/>
  <c r="G688" i="4"/>
  <c r="P688" i="4" s="1"/>
  <c r="G909" i="4"/>
  <c r="L909" i="4"/>
  <c r="F909" i="4"/>
  <c r="L929" i="4"/>
  <c r="F981" i="4"/>
  <c r="L525" i="2"/>
  <c r="F576" i="2"/>
  <c r="L722" i="2"/>
  <c r="F770" i="2"/>
  <c r="F901" i="2"/>
  <c r="L268" i="4"/>
  <c r="G268" i="4"/>
  <c r="H268" i="4" s="1"/>
  <c r="F268" i="4"/>
  <c r="L301" i="4"/>
  <c r="F893" i="4"/>
  <c r="L910" i="4"/>
  <c r="F443" i="2"/>
  <c r="G560" i="2"/>
  <c r="J560" i="2" s="1"/>
  <c r="G597" i="2"/>
  <c r="L789" i="2"/>
  <c r="F892" i="2"/>
  <c r="L9" i="4"/>
  <c r="F141" i="4"/>
  <c r="G188" i="4"/>
  <c r="L328" i="4"/>
  <c r="G328" i="4"/>
  <c r="L465" i="4"/>
  <c r="L611" i="4"/>
  <c r="G611" i="4"/>
  <c r="J611" i="4" s="1"/>
  <c r="F611" i="4"/>
  <c r="L758" i="4"/>
  <c r="L817" i="4"/>
  <c r="F817" i="4"/>
  <c r="L865" i="4"/>
  <c r="F921" i="4"/>
  <c r="L965" i="4"/>
  <c r="G965" i="4"/>
  <c r="F965" i="4"/>
  <c r="L53" i="4"/>
  <c r="F53" i="4"/>
  <c r="L377" i="4"/>
  <c r="G377" i="4"/>
  <c r="P377" i="4" s="1"/>
  <c r="G383" i="4"/>
  <c r="P383" i="4" s="1"/>
  <c r="L383" i="4"/>
  <c r="F383" i="4"/>
  <c r="F554" i="4"/>
  <c r="L554" i="4"/>
  <c r="G554" i="4"/>
  <c r="L1002" i="4"/>
  <c r="G1002" i="4"/>
  <c r="F1002" i="4"/>
  <c r="L170" i="4"/>
  <c r="G170" i="4"/>
  <c r="F170" i="4"/>
  <c r="L247" i="4"/>
  <c r="G247" i="4"/>
  <c r="L546" i="4"/>
  <c r="G546" i="4"/>
  <c r="L708" i="4"/>
  <c r="G708" i="4"/>
  <c r="H708" i="4" s="1"/>
  <c r="F708" i="4"/>
  <c r="F873" i="4"/>
  <c r="I873" i="4" s="1"/>
  <c r="O873" i="4" s="1"/>
  <c r="G921" i="4"/>
  <c r="J921" i="4" s="1"/>
  <c r="F988" i="4"/>
  <c r="F1000" i="4"/>
  <c r="L1000" i="4"/>
  <c r="L423" i="4"/>
  <c r="F606" i="4"/>
  <c r="L606" i="4"/>
  <c r="G606" i="4"/>
  <c r="P606" i="4" s="1"/>
  <c r="J873" i="4"/>
  <c r="G988" i="4"/>
  <c r="H988" i="4" s="1"/>
  <c r="F282" i="4"/>
  <c r="F354" i="4"/>
  <c r="G488" i="4"/>
  <c r="L497" i="4"/>
  <c r="F754" i="4"/>
  <c r="L799" i="4"/>
  <c r="F825" i="4"/>
  <c r="L834" i="4"/>
  <c r="F901" i="4"/>
  <c r="L973" i="4"/>
  <c r="F193" i="4"/>
  <c r="L620" i="4"/>
  <c r="L653" i="4"/>
  <c r="G896" i="4"/>
  <c r="P896" i="4" s="1"/>
  <c r="L245" i="4"/>
  <c r="G882" i="4"/>
  <c r="J882" i="4" s="1"/>
  <c r="F912" i="4"/>
  <c r="L308" i="4"/>
  <c r="L395" i="4"/>
  <c r="G503" i="4"/>
  <c r="L842" i="4"/>
  <c r="F845" i="4"/>
  <c r="L882" i="4"/>
  <c r="G912" i="4"/>
  <c r="L395" i="2"/>
  <c r="G395" i="2"/>
  <c r="F395" i="2"/>
  <c r="G37" i="2"/>
  <c r="L37" i="2"/>
  <c r="F37" i="2"/>
  <c r="G11" i="2"/>
  <c r="L11" i="2"/>
  <c r="L471" i="2"/>
  <c r="G471" i="2"/>
  <c r="F471" i="2"/>
  <c r="L321" i="2"/>
  <c r="F321" i="2"/>
  <c r="G321" i="2"/>
  <c r="F292" i="2"/>
  <c r="G292" i="2"/>
  <c r="L292" i="2"/>
  <c r="L183" i="2"/>
  <c r="G183" i="2"/>
  <c r="F183" i="2"/>
  <c r="G340" i="2"/>
  <c r="F340" i="2"/>
  <c r="L340" i="2"/>
  <c r="L530" i="2"/>
  <c r="G530" i="2"/>
  <c r="F530" i="2"/>
  <c r="F785" i="2"/>
  <c r="L785" i="2"/>
  <c r="G785" i="2"/>
  <c r="G64" i="4"/>
  <c r="F64" i="4"/>
  <c r="L64" i="4"/>
  <c r="G197" i="2"/>
  <c r="F197" i="2"/>
  <c r="L197" i="2"/>
  <c r="L309" i="2"/>
  <c r="G309" i="2"/>
  <c r="F309" i="2"/>
  <c r="L393" i="2"/>
  <c r="G393" i="2"/>
  <c r="F393" i="2"/>
  <c r="F442" i="2"/>
  <c r="L442" i="2"/>
  <c r="G442" i="2"/>
  <c r="G638" i="2"/>
  <c r="F638" i="2"/>
  <c r="G647" i="2"/>
  <c r="F647" i="2"/>
  <c r="L647" i="2"/>
  <c r="L252" i="2"/>
  <c r="F252" i="2"/>
  <c r="L216" i="2"/>
  <c r="G216" i="2"/>
  <c r="L41" i="2"/>
  <c r="G41" i="2"/>
  <c r="F41" i="2"/>
  <c r="F421" i="2"/>
  <c r="L421" i="2"/>
  <c r="G421" i="2"/>
  <c r="F265" i="4"/>
  <c r="L265" i="4"/>
  <c r="G265" i="4"/>
  <c r="L377" i="2"/>
  <c r="G377" i="2"/>
  <c r="L254" i="2"/>
  <c r="G254" i="2"/>
  <c r="F254" i="2"/>
  <c r="G133" i="2"/>
  <c r="F133" i="2"/>
  <c r="L133" i="2"/>
  <c r="L453" i="2"/>
  <c r="G453" i="2"/>
  <c r="L178" i="2"/>
  <c r="G178" i="2"/>
  <c r="F178" i="2"/>
  <c r="L77" i="2"/>
  <c r="G77" i="2"/>
  <c r="F77" i="2"/>
  <c r="L363" i="2"/>
  <c r="F363" i="2"/>
  <c r="G565" i="2"/>
  <c r="F565" i="2"/>
  <c r="L565" i="2"/>
  <c r="F845" i="2"/>
  <c r="G845" i="2"/>
  <c r="L845" i="2"/>
  <c r="F433" i="2"/>
  <c r="L433" i="2"/>
  <c r="G433" i="2"/>
  <c r="J176" i="2"/>
  <c r="H176" i="2"/>
  <c r="P176" i="2"/>
  <c r="G252" i="2"/>
  <c r="J83" i="2"/>
  <c r="L233" i="2"/>
  <c r="F233" i="2"/>
  <c r="L204" i="2"/>
  <c r="G204" i="2"/>
  <c r="F204" i="2"/>
  <c r="F11" i="2"/>
  <c r="L5" i="2"/>
  <c r="G5" i="2"/>
  <c r="F5" i="2"/>
  <c r="L187" i="2"/>
  <c r="G187" i="2"/>
  <c r="L305" i="2"/>
  <c r="G305" i="2"/>
  <c r="L17" i="2"/>
  <c r="F17" i="2"/>
  <c r="G17" i="2"/>
  <c r="L224" i="2"/>
  <c r="G224" i="2"/>
  <c r="F224" i="2"/>
  <c r="F331" i="2"/>
  <c r="L331" i="2"/>
  <c r="G331" i="2"/>
  <c r="F377" i="2"/>
  <c r="L146" i="2"/>
  <c r="F146" i="2"/>
  <c r="F148" i="2"/>
  <c r="G148" i="2"/>
  <c r="L148" i="2"/>
  <c r="F184" i="2"/>
  <c r="G184" i="2"/>
  <c r="L184" i="2"/>
  <c r="L365" i="2"/>
  <c r="G365" i="2"/>
  <c r="L22" i="2"/>
  <c r="G22" i="2"/>
  <c r="F22" i="2"/>
  <c r="L719" i="2"/>
  <c r="G719" i="2"/>
  <c r="G762" i="2"/>
  <c r="L762" i="2"/>
  <c r="F762" i="2"/>
  <c r="L25" i="2"/>
  <c r="G25" i="2"/>
  <c r="F25" i="2"/>
  <c r="G30" i="2"/>
  <c r="F30" i="2"/>
  <c r="L30" i="2"/>
  <c r="L60" i="2"/>
  <c r="F60" i="2"/>
  <c r="G60" i="2"/>
  <c r="L91" i="2"/>
  <c r="F91" i="2"/>
  <c r="L115" i="2"/>
  <c r="F115" i="2"/>
  <c r="G115" i="2"/>
  <c r="G135" i="2"/>
  <c r="F135" i="2"/>
  <c r="L135" i="2"/>
  <c r="G351" i="2"/>
  <c r="L351" i="2"/>
  <c r="G636" i="2"/>
  <c r="L636" i="2"/>
  <c r="F636" i="2"/>
  <c r="G91" i="2"/>
  <c r="L200" i="2"/>
  <c r="G200" i="2"/>
  <c r="G202" i="2"/>
  <c r="F202" i="2"/>
  <c r="L202" i="2"/>
  <c r="G237" i="2"/>
  <c r="L237" i="2"/>
  <c r="L262" i="2"/>
  <c r="F262" i="2"/>
  <c r="G262" i="2"/>
  <c r="L447" i="2"/>
  <c r="G447" i="2"/>
  <c r="F447" i="2"/>
  <c r="F244" i="2"/>
  <c r="L244" i="2"/>
  <c r="G244" i="2"/>
  <c r="G264" i="2"/>
  <c r="L264" i="2"/>
  <c r="L36" i="2"/>
  <c r="F36" i="2"/>
  <c r="G36" i="2"/>
  <c r="G80" i="2"/>
  <c r="F80" i="2"/>
  <c r="G270" i="2"/>
  <c r="L270" i="2"/>
  <c r="F74" i="2"/>
  <c r="G74" i="2"/>
  <c r="L74" i="2"/>
  <c r="L82" i="2"/>
  <c r="G82" i="2"/>
  <c r="G194" i="2"/>
  <c r="F194" i="2"/>
  <c r="L194" i="2"/>
  <c r="L466" i="2"/>
  <c r="G466" i="2"/>
  <c r="F466" i="2"/>
  <c r="F804" i="2"/>
  <c r="L804" i="2"/>
  <c r="G804" i="2"/>
  <c r="G131" i="4"/>
  <c r="F131" i="4"/>
  <c r="L131" i="4"/>
  <c r="L72" i="2"/>
  <c r="G72" i="2"/>
  <c r="L349" i="2"/>
  <c r="G349" i="2"/>
  <c r="F898" i="2"/>
  <c r="L898" i="2"/>
  <c r="G898" i="2"/>
  <c r="L108" i="4"/>
  <c r="F108" i="4"/>
  <c r="L42" i="2"/>
  <c r="G42" i="2"/>
  <c r="F42" i="2"/>
  <c r="G125" i="2"/>
  <c r="F125" i="2"/>
  <c r="L125" i="2"/>
  <c r="L103" i="2"/>
  <c r="G103" i="2"/>
  <c r="F103" i="2"/>
  <c r="G120" i="2"/>
  <c r="L228" i="2"/>
  <c r="F228" i="2"/>
  <c r="F270" i="2"/>
  <c r="G302" i="2"/>
  <c r="L302" i="2"/>
  <c r="F302" i="2"/>
  <c r="G347" i="2"/>
  <c r="F347" i="2"/>
  <c r="L347" i="2"/>
  <c r="G356" i="2"/>
  <c r="L356" i="2"/>
  <c r="F358" i="2"/>
  <c r="G358" i="2"/>
  <c r="G416" i="2"/>
  <c r="L416" i="2"/>
  <c r="F416" i="2"/>
  <c r="L428" i="2"/>
  <c r="G428" i="2"/>
  <c r="F428" i="2"/>
  <c r="G628" i="2"/>
  <c r="L628" i="2"/>
  <c r="L82" i="4"/>
  <c r="G82" i="4"/>
  <c r="F82" i="4"/>
  <c r="F163" i="2"/>
  <c r="L163" i="2"/>
  <c r="G163" i="2"/>
  <c r="L451" i="2"/>
  <c r="G451" i="2"/>
  <c r="F451" i="2"/>
  <c r="F72" i="2"/>
  <c r="L80" i="2"/>
  <c r="F335" i="2"/>
  <c r="L335" i="2"/>
  <c r="L401" i="2"/>
  <c r="F401" i="2"/>
  <c r="G401" i="2"/>
  <c r="L596" i="2"/>
  <c r="F596" i="2"/>
  <c r="G596" i="2"/>
  <c r="F725" i="2"/>
  <c r="G725" i="2"/>
  <c r="L725" i="2"/>
  <c r="L8" i="2"/>
  <c r="G8" i="2"/>
  <c r="F8" i="2"/>
  <c r="L88" i="2"/>
  <c r="G88" i="2"/>
  <c r="F88" i="2"/>
  <c r="G122" i="2"/>
  <c r="L122" i="2"/>
  <c r="F122" i="2"/>
  <c r="G126" i="2"/>
  <c r="F126" i="2"/>
  <c r="L130" i="2"/>
  <c r="F130" i="2"/>
  <c r="L226" i="2"/>
  <c r="F226" i="2"/>
  <c r="G226" i="2"/>
  <c r="L287" i="2"/>
  <c r="G287" i="2"/>
  <c r="F287" i="2"/>
  <c r="G354" i="2"/>
  <c r="L354" i="2"/>
  <c r="G557" i="2"/>
  <c r="L557" i="2"/>
  <c r="F557" i="2"/>
  <c r="L663" i="2"/>
  <c r="F663" i="2"/>
  <c r="G65" i="2"/>
  <c r="F65" i="2"/>
  <c r="L65" i="2"/>
  <c r="L128" i="2"/>
  <c r="G128" i="2"/>
  <c r="F128" i="2"/>
  <c r="L218" i="2"/>
  <c r="F218" i="2"/>
  <c r="H384" i="2"/>
  <c r="P384" i="2"/>
  <c r="G412" i="2"/>
  <c r="L412" i="2"/>
  <c r="F412" i="2"/>
  <c r="L515" i="2"/>
  <c r="F515" i="2"/>
  <c r="G515" i="2"/>
  <c r="L299" i="2"/>
  <c r="F299" i="2"/>
  <c r="F457" i="2"/>
  <c r="L457" i="2"/>
  <c r="G457" i="2"/>
  <c r="F491" i="2"/>
  <c r="L491" i="2"/>
  <c r="L493" i="2"/>
  <c r="F493" i="2"/>
  <c r="G493" i="2"/>
  <c r="G610" i="2"/>
  <c r="F610" i="2"/>
  <c r="L610" i="2"/>
  <c r="L769" i="2"/>
  <c r="G769" i="2"/>
  <c r="F769" i="2"/>
  <c r="F62" i="2"/>
  <c r="L62" i="2"/>
  <c r="G62" i="2"/>
  <c r="G223" i="2"/>
  <c r="F223" i="2"/>
  <c r="F405" i="2"/>
  <c r="G405" i="2"/>
  <c r="F512" i="2"/>
  <c r="L512" i="2"/>
  <c r="F651" i="2"/>
  <c r="L651" i="2"/>
  <c r="G651" i="2"/>
  <c r="G50" i="4"/>
  <c r="L50" i="4"/>
  <c r="F50" i="4"/>
  <c r="F100" i="2"/>
  <c r="L119" i="2"/>
  <c r="F119" i="2"/>
  <c r="L212" i="2"/>
  <c r="G299" i="2"/>
  <c r="L314" i="2"/>
  <c r="G339" i="2"/>
  <c r="G491" i="2"/>
  <c r="L531" i="2"/>
  <c r="G531" i="2"/>
  <c r="F531" i="2"/>
  <c r="L732" i="2"/>
  <c r="F732" i="2"/>
  <c r="G732" i="2"/>
  <c r="L21" i="2"/>
  <c r="F21" i="2"/>
  <c r="L81" i="2"/>
  <c r="G81" i="2"/>
  <c r="G87" i="2"/>
  <c r="F87" i="2"/>
  <c r="L87" i="2"/>
  <c r="G100" i="2"/>
  <c r="G127" i="2"/>
  <c r="F127" i="2"/>
  <c r="F162" i="2"/>
  <c r="G162" i="2"/>
  <c r="L162" i="2"/>
  <c r="H186" i="2"/>
  <c r="G196" i="2"/>
  <c r="F196" i="2"/>
  <c r="L223" i="2"/>
  <c r="F248" i="2"/>
  <c r="F316" i="2"/>
  <c r="F396" i="2"/>
  <c r="L396" i="2"/>
  <c r="G396" i="2"/>
  <c r="L405" i="2"/>
  <c r="F476" i="2"/>
  <c r="G476" i="2"/>
  <c r="L476" i="2"/>
  <c r="G512" i="2"/>
  <c r="F637" i="2"/>
  <c r="L637" i="2"/>
  <c r="G637" i="2"/>
  <c r="F664" i="2"/>
  <c r="G664" i="2"/>
  <c r="L664" i="2"/>
  <c r="L676" i="2"/>
  <c r="G676" i="2"/>
  <c r="F676" i="2"/>
  <c r="F680" i="2"/>
  <c r="G680" i="2"/>
  <c r="L680" i="2"/>
  <c r="F748" i="2"/>
  <c r="L748" i="2"/>
  <c r="G748" i="2"/>
  <c r="F794" i="2"/>
  <c r="L794" i="2"/>
  <c r="G794" i="2"/>
  <c r="L56" i="2"/>
  <c r="G56" i="2"/>
  <c r="G112" i="2"/>
  <c r="F112" i="2"/>
  <c r="L112" i="2"/>
  <c r="L246" i="2"/>
  <c r="F246" i="2"/>
  <c r="L388" i="2"/>
  <c r="F388" i="2"/>
  <c r="F459" i="2"/>
  <c r="F485" i="2"/>
  <c r="L574" i="2"/>
  <c r="G574" i="2"/>
  <c r="F574" i="2"/>
  <c r="G968" i="2"/>
  <c r="L968" i="2"/>
  <c r="F968" i="2"/>
  <c r="F977" i="2"/>
  <c r="G977" i="2"/>
  <c r="L977" i="2"/>
  <c r="F38" i="2"/>
  <c r="F56" i="2"/>
  <c r="F188" i="2"/>
  <c r="G188" i="2"/>
  <c r="L191" i="2"/>
  <c r="L201" i="2"/>
  <c r="F201" i="2"/>
  <c r="G201" i="2"/>
  <c r="G215" i="2"/>
  <c r="F215" i="2"/>
  <c r="G246" i="2"/>
  <c r="G248" i="2"/>
  <c r="G281" i="2"/>
  <c r="L281" i="2"/>
  <c r="P376" i="2"/>
  <c r="H376" i="2"/>
  <c r="L420" i="2"/>
  <c r="G420" i="2"/>
  <c r="F420" i="2"/>
  <c r="L533" i="2"/>
  <c r="G533" i="2"/>
  <c r="F533" i="2"/>
  <c r="G554" i="2"/>
  <c r="F554" i="2"/>
  <c r="L554" i="2"/>
  <c r="F822" i="2"/>
  <c r="L822" i="2"/>
  <c r="G822" i="2"/>
  <c r="G859" i="2"/>
  <c r="L859" i="2"/>
  <c r="F859" i="2"/>
  <c r="F975" i="2"/>
  <c r="L975" i="2"/>
  <c r="G975" i="2"/>
  <c r="G142" i="4"/>
  <c r="F142" i="4"/>
  <c r="L142" i="4"/>
  <c r="F736" i="4"/>
  <c r="G736" i="4"/>
  <c r="L736" i="4"/>
  <c r="G21" i="2"/>
  <c r="F23" i="2"/>
  <c r="G38" i="2"/>
  <c r="F64" i="2"/>
  <c r="F78" i="2"/>
  <c r="G119" i="2"/>
  <c r="L164" i="2"/>
  <c r="F164" i="2"/>
  <c r="G164" i="2"/>
  <c r="F212" i="2"/>
  <c r="F251" i="2"/>
  <c r="L261" i="2"/>
  <c r="F261" i="2"/>
  <c r="F279" i="2"/>
  <c r="L316" i="2"/>
  <c r="L452" i="2"/>
  <c r="G452" i="2"/>
  <c r="F452" i="2"/>
  <c r="G566" i="2"/>
  <c r="F566" i="2"/>
  <c r="L619" i="2"/>
  <c r="F619" i="2"/>
  <c r="G619" i="2"/>
  <c r="F690" i="2"/>
  <c r="F875" i="2"/>
  <c r="G875" i="2"/>
  <c r="G16" i="2"/>
  <c r="F16" i="2"/>
  <c r="L225" i="2"/>
  <c r="F225" i="2"/>
  <c r="F284" i="2"/>
  <c r="G284" i="2"/>
  <c r="L199" i="2"/>
  <c r="F199" i="2"/>
  <c r="G199" i="2"/>
  <c r="P59" i="2"/>
  <c r="H59" i="2"/>
  <c r="L177" i="2"/>
  <c r="G177" i="2"/>
  <c r="G263" i="2"/>
  <c r="F263" i="2"/>
  <c r="G330" i="2"/>
  <c r="F330" i="2"/>
  <c r="F541" i="2"/>
  <c r="L541" i="2"/>
  <c r="G12" i="2"/>
  <c r="L12" i="2"/>
  <c r="G15" i="2"/>
  <c r="F15" i="2"/>
  <c r="L127" i="2"/>
  <c r="P186" i="2"/>
  <c r="F217" i="2"/>
  <c r="G222" i="2"/>
  <c r="F222" i="2"/>
  <c r="L258" i="2"/>
  <c r="G258" i="2"/>
  <c r="F258" i="2"/>
  <c r="F271" i="2"/>
  <c r="G271" i="2"/>
  <c r="F281" i="2"/>
  <c r="L288" i="2"/>
  <c r="G288" i="2"/>
  <c r="F288" i="2"/>
  <c r="L409" i="2"/>
  <c r="G409" i="2"/>
  <c r="F409" i="2"/>
  <c r="L436" i="2"/>
  <c r="G436" i="2"/>
  <c r="L458" i="2"/>
  <c r="F652" i="2"/>
  <c r="L652" i="2"/>
  <c r="G652" i="2"/>
  <c r="G716" i="2"/>
  <c r="L716" i="2"/>
  <c r="F716" i="2"/>
  <c r="G73" i="2"/>
  <c r="L73" i="2"/>
  <c r="L76" i="2"/>
  <c r="G76" i="2"/>
  <c r="F76" i="2"/>
  <c r="F117" i="2"/>
  <c r="L117" i="2"/>
  <c r="L236" i="2"/>
  <c r="F236" i="2"/>
  <c r="G236" i="2"/>
  <c r="L510" i="2"/>
  <c r="G510" i="2"/>
  <c r="F510" i="2"/>
  <c r="F588" i="2"/>
  <c r="G588" i="2"/>
  <c r="L588" i="2"/>
  <c r="F9" i="2"/>
  <c r="G9" i="2"/>
  <c r="G142" i="2"/>
  <c r="F142" i="2"/>
  <c r="G152" i="2"/>
  <c r="F152" i="2"/>
  <c r="G212" i="2"/>
  <c r="G411" i="2"/>
  <c r="L411" i="2"/>
  <c r="F411" i="2"/>
  <c r="F520" i="2"/>
  <c r="G520" i="2"/>
  <c r="L529" i="2"/>
  <c r="G529" i="2"/>
  <c r="F529" i="2"/>
  <c r="L611" i="2"/>
  <c r="F611" i="2"/>
  <c r="G611" i="2"/>
  <c r="L633" i="2"/>
  <c r="F633" i="2"/>
  <c r="L6" i="2"/>
  <c r="J59" i="2"/>
  <c r="F61" i="2"/>
  <c r="L61" i="2"/>
  <c r="G61" i="2"/>
  <c r="L92" i="2"/>
  <c r="L116" i="2"/>
  <c r="G116" i="2"/>
  <c r="L131" i="2"/>
  <c r="F131" i="2"/>
  <c r="G131" i="2"/>
  <c r="P159" i="2"/>
  <c r="F179" i="2"/>
  <c r="L188" i="2"/>
  <c r="L215" i="2"/>
  <c r="G217" i="2"/>
  <c r="L219" i="2"/>
  <c r="F219" i="2"/>
  <c r="L265" i="2"/>
  <c r="F265" i="2"/>
  <c r="P427" i="2"/>
  <c r="J427" i="2"/>
  <c r="H427" i="2"/>
  <c r="L450" i="2"/>
  <c r="G450" i="2"/>
  <c r="F450" i="2"/>
  <c r="F469" i="2"/>
  <c r="F644" i="2"/>
  <c r="L644" i="2"/>
  <c r="G644" i="2"/>
  <c r="L272" i="4"/>
  <c r="F272" i="4"/>
  <c r="G272" i="4"/>
  <c r="L48" i="2"/>
  <c r="G48" i="2"/>
  <c r="L55" i="2"/>
  <c r="F55" i="2"/>
  <c r="L83" i="2"/>
  <c r="F83" i="2"/>
  <c r="G111" i="2"/>
  <c r="F111" i="2"/>
  <c r="L111" i="2"/>
  <c r="G134" i="2"/>
  <c r="H149" i="2"/>
  <c r="P149" i="2"/>
  <c r="J149" i="2"/>
  <c r="L152" i="2"/>
  <c r="F177" i="2"/>
  <c r="L182" i="2"/>
  <c r="G182" i="2"/>
  <c r="L196" i="2"/>
  <c r="F203" i="2"/>
  <c r="F310" i="2"/>
  <c r="L338" i="2"/>
  <c r="G338" i="2"/>
  <c r="F338" i="2"/>
  <c r="G350" i="2"/>
  <c r="F350" i="2"/>
  <c r="L350" i="2"/>
  <c r="F369" i="2"/>
  <c r="G369" i="2"/>
  <c r="L369" i="2"/>
  <c r="G490" i="2"/>
  <c r="L490" i="2"/>
  <c r="F492" i="2"/>
  <c r="G492" i="2"/>
  <c r="F494" i="2"/>
  <c r="L494" i="2"/>
  <c r="G494" i="2"/>
  <c r="G541" i="2"/>
  <c r="L601" i="2"/>
  <c r="F601" i="2"/>
  <c r="L775" i="2"/>
  <c r="G775" i="2"/>
  <c r="F799" i="2"/>
  <c r="G799" i="2"/>
  <c r="L799" i="2"/>
  <c r="F20" i="2"/>
  <c r="G20" i="2"/>
  <c r="L20" i="2"/>
  <c r="F34" i="2"/>
  <c r="L34" i="2"/>
  <c r="G34" i="2"/>
  <c r="L63" i="2"/>
  <c r="F63" i="2"/>
  <c r="G113" i="2"/>
  <c r="L138" i="2"/>
  <c r="F138" i="2"/>
  <c r="G174" i="2"/>
  <c r="F174" i="2"/>
  <c r="L198" i="2"/>
  <c r="F198" i="2"/>
  <c r="G203" i="2"/>
  <c r="G310" i="2"/>
  <c r="L330" i="2"/>
  <c r="L445" i="2"/>
  <c r="F445" i="2"/>
  <c r="L520" i="2"/>
  <c r="L575" i="2"/>
  <c r="F575" i="2"/>
  <c r="G575" i="2"/>
  <c r="F585" i="2"/>
  <c r="L585" i="2"/>
  <c r="G585" i="2"/>
  <c r="G755" i="2"/>
  <c r="L755" i="2"/>
  <c r="G583" i="2"/>
  <c r="F583" i="2"/>
  <c r="G608" i="2"/>
  <c r="F608" i="2"/>
  <c r="F721" i="2"/>
  <c r="G721" i="2"/>
  <c r="L721" i="2"/>
  <c r="L753" i="2"/>
  <c r="F753" i="2"/>
  <c r="F779" i="2"/>
  <c r="L779" i="2"/>
  <c r="G779" i="2"/>
  <c r="F810" i="2"/>
  <c r="L810" i="2"/>
  <c r="G810" i="2"/>
  <c r="G33" i="2"/>
  <c r="L33" i="2"/>
  <c r="F157" i="2"/>
  <c r="L157" i="2"/>
  <c r="L165" i="2"/>
  <c r="G165" i="2"/>
  <c r="F232" i="2"/>
  <c r="L232" i="2"/>
  <c r="G232" i="2"/>
  <c r="G259" i="2"/>
  <c r="F259" i="2"/>
  <c r="F266" i="2"/>
  <c r="G303" i="2"/>
  <c r="L303" i="2"/>
  <c r="F326" i="2"/>
  <c r="G326" i="2"/>
  <c r="L326" i="2"/>
  <c r="F381" i="2"/>
  <c r="F615" i="2"/>
  <c r="L826" i="2"/>
  <c r="G826" i="2"/>
  <c r="F826" i="2"/>
  <c r="L930" i="2"/>
  <c r="F930" i="2"/>
  <c r="G930" i="2"/>
  <c r="L954" i="2"/>
  <c r="F954" i="2"/>
  <c r="G954" i="2"/>
  <c r="G5" i="4"/>
  <c r="F5" i="4"/>
  <c r="L5" i="4"/>
  <c r="G23" i="4"/>
  <c r="F23" i="4"/>
  <c r="L23" i="4"/>
  <c r="G55" i="4"/>
  <c r="F55" i="4"/>
  <c r="G117" i="4"/>
  <c r="F117" i="4"/>
  <c r="L117" i="4"/>
  <c r="F54" i="2"/>
  <c r="L54" i="2"/>
  <c r="G86" i="2"/>
  <c r="F86" i="2"/>
  <c r="F176" i="2"/>
  <c r="L176" i="2"/>
  <c r="L227" i="2"/>
  <c r="F227" i="2"/>
  <c r="L332" i="2"/>
  <c r="G332" i="2"/>
  <c r="F332" i="2"/>
  <c r="G353" i="2"/>
  <c r="F353" i="2"/>
  <c r="L397" i="2"/>
  <c r="G397" i="2"/>
  <c r="L468" i="2"/>
  <c r="F468" i="2"/>
  <c r="G500" i="2"/>
  <c r="F500" i="2"/>
  <c r="L500" i="2"/>
  <c r="G511" i="2"/>
  <c r="F511" i="2"/>
  <c r="L568" i="2"/>
  <c r="L698" i="2"/>
  <c r="G698" i="2"/>
  <c r="F698" i="2"/>
  <c r="F705" i="2"/>
  <c r="L705" i="2"/>
  <c r="G893" i="2"/>
  <c r="F893" i="2"/>
  <c r="L893" i="2"/>
  <c r="L998" i="2"/>
  <c r="F998" i="2"/>
  <c r="G998" i="2"/>
  <c r="L494" i="4"/>
  <c r="G494" i="4"/>
  <c r="L90" i="2"/>
  <c r="L156" i="2"/>
  <c r="G156" i="2"/>
  <c r="F156" i="2"/>
  <c r="F269" i="2"/>
  <c r="G269" i="2"/>
  <c r="F276" i="2"/>
  <c r="G276" i="2"/>
  <c r="L460" i="2"/>
  <c r="F460" i="2"/>
  <c r="G460" i="2"/>
  <c r="F484" i="2"/>
  <c r="L484" i="2"/>
  <c r="G484" i="2"/>
  <c r="F508" i="2"/>
  <c r="L508" i="2"/>
  <c r="G535" i="2"/>
  <c r="L535" i="2"/>
  <c r="F535" i="2"/>
  <c r="G548" i="2"/>
  <c r="F548" i="2"/>
  <c r="L548" i="2"/>
  <c r="G655" i="2"/>
  <c r="G791" i="2"/>
  <c r="F791" i="2"/>
  <c r="L791" i="2"/>
  <c r="F864" i="2"/>
  <c r="L864" i="2"/>
  <c r="G864" i="2"/>
  <c r="F72" i="4"/>
  <c r="L72" i="4"/>
  <c r="G72" i="4"/>
  <c r="F392" i="2"/>
  <c r="L827" i="2"/>
  <c r="G827" i="2"/>
  <c r="F827" i="2"/>
  <c r="L927" i="2"/>
  <c r="F927" i="2"/>
  <c r="G172" i="4"/>
  <c r="L172" i="4"/>
  <c r="L47" i="2"/>
  <c r="G71" i="2"/>
  <c r="L132" i="2"/>
  <c r="G132" i="2"/>
  <c r="G145" i="2"/>
  <c r="G181" i="2"/>
  <c r="L205" i="2"/>
  <c r="L238" i="2"/>
  <c r="G238" i="2"/>
  <c r="G272" i="2"/>
  <c r="L298" i="2"/>
  <c r="L311" i="2"/>
  <c r="G315" i="2"/>
  <c r="F315" i="2"/>
  <c r="G343" i="2"/>
  <c r="F343" i="2"/>
  <c r="L376" i="2"/>
  <c r="F376" i="2"/>
  <c r="F435" i="2"/>
  <c r="L435" i="2"/>
  <c r="G438" i="2"/>
  <c r="L481" i="2"/>
  <c r="F481" i="2"/>
  <c r="G568" i="2"/>
  <c r="L593" i="2"/>
  <c r="G593" i="2"/>
  <c r="L718" i="2"/>
  <c r="G718" i="2"/>
  <c r="F718" i="2"/>
  <c r="G733" i="2"/>
  <c r="G743" i="2"/>
  <c r="L743" i="2"/>
  <c r="F823" i="2"/>
  <c r="G823" i="2"/>
  <c r="G907" i="2"/>
  <c r="L907" i="2"/>
  <c r="L70" i="4"/>
  <c r="G70" i="4"/>
  <c r="F70" i="4"/>
  <c r="G90" i="4"/>
  <c r="F90" i="4"/>
  <c r="G430" i="4"/>
  <c r="F430" i="4"/>
  <c r="L430" i="4"/>
  <c r="G334" i="2"/>
  <c r="F334" i="2"/>
  <c r="G346" i="2"/>
  <c r="F346" i="2"/>
  <c r="L518" i="2"/>
  <c r="G518" i="2"/>
  <c r="L584" i="2"/>
  <c r="G584" i="2"/>
  <c r="F584" i="2"/>
  <c r="F687" i="2"/>
  <c r="G687" i="2"/>
  <c r="L687" i="2"/>
  <c r="L829" i="2"/>
  <c r="F829" i="2"/>
  <c r="G829" i="2"/>
  <c r="G31" i="2"/>
  <c r="F31" i="2"/>
  <c r="G46" i="2"/>
  <c r="F46" i="2"/>
  <c r="L70" i="2"/>
  <c r="G70" i="2"/>
  <c r="G318" i="2"/>
  <c r="F318" i="2"/>
  <c r="L373" i="2"/>
  <c r="F373" i="2"/>
  <c r="L385" i="2"/>
  <c r="G385" i="2"/>
  <c r="P446" i="2"/>
  <c r="H446" i="2"/>
  <c r="L463" i="2"/>
  <c r="G563" i="2"/>
  <c r="F724" i="2"/>
  <c r="G724" i="2"/>
  <c r="G756" i="2"/>
  <c r="F756" i="2"/>
  <c r="G935" i="2"/>
  <c r="F935" i="2"/>
  <c r="L935" i="2"/>
  <c r="G942" i="2"/>
  <c r="F942" i="2"/>
  <c r="L942" i="2"/>
  <c r="G64" i="2"/>
  <c r="L75" i="2"/>
  <c r="F75" i="2"/>
  <c r="L86" i="2"/>
  <c r="F89" i="2"/>
  <c r="L89" i="2"/>
  <c r="G110" i="2"/>
  <c r="F110" i="2"/>
  <c r="F132" i="2"/>
  <c r="F158" i="2"/>
  <c r="L158" i="2"/>
  <c r="F175" i="2"/>
  <c r="G175" i="2"/>
  <c r="G210" i="2"/>
  <c r="F210" i="2"/>
  <c r="L242" i="2"/>
  <c r="F242" i="2"/>
  <c r="G242" i="2"/>
  <c r="F253" i="2"/>
  <c r="F264" i="2"/>
  <c r="G279" i="2"/>
  <c r="G282" i="2"/>
  <c r="L282" i="2"/>
  <c r="F294" i="2"/>
  <c r="L294" i="2"/>
  <c r="G294" i="2"/>
  <c r="F304" i="2"/>
  <c r="L304" i="2"/>
  <c r="L334" i="2"/>
  <c r="L336" i="2"/>
  <c r="G355" i="2"/>
  <c r="L355" i="2"/>
  <c r="F361" i="2"/>
  <c r="L364" i="2"/>
  <c r="G364" i="2"/>
  <c r="G388" i="2"/>
  <c r="G392" i="2"/>
  <c r="G394" i="2"/>
  <c r="G410" i="2"/>
  <c r="L410" i="2"/>
  <c r="F410" i="2"/>
  <c r="G415" i="2"/>
  <c r="L415" i="2"/>
  <c r="F415" i="2"/>
  <c r="F449" i="2"/>
  <c r="G449" i="2"/>
  <c r="F505" i="2"/>
  <c r="L505" i="2"/>
  <c r="F518" i="2"/>
  <c r="G579" i="2"/>
  <c r="G607" i="2"/>
  <c r="L679" i="2"/>
  <c r="F679" i="2"/>
  <c r="G709" i="2"/>
  <c r="L709" i="2"/>
  <c r="F774" i="2"/>
  <c r="L774" i="2"/>
  <c r="G774" i="2"/>
  <c r="L823" i="2"/>
  <c r="F825" i="2"/>
  <c r="G871" i="2"/>
  <c r="G915" i="2"/>
  <c r="F915" i="2"/>
  <c r="G927" i="2"/>
  <c r="F172" i="4"/>
  <c r="F736" i="2"/>
  <c r="L736" i="2"/>
  <c r="G736" i="2"/>
  <c r="F802" i="2"/>
  <c r="L802" i="2"/>
  <c r="G802" i="2"/>
  <c r="L832" i="2"/>
  <c r="F832" i="2"/>
  <c r="G832" i="2"/>
  <c r="L844" i="2"/>
  <c r="G844" i="2"/>
  <c r="G84" i="4"/>
  <c r="L84" i="4"/>
  <c r="F84" i="4"/>
  <c r="L7" i="2"/>
  <c r="F14" i="2"/>
  <c r="G14" i="2"/>
  <c r="L19" i="2"/>
  <c r="G45" i="2"/>
  <c r="F45" i="2"/>
  <c r="L59" i="2"/>
  <c r="F59" i="2"/>
  <c r="G118" i="2"/>
  <c r="G209" i="2"/>
  <c r="F209" i="2"/>
  <c r="G245" i="2"/>
  <c r="F245" i="2"/>
  <c r="F255" i="2"/>
  <c r="L290" i="2"/>
  <c r="G320" i="2"/>
  <c r="L320" i="2"/>
  <c r="G370" i="2"/>
  <c r="F370" i="2"/>
  <c r="L398" i="2"/>
  <c r="F398" i="2"/>
  <c r="L472" i="2"/>
  <c r="F472" i="2"/>
  <c r="L563" i="2"/>
  <c r="L672" i="2"/>
  <c r="G672" i="2"/>
  <c r="F672" i="2"/>
  <c r="L686" i="2"/>
  <c r="G686" i="2"/>
  <c r="F686" i="2"/>
  <c r="F695" i="2"/>
  <c r="G695" i="2"/>
  <c r="L695" i="2"/>
  <c r="L724" i="2"/>
  <c r="L815" i="2"/>
  <c r="G815" i="2"/>
  <c r="F815" i="2"/>
  <c r="L896" i="2"/>
  <c r="F896" i="2"/>
  <c r="F107" i="4"/>
  <c r="G107" i="4"/>
  <c r="L107" i="4"/>
  <c r="L148" i="4"/>
  <c r="G148" i="4"/>
  <c r="F148" i="4"/>
  <c r="L23" i="2"/>
  <c r="F69" i="2"/>
  <c r="L69" i="2"/>
  <c r="G69" i="2"/>
  <c r="L78" i="2"/>
  <c r="G93" i="2"/>
  <c r="L143" i="2"/>
  <c r="G143" i="2"/>
  <c r="F143" i="2"/>
  <c r="G192" i="2"/>
  <c r="L192" i="2"/>
  <c r="L289" i="2"/>
  <c r="G289" i="2"/>
  <c r="G333" i="2"/>
  <c r="F333" i="2"/>
  <c r="G345" i="2"/>
  <c r="F345" i="2"/>
  <c r="L345" i="2"/>
  <c r="G360" i="2"/>
  <c r="F360" i="2"/>
  <c r="L360" i="2"/>
  <c r="G391" i="2"/>
  <c r="G431" i="2"/>
  <c r="F431" i="2"/>
  <c r="L431" i="2"/>
  <c r="L439" i="2"/>
  <c r="L496" i="2"/>
  <c r="G496" i="2"/>
  <c r="F507" i="2"/>
  <c r="L507" i="2"/>
  <c r="G544" i="2"/>
  <c r="L613" i="2"/>
  <c r="F613" i="2"/>
  <c r="G613" i="2"/>
  <c r="F624" i="2"/>
  <c r="L624" i="2"/>
  <c r="G624" i="2"/>
  <c r="F867" i="2"/>
  <c r="L867" i="2"/>
  <c r="G867" i="2"/>
  <c r="G35" i="4"/>
  <c r="F35" i="4"/>
  <c r="L35" i="4"/>
  <c r="F49" i="2"/>
  <c r="F114" i="2"/>
  <c r="L155" i="2"/>
  <c r="G155" i="2"/>
  <c r="F344" i="2"/>
  <c r="G344" i="2"/>
  <c r="F359" i="2"/>
  <c r="G359" i="2"/>
  <c r="G445" i="2"/>
  <c r="L465" i="2"/>
  <c r="G465" i="2"/>
  <c r="F465" i="2"/>
  <c r="F528" i="2"/>
  <c r="L528" i="2"/>
  <c r="G534" i="2"/>
  <c r="F534" i="2"/>
  <c r="L534" i="2"/>
  <c r="G546" i="2"/>
  <c r="F546" i="2"/>
  <c r="L688" i="2"/>
  <c r="G688" i="2"/>
  <c r="L693" i="2"/>
  <c r="F693" i="2"/>
  <c r="G693" i="2"/>
  <c r="L741" i="2"/>
  <c r="G741" i="2"/>
  <c r="F741" i="2"/>
  <c r="L931" i="2"/>
  <c r="G931" i="2"/>
  <c r="F931" i="2"/>
  <c r="F286" i="4"/>
  <c r="L286" i="4"/>
  <c r="G286" i="4"/>
  <c r="F129" i="2"/>
  <c r="F277" i="2"/>
  <c r="G285" i="2"/>
  <c r="L308" i="2"/>
  <c r="F314" i="2"/>
  <c r="L375" i="2"/>
  <c r="G414" i="2"/>
  <c r="L414" i="2"/>
  <c r="G479" i="2"/>
  <c r="F479" i="2"/>
  <c r="L555" i="2"/>
  <c r="F555" i="2"/>
  <c r="F582" i="2"/>
  <c r="L582" i="2"/>
  <c r="G582" i="2"/>
  <c r="F603" i="2"/>
  <c r="L603" i="2"/>
  <c r="G606" i="2"/>
  <c r="F606" i="2"/>
  <c r="G632" i="2"/>
  <c r="F632" i="2"/>
  <c r="L648" i="2"/>
  <c r="L783" i="2"/>
  <c r="F783" i="2"/>
  <c r="L839" i="2"/>
  <c r="G839" i="2"/>
  <c r="L51" i="4"/>
  <c r="G51" i="4"/>
  <c r="G60" i="4"/>
  <c r="L60" i="4"/>
  <c r="F60" i="4"/>
  <c r="G13" i="2"/>
  <c r="F29" i="2"/>
  <c r="L68" i="2"/>
  <c r="G68" i="2"/>
  <c r="F151" i="2"/>
  <c r="L214" i="2"/>
  <c r="F231" i="2"/>
  <c r="L231" i="2"/>
  <c r="G231" i="2"/>
  <c r="L296" i="2"/>
  <c r="G308" i="2"/>
  <c r="L344" i="2"/>
  <c r="L371" i="2"/>
  <c r="G371" i="2"/>
  <c r="G375" i="2"/>
  <c r="G570" i="2"/>
  <c r="F578" i="2"/>
  <c r="L578" i="2"/>
  <c r="G586" i="2"/>
  <c r="G600" i="2"/>
  <c r="G642" i="2"/>
  <c r="F642" i="2"/>
  <c r="L645" i="2"/>
  <c r="G645" i="2"/>
  <c r="G648" i="2"/>
  <c r="L661" i="2"/>
  <c r="L796" i="2"/>
  <c r="F796" i="2"/>
  <c r="F883" i="2"/>
  <c r="G883" i="2"/>
  <c r="F887" i="2"/>
  <c r="G887" i="2"/>
  <c r="L887" i="2"/>
  <c r="L49" i="2"/>
  <c r="F109" i="2"/>
  <c r="G109" i="2"/>
  <c r="L114" i="2"/>
  <c r="L124" i="2"/>
  <c r="F161" i="2"/>
  <c r="G161" i="2"/>
  <c r="L286" i="2"/>
  <c r="L324" i="2"/>
  <c r="G357" i="2"/>
  <c r="F357" i="2"/>
  <c r="L399" i="2"/>
  <c r="F399" i="2"/>
  <c r="G413" i="2"/>
  <c r="L456" i="2"/>
  <c r="F464" i="2"/>
  <c r="L464" i="2"/>
  <c r="G464" i="2"/>
  <c r="L595" i="2"/>
  <c r="G616" i="2"/>
  <c r="L616" i="2"/>
  <c r="F616" i="2"/>
  <c r="L632" i="2"/>
  <c r="L700" i="2"/>
  <c r="F761" i="2"/>
  <c r="L761" i="2"/>
  <c r="G761" i="2"/>
  <c r="L780" i="2"/>
  <c r="G780" i="2"/>
  <c r="F780" i="2"/>
  <c r="F26" i="4"/>
  <c r="L26" i="4"/>
  <c r="G26" i="4"/>
  <c r="G761" i="4"/>
  <c r="F761" i="4"/>
  <c r="L761" i="4"/>
  <c r="L797" i="4"/>
  <c r="G797" i="4"/>
  <c r="F797" i="4"/>
  <c r="L28" i="2"/>
  <c r="G28" i="2"/>
  <c r="L108" i="2"/>
  <c r="G108" i="2"/>
  <c r="L220" i="2"/>
  <c r="G230" i="2"/>
  <c r="L230" i="2"/>
  <c r="F230" i="2"/>
  <c r="G283" i="2"/>
  <c r="F283" i="2"/>
  <c r="L295" i="2"/>
  <c r="G383" i="2"/>
  <c r="F383" i="2"/>
  <c r="L383" i="2"/>
  <c r="L437" i="2"/>
  <c r="G437" i="2"/>
  <c r="L478" i="2"/>
  <c r="G478" i="2"/>
  <c r="L479" i="2"/>
  <c r="L523" i="2"/>
  <c r="L567" i="2"/>
  <c r="L594" i="2"/>
  <c r="G594" i="2"/>
  <c r="F639" i="2"/>
  <c r="G639" i="2"/>
  <c r="L658" i="2"/>
  <c r="G658" i="2"/>
  <c r="F658" i="2"/>
  <c r="L678" i="2"/>
  <c r="G678" i="2"/>
  <c r="F678" i="2"/>
  <c r="L715" i="2"/>
  <c r="F715" i="2"/>
  <c r="G12" i="4"/>
  <c r="P69" i="4"/>
  <c r="J69" i="4"/>
  <c r="H69" i="4"/>
  <c r="P111" i="4"/>
  <c r="J111" i="4"/>
  <c r="H111" i="4"/>
  <c r="G374" i="4"/>
  <c r="F374" i="4"/>
  <c r="G10" i="2"/>
  <c r="L113" i="2"/>
  <c r="L123" i="2"/>
  <c r="L129" i="2"/>
  <c r="G150" i="2"/>
  <c r="L150" i="2"/>
  <c r="L277" i="2"/>
  <c r="L285" i="2"/>
  <c r="G300" i="2"/>
  <c r="L337" i="2"/>
  <c r="L378" i="2"/>
  <c r="L459" i="2"/>
  <c r="G495" i="2"/>
  <c r="L495" i="2"/>
  <c r="G522" i="2"/>
  <c r="L522" i="2"/>
  <c r="F542" i="2"/>
  <c r="L542" i="2"/>
  <c r="L566" i="2"/>
  <c r="G702" i="2"/>
  <c r="L702" i="2"/>
  <c r="F702" i="2"/>
  <c r="G806" i="2"/>
  <c r="L806" i="2"/>
  <c r="F806" i="2"/>
  <c r="F540" i="2"/>
  <c r="L540" i="2"/>
  <c r="G540" i="2"/>
  <c r="G543" i="2"/>
  <c r="F543" i="2"/>
  <c r="G569" i="2"/>
  <c r="F569" i="2"/>
  <c r="L592" i="2"/>
  <c r="G592" i="2"/>
  <c r="F592" i="2"/>
  <c r="G803" i="2"/>
  <c r="F803" i="2"/>
  <c r="F580" i="4"/>
  <c r="L580" i="4"/>
  <c r="G580" i="4"/>
  <c r="F467" i="2"/>
  <c r="L467" i="2"/>
  <c r="G514" i="2"/>
  <c r="L553" i="2"/>
  <c r="G553" i="2"/>
  <c r="G556" i="2"/>
  <c r="G665" i="2"/>
  <c r="F665" i="2"/>
  <c r="L689" i="2"/>
  <c r="G689" i="2"/>
  <c r="F701" i="2"/>
  <c r="G711" i="2"/>
  <c r="F711" i="2"/>
  <c r="F727" i="2"/>
  <c r="L727" i="2"/>
  <c r="F808" i="2"/>
  <c r="G831" i="2"/>
  <c r="F506" i="2"/>
  <c r="G506" i="2"/>
  <c r="G521" i="2"/>
  <c r="F521" i="2"/>
  <c r="G547" i="2"/>
  <c r="F547" i="2"/>
  <c r="L605" i="2"/>
  <c r="F605" i="2"/>
  <c r="G605" i="2"/>
  <c r="G625" i="2"/>
  <c r="F653" i="2"/>
  <c r="G653" i="2"/>
  <c r="L653" i="2"/>
  <c r="L656" i="2"/>
  <c r="G656" i="2"/>
  <c r="L671" i="2"/>
  <c r="F671" i="2"/>
  <c r="G708" i="2"/>
  <c r="L708" i="2"/>
  <c r="F708" i="2"/>
  <c r="L714" i="2"/>
  <c r="G714" i="2"/>
  <c r="F714" i="2"/>
  <c r="F734" i="2"/>
  <c r="G734" i="2"/>
  <c r="L752" i="2"/>
  <c r="G789" i="2"/>
  <c r="F820" i="2"/>
  <c r="L820" i="2"/>
  <c r="G820" i="2"/>
  <c r="G840" i="2"/>
  <c r="F840" i="2"/>
  <c r="L840" i="2"/>
  <c r="L884" i="2"/>
  <c r="G884" i="2"/>
  <c r="F884" i="2"/>
  <c r="G895" i="2"/>
  <c r="F895" i="2"/>
  <c r="L127" i="4"/>
  <c r="F127" i="4"/>
  <c r="G127" i="4"/>
  <c r="G129" i="4"/>
  <c r="F201" i="4"/>
  <c r="G201" i="4"/>
  <c r="G53" i="2"/>
  <c r="F211" i="2"/>
  <c r="L229" i="2"/>
  <c r="F229" i="2"/>
  <c r="G243" i="2"/>
  <c r="L278" i="2"/>
  <c r="G278" i="2"/>
  <c r="F278" i="2"/>
  <c r="F325" i="2"/>
  <c r="F348" i="2"/>
  <c r="G348" i="2"/>
  <c r="G480" i="2"/>
  <c r="F480" i="2"/>
  <c r="F553" i="2"/>
  <c r="F556" i="2"/>
  <c r="F564" i="2"/>
  <c r="L564" i="2"/>
  <c r="G573" i="2"/>
  <c r="L580" i="2"/>
  <c r="G580" i="2"/>
  <c r="L638" i="2"/>
  <c r="L668" i="2"/>
  <c r="G668" i="2"/>
  <c r="F689" i="2"/>
  <c r="L729" i="2"/>
  <c r="G729" i="2"/>
  <c r="F729" i="2"/>
  <c r="L805" i="2"/>
  <c r="F805" i="2"/>
  <c r="L831" i="2"/>
  <c r="G842" i="2"/>
  <c r="F842" i="2"/>
  <c r="L955" i="2"/>
  <c r="G955" i="2"/>
  <c r="F955" i="2"/>
  <c r="J54" i="4"/>
  <c r="P54" i="4"/>
  <c r="H54" i="4"/>
  <c r="F239" i="4"/>
  <c r="G239" i="4"/>
  <c r="L250" i="4"/>
  <c r="G250" i="4"/>
  <c r="F250" i="4"/>
  <c r="F771" i="2"/>
  <c r="G771" i="2"/>
  <c r="F866" i="2"/>
  <c r="G866" i="2"/>
  <c r="L866" i="2"/>
  <c r="G888" i="2"/>
  <c r="F888" i="2"/>
  <c r="L913" i="2"/>
  <c r="F913" i="2"/>
  <c r="L990" i="2"/>
  <c r="G990" i="2"/>
  <c r="F990" i="2"/>
  <c r="G29" i="4"/>
  <c r="F29" i="4"/>
  <c r="L29" i="4"/>
  <c r="F74" i="4"/>
  <c r="G74" i="4"/>
  <c r="L74" i="4"/>
  <c r="L102" i="4"/>
  <c r="G102" i="4"/>
  <c r="L359" i="4"/>
  <c r="G359" i="4"/>
  <c r="F359" i="4"/>
  <c r="L537" i="2"/>
  <c r="F537" i="2"/>
  <c r="L571" i="2"/>
  <c r="F571" i="2"/>
  <c r="L620" i="2"/>
  <c r="F620" i="2"/>
  <c r="L670" i="2"/>
  <c r="F670" i="2"/>
  <c r="G670" i="2"/>
  <c r="L713" i="2"/>
  <c r="G713" i="2"/>
  <c r="L835" i="2"/>
  <c r="G835" i="2"/>
  <c r="F835" i="2"/>
  <c r="L919" i="2"/>
  <c r="G919" i="2"/>
  <c r="L986" i="2"/>
  <c r="G986" i="2"/>
  <c r="F986" i="2"/>
  <c r="G274" i="4"/>
  <c r="L274" i="4"/>
  <c r="F274" i="4"/>
  <c r="L382" i="4"/>
  <c r="F382" i="4"/>
  <c r="G382" i="4"/>
  <c r="G280" i="2"/>
  <c r="G323" i="2"/>
  <c r="L328" i="2"/>
  <c r="F539" i="2"/>
  <c r="L591" i="2"/>
  <c r="G591" i="2"/>
  <c r="L618" i="2"/>
  <c r="F618" i="2"/>
  <c r="G623" i="2"/>
  <c r="L623" i="2"/>
  <c r="F623" i="2"/>
  <c r="G630" i="2"/>
  <c r="L630" i="2"/>
  <c r="F630" i="2"/>
  <c r="L657" i="2"/>
  <c r="G657" i="2"/>
  <c r="F684" i="2"/>
  <c r="L684" i="2"/>
  <c r="L737" i="2"/>
  <c r="L751" i="2"/>
  <c r="G751" i="2"/>
  <c r="F751" i="2"/>
  <c r="L788" i="2"/>
  <c r="G788" i="2"/>
  <c r="F788" i="2"/>
  <c r="G906" i="2"/>
  <c r="L906" i="2"/>
  <c r="F906" i="2"/>
  <c r="L912" i="2"/>
  <c r="G912" i="2"/>
  <c r="F912" i="2"/>
  <c r="G941" i="2"/>
  <c r="F941" i="2"/>
  <c r="L960" i="2"/>
  <c r="F960" i="2"/>
  <c r="G960" i="2"/>
  <c r="L983" i="2"/>
  <c r="G983" i="2"/>
  <c r="F983" i="2"/>
  <c r="G992" i="2"/>
  <c r="F992" i="2"/>
  <c r="L992" i="2"/>
  <c r="G153" i="4"/>
  <c r="L153" i="4"/>
  <c r="F404" i="2"/>
  <c r="L404" i="2"/>
  <c r="G404" i="2"/>
  <c r="G485" i="2"/>
  <c r="F504" i="2"/>
  <c r="L504" i="2"/>
  <c r="G504" i="2"/>
  <c r="L538" i="2"/>
  <c r="G538" i="2"/>
  <c r="G635" i="2"/>
  <c r="L635" i="2"/>
  <c r="L667" i="2"/>
  <c r="G667" i="2"/>
  <c r="G772" i="2"/>
  <c r="F772" i="2"/>
  <c r="L778" i="2"/>
  <c r="G778" i="2"/>
  <c r="F778" i="2"/>
  <c r="F784" i="2"/>
  <c r="L784" i="2"/>
  <c r="L870" i="2"/>
  <c r="G870" i="2"/>
  <c r="F870" i="2"/>
  <c r="G880" i="2"/>
  <c r="F880" i="2"/>
  <c r="G22" i="4"/>
  <c r="F22" i="4"/>
  <c r="L22" i="4"/>
  <c r="F198" i="4"/>
  <c r="G198" i="4"/>
  <c r="L233" i="4"/>
  <c r="G233" i="4"/>
  <c r="F233" i="4"/>
  <c r="F263" i="4"/>
  <c r="L263" i="4"/>
  <c r="G403" i="2"/>
  <c r="L403" i="2"/>
  <c r="F403" i="2"/>
  <c r="F444" i="2"/>
  <c r="G483" i="2"/>
  <c r="G503" i="2"/>
  <c r="L513" i="2"/>
  <c r="F524" i="2"/>
  <c r="F590" i="2"/>
  <c r="L598" i="2"/>
  <c r="L760" i="2"/>
  <c r="F760" i="2"/>
  <c r="L837" i="2"/>
  <c r="G837" i="2"/>
  <c r="F837" i="2"/>
  <c r="G853" i="2"/>
  <c r="F853" i="2"/>
  <c r="F863" i="2"/>
  <c r="L863" i="2"/>
  <c r="G863" i="2"/>
  <c r="G68" i="4"/>
  <c r="L189" i="4"/>
  <c r="F189" i="4"/>
  <c r="L185" i="2"/>
  <c r="G190" i="2"/>
  <c r="F191" i="2"/>
  <c r="L318" i="2"/>
  <c r="F349" i="2"/>
  <c r="F384" i="2"/>
  <c r="F387" i="2"/>
  <c r="L402" i="2"/>
  <c r="F402" i="2"/>
  <c r="G443" i="2"/>
  <c r="G481" i="2"/>
  <c r="G525" i="2"/>
  <c r="L597" i="2"/>
  <c r="L617" i="2"/>
  <c r="G617" i="2"/>
  <c r="G634" i="2"/>
  <c r="F739" i="2"/>
  <c r="G739" i="2"/>
  <c r="G757" i="2"/>
  <c r="F757" i="2"/>
  <c r="F766" i="2"/>
  <c r="L766" i="2"/>
  <c r="G766" i="2"/>
  <c r="L821" i="2"/>
  <c r="F821" i="2"/>
  <c r="G860" i="2"/>
  <c r="F860" i="2"/>
  <c r="L872" i="2"/>
  <c r="L892" i="2"/>
  <c r="G892" i="2"/>
  <c r="L916" i="2"/>
  <c r="F916" i="2"/>
  <c r="F923" i="2"/>
  <c r="L923" i="2"/>
  <c r="F964" i="2"/>
  <c r="G964" i="2"/>
  <c r="L964" i="2"/>
  <c r="L970" i="2"/>
  <c r="G970" i="2"/>
  <c r="G8" i="4"/>
  <c r="F8" i="4"/>
  <c r="L37" i="4"/>
  <c r="G37" i="4"/>
  <c r="F37" i="4"/>
  <c r="G486" i="4"/>
  <c r="F486" i="4"/>
  <c r="L400" i="2"/>
  <c r="F400" i="2"/>
  <c r="G545" i="2"/>
  <c r="G723" i="2"/>
  <c r="F723" i="2"/>
  <c r="L792" i="2"/>
  <c r="F792" i="2"/>
  <c r="L818" i="2"/>
  <c r="G818" i="2"/>
  <c r="L850" i="2"/>
  <c r="G850" i="2"/>
  <c r="F850" i="2"/>
  <c r="L869" i="2"/>
  <c r="G869" i="2"/>
  <c r="F869" i="2"/>
  <c r="L876" i="2"/>
  <c r="G876" i="2"/>
  <c r="F876" i="2"/>
  <c r="L882" i="2"/>
  <c r="G905" i="2"/>
  <c r="L905" i="2"/>
  <c r="F905" i="2"/>
  <c r="L974" i="2"/>
  <c r="G974" i="2"/>
  <c r="F974" i="2"/>
  <c r="G982" i="2"/>
  <c r="L982" i="2"/>
  <c r="L42" i="4"/>
  <c r="G42" i="4"/>
  <c r="F42" i="4"/>
  <c r="L69" i="4"/>
  <c r="F69" i="4"/>
  <c r="L71" i="4"/>
  <c r="G71" i="4"/>
  <c r="F210" i="4"/>
  <c r="G210" i="4"/>
  <c r="L215" i="4"/>
  <c r="F215" i="4"/>
  <c r="G215" i="4"/>
  <c r="G537" i="4"/>
  <c r="F537" i="4"/>
  <c r="L537" i="4"/>
  <c r="F417" i="2"/>
  <c r="L418" i="2"/>
  <c r="G423" i="2"/>
  <c r="F424" i="2"/>
  <c r="L483" i="2"/>
  <c r="L503" i="2"/>
  <c r="L509" i="2"/>
  <c r="G509" i="2"/>
  <c r="F544" i="2"/>
  <c r="L558" i="2"/>
  <c r="G558" i="2"/>
  <c r="L590" i="2"/>
  <c r="F602" i="2"/>
  <c r="G633" i="2"/>
  <c r="G640" i="2"/>
  <c r="L666" i="2"/>
  <c r="F673" i="2"/>
  <c r="F768" i="2"/>
  <c r="L768" i="2"/>
  <c r="G768" i="2"/>
  <c r="F797" i="2"/>
  <c r="L797" i="2"/>
  <c r="F800" i="2"/>
  <c r="L800" i="2"/>
  <c r="G800" i="2"/>
  <c r="L857" i="2"/>
  <c r="L879" i="2"/>
  <c r="F879" i="2"/>
  <c r="G879" i="2"/>
  <c r="F950" i="2"/>
  <c r="G950" i="2"/>
  <c r="H91" i="4"/>
  <c r="P91" i="4"/>
  <c r="J91" i="4"/>
  <c r="F584" i="4"/>
  <c r="L584" i="4"/>
  <c r="G584" i="4"/>
  <c r="L498" i="2"/>
  <c r="G498" i="2"/>
  <c r="G603" i="2"/>
  <c r="G614" i="2"/>
  <c r="L621" i="2"/>
  <c r="F621" i="2"/>
  <c r="L817" i="2"/>
  <c r="F856" i="2"/>
  <c r="F881" i="2"/>
  <c r="L881" i="2"/>
  <c r="L937" i="2"/>
  <c r="G937" i="2"/>
  <c r="F937" i="2"/>
  <c r="G47" i="4"/>
  <c r="L47" i="4"/>
  <c r="F47" i="4"/>
  <c r="L49" i="4"/>
  <c r="G49" i="4"/>
  <c r="F49" i="4"/>
  <c r="G112" i="4"/>
  <c r="F112" i="4"/>
  <c r="L112" i="4"/>
  <c r="G138" i="4"/>
  <c r="F138" i="4"/>
  <c r="F145" i="4"/>
  <c r="L145" i="4"/>
  <c r="L256" i="4"/>
  <c r="F256" i="4"/>
  <c r="F261" i="4"/>
  <c r="G261" i="4"/>
  <c r="F305" i="4"/>
  <c r="G305" i="4"/>
  <c r="L305" i="4"/>
  <c r="L685" i="2"/>
  <c r="F685" i="2"/>
  <c r="G705" i="2"/>
  <c r="F765" i="2"/>
  <c r="F824" i="2"/>
  <c r="L824" i="2"/>
  <c r="G838" i="2"/>
  <c r="L838" i="2"/>
  <c r="L891" i="2"/>
  <c r="G891" i="2"/>
  <c r="L946" i="2"/>
  <c r="G946" i="2"/>
  <c r="G61" i="4"/>
  <c r="L61" i="4"/>
  <c r="F61" i="4"/>
  <c r="G108" i="4"/>
  <c r="L122" i="4"/>
  <c r="F122" i="4"/>
  <c r="G122" i="4"/>
  <c r="L149" i="4"/>
  <c r="G149" i="4"/>
  <c r="F149" i="4"/>
  <c r="G161" i="4"/>
  <c r="G169" i="4"/>
  <c r="L169" i="4"/>
  <c r="F169" i="4"/>
  <c r="G223" i="4"/>
  <c r="L223" i="4"/>
  <c r="F223" i="4"/>
  <c r="F704" i="2"/>
  <c r="G704" i="2"/>
  <c r="L777" i="2"/>
  <c r="F777" i="2"/>
  <c r="G841" i="2"/>
  <c r="L841" i="2"/>
  <c r="G904" i="2"/>
  <c r="F904" i="2"/>
  <c r="L904" i="2"/>
  <c r="G922" i="2"/>
  <c r="F922" i="2"/>
  <c r="L63" i="4"/>
  <c r="F63" i="4"/>
  <c r="F78" i="4"/>
  <c r="L78" i="4"/>
  <c r="L361" i="4"/>
  <c r="G361" i="4"/>
  <c r="F361" i="4"/>
  <c r="G415" i="4"/>
  <c r="L415" i="4"/>
  <c r="L358" i="2"/>
  <c r="G363" i="2"/>
  <c r="F364" i="2"/>
  <c r="L629" i="2"/>
  <c r="F629" i="2"/>
  <c r="G703" i="2"/>
  <c r="F722" i="2"/>
  <c r="G750" i="2"/>
  <c r="F764" i="2"/>
  <c r="L764" i="2"/>
  <c r="G764" i="2"/>
  <c r="G782" i="2"/>
  <c r="L828" i="2"/>
  <c r="F841" i="2"/>
  <c r="L856" i="2"/>
  <c r="L897" i="2"/>
  <c r="G897" i="2"/>
  <c r="F897" i="2"/>
  <c r="L939" i="2"/>
  <c r="G939" i="2"/>
  <c r="F976" i="2"/>
  <c r="L976" i="2"/>
  <c r="G976" i="2"/>
  <c r="F54" i="4"/>
  <c r="L54" i="4"/>
  <c r="L91" i="4"/>
  <c r="F91" i="4"/>
  <c r="F166" i="4"/>
  <c r="G166" i="4"/>
  <c r="G186" i="4"/>
  <c r="L186" i="4"/>
  <c r="F186" i="4"/>
  <c r="F232" i="4"/>
  <c r="G232" i="4"/>
  <c r="G264" i="4"/>
  <c r="F264" i="4"/>
  <c r="L264" i="4"/>
  <c r="L569" i="4"/>
  <c r="F569" i="4"/>
  <c r="G569" i="4"/>
  <c r="G847" i="2"/>
  <c r="F918" i="2"/>
  <c r="L918" i="2"/>
  <c r="G948" i="2"/>
  <c r="L948" i="2"/>
  <c r="L105" i="4"/>
  <c r="F105" i="4"/>
  <c r="G105" i="4"/>
  <c r="G123" i="4"/>
  <c r="F123" i="4"/>
  <c r="L123" i="4"/>
  <c r="L137" i="4"/>
  <c r="G137" i="4"/>
  <c r="F137" i="4"/>
  <c r="L480" i="4"/>
  <c r="G480" i="4"/>
  <c r="F480" i="4"/>
  <c r="F643" i="4"/>
  <c r="G643" i="4"/>
  <c r="L643" i="4"/>
  <c r="L851" i="2"/>
  <c r="F851" i="2"/>
  <c r="G851" i="2"/>
  <c r="G886" i="2"/>
  <c r="F886" i="2"/>
  <c r="F899" i="2"/>
  <c r="L956" i="2"/>
  <c r="G956" i="2"/>
  <c r="L961" i="2"/>
  <c r="F961" i="2"/>
  <c r="G961" i="2"/>
  <c r="L58" i="4"/>
  <c r="F58" i="4"/>
  <c r="L371" i="4"/>
  <c r="G371" i="4"/>
  <c r="F371" i="4"/>
  <c r="L770" i="2"/>
  <c r="G770" i="2"/>
  <c r="L793" i="2"/>
  <c r="G805" i="2"/>
  <c r="F862" i="2"/>
  <c r="F919" i="2"/>
  <c r="G928" i="2"/>
  <c r="F932" i="2"/>
  <c r="G940" i="2"/>
  <c r="G988" i="2"/>
  <c r="L988" i="2"/>
  <c r="F988" i="2"/>
  <c r="F994" i="2"/>
  <c r="L994" i="2"/>
  <c r="F1000" i="2"/>
  <c r="L1000" i="2"/>
  <c r="G7" i="4"/>
  <c r="L7" i="4"/>
  <c r="F7" i="4"/>
  <c r="F41" i="4"/>
  <c r="L75" i="4"/>
  <c r="G174" i="4"/>
  <c r="F174" i="4"/>
  <c r="G203" i="4"/>
  <c r="F203" i="4"/>
  <c r="F719" i="2"/>
  <c r="L738" i="2"/>
  <c r="G738" i="2"/>
  <c r="L776" i="2"/>
  <c r="F843" i="2"/>
  <c r="L852" i="2"/>
  <c r="G852" i="2"/>
  <c r="L865" i="2"/>
  <c r="G874" i="2"/>
  <c r="G902" i="2"/>
  <c r="F902" i="2"/>
  <c r="G59" i="4"/>
  <c r="L59" i="4"/>
  <c r="F59" i="4"/>
  <c r="F130" i="4"/>
  <c r="L130" i="4"/>
  <c r="F155" i="4"/>
  <c r="L155" i="4"/>
  <c r="P191" i="4"/>
  <c r="J191" i="4"/>
  <c r="H191" i="4"/>
  <c r="L195" i="4"/>
  <c r="G195" i="4"/>
  <c r="F195" i="4"/>
  <c r="F216" i="4"/>
  <c r="L216" i="4"/>
  <c r="G216" i="4"/>
  <c r="F754" i="2"/>
  <c r="L814" i="2"/>
  <c r="F934" i="2"/>
  <c r="F938" i="2"/>
  <c r="G938" i="2"/>
  <c r="G967" i="2"/>
  <c r="F967" i="2"/>
  <c r="G999" i="2"/>
  <c r="F999" i="2"/>
  <c r="L1002" i="2"/>
  <c r="G20" i="4"/>
  <c r="L20" i="4"/>
  <c r="F20" i="4"/>
  <c r="G25" i="4"/>
  <c r="L25" i="4"/>
  <c r="G66" i="4"/>
  <c r="L66" i="4"/>
  <c r="F66" i="4"/>
  <c r="F421" i="4"/>
  <c r="L421" i="4"/>
  <c r="L506" i="4"/>
  <c r="F506" i="4"/>
  <c r="G506" i="4"/>
  <c r="L573" i="2"/>
  <c r="G578" i="2"/>
  <c r="F579" i="2"/>
  <c r="F604" i="2"/>
  <c r="L622" i="2"/>
  <c r="F622" i="2"/>
  <c r="G663" i="2"/>
  <c r="G701" i="2"/>
  <c r="G737" i="2"/>
  <c r="L798" i="2"/>
  <c r="G798" i="2"/>
  <c r="G814" i="2"/>
  <c r="G819" i="2"/>
  <c r="L819" i="2"/>
  <c r="F890" i="2"/>
  <c r="L902" i="2"/>
  <c r="L926" i="2"/>
  <c r="L938" i="2"/>
  <c r="L967" i="2"/>
  <c r="G972" i="2"/>
  <c r="F972" i="2"/>
  <c r="F989" i="2"/>
  <c r="G989" i="2"/>
  <c r="G1002" i="2"/>
  <c r="L44" i="4"/>
  <c r="F44" i="4"/>
  <c r="F121" i="4"/>
  <c r="G121" i="4"/>
  <c r="G136" i="4"/>
  <c r="F136" i="4"/>
  <c r="F202" i="4"/>
  <c r="G202" i="4"/>
  <c r="L202" i="4"/>
  <c r="L219" i="4"/>
  <c r="F219" i="4"/>
  <c r="G219" i="4"/>
  <c r="F221" i="4"/>
  <c r="L221" i="4"/>
  <c r="F260" i="4"/>
  <c r="G260" i="4"/>
  <c r="L260" i="4"/>
  <c r="G284" i="4"/>
  <c r="F284" i="4"/>
  <c r="L284" i="4"/>
  <c r="L321" i="4"/>
  <c r="F321" i="4"/>
  <c r="G321" i="4"/>
  <c r="L411" i="4"/>
  <c r="G411" i="4"/>
  <c r="F411" i="4"/>
  <c r="G602" i="4"/>
  <c r="F602" i="4"/>
  <c r="L602" i="4"/>
  <c r="G783" i="2"/>
  <c r="L855" i="2"/>
  <c r="L877" i="2"/>
  <c r="G877" i="2"/>
  <c r="F980" i="2"/>
  <c r="G980" i="2"/>
  <c r="G30" i="4"/>
  <c r="L30" i="4"/>
  <c r="F30" i="4"/>
  <c r="L33" i="4"/>
  <c r="F33" i="4"/>
  <c r="L88" i="4"/>
  <c r="F88" i="4"/>
  <c r="G88" i="4"/>
  <c r="G116" i="4"/>
  <c r="F116" i="4"/>
  <c r="L291" i="4"/>
  <c r="G291" i="4"/>
  <c r="G324" i="4"/>
  <c r="F324" i="4"/>
  <c r="L324" i="4"/>
  <c r="G808" i="2"/>
  <c r="G862" i="2"/>
  <c r="L862" i="2"/>
  <c r="L959" i="2"/>
  <c r="G959" i="2"/>
  <c r="F959" i="2"/>
  <c r="G10" i="4"/>
  <c r="F10" i="4"/>
  <c r="L10" i="4"/>
  <c r="F83" i="4"/>
  <c r="G83" i="4"/>
  <c r="L118" i="4"/>
  <c r="F118" i="4"/>
  <c r="G118" i="4"/>
  <c r="L129" i="4"/>
  <c r="F129" i="4"/>
  <c r="G346" i="4"/>
  <c r="F346" i="4"/>
  <c r="L346" i="4"/>
  <c r="L362" i="4"/>
  <c r="F362" i="4"/>
  <c r="G362" i="4"/>
  <c r="G542" i="4"/>
  <c r="F542" i="4"/>
  <c r="L542" i="4"/>
  <c r="F969" i="2"/>
  <c r="G969" i="2"/>
  <c r="F981" i="2"/>
  <c r="L981" i="2"/>
  <c r="F1004" i="2"/>
  <c r="G1004" i="2"/>
  <c r="L24" i="4"/>
  <c r="F24" i="4"/>
  <c r="G81" i="4"/>
  <c r="F81" i="4"/>
  <c r="L81" i="4"/>
  <c r="G115" i="4"/>
  <c r="L115" i="4"/>
  <c r="F115" i="4"/>
  <c r="L471" i="4"/>
  <c r="F471" i="4"/>
  <c r="G471" i="4"/>
  <c r="F597" i="4"/>
  <c r="L597" i="4"/>
  <c r="G597" i="4"/>
  <c r="G87" i="4"/>
  <c r="F87" i="4"/>
  <c r="L87" i="4"/>
  <c r="F140" i="4"/>
  <c r="L140" i="4"/>
  <c r="G140" i="4"/>
  <c r="G144" i="4"/>
  <c r="F144" i="4"/>
  <c r="L144" i="4"/>
  <c r="G466" i="4"/>
  <c r="F466" i="4"/>
  <c r="L466" i="4"/>
  <c r="F12" i="4"/>
  <c r="L12" i="4"/>
  <c r="L46" i="4"/>
  <c r="F46" i="4"/>
  <c r="L90" i="4"/>
  <c r="G93" i="4"/>
  <c r="L93" i="4"/>
  <c r="F93" i="4"/>
  <c r="G257" i="4"/>
  <c r="F257" i="4"/>
  <c r="F723" i="4"/>
  <c r="L723" i="4"/>
  <c r="G723" i="4"/>
  <c r="G734" i="4"/>
  <c r="F734" i="4"/>
  <c r="L734" i="4"/>
  <c r="L758" i="2"/>
  <c r="G758" i="2"/>
  <c r="G916" i="2"/>
  <c r="G993" i="2"/>
  <c r="G32" i="4"/>
  <c r="F32" i="4"/>
  <c r="F104" i="4"/>
  <c r="G104" i="4"/>
  <c r="L104" i="4"/>
  <c r="P146" i="4"/>
  <c r="H146" i="4"/>
  <c r="G159" i="4"/>
  <c r="L161" i="4"/>
  <c r="F161" i="4"/>
  <c r="F251" i="4"/>
  <c r="L251" i="4"/>
  <c r="L257" i="4"/>
  <c r="L259" i="4"/>
  <c r="F259" i="4"/>
  <c r="G259" i="4"/>
  <c r="L273" i="4"/>
  <c r="F273" i="4"/>
  <c r="G273" i="4"/>
  <c r="F296" i="4"/>
  <c r="L325" i="4"/>
  <c r="G622" i="4"/>
  <c r="F622" i="4"/>
  <c r="L622" i="4"/>
  <c r="L39" i="4"/>
  <c r="G39" i="4"/>
  <c r="F39" i="4"/>
  <c r="L99" i="4"/>
  <c r="F99" i="4"/>
  <c r="G99" i="4"/>
  <c r="L230" i="4"/>
  <c r="G230" i="4"/>
  <c r="F246" i="4"/>
  <c r="G246" i="4"/>
  <c r="L246" i="4"/>
  <c r="G269" i="4"/>
  <c r="F269" i="4"/>
  <c r="L313" i="4"/>
  <c r="G313" i="4"/>
  <c r="F313" i="4"/>
  <c r="G344" i="4"/>
  <c r="F344" i="4"/>
  <c r="L344" i="4"/>
  <c r="F417" i="4"/>
  <c r="L417" i="4"/>
  <c r="G417" i="4"/>
  <c r="F744" i="2"/>
  <c r="L833" i="2"/>
  <c r="F844" i="2"/>
  <c r="F858" i="2"/>
  <c r="F996" i="2"/>
  <c r="L68" i="4"/>
  <c r="F68" i="4"/>
  <c r="L134" i="4"/>
  <c r="F134" i="4"/>
  <c r="F165" i="4"/>
  <c r="G165" i="4"/>
  <c r="L165" i="4"/>
  <c r="F214" i="4"/>
  <c r="G214" i="4"/>
  <c r="G238" i="4"/>
  <c r="F238" i="4"/>
  <c r="G283" i="4"/>
  <c r="F283" i="4"/>
  <c r="L283" i="4"/>
  <c r="G292" i="4"/>
  <c r="F292" i="4"/>
  <c r="L292" i="4"/>
  <c r="G315" i="4"/>
  <c r="F315" i="4"/>
  <c r="F436" i="4"/>
  <c r="L436" i="4"/>
  <c r="G436" i="4"/>
  <c r="G963" i="2"/>
  <c r="L40" i="4"/>
  <c r="G40" i="4"/>
  <c r="G65" i="4"/>
  <c r="F177" i="4"/>
  <c r="L177" i="4"/>
  <c r="G405" i="4"/>
  <c r="F405" i="4"/>
  <c r="L405" i="4"/>
  <c r="L853" i="2"/>
  <c r="L868" i="2"/>
  <c r="G868" i="2"/>
  <c r="F903" i="2"/>
  <c r="L917" i="2"/>
  <c r="G917" i="2"/>
  <c r="L966" i="2"/>
  <c r="F6" i="4"/>
  <c r="G13" i="4"/>
  <c r="G53" i="4"/>
  <c r="L65" i="4"/>
  <c r="G183" i="4"/>
  <c r="F183" i="4"/>
  <c r="G212" i="4"/>
  <c r="L212" i="4"/>
  <c r="F212" i="4"/>
  <c r="G249" i="4"/>
  <c r="L249" i="4"/>
  <c r="L266" i="4"/>
  <c r="G266" i="4"/>
  <c r="F266" i="4"/>
  <c r="L293" i="4"/>
  <c r="F293" i="4"/>
  <c r="G293" i="4"/>
  <c r="G365" i="4"/>
  <c r="F365" i="4"/>
  <c r="L365" i="4"/>
  <c r="G426" i="4"/>
  <c r="F426" i="4"/>
  <c r="L426" i="4"/>
  <c r="F949" i="2"/>
  <c r="G949" i="2"/>
  <c r="L958" i="2"/>
  <c r="L973" i="2"/>
  <c r="G973" i="2"/>
  <c r="L38" i="4"/>
  <c r="F38" i="4"/>
  <c r="G58" i="4"/>
  <c r="G63" i="4"/>
  <c r="L176" i="4"/>
  <c r="G176" i="4"/>
  <c r="F205" i="4"/>
  <c r="G205" i="4"/>
  <c r="L205" i="4"/>
  <c r="L443" i="4"/>
  <c r="F443" i="4"/>
  <c r="G443" i="4"/>
  <c r="F478" i="4"/>
  <c r="L478" i="4"/>
  <c r="L875" i="2"/>
  <c r="L914" i="2"/>
  <c r="F914" i="2"/>
  <c r="L957" i="2"/>
  <c r="G958" i="2"/>
  <c r="F979" i="2"/>
  <c r="L979" i="2"/>
  <c r="G62" i="4"/>
  <c r="G76" i="4"/>
  <c r="G119" i="4"/>
  <c r="L156" i="4"/>
  <c r="F156" i="4"/>
  <c r="L183" i="4"/>
  <c r="L229" i="4"/>
  <c r="G229" i="4"/>
  <c r="F229" i="4"/>
  <c r="F231" i="4"/>
  <c r="G231" i="4"/>
  <c r="G243" i="4"/>
  <c r="F243" i="4"/>
  <c r="L243" i="4"/>
  <c r="G385" i="4"/>
  <c r="F385" i="4"/>
  <c r="L385" i="4"/>
  <c r="G460" i="4"/>
  <c r="F460" i="4"/>
  <c r="L460" i="4"/>
  <c r="F493" i="4"/>
  <c r="L493" i="4"/>
  <c r="G493" i="4"/>
  <c r="G73" i="4"/>
  <c r="G103" i="4"/>
  <c r="F103" i="4"/>
  <c r="L103" i="4"/>
  <c r="L146" i="4"/>
  <c r="F146" i="4"/>
  <c r="L180" i="4"/>
  <c r="F180" i="4"/>
  <c r="G180" i="4"/>
  <c r="G182" i="4"/>
  <c r="F182" i="4"/>
  <c r="G393" i="4"/>
  <c r="F393" i="4"/>
  <c r="G96" i="4"/>
  <c r="L96" i="4"/>
  <c r="F96" i="4"/>
  <c r="F206" i="4"/>
  <c r="L206" i="4"/>
  <c r="G206" i="4"/>
  <c r="F211" i="4"/>
  <c r="L211" i="4"/>
  <c r="G211" i="4"/>
  <c r="G222" i="4"/>
  <c r="L222" i="4"/>
  <c r="F222" i="4"/>
  <c r="L355" i="4"/>
  <c r="G355" i="4"/>
  <c r="F355" i="4"/>
  <c r="G366" i="4"/>
  <c r="F366" i="4"/>
  <c r="L366" i="4"/>
  <c r="G491" i="4"/>
  <c r="L491" i="4"/>
  <c r="F491" i="4"/>
  <c r="F538" i="4"/>
  <c r="G538" i="4"/>
  <c r="L538" i="4"/>
  <c r="L201" i="4"/>
  <c r="L210" i="4"/>
  <c r="L218" i="4"/>
  <c r="G218" i="4"/>
  <c r="F218" i="4"/>
  <c r="S249" i="4"/>
  <c r="S268" i="4"/>
  <c r="S273" i="4"/>
  <c r="S298" i="4"/>
  <c r="S321" i="4"/>
  <c r="U323" i="4"/>
  <c r="U354" i="4"/>
  <c r="U358" i="4"/>
  <c r="F378" i="4"/>
  <c r="L512" i="4"/>
  <c r="G512" i="4"/>
  <c r="F978" i="2"/>
  <c r="S987" i="4"/>
  <c r="U985" i="4"/>
  <c r="S967" i="4"/>
  <c r="U965" i="4"/>
  <c r="S947" i="4"/>
  <c r="U945" i="4"/>
  <c r="S927" i="4"/>
  <c r="U925" i="4"/>
  <c r="U1004" i="4"/>
  <c r="S986" i="4"/>
  <c r="U984" i="4"/>
  <c r="S966" i="4"/>
  <c r="U964" i="4"/>
  <c r="S946" i="4"/>
  <c r="U944" i="4"/>
  <c r="S926" i="4"/>
  <c r="U924" i="4"/>
  <c r="U1003" i="4"/>
  <c r="S985" i="4"/>
  <c r="U983" i="4"/>
  <c r="S965" i="4"/>
  <c r="U963" i="4"/>
  <c r="S945" i="4"/>
  <c r="U943" i="4"/>
  <c r="S925" i="4"/>
  <c r="U923" i="4"/>
  <c r="S905" i="4"/>
  <c r="U903" i="4"/>
  <c r="S1004" i="4"/>
  <c r="U1002" i="4"/>
  <c r="S984" i="4"/>
  <c r="U982" i="4"/>
  <c r="S997" i="4"/>
  <c r="U995" i="4"/>
  <c r="S977" i="4"/>
  <c r="U975" i="4"/>
  <c r="S957" i="4"/>
  <c r="U955" i="4"/>
  <c r="S937" i="4"/>
  <c r="U935" i="4"/>
  <c r="S917" i="4"/>
  <c r="U915" i="4"/>
  <c r="S897" i="4"/>
  <c r="U895" i="4"/>
  <c r="S995" i="4"/>
  <c r="S982" i="4"/>
  <c r="S981" i="4"/>
  <c r="S980" i="4"/>
  <c r="U973" i="4"/>
  <c r="S961" i="4"/>
  <c r="S960" i="4"/>
  <c r="U953" i="4"/>
  <c r="S941" i="4"/>
  <c r="S940" i="4"/>
  <c r="U933" i="4"/>
  <c r="S923" i="4"/>
  <c r="S922" i="4"/>
  <c r="S983" i="4"/>
  <c r="S972" i="4"/>
  <c r="S971" i="4"/>
  <c r="S970" i="4"/>
  <c r="S964" i="4"/>
  <c r="S952" i="4"/>
  <c r="S951" i="4"/>
  <c r="S950" i="4"/>
  <c r="S944" i="4"/>
  <c r="S932" i="4"/>
  <c r="S931" i="4"/>
  <c r="S930" i="4"/>
  <c r="S921" i="4"/>
  <c r="S920" i="4"/>
  <c r="S919" i="4"/>
  <c r="S918" i="4"/>
  <c r="U992" i="4"/>
  <c r="S990" i="4"/>
  <c r="U976" i="4"/>
  <c r="U956" i="4"/>
  <c r="U936" i="4"/>
  <c r="U998" i="4"/>
  <c r="S991" i="4"/>
  <c r="S976" i="4"/>
  <c r="S956" i="4"/>
  <c r="S936" i="4"/>
  <c r="U904" i="4"/>
  <c r="S903" i="4"/>
  <c r="S902" i="4"/>
  <c r="S887" i="4"/>
  <c r="U885" i="4"/>
  <c r="U966" i="4"/>
  <c r="U962" i="4"/>
  <c r="S953" i="4"/>
  <c r="S914" i="4"/>
  <c r="U970" i="4"/>
  <c r="U949" i="4"/>
  <c r="U932" i="4"/>
  <c r="U997" i="4"/>
  <c r="U969" i="4"/>
  <c r="U952" i="4"/>
  <c r="S935" i="4"/>
  <c r="U911" i="4"/>
  <c r="U910" i="4"/>
  <c r="S908" i="4"/>
  <c r="S873" i="4"/>
  <c r="U871" i="4"/>
  <c r="S853" i="4"/>
  <c r="U851" i="4"/>
  <c r="U999" i="4"/>
  <c r="S996" i="4"/>
  <c r="U993" i="4"/>
  <c r="U960" i="4"/>
  <c r="U937" i="4"/>
  <c r="S934" i="4"/>
  <c r="S924" i="4"/>
  <c r="U1001" i="4"/>
  <c r="U1000" i="4"/>
  <c r="U967" i="4"/>
  <c r="S954" i="4"/>
  <c r="U996" i="4"/>
  <c r="S989" i="4"/>
  <c r="U986" i="4"/>
  <c r="S973" i="4"/>
  <c r="U954" i="4"/>
  <c r="U950" i="4"/>
  <c r="U947" i="4"/>
  <c r="U940" i="4"/>
  <c r="U897" i="4"/>
  <c r="U874" i="4"/>
  <c r="U873" i="4"/>
  <c r="U872" i="4"/>
  <c r="U869" i="4"/>
  <c r="S834" i="4"/>
  <c r="S1000" i="4"/>
  <c r="S992" i="4"/>
  <c r="S963" i="4"/>
  <c r="S938" i="4"/>
  <c r="S933" i="4"/>
  <c r="U891" i="4"/>
  <c r="S889" i="4"/>
  <c r="S872" i="4"/>
  <c r="S866" i="4"/>
  <c r="S865" i="4"/>
  <c r="S864" i="4"/>
  <c r="S863" i="4"/>
  <c r="S862" i="4"/>
  <c r="S861" i="4"/>
  <c r="S860" i="4"/>
  <c r="S859" i="4"/>
  <c r="U857" i="4"/>
  <c r="U856" i="4"/>
  <c r="U855" i="4"/>
  <c r="U854" i="4"/>
  <c r="U853" i="4"/>
  <c r="U852" i="4"/>
  <c r="U980" i="4"/>
  <c r="S974" i="4"/>
  <c r="U927" i="4"/>
  <c r="U916" i="4"/>
  <c r="U912" i="4"/>
  <c r="U898" i="4"/>
  <c r="S890" i="4"/>
  <c r="S858" i="4"/>
  <c r="S852" i="4"/>
  <c r="S851" i="4"/>
  <c r="S850" i="4"/>
  <c r="U987" i="4"/>
  <c r="U961" i="4"/>
  <c r="S939" i="4"/>
  <c r="U931" i="4"/>
  <c r="U928" i="4"/>
  <c r="S913" i="4"/>
  <c r="S907" i="4"/>
  <c r="U878" i="4"/>
  <c r="S876" i="4"/>
  <c r="U994" i="4"/>
  <c r="U968" i="4"/>
  <c r="U951" i="4"/>
  <c r="U946" i="4"/>
  <c r="S915" i="4"/>
  <c r="S910" i="4"/>
  <c r="U886" i="4"/>
  <c r="S885" i="4"/>
  <c r="S820" i="4"/>
  <c r="U818" i="4"/>
  <c r="S800" i="4"/>
  <c r="U798" i="4"/>
  <c r="S780" i="4"/>
  <c r="U778" i="4"/>
  <c r="S760" i="4"/>
  <c r="U758" i="4"/>
  <c r="U981" i="4"/>
  <c r="U930" i="4"/>
  <c r="S900" i="4"/>
  <c r="U896" i="4"/>
  <c r="U892" i="4"/>
  <c r="U887" i="4"/>
  <c r="S870" i="4"/>
  <c r="S1001" i="4"/>
  <c r="U974" i="4"/>
  <c r="S969" i="4"/>
  <c r="U948" i="4"/>
  <c r="U920" i="4"/>
  <c r="S912" i="4"/>
  <c r="U909" i="4"/>
  <c r="S904" i="4"/>
  <c r="S896" i="4"/>
  <c r="S881" i="4"/>
  <c r="U876" i="4"/>
  <c r="S994" i="4"/>
  <c r="S975" i="4"/>
  <c r="S949" i="4"/>
  <c r="U902" i="4"/>
  <c r="U894" i="4"/>
  <c r="U889" i="4"/>
  <c r="S878" i="4"/>
  <c r="U907" i="4"/>
  <c r="S874" i="4"/>
  <c r="S868" i="4"/>
  <c r="S813" i="4"/>
  <c r="S812" i="4"/>
  <c r="S811" i="4"/>
  <c r="S810" i="4"/>
  <c r="S998" i="4"/>
  <c r="S962" i="4"/>
  <c r="U941" i="4"/>
  <c r="U939" i="4"/>
  <c r="U905" i="4"/>
  <c r="S899" i="4"/>
  <c r="U893" i="4"/>
  <c r="U875" i="4"/>
  <c r="S854" i="4"/>
  <c r="U841" i="4"/>
  <c r="U838" i="4"/>
  <c r="U837" i="4"/>
  <c r="U836" i="4"/>
  <c r="U835" i="4"/>
  <c r="U834" i="4"/>
  <c r="U833" i="4"/>
  <c r="U832" i="4"/>
  <c r="U831" i="4"/>
  <c r="U830" i="4"/>
  <c r="U829" i="4"/>
  <c r="U828" i="4"/>
  <c r="U827" i="4"/>
  <c r="U826" i="4"/>
  <c r="U823" i="4"/>
  <c r="S929" i="4"/>
  <c r="S893" i="4"/>
  <c r="S882" i="4"/>
  <c r="U867" i="4"/>
  <c r="U861" i="4"/>
  <c r="U842" i="4"/>
  <c r="S840" i="4"/>
  <c r="S839" i="4"/>
  <c r="S958" i="4"/>
  <c r="S942" i="4"/>
  <c r="S906" i="4"/>
  <c r="S891" i="4"/>
  <c r="U880" i="4"/>
  <c r="U863" i="4"/>
  <c r="S848" i="4"/>
  <c r="S847" i="4"/>
  <c r="S846" i="4"/>
  <c r="U934" i="4"/>
  <c r="U921" i="4"/>
  <c r="U884" i="4"/>
  <c r="S857" i="4"/>
  <c r="U849" i="4"/>
  <c r="S1003" i="4"/>
  <c r="U919" i="4"/>
  <c r="U901" i="4"/>
  <c r="S869" i="4"/>
  <c r="U864" i="4"/>
  <c r="U858" i="4"/>
  <c r="U810" i="4"/>
  <c r="U805" i="4"/>
  <c r="U797" i="4"/>
  <c r="S742" i="4"/>
  <c r="U740" i="4"/>
  <c r="S722" i="4"/>
  <c r="U720" i="4"/>
  <c r="U979" i="4"/>
  <c r="U977" i="4"/>
  <c r="U971" i="4"/>
  <c r="S898" i="4"/>
  <c r="U844" i="4"/>
  <c r="S829" i="4"/>
  <c r="U820" i="4"/>
  <c r="U799" i="4"/>
  <c r="S798" i="4"/>
  <c r="S795" i="4"/>
  <c r="U793" i="4"/>
  <c r="U792" i="4"/>
  <c r="U791" i="4"/>
  <c r="U790" i="4"/>
  <c r="U789" i="4"/>
  <c r="U788" i="4"/>
  <c r="U787" i="4"/>
  <c r="U786" i="4"/>
  <c r="U783" i="4"/>
  <c r="S781" i="4"/>
  <c r="S757" i="4"/>
  <c r="S756" i="4"/>
  <c r="S755" i="4"/>
  <c r="U753" i="4"/>
  <c r="S751" i="4"/>
  <c r="S726" i="4"/>
  <c r="S725" i="4"/>
  <c r="S724" i="4"/>
  <c r="S723" i="4"/>
  <c r="S718" i="4"/>
  <c r="U716" i="4"/>
  <c r="S698" i="4"/>
  <c r="U696" i="4"/>
  <c r="S678" i="4"/>
  <c r="U676" i="4"/>
  <c r="S993" i="4"/>
  <c r="S979" i="4"/>
  <c r="U888" i="4"/>
  <c r="U850" i="4"/>
  <c r="S838" i="4"/>
  <c r="S968" i="4"/>
  <c r="U913" i="4"/>
  <c r="U906" i="4"/>
  <c r="U978" i="4"/>
  <c r="U972" i="4"/>
  <c r="S892" i="4"/>
  <c r="U865" i="4"/>
  <c r="U824" i="4"/>
  <c r="S959" i="4"/>
  <c r="U957" i="4"/>
  <c r="S948" i="4"/>
  <c r="U877" i="4"/>
  <c r="U843" i="4"/>
  <c r="S978" i="4"/>
  <c r="U929" i="4"/>
  <c r="U882" i="4"/>
  <c r="U868" i="4"/>
  <c r="U847" i="4"/>
  <c r="S832" i="4"/>
  <c r="U816" i="4"/>
  <c r="S814" i="4"/>
  <c r="S803" i="4"/>
  <c r="U785" i="4"/>
  <c r="U756" i="4"/>
  <c r="S754" i="4"/>
  <c r="S753" i="4"/>
  <c r="S843" i="4"/>
  <c r="S823" i="4"/>
  <c r="U817" i="4"/>
  <c r="S815" i="4"/>
  <c r="S804" i="4"/>
  <c r="S784" i="4"/>
  <c r="U770" i="4"/>
  <c r="S769" i="4"/>
  <c r="U757" i="4"/>
  <c r="U958" i="4"/>
  <c r="U922" i="4"/>
  <c r="U900" i="4"/>
  <c r="S988" i="4"/>
  <c r="S955" i="4"/>
  <c r="U938" i="4"/>
  <c r="U883" i="4"/>
  <c r="U848" i="4"/>
  <c r="S911" i="4"/>
  <c r="S901" i="4"/>
  <c r="U890" i="4"/>
  <c r="S883" i="4"/>
  <c r="U859" i="4"/>
  <c r="S809" i="4"/>
  <c r="S794" i="4"/>
  <c r="S793" i="4"/>
  <c r="S778" i="4"/>
  <c r="U762" i="4"/>
  <c r="U881" i="4"/>
  <c r="U845" i="4"/>
  <c r="S825" i="4"/>
  <c r="S796" i="4"/>
  <c r="U779" i="4"/>
  <c r="U763" i="4"/>
  <c r="S761" i="4"/>
  <c r="S661" i="4"/>
  <c r="U659" i="4"/>
  <c r="S641" i="4"/>
  <c r="U639" i="4"/>
  <c r="S1002" i="4"/>
  <c r="U926" i="4"/>
  <c r="U860" i="4"/>
  <c r="U840" i="4"/>
  <c r="S837" i="4"/>
  <c r="S831" i="4"/>
  <c r="S828" i="4"/>
  <c r="U821" i="4"/>
  <c r="U808" i="4"/>
  <c r="S787" i="4"/>
  <c r="U771" i="4"/>
  <c r="U761" i="4"/>
  <c r="S749" i="4"/>
  <c r="U736" i="4"/>
  <c r="S856" i="4"/>
  <c r="S808" i="4"/>
  <c r="S799" i="4"/>
  <c r="U767" i="4"/>
  <c r="S916" i="4"/>
  <c r="U908" i="4"/>
  <c r="U879" i="4"/>
  <c r="S845" i="4"/>
  <c r="U825" i="4"/>
  <c r="S821" i="4"/>
  <c r="S817" i="4"/>
  <c r="U813" i="4"/>
  <c r="U794" i="4"/>
  <c r="S788" i="4"/>
  <c r="S771" i="4"/>
  <c r="U750" i="4"/>
  <c r="S736" i="4"/>
  <c r="U685" i="4"/>
  <c r="S681" i="4"/>
  <c r="S909" i="4"/>
  <c r="S867" i="4"/>
  <c r="S819" i="4"/>
  <c r="S805" i="4"/>
  <c r="U801" i="4"/>
  <c r="U796" i="4"/>
  <c r="S791" i="4"/>
  <c r="U780" i="4"/>
  <c r="U775" i="4"/>
  <c r="S774" i="4"/>
  <c r="S842" i="4"/>
  <c r="S824" i="4"/>
  <c r="S816" i="4"/>
  <c r="U812" i="4"/>
  <c r="S807" i="4"/>
  <c r="S782" i="4"/>
  <c r="S770" i="4"/>
  <c r="U766" i="4"/>
  <c r="S895" i="4"/>
  <c r="S826" i="4"/>
  <c r="U806" i="4"/>
  <c r="U795" i="4"/>
  <c r="S785" i="4"/>
  <c r="U777" i="4"/>
  <c r="S763" i="4"/>
  <c r="S746" i="4"/>
  <c r="U703" i="4"/>
  <c r="S701" i="4"/>
  <c r="U689" i="4"/>
  <c r="S687" i="4"/>
  <c r="S675" i="4"/>
  <c r="S672" i="4"/>
  <c r="S671" i="4"/>
  <c r="S943" i="4"/>
  <c r="S886" i="4"/>
  <c r="S884" i="4"/>
  <c r="U846" i="4"/>
  <c r="S833" i="4"/>
  <c r="S806" i="4"/>
  <c r="S801" i="4"/>
  <c r="S773" i="4"/>
  <c r="U760" i="4"/>
  <c r="U737" i="4"/>
  <c r="U730" i="4"/>
  <c r="U704" i="4"/>
  <c r="S702" i="4"/>
  <c r="U690" i="4"/>
  <c r="S688" i="4"/>
  <c r="U677" i="4"/>
  <c r="S676" i="4"/>
  <c r="U819" i="4"/>
  <c r="S792" i="4"/>
  <c r="S777" i="4"/>
  <c r="U747" i="4"/>
  <c r="S737" i="4"/>
  <c r="U723" i="4"/>
  <c r="U705" i="4"/>
  <c r="S703" i="4"/>
  <c r="U691" i="4"/>
  <c r="S689" i="4"/>
  <c r="S677" i="4"/>
  <c r="U661" i="4"/>
  <c r="S660" i="4"/>
  <c r="S611" i="4"/>
  <c r="U609" i="4"/>
  <c r="S591" i="4"/>
  <c r="U589" i="4"/>
  <c r="S571" i="4"/>
  <c r="U569" i="4"/>
  <c r="S551" i="4"/>
  <c r="U549" i="4"/>
  <c r="S822" i="4"/>
  <c r="U959" i="4"/>
  <c r="S871" i="4"/>
  <c r="S827" i="4"/>
  <c r="S790" i="4"/>
  <c r="S764" i="4"/>
  <c r="S748" i="4"/>
  <c r="S740" i="4"/>
  <c r="S732" i="4"/>
  <c r="U725" i="4"/>
  <c r="S715" i="4"/>
  <c r="S714" i="4"/>
  <c r="S713" i="4"/>
  <c r="U711" i="4"/>
  <c r="S709" i="4"/>
  <c r="S695" i="4"/>
  <c r="S877" i="4"/>
  <c r="U811" i="4"/>
  <c r="U802" i="4"/>
  <c r="U781" i="4"/>
  <c r="U768" i="4"/>
  <c r="U742" i="4"/>
  <c r="S741" i="4"/>
  <c r="U718" i="4"/>
  <c r="S717" i="4"/>
  <c r="S711" i="4"/>
  <c r="S696" i="4"/>
  <c r="U644" i="4"/>
  <c r="S642" i="4"/>
  <c r="S623" i="4"/>
  <c r="U621" i="4"/>
  <c r="S603" i="4"/>
  <c r="U601" i="4"/>
  <c r="S844" i="4"/>
  <c r="S776" i="4"/>
  <c r="U773" i="4"/>
  <c r="S730" i="4"/>
  <c r="S690" i="4"/>
  <c r="U686" i="4"/>
  <c r="U681" i="4"/>
  <c r="U652" i="4"/>
  <c r="S651" i="4"/>
  <c r="U899" i="4"/>
  <c r="U734" i="4"/>
  <c r="S719" i="4"/>
  <c r="U710" i="4"/>
  <c r="S704" i="4"/>
  <c r="S700" i="4"/>
  <c r="U667" i="4"/>
  <c r="S894" i="4"/>
  <c r="S880" i="4"/>
  <c r="S783" i="4"/>
  <c r="U765" i="4"/>
  <c r="S710" i="4"/>
  <c r="S686" i="4"/>
  <c r="S652" i="4"/>
  <c r="U643" i="4"/>
  <c r="U629" i="4"/>
  <c r="U627" i="4"/>
  <c r="U626" i="4"/>
  <c r="U625" i="4"/>
  <c r="U624" i="4"/>
  <c r="S546" i="4"/>
  <c r="U544" i="4"/>
  <c r="U543" i="4"/>
  <c r="S525" i="4"/>
  <c r="U523" i="4"/>
  <c r="S505" i="4"/>
  <c r="U503" i="4"/>
  <c r="S485" i="4"/>
  <c r="U483" i="4"/>
  <c r="S465" i="4"/>
  <c r="U463" i="4"/>
  <c r="S445" i="4"/>
  <c r="U443" i="4"/>
  <c r="S875" i="4"/>
  <c r="U862" i="4"/>
  <c r="S835" i="4"/>
  <c r="U989" i="4"/>
  <c r="U942" i="4"/>
  <c r="U914" i="4"/>
  <c r="U866" i="4"/>
  <c r="S766" i="4"/>
  <c r="S759" i="4"/>
  <c r="S743" i="4"/>
  <c r="U732" i="4"/>
  <c r="S721" i="4"/>
  <c r="U717" i="4"/>
  <c r="U678" i="4"/>
  <c r="U669" i="4"/>
  <c r="U664" i="4"/>
  <c r="S663" i="4"/>
  <c r="S999" i="4"/>
  <c r="U822" i="4"/>
  <c r="U815" i="4"/>
  <c r="U784" i="4"/>
  <c r="S747" i="4"/>
  <c r="U712" i="4"/>
  <c r="S706" i="4"/>
  <c r="U698" i="4"/>
  <c r="U694" i="4"/>
  <c r="S693" i="4"/>
  <c r="U683" i="4"/>
  <c r="U674" i="4"/>
  <c r="U656" i="4"/>
  <c r="S655" i="4"/>
  <c r="U638" i="4"/>
  <c r="S636" i="4"/>
  <c r="U602" i="4"/>
  <c r="S601" i="4"/>
  <c r="S596" i="4"/>
  <c r="S590" i="4"/>
  <c r="S589" i="4"/>
  <c r="S588" i="4"/>
  <c r="U586" i="4"/>
  <c r="S537" i="4"/>
  <c r="U535" i="4"/>
  <c r="U809" i="4"/>
  <c r="U728" i="4"/>
  <c r="U682" i="4"/>
  <c r="U679" i="4"/>
  <c r="S659" i="4"/>
  <c r="U655" i="4"/>
  <c r="S645" i="4"/>
  <c r="S640" i="4"/>
  <c r="U608" i="4"/>
  <c r="U607" i="4"/>
  <c r="S605" i="4"/>
  <c r="S928" i="4"/>
  <c r="S789" i="4"/>
  <c r="S772" i="4"/>
  <c r="U745" i="4"/>
  <c r="U739" i="4"/>
  <c r="U707" i="4"/>
  <c r="S682" i="4"/>
  <c r="S673" i="4"/>
  <c r="U670" i="4"/>
  <c r="S667" i="4"/>
  <c r="S664" i="4"/>
  <c r="S650" i="4"/>
  <c r="U635" i="4"/>
  <c r="S626" i="4"/>
  <c r="U807" i="4"/>
  <c r="S768" i="4"/>
  <c r="U754" i="4"/>
  <c r="S739" i="4"/>
  <c r="S728" i="4"/>
  <c r="U714" i="4"/>
  <c r="U701" i="4"/>
  <c r="U692" i="4"/>
  <c r="S679" i="4"/>
  <c r="U641" i="4"/>
  <c r="S635" i="4"/>
  <c r="S608" i="4"/>
  <c r="S607" i="4"/>
  <c r="U597" i="4"/>
  <c r="S583" i="4"/>
  <c r="U562" i="4"/>
  <c r="S561" i="4"/>
  <c r="U551" i="4"/>
  <c r="U525" i="4"/>
  <c r="S524" i="4"/>
  <c r="S521" i="4"/>
  <c r="U519" i="4"/>
  <c r="S762" i="4"/>
  <c r="U708" i="4"/>
  <c r="U699" i="4"/>
  <c r="U693" i="4"/>
  <c r="S683" i="4"/>
  <c r="S680" i="4"/>
  <c r="U665" i="4"/>
  <c r="U647" i="4"/>
  <c r="U642" i="4"/>
  <c r="U637" i="4"/>
  <c r="U630" i="4"/>
  <c r="S629" i="4"/>
  <c r="U917" i="4"/>
  <c r="S841" i="4"/>
  <c r="U839" i="4"/>
  <c r="U746" i="4"/>
  <c r="U743" i="4"/>
  <c r="S729" i="4"/>
  <c r="S705" i="4"/>
  <c r="S668" i="4"/>
  <c r="U632" i="4"/>
  <c r="S631" i="4"/>
  <c r="U622" i="4"/>
  <c r="S613" i="4"/>
  <c r="U590" i="4"/>
  <c r="U571" i="4"/>
  <c r="S570" i="4"/>
  <c r="U555" i="4"/>
  <c r="S554" i="4"/>
  <c r="U541" i="4"/>
  <c r="U540" i="4"/>
  <c r="U539" i="4"/>
  <c r="U538" i="4"/>
  <c r="S830" i="4"/>
  <c r="S818" i="4"/>
  <c r="U804" i="4"/>
  <c r="S802" i="4"/>
  <c r="U776" i="4"/>
  <c r="U764" i="4"/>
  <c r="S758" i="4"/>
  <c r="S738" i="4"/>
  <c r="S727" i="4"/>
  <c r="U713" i="4"/>
  <c r="S691" i="4"/>
  <c r="U684" i="4"/>
  <c r="S654" i="4"/>
  <c r="S648" i="4"/>
  <c r="S632" i="4"/>
  <c r="S797" i="4"/>
  <c r="U772" i="4"/>
  <c r="U749" i="4"/>
  <c r="S708" i="4"/>
  <c r="S684" i="4"/>
  <c r="U668" i="4"/>
  <c r="U660" i="4"/>
  <c r="U774" i="4"/>
  <c r="U721" i="4"/>
  <c r="S716" i="4"/>
  <c r="U666" i="4"/>
  <c r="S639" i="4"/>
  <c r="U636" i="4"/>
  <c r="U706" i="4"/>
  <c r="U695" i="4"/>
  <c r="S666" i="4"/>
  <c r="S595" i="4"/>
  <c r="S581" i="4"/>
  <c r="S836" i="4"/>
  <c r="S767" i="4"/>
  <c r="U724" i="4"/>
  <c r="S614" i="4"/>
  <c r="U584" i="4"/>
  <c r="U574" i="4"/>
  <c r="S573" i="4"/>
  <c r="U564" i="4"/>
  <c r="S557" i="4"/>
  <c r="U530" i="4"/>
  <c r="U529" i="4"/>
  <c r="S527" i="4"/>
  <c r="U493" i="4"/>
  <c r="U733" i="4"/>
  <c r="U729" i="4"/>
  <c r="U640" i="4"/>
  <c r="S606" i="4"/>
  <c r="U598" i="4"/>
  <c r="U588" i="4"/>
  <c r="U582" i="4"/>
  <c r="S574" i="4"/>
  <c r="U735" i="4"/>
  <c r="S733" i="4"/>
  <c r="U719" i="4"/>
  <c r="U687" i="4"/>
  <c r="S662" i="4"/>
  <c r="U650" i="4"/>
  <c r="S638" i="4"/>
  <c r="S630" i="4"/>
  <c r="S627" i="4"/>
  <c r="U611" i="4"/>
  <c r="S598" i="4"/>
  <c r="U593" i="4"/>
  <c r="U575" i="4"/>
  <c r="S735" i="4"/>
  <c r="U731" i="4"/>
  <c r="U715" i="4"/>
  <c r="U702" i="4"/>
  <c r="U700" i="4"/>
  <c r="S694" i="4"/>
  <c r="S685" i="4"/>
  <c r="S888" i="4"/>
  <c r="U645" i="4"/>
  <c r="S618" i="4"/>
  <c r="U603" i="4"/>
  <c r="U599" i="4"/>
  <c r="U577" i="4"/>
  <c r="S575" i="4"/>
  <c r="U545" i="4"/>
  <c r="U516" i="4"/>
  <c r="S515" i="4"/>
  <c r="S499" i="4"/>
  <c r="S498" i="4"/>
  <c r="U482" i="4"/>
  <c r="U481" i="4"/>
  <c r="U480" i="4"/>
  <c r="U479" i="4"/>
  <c r="U478" i="4"/>
  <c r="S476" i="4"/>
  <c r="S450" i="4"/>
  <c r="S444" i="4"/>
  <c r="S443" i="4"/>
  <c r="S442" i="4"/>
  <c r="U440" i="4"/>
  <c r="U782" i="4"/>
  <c r="U759" i="4"/>
  <c r="S731" i="4"/>
  <c r="S669" i="4"/>
  <c r="U663" i="4"/>
  <c r="U658" i="4"/>
  <c r="S633" i="4"/>
  <c r="S786" i="4"/>
  <c r="U726" i="4"/>
  <c r="S720" i="4"/>
  <c r="U651" i="4"/>
  <c r="U646" i="4"/>
  <c r="U634" i="4"/>
  <c r="S600" i="4"/>
  <c r="S879" i="4"/>
  <c r="U814" i="4"/>
  <c r="U744" i="4"/>
  <c r="S697" i="4"/>
  <c r="U680" i="4"/>
  <c r="S656" i="4"/>
  <c r="U654" i="4"/>
  <c r="U633" i="4"/>
  <c r="S621" i="4"/>
  <c r="U594" i="4"/>
  <c r="U587" i="4"/>
  <c r="S579" i="4"/>
  <c r="S553" i="4"/>
  <c r="U527" i="4"/>
  <c r="U520" i="4"/>
  <c r="U508" i="4"/>
  <c r="S506" i="4"/>
  <c r="S492" i="4"/>
  <c r="U451" i="4"/>
  <c r="U450" i="4"/>
  <c r="U449" i="4"/>
  <c r="S448" i="4"/>
  <c r="S424" i="4"/>
  <c r="U422" i="4"/>
  <c r="S404" i="4"/>
  <c r="U402" i="4"/>
  <c r="U918" i="4"/>
  <c r="S699" i="4"/>
  <c r="S594" i="4"/>
  <c r="S587" i="4"/>
  <c r="U570" i="4"/>
  <c r="U563" i="4"/>
  <c r="S558" i="4"/>
  <c r="U537" i="4"/>
  <c r="S520" i="4"/>
  <c r="U511" i="4"/>
  <c r="U510" i="4"/>
  <c r="U509" i="4"/>
  <c r="S507" i="4"/>
  <c r="S478" i="4"/>
  <c r="U452" i="4"/>
  <c r="S449" i="4"/>
  <c r="S423" i="4"/>
  <c r="U421" i="4"/>
  <c r="S403" i="4"/>
  <c r="U401" i="4"/>
  <c r="S779" i="4"/>
  <c r="U751" i="4"/>
  <c r="S744" i="4"/>
  <c r="U709" i="4"/>
  <c r="S665" i="4"/>
  <c r="U631" i="4"/>
  <c r="U583" i="4"/>
  <c r="U755" i="4"/>
  <c r="U671" i="4"/>
  <c r="U617" i="4"/>
  <c r="S599" i="4"/>
  <c r="U531" i="4"/>
  <c r="S530" i="4"/>
  <c r="U514" i="4"/>
  <c r="S513" i="4"/>
  <c r="U484" i="4"/>
  <c r="S483" i="4"/>
  <c r="U469" i="4"/>
  <c r="U468" i="4"/>
  <c r="U467" i="4"/>
  <c r="U466" i="4"/>
  <c r="U465" i="4"/>
  <c r="U464" i="4"/>
  <c r="U461" i="4"/>
  <c r="U460" i="4"/>
  <c r="U459" i="4"/>
  <c r="U458" i="4"/>
  <c r="S456" i="4"/>
  <c r="S417" i="4"/>
  <c r="U415" i="4"/>
  <c r="U990" i="4"/>
  <c r="U752" i="4"/>
  <c r="S750" i="4"/>
  <c r="U628" i="4"/>
  <c r="S617" i="4"/>
  <c r="S604" i="4"/>
  <c r="U596" i="4"/>
  <c r="U565" i="4"/>
  <c r="S628" i="4"/>
  <c r="U572" i="4"/>
  <c r="S569" i="4"/>
  <c r="U727" i="4"/>
  <c r="U722" i="4"/>
  <c r="U673" i="4"/>
  <c r="U615" i="4"/>
  <c r="U585" i="4"/>
  <c r="U579" i="4"/>
  <c r="S565" i="4"/>
  <c r="U559" i="4"/>
  <c r="U552" i="4"/>
  <c r="U741" i="4"/>
  <c r="U600" i="4"/>
  <c r="U556" i="4"/>
  <c r="S526" i="4"/>
  <c r="S517" i="4"/>
  <c r="S512" i="4"/>
  <c r="S487" i="4"/>
  <c r="S475" i="4"/>
  <c r="U988" i="4"/>
  <c r="U616" i="4"/>
  <c r="U592" i="4"/>
  <c r="U567" i="4"/>
  <c r="S560" i="4"/>
  <c r="S518" i="4"/>
  <c r="S653" i="4"/>
  <c r="S615" i="4"/>
  <c r="S578" i="4"/>
  <c r="U568" i="4"/>
  <c r="U536" i="4"/>
  <c r="U506" i="4"/>
  <c r="U499" i="4"/>
  <c r="U490" i="4"/>
  <c r="S467" i="4"/>
  <c r="U453" i="4"/>
  <c r="S446" i="4"/>
  <c r="S438" i="4"/>
  <c r="S429" i="4"/>
  <c r="S374" i="4"/>
  <c r="U372" i="4"/>
  <c r="S354" i="4"/>
  <c r="U352" i="4"/>
  <c r="S334" i="4"/>
  <c r="U332" i="4"/>
  <c r="U619" i="4"/>
  <c r="U606" i="4"/>
  <c r="S597" i="4"/>
  <c r="U560" i="4"/>
  <c r="S549" i="4"/>
  <c r="U546" i="4"/>
  <c r="S536" i="4"/>
  <c r="U528" i="4"/>
  <c r="U512" i="4"/>
  <c r="S494" i="4"/>
  <c r="U485" i="4"/>
  <c r="S479" i="4"/>
  <c r="U474" i="4"/>
  <c r="S439" i="4"/>
  <c r="U430" i="4"/>
  <c r="S420" i="4"/>
  <c r="S419" i="4"/>
  <c r="S418" i="4"/>
  <c r="U392" i="4"/>
  <c r="U391" i="4"/>
  <c r="S373" i="4"/>
  <c r="U371" i="4"/>
  <c r="S353" i="4"/>
  <c r="U351" i="4"/>
  <c r="U870" i="4"/>
  <c r="U803" i="4"/>
  <c r="S619" i="4"/>
  <c r="S586" i="4"/>
  <c r="U581" i="4"/>
  <c r="S568" i="4"/>
  <c r="S562" i="4"/>
  <c r="S528" i="4"/>
  <c r="U501" i="4"/>
  <c r="U500" i="4"/>
  <c r="S490" i="4"/>
  <c r="S461" i="4"/>
  <c r="S453" i="4"/>
  <c r="S421" i="4"/>
  <c r="U400" i="4"/>
  <c r="U393" i="4"/>
  <c r="U390" i="4"/>
  <c r="S372" i="4"/>
  <c r="U370" i="4"/>
  <c r="S352" i="4"/>
  <c r="U350" i="4"/>
  <c r="S332" i="4"/>
  <c r="U330" i="4"/>
  <c r="S312" i="4"/>
  <c r="U310" i="4"/>
  <c r="S292" i="4"/>
  <c r="U290" i="4"/>
  <c r="S272" i="4"/>
  <c r="U270" i="4"/>
  <c r="S252" i="4"/>
  <c r="U250" i="4"/>
  <c r="S232" i="4"/>
  <c r="U230" i="4"/>
  <c r="S212" i="4"/>
  <c r="U210" i="4"/>
  <c r="S192" i="4"/>
  <c r="U190" i="4"/>
  <c r="S172" i="4"/>
  <c r="U170" i="4"/>
  <c r="S152" i="4"/>
  <c r="U150" i="4"/>
  <c r="U991" i="4"/>
  <c r="S712" i="4"/>
  <c r="S670" i="4"/>
  <c r="U657" i="4"/>
  <c r="U595" i="4"/>
  <c r="S555" i="4"/>
  <c r="S543" i="4"/>
  <c r="U533" i="4"/>
  <c r="U521" i="4"/>
  <c r="U517" i="4"/>
  <c r="U495" i="4"/>
  <c r="S474" i="4"/>
  <c r="S468" i="4"/>
  <c r="U462" i="4"/>
  <c r="U454" i="4"/>
  <c r="U447" i="4"/>
  <c r="S440" i="4"/>
  <c r="S430" i="4"/>
  <c r="S422" i="4"/>
  <c r="U399" i="4"/>
  <c r="U394" i="4"/>
  <c r="S392" i="4"/>
  <c r="S391" i="4"/>
  <c r="U389" i="4"/>
  <c r="S371" i="4"/>
  <c r="U369" i="4"/>
  <c r="S351" i="4"/>
  <c r="U349" i="4"/>
  <c r="S331" i="4"/>
  <c r="U329" i="4"/>
  <c r="S311" i="4"/>
  <c r="U309" i="4"/>
  <c r="S291" i="4"/>
  <c r="U289" i="4"/>
  <c r="S271" i="4"/>
  <c r="U269" i="4"/>
  <c r="S251" i="4"/>
  <c r="U249" i="4"/>
  <c r="S231" i="4"/>
  <c r="U229" i="4"/>
  <c r="S211" i="4"/>
  <c r="U209" i="4"/>
  <c r="S191" i="4"/>
  <c r="U189" i="4"/>
  <c r="S171" i="4"/>
  <c r="U169" i="4"/>
  <c r="S151" i="4"/>
  <c r="U149" i="4"/>
  <c r="S131" i="4"/>
  <c r="U129" i="4"/>
  <c r="S111" i="4"/>
  <c r="U109" i="4"/>
  <c r="S849" i="4"/>
  <c r="U672" i="4"/>
  <c r="U648" i="4"/>
  <c r="S602" i="4"/>
  <c r="U576" i="4"/>
  <c r="U550" i="4"/>
  <c r="S547" i="4"/>
  <c r="U534" i="4"/>
  <c r="S529" i="4"/>
  <c r="U496" i="4"/>
  <c r="S491" i="4"/>
  <c r="U470" i="4"/>
  <c r="S463" i="4"/>
  <c r="U456" i="4"/>
  <c r="S455" i="4"/>
  <c r="U448" i="4"/>
  <c r="U432" i="4"/>
  <c r="U404" i="4"/>
  <c r="S397" i="4"/>
  <c r="S396" i="4"/>
  <c r="S387" i="4"/>
  <c r="U385" i="4"/>
  <c r="S367" i="4"/>
  <c r="U365" i="4"/>
  <c r="S347" i="4"/>
  <c r="U345" i="4"/>
  <c r="S646" i="4"/>
  <c r="S622" i="4"/>
  <c r="U620" i="4"/>
  <c r="S616" i="4"/>
  <c r="U591" i="4"/>
  <c r="S576" i="4"/>
  <c r="S563" i="4"/>
  <c r="S550" i="4"/>
  <c r="S534" i="4"/>
  <c r="U522" i="4"/>
  <c r="S658" i="4"/>
  <c r="U653" i="4"/>
  <c r="U614" i="4"/>
  <c r="U612" i="4"/>
  <c r="S566" i="4"/>
  <c r="U558" i="4"/>
  <c r="S556" i="4"/>
  <c r="S540" i="4"/>
  <c r="U524" i="4"/>
  <c r="S473" i="4"/>
  <c r="U434" i="4"/>
  <c r="U427" i="4"/>
  <c r="U418" i="4"/>
  <c r="S405" i="4"/>
  <c r="U398" i="4"/>
  <c r="U397" i="4"/>
  <c r="S382" i="4"/>
  <c r="U375" i="4"/>
  <c r="S360" i="4"/>
  <c r="U337" i="4"/>
  <c r="U336" i="4"/>
  <c r="U311" i="4"/>
  <c r="S306" i="4"/>
  <c r="S303" i="4"/>
  <c r="U271" i="4"/>
  <c r="S266" i="4"/>
  <c r="S263" i="4"/>
  <c r="U231" i="4"/>
  <c r="S226" i="4"/>
  <c r="S223" i="4"/>
  <c r="U191" i="4"/>
  <c r="S186" i="4"/>
  <c r="S183" i="4"/>
  <c r="U151" i="4"/>
  <c r="S146" i="4"/>
  <c r="S143" i="4"/>
  <c r="S116" i="4"/>
  <c r="S110" i="4"/>
  <c r="S109" i="4"/>
  <c r="S108" i="4"/>
  <c r="U106" i="4"/>
  <c r="S692" i="4"/>
  <c r="U610" i="4"/>
  <c r="U554" i="4"/>
  <c r="S502" i="4"/>
  <c r="S452" i="4"/>
  <c r="U442" i="4"/>
  <c r="U423" i="4"/>
  <c r="S410" i="4"/>
  <c r="U383" i="4"/>
  <c r="S370" i="4"/>
  <c r="U361" i="4"/>
  <c r="S345" i="4"/>
  <c r="U338" i="4"/>
  <c r="S335" i="4"/>
  <c r="U312" i="4"/>
  <c r="S305" i="4"/>
  <c r="S304" i="4"/>
  <c r="S634" i="4"/>
  <c r="S612" i="4"/>
  <c r="S610" i="4"/>
  <c r="S533" i="4"/>
  <c r="U738" i="4"/>
  <c r="S644" i="4"/>
  <c r="S625" i="4"/>
  <c r="S471" i="4"/>
  <c r="U431" i="4"/>
  <c r="S415" i="4"/>
  <c r="U406" i="4"/>
  <c r="S399" i="4"/>
  <c r="S383" i="4"/>
  <c r="U376" i="4"/>
  <c r="S361" i="4"/>
  <c r="S346" i="4"/>
  <c r="S338" i="4"/>
  <c r="U318" i="4"/>
  <c r="U317" i="4"/>
  <c r="U314" i="4"/>
  <c r="U278" i="4"/>
  <c r="U277" i="4"/>
  <c r="U274" i="4"/>
  <c r="U238" i="4"/>
  <c r="U237" i="4"/>
  <c r="U234" i="4"/>
  <c r="U198" i="4"/>
  <c r="U197" i="4"/>
  <c r="U194" i="4"/>
  <c r="U158" i="4"/>
  <c r="U157" i="4"/>
  <c r="U154" i="4"/>
  <c r="S105" i="4"/>
  <c r="U99" i="4"/>
  <c r="S81" i="4"/>
  <c r="U79" i="4"/>
  <c r="S61" i="4"/>
  <c r="U59" i="4"/>
  <c r="S41" i="4"/>
  <c r="U39" i="4"/>
  <c r="S21" i="4"/>
  <c r="U19" i="4"/>
  <c r="S745" i="4"/>
  <c r="U604" i="4"/>
  <c r="U580" i="4"/>
  <c r="U578" i="4"/>
  <c r="U573" i="4"/>
  <c r="S552" i="4"/>
  <c r="S541" i="4"/>
  <c r="S509" i="4"/>
  <c r="U439" i="4"/>
  <c r="S428" i="4"/>
  <c r="U425" i="4"/>
  <c r="U378" i="4"/>
  <c r="S377" i="4"/>
  <c r="U363" i="4"/>
  <c r="U557" i="4"/>
  <c r="S523" i="4"/>
  <c r="U518" i="4"/>
  <c r="U494" i="4"/>
  <c r="U472" i="4"/>
  <c r="S432" i="4"/>
  <c r="S425" i="4"/>
  <c r="U420" i="4"/>
  <c r="U416" i="4"/>
  <c r="U412" i="4"/>
  <c r="S393" i="4"/>
  <c r="S385" i="4"/>
  <c r="U379" i="4"/>
  <c r="S378" i="4"/>
  <c r="S363" i="4"/>
  <c r="U356" i="4"/>
  <c r="S341" i="4"/>
  <c r="S330" i="4"/>
  <c r="S327" i="4"/>
  <c r="U325" i="4"/>
  <c r="U324" i="4"/>
  <c r="S322" i="4"/>
  <c r="S290" i="4"/>
  <c r="S287" i="4"/>
  <c r="U285" i="4"/>
  <c r="U284" i="4"/>
  <c r="S282" i="4"/>
  <c r="U613" i="4"/>
  <c r="U502" i="4"/>
  <c r="U497" i="4"/>
  <c r="U488" i="4"/>
  <c r="S477" i="4"/>
  <c r="U438" i="4"/>
  <c r="U433" i="4"/>
  <c r="U419" i="4"/>
  <c r="U414" i="4"/>
  <c r="S384" i="4"/>
  <c r="S381" i="4"/>
  <c r="U366" i="4"/>
  <c r="S358" i="4"/>
  <c r="U328" i="4"/>
  <c r="U327" i="4"/>
  <c r="S326" i="4"/>
  <c r="S264" i="4"/>
  <c r="S674" i="4"/>
  <c r="U649" i="4"/>
  <c r="U507" i="4"/>
  <c r="S488" i="4"/>
  <c r="U446" i="4"/>
  <c r="U396" i="4"/>
  <c r="S390" i="4"/>
  <c r="S366" i="4"/>
  <c r="S362" i="4"/>
  <c r="U321" i="4"/>
  <c r="S320" i="4"/>
  <c r="U308" i="4"/>
  <c r="S307" i="4"/>
  <c r="S302" i="4"/>
  <c r="S294" i="4"/>
  <c r="S649" i="4"/>
  <c r="S647" i="4"/>
  <c r="S620" i="4"/>
  <c r="S497" i="4"/>
  <c r="S495" i="4"/>
  <c r="U475" i="4"/>
  <c r="S470" i="4"/>
  <c r="S433" i="4"/>
  <c r="S414" i="4"/>
  <c r="U411" i="4"/>
  <c r="U408" i="4"/>
  <c r="U405" i="4"/>
  <c r="S401" i="4"/>
  <c r="U374" i="4"/>
  <c r="U359" i="4"/>
  <c r="S337" i="4"/>
  <c r="S328" i="4"/>
  <c r="U295" i="4"/>
  <c r="S283" i="4"/>
  <c r="U266" i="4"/>
  <c r="S265" i="4"/>
  <c r="U257" i="4"/>
  <c r="U256" i="4"/>
  <c r="U248" i="4"/>
  <c r="U245" i="4"/>
  <c r="S244" i="4"/>
  <c r="S222" i="4"/>
  <c r="S200" i="4"/>
  <c r="U180" i="4"/>
  <c r="S179" i="4"/>
  <c r="U156" i="4"/>
  <c r="U145" i="4"/>
  <c r="U135" i="4"/>
  <c r="S133" i="4"/>
  <c r="U108" i="4"/>
  <c r="S107" i="4"/>
  <c r="S54" i="4"/>
  <c r="S53" i="4"/>
  <c r="S52" i="4"/>
  <c r="S51" i="4"/>
  <c r="S50" i="4"/>
  <c r="S49" i="4"/>
  <c r="S48" i="4"/>
  <c r="S47" i="4"/>
  <c r="U45" i="4"/>
  <c r="U44" i="4"/>
  <c r="U43" i="4"/>
  <c r="U42" i="4"/>
  <c r="U41" i="4"/>
  <c r="U40" i="4"/>
  <c r="U37" i="4"/>
  <c r="S775" i="4"/>
  <c r="U566" i="4"/>
  <c r="S545" i="4"/>
  <c r="S539" i="4"/>
  <c r="S508" i="4"/>
  <c r="U486" i="4"/>
  <c r="S481" i="4"/>
  <c r="S447" i="4"/>
  <c r="S431" i="4"/>
  <c r="U409" i="4"/>
  <c r="S402" i="4"/>
  <c r="U299" i="4"/>
  <c r="S584" i="4"/>
  <c r="U513" i="4"/>
  <c r="U476" i="4"/>
  <c r="S409" i="4"/>
  <c r="S394" i="4"/>
  <c r="S386" i="4"/>
  <c r="S379" i="4"/>
  <c r="U360" i="4"/>
  <c r="S348" i="4"/>
  <c r="U339" i="4"/>
  <c r="S323" i="4"/>
  <c r="U304" i="4"/>
  <c r="S299" i="4"/>
  <c r="U279" i="4"/>
  <c r="S270" i="4"/>
  <c r="S582" i="4"/>
  <c r="S580" i="4"/>
  <c r="S489" i="4"/>
  <c r="U455" i="4"/>
  <c r="S434" i="4"/>
  <c r="S426" i="4"/>
  <c r="S412" i="4"/>
  <c r="S406" i="4"/>
  <c r="S398" i="4"/>
  <c r="U387" i="4"/>
  <c r="S375" i="4"/>
  <c r="U364" i="4"/>
  <c r="S356" i="4"/>
  <c r="S343" i="4"/>
  <c r="S339" i="4"/>
  <c r="U316" i="4"/>
  <c r="S315" i="4"/>
  <c r="U300" i="4"/>
  <c r="S285" i="4"/>
  <c r="U261" i="4"/>
  <c r="S260" i="4"/>
  <c r="U251" i="4"/>
  <c r="S237" i="4"/>
  <c r="S236" i="4"/>
  <c r="U228" i="4"/>
  <c r="U227" i="4"/>
  <c r="U218" i="4"/>
  <c r="S215" i="4"/>
  <c r="U207" i="4"/>
  <c r="U206" i="4"/>
  <c r="U183" i="4"/>
  <c r="U173" i="4"/>
  <c r="U162" i="4"/>
  <c r="S161" i="4"/>
  <c r="S150" i="4"/>
  <c r="U90" i="4"/>
  <c r="U89" i="4"/>
  <c r="U88" i="4"/>
  <c r="U87" i="4"/>
  <c r="U618" i="4"/>
  <c r="U561" i="4"/>
  <c r="U532" i="4"/>
  <c r="U429" i="4"/>
  <c r="S532" i="4"/>
  <c r="S501" i="4"/>
  <c r="U487" i="4"/>
  <c r="S472" i="4"/>
  <c r="S451" i="4"/>
  <c r="S400" i="4"/>
  <c r="S369" i="4"/>
  <c r="U491" i="4"/>
  <c r="S480" i="4"/>
  <c r="S466" i="4"/>
  <c r="S436" i="4"/>
  <c r="S408" i="4"/>
  <c r="U388" i="4"/>
  <c r="U384" i="4"/>
  <c r="S342" i="4"/>
  <c r="U319" i="4"/>
  <c r="S278" i="4"/>
  <c r="U265" i="4"/>
  <c r="S261" i="4"/>
  <c r="U255" i="4"/>
  <c r="S250" i="4"/>
  <c r="U242" i="4"/>
  <c r="U216" i="4"/>
  <c r="U211" i="4"/>
  <c r="S196" i="4"/>
  <c r="S190" i="4"/>
  <c r="S177" i="4"/>
  <c r="U171" i="4"/>
  <c r="S155" i="4"/>
  <c r="U143" i="4"/>
  <c r="S136" i="4"/>
  <c r="S129" i="4"/>
  <c r="U120" i="4"/>
  <c r="S765" i="4"/>
  <c r="S542" i="4"/>
  <c r="S504" i="4"/>
  <c r="U471" i="4"/>
  <c r="U441" i="4"/>
  <c r="U417" i="4"/>
  <c r="S395" i="4"/>
  <c r="U605" i="4"/>
  <c r="S544" i="4"/>
  <c r="S535" i="4"/>
  <c r="S441" i="4"/>
  <c r="U437" i="4"/>
  <c r="U380" i="4"/>
  <c r="U343" i="4"/>
  <c r="S340" i="4"/>
  <c r="S293" i="4"/>
  <c r="S286" i="4"/>
  <c r="U283" i="4"/>
  <c r="S279" i="4"/>
  <c r="S262" i="4"/>
  <c r="U258" i="4"/>
  <c r="S257" i="4"/>
  <c r="U236" i="4"/>
  <c r="U212" i="4"/>
  <c r="U205" i="4"/>
  <c r="S184" i="4"/>
  <c r="U547" i="4"/>
  <c r="S519" i="4"/>
  <c r="S511" i="4"/>
  <c r="U505" i="4"/>
  <c r="S484" i="4"/>
  <c r="S459" i="4"/>
  <c r="U748" i="4"/>
  <c r="U477" i="4"/>
  <c r="U435" i="4"/>
  <c r="S427" i="4"/>
  <c r="S368" i="4"/>
  <c r="S319" i="4"/>
  <c r="S281" i="4"/>
  <c r="U263" i="4"/>
  <c r="S243" i="4"/>
  <c r="S229" i="4"/>
  <c r="S224" i="4"/>
  <c r="S220" i="4"/>
  <c r="U215" i="4"/>
  <c r="U185" i="4"/>
  <c r="S180" i="4"/>
  <c r="U176" i="4"/>
  <c r="U165" i="4"/>
  <c r="S159" i="4"/>
  <c r="U136" i="4"/>
  <c r="S122" i="4"/>
  <c r="S657" i="4"/>
  <c r="U623" i="4"/>
  <c r="S593" i="4"/>
  <c r="S567" i="4"/>
  <c r="S500" i="4"/>
  <c r="S496" i="4"/>
  <c r="U489" i="4"/>
  <c r="U445" i="4"/>
  <c r="S435" i="4"/>
  <c r="S389" i="4"/>
  <c r="U331" i="4"/>
  <c r="U322" i="4"/>
  <c r="U302" i="4"/>
  <c r="U293" i="4"/>
  <c r="U288" i="4"/>
  <c r="U259" i="4"/>
  <c r="U254" i="4"/>
  <c r="U233" i="4"/>
  <c r="U195" i="4"/>
  <c r="S185" i="4"/>
  <c r="U148" i="4"/>
  <c r="U147" i="4"/>
  <c r="U130" i="4"/>
  <c r="S585" i="4"/>
  <c r="S538" i="4"/>
  <c r="S510" i="4"/>
  <c r="S416" i="4"/>
  <c r="U386" i="4"/>
  <c r="S325" i="4"/>
  <c r="U320" i="4"/>
  <c r="U313" i="4"/>
  <c r="U305" i="4"/>
  <c r="S300" i="4"/>
  <c r="U291" i="4"/>
  <c r="S267" i="4"/>
  <c r="U260" i="4"/>
  <c r="U208" i="4"/>
  <c r="S166" i="4"/>
  <c r="U161" i="4"/>
  <c r="S149" i="4"/>
  <c r="S142" i="4"/>
  <c r="U138" i="4"/>
  <c r="S123" i="4"/>
  <c r="U118" i="4"/>
  <c r="U112" i="4"/>
  <c r="U53" i="4"/>
  <c r="S734" i="4"/>
  <c r="U688" i="4"/>
  <c r="U426" i="4"/>
  <c r="U424" i="4"/>
  <c r="U413" i="4"/>
  <c r="U346" i="4"/>
  <c r="U334" i="4"/>
  <c r="S297" i="4"/>
  <c r="U240" i="4"/>
  <c r="U235" i="4"/>
  <c r="U217" i="4"/>
  <c r="S197" i="4"/>
  <c r="U192" i="4"/>
  <c r="U188" i="4"/>
  <c r="U182" i="4"/>
  <c r="U178" i="4"/>
  <c r="S609" i="4"/>
  <c r="S493" i="4"/>
  <c r="S413" i="4"/>
  <c r="S411" i="4"/>
  <c r="S407" i="4"/>
  <c r="U382" i="4"/>
  <c r="S380" i="4"/>
  <c r="S350" i="4"/>
  <c r="U344" i="4"/>
  <c r="S317" i="4"/>
  <c r="U303" i="4"/>
  <c r="S275" i="4"/>
  <c r="U264" i="4"/>
  <c r="U246" i="4"/>
  <c r="U241" i="4"/>
  <c r="S240" i="4"/>
  <c r="S235" i="4"/>
  <c r="U222" i="4"/>
  <c r="U213" i="4"/>
  <c r="S188" i="4"/>
  <c r="S182" i="4"/>
  <c r="S178" i="4"/>
  <c r="S173" i="4"/>
  <c r="S752" i="4"/>
  <c r="S564" i="4"/>
  <c r="U542" i="4"/>
  <c r="S531" i="4"/>
  <c r="S516" i="4"/>
  <c r="U436" i="4"/>
  <c r="U428" i="4"/>
  <c r="U357" i="4"/>
  <c r="U306" i="4"/>
  <c r="U294" i="4"/>
  <c r="S289" i="4"/>
  <c r="U272" i="4"/>
  <c r="S209" i="4"/>
  <c r="S169" i="4"/>
  <c r="U155" i="4"/>
  <c r="S124" i="4"/>
  <c r="S113" i="4"/>
  <c r="U107" i="4"/>
  <c r="U98" i="4"/>
  <c r="U97" i="4"/>
  <c r="U96" i="4"/>
  <c r="U95" i="4"/>
  <c r="U94" i="4"/>
  <c r="U81" i="4"/>
  <c r="S80" i="4"/>
  <c r="U57" i="4"/>
  <c r="S55" i="4"/>
  <c r="S44" i="4"/>
  <c r="U10" i="4"/>
  <c r="S8" i="4"/>
  <c r="L8" i="4"/>
  <c r="S15" i="4"/>
  <c r="U17" i="4"/>
  <c r="U18" i="4"/>
  <c r="S34" i="4"/>
  <c r="U50" i="4"/>
  <c r="S76" i="4"/>
  <c r="U77" i="4"/>
  <c r="S86" i="4"/>
  <c r="U92" i="4"/>
  <c r="U116" i="4"/>
  <c r="S127" i="4"/>
  <c r="G133" i="4"/>
  <c r="F133" i="4"/>
  <c r="U160" i="4"/>
  <c r="U181" i="4"/>
  <c r="G209" i="4"/>
  <c r="F209" i="4"/>
  <c r="S213" i="4"/>
  <c r="U232" i="4"/>
  <c r="S241" i="4"/>
  <c r="U244" i="4"/>
  <c r="U267" i="4"/>
  <c r="G271" i="4"/>
  <c r="L271" i="4"/>
  <c r="U297" i="4"/>
  <c r="G303" i="4"/>
  <c r="L303" i="4"/>
  <c r="U315" i="4"/>
  <c r="U368" i="4"/>
  <c r="S514" i="4"/>
  <c r="F552" i="4"/>
  <c r="L552" i="4"/>
  <c r="G552" i="4"/>
  <c r="U675" i="4"/>
  <c r="G200" i="4"/>
  <c r="L200" i="4"/>
  <c r="F200" i="4"/>
  <c r="G252" i="4"/>
  <c r="F252" i="4"/>
  <c r="L339" i="4"/>
  <c r="G339" i="4"/>
  <c r="F339" i="4"/>
  <c r="U340" i="4"/>
  <c r="S355" i="4"/>
  <c r="S464" i="4"/>
  <c r="U492" i="4"/>
  <c r="L524" i="4"/>
  <c r="G524" i="4"/>
  <c r="F524" i="4"/>
  <c r="L545" i="4"/>
  <c r="G545" i="4"/>
  <c r="F545" i="4"/>
  <c r="S559" i="4"/>
  <c r="S707" i="4"/>
  <c r="F943" i="2"/>
  <c r="F993" i="2"/>
  <c r="S12" i="4"/>
  <c r="U13" i="4"/>
  <c r="L43" i="4"/>
  <c r="U62" i="4"/>
  <c r="S71" i="4"/>
  <c r="U73" i="4"/>
  <c r="S83" i="4"/>
  <c r="U84" i="4"/>
  <c r="U101" i="4"/>
  <c r="L125" i="4"/>
  <c r="U134" i="4"/>
  <c r="S144" i="4"/>
  <c r="S148" i="4"/>
  <c r="F153" i="4"/>
  <c r="G164" i="4"/>
  <c r="F164" i="4"/>
  <c r="L164" i="4"/>
  <c r="F171" i="4"/>
  <c r="L171" i="4"/>
  <c r="G171" i="4"/>
  <c r="U172" i="4"/>
  <c r="S189" i="4"/>
  <c r="L209" i="4"/>
  <c r="L252" i="4"/>
  <c r="S259" i="4"/>
  <c r="S277" i="4"/>
  <c r="U280" i="4"/>
  <c r="U335" i="4"/>
  <c r="S462" i="4"/>
  <c r="S469" i="4"/>
  <c r="L502" i="4"/>
  <c r="F502" i="4"/>
  <c r="G502" i="4"/>
  <c r="L181" i="4"/>
  <c r="G224" i="4"/>
  <c r="F224" i="4"/>
  <c r="L224" i="4"/>
  <c r="G244" i="4"/>
  <c r="F244" i="4"/>
  <c r="L254" i="4"/>
  <c r="F254" i="4"/>
  <c r="G254" i="4"/>
  <c r="S276" i="4"/>
  <c r="G300" i="4"/>
  <c r="F300" i="4"/>
  <c r="L300" i="4"/>
  <c r="L418" i="4"/>
  <c r="F418" i="4"/>
  <c r="G418" i="4"/>
  <c r="S437" i="4"/>
  <c r="L440" i="4"/>
  <c r="G440" i="4"/>
  <c r="F440" i="4"/>
  <c r="U515" i="4"/>
  <c r="L582" i="4"/>
  <c r="F582" i="4"/>
  <c r="F677" i="4"/>
  <c r="G677" i="4"/>
  <c r="F691" i="4"/>
  <c r="G691" i="4"/>
  <c r="L691" i="4"/>
  <c r="L232" i="4"/>
  <c r="G241" i="4"/>
  <c r="F241" i="4"/>
  <c r="U282" i="4"/>
  <c r="U301" i="4"/>
  <c r="U407" i="4"/>
  <c r="L449" i="4"/>
  <c r="G449" i="4"/>
  <c r="F449" i="4"/>
  <c r="S486" i="4"/>
  <c r="U498" i="4"/>
  <c r="G509" i="4"/>
  <c r="F509" i="4"/>
  <c r="L509" i="4"/>
  <c r="S592" i="4"/>
  <c r="F14" i="4"/>
  <c r="L48" i="4"/>
  <c r="G141" i="4"/>
  <c r="L141" i="4"/>
  <c r="L175" i="4"/>
  <c r="L190" i="4"/>
  <c r="G194" i="4"/>
  <c r="P308" i="4"/>
  <c r="F375" i="4"/>
  <c r="G416" i="4"/>
  <c r="F416" i="4"/>
  <c r="L416" i="4"/>
  <c r="G598" i="4"/>
  <c r="F598" i="4"/>
  <c r="G184" i="4"/>
  <c r="F184" i="4"/>
  <c r="G237" i="4"/>
  <c r="F237" i="4"/>
  <c r="L472" i="4"/>
  <c r="F472" i="4"/>
  <c r="G472" i="4"/>
  <c r="L572" i="4"/>
  <c r="F572" i="4"/>
  <c r="G572" i="4"/>
  <c r="L214" i="4"/>
  <c r="G290" i="4"/>
  <c r="L295" i="4"/>
  <c r="G295" i="4"/>
  <c r="G345" i="4"/>
  <c r="F345" i="4"/>
  <c r="G351" i="4"/>
  <c r="F351" i="4"/>
  <c r="L353" i="4"/>
  <c r="F353" i="4"/>
  <c r="G353" i="4"/>
  <c r="L358" i="4"/>
  <c r="G358" i="4"/>
  <c r="H373" i="4"/>
  <c r="J373" i="4"/>
  <c r="L452" i="4"/>
  <c r="F452" i="4"/>
  <c r="G517" i="4"/>
  <c r="F517" i="4"/>
  <c r="L517" i="4"/>
  <c r="G588" i="4"/>
  <c r="F588" i="4"/>
  <c r="L588" i="4"/>
  <c r="G701" i="4"/>
  <c r="L701" i="4"/>
  <c r="F701" i="4"/>
  <c r="L179" i="4"/>
  <c r="G179" i="4"/>
  <c r="G189" i="4"/>
  <c r="F199" i="4"/>
  <c r="F228" i="4"/>
  <c r="G258" i="4"/>
  <c r="G312" i="4"/>
  <c r="F312" i="4"/>
  <c r="G333" i="4"/>
  <c r="G335" i="4"/>
  <c r="F335" i="4"/>
  <c r="L408" i="4"/>
  <c r="F408" i="4"/>
  <c r="L414" i="4"/>
  <c r="F414" i="4"/>
  <c r="G414" i="4"/>
  <c r="G421" i="4"/>
  <c r="G461" i="4"/>
  <c r="F461" i="4"/>
  <c r="L461" i="4"/>
  <c r="L489" i="4"/>
  <c r="F748" i="4"/>
  <c r="L748" i="4"/>
  <c r="G748" i="4"/>
  <c r="F124" i="4"/>
  <c r="L124" i="4"/>
  <c r="F162" i="4"/>
  <c r="G162" i="4"/>
  <c r="G217" i="4"/>
  <c r="F326" i="4"/>
  <c r="L326" i="4"/>
  <c r="G326" i="4"/>
  <c r="L337" i="4"/>
  <c r="G459" i="4"/>
  <c r="F459" i="4"/>
  <c r="L459" i="4"/>
  <c r="L138" i="4"/>
  <c r="L178" i="4"/>
  <c r="F178" i="4"/>
  <c r="F226" i="4"/>
  <c r="L226" i="4"/>
  <c r="G226" i="4"/>
  <c r="G329" i="4"/>
  <c r="F329" i="4"/>
  <c r="G342" i="4"/>
  <c r="F342" i="4"/>
  <c r="L342" i="4"/>
  <c r="F357" i="4"/>
  <c r="L357" i="4"/>
  <c r="L394" i="4"/>
  <c r="F401" i="4"/>
  <c r="L401" i="4"/>
  <c r="G457" i="4"/>
  <c r="F457" i="4"/>
  <c r="L457" i="4"/>
  <c r="L413" i="4"/>
  <c r="F413" i="4"/>
  <c r="L441" i="4"/>
  <c r="G441" i="4"/>
  <c r="L448" i="4"/>
  <c r="G448" i="4"/>
  <c r="F448" i="4"/>
  <c r="G533" i="4"/>
  <c r="L533" i="4"/>
  <c r="F533" i="4"/>
  <c r="G562" i="4"/>
  <c r="L562" i="4"/>
  <c r="F562" i="4"/>
  <c r="G619" i="4"/>
  <c r="F619" i="4"/>
  <c r="L619" i="4"/>
  <c r="G762" i="4"/>
  <c r="L762" i="4"/>
  <c r="F762" i="4"/>
  <c r="L174" i="4"/>
  <c r="G193" i="4"/>
  <c r="F245" i="4"/>
  <c r="G245" i="4"/>
  <c r="G289" i="4"/>
  <c r="F289" i="4"/>
  <c r="F331" i="4"/>
  <c r="L331" i="4"/>
  <c r="L410" i="4"/>
  <c r="G410" i="4"/>
  <c r="F410" i="4"/>
  <c r="L427" i="4"/>
  <c r="G427" i="4"/>
  <c r="F427" i="4"/>
  <c r="L453" i="4"/>
  <c r="G453" i="4"/>
  <c r="F453" i="4"/>
  <c r="G551" i="4"/>
  <c r="L551" i="4"/>
  <c r="F551" i="4"/>
  <c r="G679" i="4"/>
  <c r="F679" i="4"/>
  <c r="G474" i="4"/>
  <c r="F474" i="4"/>
  <c r="G482" i="4"/>
  <c r="F482" i="4"/>
  <c r="L482" i="4"/>
  <c r="L534" i="4"/>
  <c r="G534" i="4"/>
  <c r="L648" i="4"/>
  <c r="G648" i="4"/>
  <c r="F648" i="4"/>
  <c r="F291" i="4"/>
  <c r="L294" i="4"/>
  <c r="L302" i="4"/>
  <c r="L360" i="4"/>
  <c r="F360" i="4"/>
  <c r="G360" i="4"/>
  <c r="L422" i="4"/>
  <c r="F422" i="4"/>
  <c r="G422" i="4"/>
  <c r="L618" i="4"/>
  <c r="G618" i="4"/>
  <c r="F618" i="4"/>
  <c r="L380" i="4"/>
  <c r="F380" i="4"/>
  <c r="G380" i="4"/>
  <c r="L428" i="4"/>
  <c r="F428" i="4"/>
  <c r="F454" i="4"/>
  <c r="G454" i="4"/>
  <c r="G467" i="4"/>
  <c r="F467" i="4"/>
  <c r="L479" i="4"/>
  <c r="G479" i="4"/>
  <c r="F479" i="4"/>
  <c r="G490" i="4"/>
  <c r="L490" i="4"/>
  <c r="F490" i="4"/>
  <c r="G515" i="4"/>
  <c r="F515" i="4"/>
  <c r="L515" i="4"/>
  <c r="G523" i="4"/>
  <c r="F523" i="4"/>
  <c r="F564" i="4"/>
  <c r="L564" i="4"/>
  <c r="G564" i="4"/>
  <c r="G375" i="4"/>
  <c r="L439" i="4"/>
  <c r="G469" i="4"/>
  <c r="F469" i="4"/>
  <c r="L469" i="4"/>
  <c r="F94" i="4"/>
  <c r="F185" i="4"/>
  <c r="G263" i="4"/>
  <c r="L354" i="4"/>
  <c r="G384" i="4"/>
  <c r="F384" i="4"/>
  <c r="G433" i="4"/>
  <c r="F433" i="4"/>
  <c r="L433" i="4"/>
  <c r="L446" i="4"/>
  <c r="G642" i="4"/>
  <c r="L642" i="4"/>
  <c r="F642" i="4"/>
  <c r="F898" i="4"/>
  <c r="G898" i="4"/>
  <c r="L898" i="4"/>
  <c r="F325" i="4"/>
  <c r="G325" i="4"/>
  <c r="G464" i="4"/>
  <c r="F464" i="4"/>
  <c r="F499" i="4"/>
  <c r="L499" i="4"/>
  <c r="L527" i="4"/>
  <c r="F527" i="4"/>
  <c r="L903" i="4"/>
  <c r="F903" i="4"/>
  <c r="G903" i="4"/>
  <c r="F301" i="4"/>
  <c r="L340" i="4"/>
  <c r="F370" i="4"/>
  <c r="F373" i="4"/>
  <c r="L376" i="4"/>
  <c r="L392" i="4"/>
  <c r="F435" i="4"/>
  <c r="L435" i="4"/>
  <c r="G435" i="4"/>
  <c r="L438" i="4"/>
  <c r="F438" i="4"/>
  <c r="L451" i="4"/>
  <c r="F451" i="4"/>
  <c r="G451" i="4"/>
  <c r="G507" i="4"/>
  <c r="L571" i="4"/>
  <c r="G571" i="4"/>
  <c r="L28" i="4"/>
  <c r="G33" i="4"/>
  <c r="F34" i="4"/>
  <c r="L185" i="4"/>
  <c r="G204" i="4"/>
  <c r="F204" i="4"/>
  <c r="F285" i="4"/>
  <c r="G285" i="4"/>
  <c r="G364" i="4"/>
  <c r="F364" i="4"/>
  <c r="L511" i="4"/>
  <c r="F511" i="4"/>
  <c r="F740" i="4"/>
  <c r="G740" i="4"/>
  <c r="L740" i="4"/>
  <c r="G304" i="4"/>
  <c r="F304" i="4"/>
  <c r="G323" i="4"/>
  <c r="F323" i="4"/>
  <c r="G386" i="4"/>
  <c r="F386" i="4"/>
  <c r="G437" i="4"/>
  <c r="L437" i="4"/>
  <c r="L445" i="4"/>
  <c r="F445" i="4"/>
  <c r="F484" i="4"/>
  <c r="G536" i="4"/>
  <c r="F536" i="4"/>
  <c r="G809" i="4"/>
  <c r="L809" i="4"/>
  <c r="L334" i="4"/>
  <c r="F334" i="4"/>
  <c r="L379" i="4"/>
  <c r="G379" i="4"/>
  <c r="F379" i="4"/>
  <c r="G406" i="4"/>
  <c r="F406" i="4"/>
  <c r="L455" i="4"/>
  <c r="G455" i="4"/>
  <c r="G468" i="4"/>
  <c r="F468" i="4"/>
  <c r="G559" i="4"/>
  <c r="F559" i="4"/>
  <c r="L652" i="4"/>
  <c r="G652" i="4"/>
  <c r="F652" i="4"/>
  <c r="L374" i="4"/>
  <c r="L381" i="4"/>
  <c r="G409" i="4"/>
  <c r="L627" i="4"/>
  <c r="F627" i="4"/>
  <c r="G627" i="4"/>
  <c r="G851" i="4"/>
  <c r="F851" i="4"/>
  <c r="L851" i="4"/>
  <c r="G462" i="4"/>
  <c r="F462" i="4"/>
  <c r="L473" i="4"/>
  <c r="G473" i="4"/>
  <c r="F473" i="4"/>
  <c r="L547" i="4"/>
  <c r="G547" i="4"/>
  <c r="L639" i="4"/>
  <c r="F639" i="4"/>
  <c r="G394" i="4"/>
  <c r="L475" i="4"/>
  <c r="L510" i="4"/>
  <c r="F510" i="4"/>
  <c r="F549" i="4"/>
  <c r="G549" i="4"/>
  <c r="L607" i="4"/>
  <c r="F607" i="4"/>
  <c r="L628" i="4"/>
  <c r="F628" i="4"/>
  <c r="F661" i="4"/>
  <c r="L661" i="4"/>
  <c r="G661" i="4"/>
  <c r="L729" i="4"/>
  <c r="G729" i="4"/>
  <c r="F729" i="4"/>
  <c r="G563" i="4"/>
  <c r="F563" i="4"/>
  <c r="L576" i="4"/>
  <c r="G576" i="4"/>
  <c r="F576" i="4"/>
  <c r="G595" i="4"/>
  <c r="F595" i="4"/>
  <c r="L595" i="4"/>
  <c r="G857" i="4"/>
  <c r="F857" i="4"/>
  <c r="L857" i="4"/>
  <c r="F458" i="4"/>
  <c r="G458" i="4"/>
  <c r="G485" i="4"/>
  <c r="F485" i="4"/>
  <c r="G504" i="4"/>
  <c r="F504" i="4"/>
  <c r="L570" i="4"/>
  <c r="F570" i="4"/>
  <c r="G570" i="4"/>
  <c r="G587" i="4"/>
  <c r="F587" i="4"/>
  <c r="L158" i="4"/>
  <c r="L159" i="4"/>
  <c r="L198" i="4"/>
  <c r="L199" i="4"/>
  <c r="L238" i="4"/>
  <c r="L239" i="4"/>
  <c r="L278" i="4"/>
  <c r="L279" i="4"/>
  <c r="L318" i="4"/>
  <c r="L319" i="4"/>
  <c r="G407" i="4"/>
  <c r="F407" i="4"/>
  <c r="L462" i="4"/>
  <c r="G539" i="4"/>
  <c r="L549" i="4"/>
  <c r="G561" i="4"/>
  <c r="L561" i="4"/>
  <c r="F561" i="4"/>
  <c r="L591" i="4"/>
  <c r="F591" i="4"/>
  <c r="F617" i="4"/>
  <c r="L617" i="4"/>
  <c r="G617" i="4"/>
  <c r="G628" i="4"/>
  <c r="L645" i="4"/>
  <c r="G645" i="4"/>
  <c r="F645" i="4"/>
  <c r="G802" i="4"/>
  <c r="L802" i="4"/>
  <c r="F802" i="4"/>
  <c r="F557" i="4"/>
  <c r="G557" i="4"/>
  <c r="G631" i="4"/>
  <c r="F631" i="4"/>
  <c r="L631" i="4"/>
  <c r="G635" i="4"/>
  <c r="L635" i="4"/>
  <c r="F635" i="4"/>
  <c r="F655" i="4"/>
  <c r="L655" i="4"/>
  <c r="G655" i="4"/>
  <c r="G749" i="4"/>
  <c r="F749" i="4"/>
  <c r="L749" i="4"/>
  <c r="G434" i="4"/>
  <c r="G444" i="4"/>
  <c r="G465" i="4"/>
  <c r="F465" i="4"/>
  <c r="G531" i="4"/>
  <c r="F531" i="4"/>
  <c r="G599" i="4"/>
  <c r="F599" i="4"/>
  <c r="G615" i="4"/>
  <c r="F615" i="4"/>
  <c r="G633" i="4"/>
  <c r="F633" i="4"/>
  <c r="L633" i="4"/>
  <c r="L640" i="4"/>
  <c r="F640" i="4"/>
  <c r="G412" i="4"/>
  <c r="G519" i="4"/>
  <c r="L557" i="4"/>
  <c r="L585" i="4"/>
  <c r="G585" i="4"/>
  <c r="F585" i="4"/>
  <c r="F601" i="4"/>
  <c r="G601" i="4"/>
  <c r="F704" i="4"/>
  <c r="G704" i="4"/>
  <c r="F397" i="4"/>
  <c r="G470" i="4"/>
  <c r="F470" i="4"/>
  <c r="L492" i="4"/>
  <c r="F492" i="4"/>
  <c r="G526" i="4"/>
  <c r="G548" i="4"/>
  <c r="L548" i="4"/>
  <c r="G594" i="4"/>
  <c r="F594" i="4"/>
  <c r="L594" i="4"/>
  <c r="L599" i="4"/>
  <c r="L610" i="4"/>
  <c r="G610" i="4"/>
  <c r="G396" i="4"/>
  <c r="F396" i="4"/>
  <c r="G463" i="4"/>
  <c r="F463" i="4"/>
  <c r="L476" i="4"/>
  <c r="G476" i="4"/>
  <c r="L531" i="4"/>
  <c r="F544" i="4"/>
  <c r="F660" i="4"/>
  <c r="G660" i="4"/>
  <c r="F671" i="4"/>
  <c r="L671" i="4"/>
  <c r="L772" i="4"/>
  <c r="F772" i="4"/>
  <c r="G395" i="4"/>
  <c r="L434" i="4"/>
  <c r="F496" i="4"/>
  <c r="G496" i="4"/>
  <c r="L496" i="4"/>
  <c r="G556" i="4"/>
  <c r="F566" i="4"/>
  <c r="L566" i="4"/>
  <c r="G566" i="4"/>
  <c r="G596" i="4"/>
  <c r="L596" i="4"/>
  <c r="F596" i="4"/>
  <c r="F658" i="4"/>
  <c r="L658" i="4"/>
  <c r="F722" i="4"/>
  <c r="G722" i="4"/>
  <c r="L722" i="4"/>
  <c r="F777" i="4"/>
  <c r="L777" i="4"/>
  <c r="G777" i="4"/>
  <c r="G792" i="4"/>
  <c r="F792" i="4"/>
  <c r="L792" i="4"/>
  <c r="L535" i="4"/>
  <c r="F535" i="4"/>
  <c r="L543" i="4"/>
  <c r="F656" i="4"/>
  <c r="G656" i="4"/>
  <c r="F711" i="4"/>
  <c r="G711" i="4"/>
  <c r="G875" i="4"/>
  <c r="F875" i="4"/>
  <c r="L875" i="4"/>
  <c r="G477" i="4"/>
  <c r="L477" i="4"/>
  <c r="F494" i="4"/>
  <c r="L500" i="4"/>
  <c r="F500" i="4"/>
  <c r="L598" i="4"/>
  <c r="G636" i="4"/>
  <c r="L636" i="4"/>
  <c r="J754" i="4"/>
  <c r="H754" i="4"/>
  <c r="P754" i="4"/>
  <c r="G603" i="4"/>
  <c r="L603" i="4"/>
  <c r="F603" i="4"/>
  <c r="G667" i="4"/>
  <c r="L667" i="4"/>
  <c r="F667" i="4"/>
  <c r="L766" i="4"/>
  <c r="G641" i="4"/>
  <c r="F641" i="4"/>
  <c r="F755" i="4"/>
  <c r="L755" i="4"/>
  <c r="G755" i="4"/>
  <c r="L830" i="4"/>
  <c r="G830" i="4"/>
  <c r="F830" i="4"/>
  <c r="G589" i="4"/>
  <c r="F589" i="4"/>
  <c r="L731" i="4"/>
  <c r="G731" i="4"/>
  <c r="F746" i="4"/>
  <c r="G746" i="4"/>
  <c r="F945" i="4"/>
  <c r="G945" i="4"/>
  <c r="L945" i="4"/>
  <c r="L474" i="4"/>
  <c r="F488" i="4"/>
  <c r="F498" i="4"/>
  <c r="G498" i="4"/>
  <c r="F516" i="4"/>
  <c r="F731" i="4"/>
  <c r="L609" i="4"/>
  <c r="G609" i="4"/>
  <c r="F612" i="4"/>
  <c r="G612" i="4"/>
  <c r="L787" i="4"/>
  <c r="G787" i="4"/>
  <c r="F787" i="4"/>
  <c r="F847" i="4"/>
  <c r="G847" i="4"/>
  <c r="L847" i="4"/>
  <c r="F530" i="4"/>
  <c r="G530" i="4"/>
  <c r="L541" i="4"/>
  <c r="G592" i="4"/>
  <c r="F592" i="4"/>
  <c r="F662" i="4"/>
  <c r="G662" i="4"/>
  <c r="G877" i="4"/>
  <c r="F877" i="4"/>
  <c r="L877" i="4"/>
  <c r="F885" i="4"/>
  <c r="G885" i="4"/>
  <c r="L885" i="4"/>
  <c r="L488" i="4"/>
  <c r="L498" i="4"/>
  <c r="L516" i="4"/>
  <c r="F555" i="4"/>
  <c r="L593" i="4"/>
  <c r="L625" i="4"/>
  <c r="F625" i="4"/>
  <c r="G651" i="4"/>
  <c r="L651" i="4"/>
  <c r="L727" i="4"/>
  <c r="G727" i="4"/>
  <c r="F727" i="4"/>
  <c r="F780" i="4"/>
  <c r="G780" i="4"/>
  <c r="L780" i="4"/>
  <c r="L829" i="4"/>
  <c r="G829" i="4"/>
  <c r="G835" i="4"/>
  <c r="L835" i="4"/>
  <c r="F614" i="4"/>
  <c r="G614" i="4"/>
  <c r="G638" i="4"/>
  <c r="F638" i="4"/>
  <c r="L638" i="4"/>
  <c r="G687" i="4"/>
  <c r="F687" i="4"/>
  <c r="G848" i="4"/>
  <c r="L848" i="4"/>
  <c r="F848" i="4"/>
  <c r="L994" i="4"/>
  <c r="F994" i="4"/>
  <c r="G994" i="4"/>
  <c r="G644" i="4"/>
  <c r="L644" i="4"/>
  <c r="F644" i="4"/>
  <c r="F518" i="4"/>
  <c r="L558" i="4"/>
  <c r="G558" i="4"/>
  <c r="G590" i="4"/>
  <c r="F590" i="4"/>
  <c r="G613" i="4"/>
  <c r="L621" i="4"/>
  <c r="G672" i="4"/>
  <c r="F672" i="4"/>
  <c r="L672" i="4"/>
  <c r="G712" i="4"/>
  <c r="F712" i="4"/>
  <c r="G741" i="4"/>
  <c r="F741" i="4"/>
  <c r="L741" i="4"/>
  <c r="G752" i="4"/>
  <c r="L752" i="4"/>
  <c r="F791" i="4"/>
  <c r="G791" i="4"/>
  <c r="L791" i="4"/>
  <c r="F760" i="4"/>
  <c r="L760" i="4"/>
  <c r="G760" i="4"/>
  <c r="F820" i="4"/>
  <c r="G820" i="4"/>
  <c r="L820" i="4"/>
  <c r="F604" i="4"/>
  <c r="F646" i="4"/>
  <c r="F664" i="4"/>
  <c r="G664" i="4"/>
  <c r="L678" i="4"/>
  <c r="F678" i="4"/>
  <c r="G678" i="4"/>
  <c r="G831" i="4"/>
  <c r="F831" i="4"/>
  <c r="L831" i="4"/>
  <c r="G690" i="4"/>
  <c r="L690" i="4"/>
  <c r="F690" i="4"/>
  <c r="G697" i="4"/>
  <c r="L697" i="4"/>
  <c r="F697" i="4"/>
  <c r="G703" i="4"/>
  <c r="L703" i="4"/>
  <c r="F774" i="4"/>
  <c r="L774" i="4"/>
  <c r="G774" i="4"/>
  <c r="F798" i="4"/>
  <c r="L798" i="4"/>
  <c r="G798" i="4"/>
  <c r="L816" i="4"/>
  <c r="G816" i="4"/>
  <c r="F816" i="4"/>
  <c r="G497" i="4"/>
  <c r="F497" i="4"/>
  <c r="G560" i="4"/>
  <c r="F560" i="4"/>
  <c r="G620" i="4"/>
  <c r="L682" i="4"/>
  <c r="G682" i="4"/>
  <c r="L684" i="4"/>
  <c r="G684" i="4"/>
  <c r="F684" i="4"/>
  <c r="L852" i="4"/>
  <c r="F852" i="4"/>
  <c r="G852" i="4"/>
  <c r="G591" i="4"/>
  <c r="G653" i="4"/>
  <c r="F653" i="4"/>
  <c r="F715" i="4"/>
  <c r="G715" i="4"/>
  <c r="G742" i="4"/>
  <c r="L742" i="4"/>
  <c r="F742" i="4"/>
  <c r="G850" i="4"/>
  <c r="L850" i="4"/>
  <c r="F850" i="4"/>
  <c r="G686" i="4"/>
  <c r="F686" i="4"/>
  <c r="G710" i="4"/>
  <c r="F710" i="4"/>
  <c r="F735" i="4"/>
  <c r="L735" i="4"/>
  <c r="G905" i="4"/>
  <c r="F905" i="4"/>
  <c r="L905" i="4"/>
  <c r="L683" i="4"/>
  <c r="F683" i="4"/>
  <c r="G696" i="4"/>
  <c r="F696" i="4"/>
  <c r="L696" i="4"/>
  <c r="G794" i="4"/>
  <c r="L794" i="4"/>
  <c r="F794" i="4"/>
  <c r="J800" i="4"/>
  <c r="P800" i="4"/>
  <c r="F813" i="4"/>
  <c r="G813" i="4"/>
  <c r="L813" i="4"/>
  <c r="F833" i="4"/>
  <c r="L833" i="4"/>
  <c r="G833" i="4"/>
  <c r="L870" i="4"/>
  <c r="G870" i="4"/>
  <c r="F870" i="4"/>
  <c r="G630" i="4"/>
  <c r="F630" i="4"/>
  <c r="G707" i="4"/>
  <c r="F707" i="4"/>
  <c r="G724" i="4"/>
  <c r="F724" i="4"/>
  <c r="L779" i="4"/>
  <c r="G779" i="4"/>
  <c r="H800" i="4"/>
  <c r="F624" i="4"/>
  <c r="L624" i="4"/>
  <c r="F659" i="4"/>
  <c r="G659" i="4"/>
  <c r="G670" i="4"/>
  <c r="L670" i="4"/>
  <c r="L676" i="4"/>
  <c r="G676" i="4"/>
  <c r="F676" i="4"/>
  <c r="G713" i="4"/>
  <c r="F713" i="4"/>
  <c r="L713" i="4"/>
  <c r="F725" i="4"/>
  <c r="G725" i="4"/>
  <c r="L770" i="4"/>
  <c r="G770" i="4"/>
  <c r="L844" i="4"/>
  <c r="G844" i="4"/>
  <c r="F844" i="4"/>
  <c r="F930" i="4"/>
  <c r="G930" i="4"/>
  <c r="L930" i="4"/>
  <c r="G623" i="4"/>
  <c r="G716" i="4"/>
  <c r="F716" i="4"/>
  <c r="L716" i="4"/>
  <c r="F719" i="4"/>
  <c r="L733" i="4"/>
  <c r="F733" i="4"/>
  <c r="G529" i="4"/>
  <c r="L675" i="4"/>
  <c r="G675" i="4"/>
  <c r="L681" i="4"/>
  <c r="G681" i="4"/>
  <c r="F681" i="4"/>
  <c r="L705" i="4"/>
  <c r="G751" i="4"/>
  <c r="L751" i="4"/>
  <c r="F765" i="4"/>
  <c r="L765" i="4"/>
  <c r="G765" i="4"/>
  <c r="G931" i="4"/>
  <c r="L931" i="4"/>
  <c r="F931" i="4"/>
  <c r="L954" i="4"/>
  <c r="G954" i="4"/>
  <c r="F954" i="4"/>
  <c r="G657" i="4"/>
  <c r="L657" i="4"/>
  <c r="G718" i="4"/>
  <c r="L718" i="4"/>
  <c r="F778" i="4"/>
  <c r="G778" i="4"/>
  <c r="F940" i="4"/>
  <c r="G940" i="4"/>
  <c r="L940" i="4"/>
  <c r="L948" i="4"/>
  <c r="F948" i="4"/>
  <c r="G948" i="4"/>
  <c r="L623" i="4"/>
  <c r="L637" i="4"/>
  <c r="G637" i="4"/>
  <c r="L677" i="4"/>
  <c r="L706" i="4"/>
  <c r="G758" i="4"/>
  <c r="F758" i="4"/>
  <c r="G769" i="4"/>
  <c r="F769" i="4"/>
  <c r="L804" i="4"/>
  <c r="G804" i="4"/>
  <c r="F804" i="4"/>
  <c r="G926" i="4"/>
  <c r="F926" i="4"/>
  <c r="L926" i="4"/>
  <c r="G700" i="4"/>
  <c r="L700" i="4"/>
  <c r="L730" i="4"/>
  <c r="G730" i="4"/>
  <c r="L827" i="4"/>
  <c r="F827" i="4"/>
  <c r="G827" i="4"/>
  <c r="G666" i="4"/>
  <c r="L754" i="4"/>
  <c r="F783" i="4"/>
  <c r="G783" i="4"/>
  <c r="L783" i="4"/>
  <c r="F806" i="4"/>
  <c r="L806" i="4"/>
  <c r="G806" i="4"/>
  <c r="G821" i="4"/>
  <c r="L821" i="4"/>
  <c r="F821" i="4"/>
  <c r="G927" i="4"/>
  <c r="F927" i="4"/>
  <c r="L927" i="4"/>
  <c r="F894" i="4"/>
  <c r="G894" i="4"/>
  <c r="L894" i="4"/>
  <c r="F946" i="4"/>
  <c r="G946" i="4"/>
  <c r="L946" i="4"/>
  <c r="L674" i="4"/>
  <c r="G674" i="4"/>
  <c r="G702" i="4"/>
  <c r="L764" i="4"/>
  <c r="F692" i="4"/>
  <c r="G717" i="4"/>
  <c r="F717" i="4"/>
  <c r="L721" i="4"/>
  <c r="F721" i="4"/>
  <c r="F654" i="4"/>
  <c r="F728" i="4"/>
  <c r="L728" i="4"/>
  <c r="L747" i="4"/>
  <c r="G747" i="4"/>
  <c r="L685" i="4"/>
  <c r="G699" i="4"/>
  <c r="G745" i="4"/>
  <c r="F785" i="4"/>
  <c r="L785" i="4"/>
  <c r="G785" i="4"/>
  <c r="G698" i="4"/>
  <c r="F800" i="4"/>
  <c r="G812" i="4"/>
  <c r="F812" i="4"/>
  <c r="L826" i="4"/>
  <c r="F826" i="4"/>
  <c r="J983" i="4"/>
  <c r="P983" i="4"/>
  <c r="H983" i="4"/>
  <c r="L665" i="4"/>
  <c r="F665" i="4"/>
  <c r="L680" i="4"/>
  <c r="G695" i="4"/>
  <c r="F695" i="4"/>
  <c r="L745" i="4"/>
  <c r="G768" i="4"/>
  <c r="F768" i="4"/>
  <c r="L771" i="4"/>
  <c r="F784" i="4"/>
  <c r="L803" i="4"/>
  <c r="L811" i="4"/>
  <c r="F832" i="4"/>
  <c r="L832" i="4"/>
  <c r="L698" i="4"/>
  <c r="G775" i="4"/>
  <c r="F775" i="4"/>
  <c r="L775" i="4"/>
  <c r="L812" i="4"/>
  <c r="F889" i="4"/>
  <c r="G889" i="4"/>
  <c r="F663" i="4"/>
  <c r="L679" i="4"/>
  <c r="L744" i="4"/>
  <c r="F753" i="4"/>
  <c r="G753" i="4"/>
  <c r="L800" i="4"/>
  <c r="L839" i="4"/>
  <c r="G839" i="4"/>
  <c r="F839" i="4"/>
  <c r="L933" i="4"/>
  <c r="F933" i="4"/>
  <c r="G933" i="4"/>
  <c r="F950" i="4"/>
  <c r="G950" i="4"/>
  <c r="L950" i="4"/>
  <c r="F970" i="4"/>
  <c r="G970" i="4"/>
  <c r="L970" i="4"/>
  <c r="F779" i="4"/>
  <c r="F809" i="4"/>
  <c r="L861" i="4"/>
  <c r="G861" i="4"/>
  <c r="L907" i="4"/>
  <c r="G907" i="4"/>
  <c r="F907" i="4"/>
  <c r="L922" i="4"/>
  <c r="G922" i="4"/>
  <c r="F922" i="4"/>
  <c r="J953" i="4"/>
  <c r="H953" i="4"/>
  <c r="P953" i="4"/>
  <c r="F983" i="4"/>
  <c r="L983" i="4"/>
  <c r="L786" i="4"/>
  <c r="F793" i="4"/>
  <c r="G793" i="4"/>
  <c r="L807" i="4"/>
  <c r="F807" i="4"/>
  <c r="F856" i="4"/>
  <c r="L856" i="4"/>
  <c r="G949" i="4"/>
  <c r="F949" i="4"/>
  <c r="L949" i="4"/>
  <c r="G824" i="4"/>
  <c r="F828" i="4"/>
  <c r="G828" i="4"/>
  <c r="L862" i="4"/>
  <c r="G862" i="4"/>
  <c r="F862" i="4"/>
  <c r="L864" i="4"/>
  <c r="G864" i="4"/>
  <c r="F864" i="4"/>
  <c r="F881" i="4"/>
  <c r="G881" i="4"/>
  <c r="L881" i="4"/>
  <c r="G989" i="4"/>
  <c r="L989" i="4"/>
  <c r="F989" i="4"/>
  <c r="L782" i="4"/>
  <c r="G801" i="4"/>
  <c r="F801" i="4"/>
  <c r="F805" i="4"/>
  <c r="L805" i="4"/>
  <c r="G810" i="4"/>
  <c r="L824" i="4"/>
  <c r="G969" i="4"/>
  <c r="L969" i="4"/>
  <c r="F969" i="4"/>
  <c r="F874" i="4"/>
  <c r="L874" i="4"/>
  <c r="L890" i="4"/>
  <c r="G890" i="4"/>
  <c r="L934" i="4"/>
  <c r="F934" i="4"/>
  <c r="G934" i="4"/>
  <c r="G823" i="4"/>
  <c r="F823" i="4"/>
  <c r="F919" i="4"/>
  <c r="G919" i="4"/>
  <c r="L919" i="4"/>
  <c r="L767" i="4"/>
  <c r="F767" i="4"/>
  <c r="L855" i="4"/>
  <c r="F855" i="4"/>
  <c r="L953" i="4"/>
  <c r="F953" i="4"/>
  <c r="F986" i="4"/>
  <c r="L986" i="4"/>
  <c r="G986" i="4"/>
  <c r="G999" i="4"/>
  <c r="F999" i="4"/>
  <c r="L999" i="4"/>
  <c r="F766" i="4"/>
  <c r="F781" i="4"/>
  <c r="L843" i="4"/>
  <c r="F843" i="4"/>
  <c r="F960" i="4"/>
  <c r="L960" i="4"/>
  <c r="G960" i="4"/>
  <c r="P887" i="4"/>
  <c r="H887" i="4"/>
  <c r="J887" i="4"/>
  <c r="F899" i="4"/>
  <c r="G899" i="4"/>
  <c r="L899" i="4"/>
  <c r="G967" i="4"/>
  <c r="L967" i="4"/>
  <c r="F773" i="4"/>
  <c r="L781" i="4"/>
  <c r="L838" i="4"/>
  <c r="P855" i="4"/>
  <c r="F888" i="4"/>
  <c r="G888" i="4"/>
  <c r="L888" i="4"/>
  <c r="F914" i="4"/>
  <c r="L914" i="4"/>
  <c r="G914" i="4"/>
  <c r="G937" i="4"/>
  <c r="L937" i="4"/>
  <c r="F937" i="4"/>
  <c r="L944" i="4"/>
  <c r="F944" i="4"/>
  <c r="G944" i="4"/>
  <c r="G772" i="4"/>
  <c r="G834" i="4"/>
  <c r="F834" i="4"/>
  <c r="F842" i="4"/>
  <c r="L867" i="4"/>
  <c r="G867" i="4"/>
  <c r="F867" i="4"/>
  <c r="L892" i="4"/>
  <c r="F892" i="4"/>
  <c r="G892" i="4"/>
  <c r="L904" i="4"/>
  <c r="G904" i="4"/>
  <c r="F904" i="4"/>
  <c r="G906" i="4"/>
  <c r="F906" i="4"/>
  <c r="F853" i="4"/>
  <c r="G987" i="4"/>
  <c r="F987" i="4"/>
  <c r="F849" i="4"/>
  <c r="G849" i="4"/>
  <c r="L952" i="4"/>
  <c r="F952" i="4"/>
  <c r="G952" i="4"/>
  <c r="G977" i="4"/>
  <c r="L977" i="4"/>
  <c r="F977" i="4"/>
  <c r="G979" i="4"/>
  <c r="F979" i="4"/>
  <c r="L979" i="4"/>
  <c r="F887" i="4"/>
  <c r="L887" i="4"/>
  <c r="L895" i="4"/>
  <c r="F895" i="4"/>
  <c r="I895" i="4" s="1"/>
  <c r="O895" i="4" s="1"/>
  <c r="P897" i="4"/>
  <c r="J897" i="4"/>
  <c r="H897" i="4"/>
  <c r="G832" i="4"/>
  <c r="G879" i="4"/>
  <c r="F879" i="4"/>
  <c r="F911" i="4"/>
  <c r="L911" i="4"/>
  <c r="F963" i="4"/>
  <c r="G963" i="4"/>
  <c r="P873" i="4"/>
  <c r="F896" i="4"/>
  <c r="L964" i="4"/>
  <c r="F964" i="4"/>
  <c r="G998" i="4"/>
  <c r="F998" i="4"/>
  <c r="L998" i="4"/>
  <c r="L1004" i="4"/>
  <c r="G1004" i="4"/>
  <c r="G951" i="4"/>
  <c r="F951" i="4"/>
  <c r="L951" i="4"/>
  <c r="G957" i="4"/>
  <c r="L957" i="4"/>
  <c r="F884" i="4"/>
  <c r="L884" i="4"/>
  <c r="G884" i="4"/>
  <c r="G917" i="4"/>
  <c r="F917" i="4"/>
  <c r="F980" i="4"/>
  <c r="L980" i="4"/>
  <c r="G980" i="4"/>
  <c r="F976" i="4"/>
  <c r="G976" i="4"/>
  <c r="L984" i="4"/>
  <c r="G984" i="4"/>
  <c r="F880" i="4"/>
  <c r="F886" i="4"/>
  <c r="L935" i="4"/>
  <c r="G935" i="4"/>
  <c r="F935" i="4"/>
  <c r="L924" i="4"/>
  <c r="G924" i="4"/>
  <c r="F936" i="4"/>
  <c r="G936" i="4"/>
  <c r="L936" i="4"/>
  <c r="G947" i="4"/>
  <c r="F947" i="4"/>
  <c r="L947" i="4"/>
  <c r="F878" i="4"/>
  <c r="L878" i="4"/>
  <c r="F956" i="4"/>
  <c r="L956" i="4"/>
  <c r="G956" i="4"/>
  <c r="L841" i="4"/>
  <c r="G845" i="4"/>
  <c r="F890" i="4"/>
  <c r="L901" i="4"/>
  <c r="L920" i="4"/>
  <c r="L972" i="4"/>
  <c r="G972" i="4"/>
  <c r="F910" i="4"/>
  <c r="G910" i="4"/>
  <c r="F918" i="4"/>
  <c r="G943" i="4"/>
  <c r="F943" i="4"/>
  <c r="L943" i="4"/>
  <c r="L860" i="4"/>
  <c r="G865" i="4"/>
  <c r="F866" i="4"/>
  <c r="L968" i="4"/>
  <c r="F968" i="4"/>
  <c r="G939" i="4"/>
  <c r="F939" i="4"/>
  <c r="L939" i="4"/>
  <c r="F985" i="4"/>
  <c r="G985" i="4"/>
  <c r="L928" i="4"/>
  <c r="L991" i="4"/>
  <c r="G991" i="4"/>
  <c r="F991" i="4"/>
  <c r="F995" i="4"/>
  <c r="G916" i="4"/>
  <c r="F916" i="4"/>
  <c r="G959" i="4"/>
  <c r="F959" i="4"/>
  <c r="L992" i="4"/>
  <c r="G992" i="4"/>
  <c r="G938" i="4"/>
  <c r="F938" i="4"/>
  <c r="G958" i="4"/>
  <c r="F958" i="4"/>
  <c r="G978" i="4"/>
  <c r="F978" i="4"/>
  <c r="G997" i="4"/>
  <c r="F997" i="4"/>
  <c r="H997" i="2" l="1"/>
  <c r="H314" i="4"/>
  <c r="J199" i="4"/>
  <c r="H439" i="4"/>
  <c r="I439" i="4" s="1"/>
  <c r="O439" i="4" s="1"/>
  <c r="Q439" i="4" s="1"/>
  <c r="R439" i="4" s="1"/>
  <c r="T439" i="4" s="1"/>
  <c r="V439" i="4" s="1"/>
  <c r="H625" i="4"/>
  <c r="P625" i="4"/>
  <c r="K625" i="4" s="1"/>
  <c r="J828" i="2"/>
  <c r="J130" i="2"/>
  <c r="H828" i="2"/>
  <c r="I828" i="2" s="1"/>
  <c r="O828" i="2" s="1"/>
  <c r="Q828" i="2" s="1"/>
  <c r="R828" i="2" s="1"/>
  <c r="T828" i="2" s="1"/>
  <c r="V828" i="2" s="1"/>
  <c r="P130" i="2"/>
  <c r="H159" i="2"/>
  <c r="K159" i="2" s="1"/>
  <c r="H101" i="2"/>
  <c r="H782" i="4"/>
  <c r="H524" i="2"/>
  <c r="I524" i="2" s="1"/>
  <c r="O524" i="2" s="1"/>
  <c r="P101" i="2"/>
  <c r="P524" i="2"/>
  <c r="K524" i="2" s="1"/>
  <c r="H805" i="4"/>
  <c r="I805" i="4" s="1"/>
  <c r="O805" i="4" s="1"/>
  <c r="Q805" i="4" s="1"/>
  <c r="R805" i="4" s="1"/>
  <c r="T805" i="4" s="1"/>
  <c r="V805" i="4" s="1"/>
  <c r="P429" i="4"/>
  <c r="J573" i="4"/>
  <c r="H712" i="2"/>
  <c r="I712" i="2" s="1"/>
  <c r="O712" i="2" s="1"/>
  <c r="P573" i="4"/>
  <c r="J805" i="4"/>
  <c r="H721" i="4"/>
  <c r="P527" i="4"/>
  <c r="H527" i="4"/>
  <c r="I527" i="4" s="1"/>
  <c r="O527" i="4" s="1"/>
  <c r="Q527" i="4" s="1"/>
  <c r="R527" i="4" s="1"/>
  <c r="T527" i="4" s="1"/>
  <c r="V527" i="4" s="1"/>
  <c r="J1003" i="2"/>
  <c r="J979" i="2"/>
  <c r="P712" i="2"/>
  <c r="I97" i="4"/>
  <c r="O97" i="4" s="1"/>
  <c r="J145" i="4"/>
  <c r="P782" i="4"/>
  <c r="P145" i="4"/>
  <c r="H979" i="2"/>
  <c r="I573" i="4"/>
  <c r="O573" i="4" s="1"/>
  <c r="P314" i="4"/>
  <c r="K314" i="4" s="1"/>
  <c r="J821" i="2"/>
  <c r="J895" i="4"/>
  <c r="J307" i="4"/>
  <c r="K307" i="4" s="1"/>
  <c r="J308" i="4"/>
  <c r="K308" i="4" s="1"/>
  <c r="J439" i="4"/>
  <c r="K439" i="4" s="1"/>
  <c r="J429" i="4"/>
  <c r="H821" i="2"/>
  <c r="I821" i="2" s="1"/>
  <c r="O821" i="2" s="1"/>
  <c r="Q821" i="2" s="1"/>
  <c r="R821" i="2" s="1"/>
  <c r="T821" i="2" s="1"/>
  <c r="V821" i="2" s="1"/>
  <c r="H1003" i="2"/>
  <c r="J228" i="2"/>
  <c r="J721" i="4"/>
  <c r="J452" i="4"/>
  <c r="P895" i="4"/>
  <c r="P338" i="4"/>
  <c r="J816" i="2"/>
  <c r="H241" i="2"/>
  <c r="P241" i="2"/>
  <c r="H307" i="4"/>
  <c r="I307" i="4" s="1"/>
  <c r="O307" i="4" s="1"/>
  <c r="Q307" i="4" s="1"/>
  <c r="R307" i="4" s="1"/>
  <c r="T307" i="4" s="1"/>
  <c r="V307" i="4" s="1"/>
  <c r="J717" i="2"/>
  <c r="H77" i="4"/>
  <c r="I77" i="4" s="1"/>
  <c r="O77" i="4" s="1"/>
  <c r="Q77" i="4" s="1"/>
  <c r="R77" i="4" s="1"/>
  <c r="T77" i="4" s="1"/>
  <c r="V77" i="4" s="1"/>
  <c r="J77" i="4"/>
  <c r="K77" i="4" s="1"/>
  <c r="J658" i="4"/>
  <c r="J124" i="2"/>
  <c r="H816" i="2"/>
  <c r="I816" i="2" s="1"/>
  <c r="O816" i="2" s="1"/>
  <c r="Q816" i="2" s="1"/>
  <c r="R816" i="2" s="1"/>
  <c r="T816" i="2" s="1"/>
  <c r="V816" i="2" s="1"/>
  <c r="H124" i="2"/>
  <c r="I124" i="2" s="1"/>
  <c r="O124" i="2" s="1"/>
  <c r="Q124" i="2" s="1"/>
  <c r="R124" i="2" s="1"/>
  <c r="T124" i="2" s="1"/>
  <c r="V124" i="2" s="1"/>
  <c r="P732" i="4"/>
  <c r="J338" i="4"/>
  <c r="P555" i="2"/>
  <c r="H732" i="4"/>
  <c r="P156" i="4"/>
  <c r="H156" i="4"/>
  <c r="K156" i="4" s="1"/>
  <c r="H198" i="2"/>
  <c r="I198" i="2" s="1"/>
  <c r="O198" i="2" s="1"/>
  <c r="Q198" i="2" s="1"/>
  <c r="R198" i="2" s="1"/>
  <c r="T198" i="2" s="1"/>
  <c r="V198" i="2" s="1"/>
  <c r="J555" i="2"/>
  <c r="J198" i="2"/>
  <c r="H228" i="2"/>
  <c r="I228" i="2" s="1"/>
  <c r="O228" i="2" s="1"/>
  <c r="Q228" i="2" s="1"/>
  <c r="R228" i="2" s="1"/>
  <c r="T228" i="2" s="1"/>
  <c r="V228" i="2" s="1"/>
  <c r="P537" i="2"/>
  <c r="H168" i="4"/>
  <c r="I168" i="4" s="1"/>
  <c r="O168" i="4" s="1"/>
  <c r="Q168" i="4" s="1"/>
  <c r="R168" i="4" s="1"/>
  <c r="T168" i="4" s="1"/>
  <c r="V168" i="4" s="1"/>
  <c r="H661" i="2"/>
  <c r="I661" i="2" s="1"/>
  <c r="O661" i="2" s="1"/>
  <c r="J618" i="2"/>
  <c r="P661" i="2"/>
  <c r="K661" i="2" s="1"/>
  <c r="H618" i="2"/>
  <c r="J984" i="2"/>
  <c r="H452" i="4"/>
  <c r="P984" i="2"/>
  <c r="H814" i="4"/>
  <c r="I814" i="4" s="1"/>
  <c r="O814" i="4" s="1"/>
  <c r="I674" i="2"/>
  <c r="O674" i="2" s="1"/>
  <c r="H626" i="4"/>
  <c r="I626" i="4" s="1"/>
  <c r="O626" i="4" s="1"/>
  <c r="J537" i="2"/>
  <c r="P298" i="4"/>
  <c r="I456" i="4"/>
  <c r="O456" i="4" s="1"/>
  <c r="H521" i="4"/>
  <c r="I521" i="4" s="1"/>
  <c r="O521" i="4" s="1"/>
  <c r="H753" i="2"/>
  <c r="I753" i="2" s="1"/>
  <c r="O753" i="2" s="1"/>
  <c r="Q753" i="2" s="1"/>
  <c r="R753" i="2" s="1"/>
  <c r="T753" i="2" s="1"/>
  <c r="V753" i="2" s="1"/>
  <c r="J298" i="4"/>
  <c r="J753" i="2"/>
  <c r="I550" i="2"/>
  <c r="O550" i="2" s="1"/>
  <c r="H874" i="4"/>
  <c r="I874" i="4" s="1"/>
  <c r="O874" i="4" s="1"/>
  <c r="P417" i="2"/>
  <c r="P521" i="4"/>
  <c r="P874" i="4"/>
  <c r="H426" i="2"/>
  <c r="I426" i="2" s="1"/>
  <c r="O426" i="2" s="1"/>
  <c r="Q426" i="2" s="1"/>
  <c r="R426" i="2" s="1"/>
  <c r="T426" i="2" s="1"/>
  <c r="V426" i="2" s="1"/>
  <c r="J426" i="2"/>
  <c r="I67" i="4"/>
  <c r="O67" i="4" s="1"/>
  <c r="H961" i="4"/>
  <c r="I961" i="4" s="1"/>
  <c r="O961" i="4" s="1"/>
  <c r="P357" i="4"/>
  <c r="I298" i="4"/>
  <c r="O298" i="4" s="1"/>
  <c r="J417" i="2"/>
  <c r="H297" i="4"/>
  <c r="P329" i="2"/>
  <c r="P527" i="2"/>
  <c r="J329" i="2"/>
  <c r="P658" i="4"/>
  <c r="I154" i="2"/>
  <c r="O154" i="2" s="1"/>
  <c r="P717" i="2"/>
  <c r="J297" i="4"/>
  <c r="J527" i="2"/>
  <c r="J836" i="4"/>
  <c r="P814" i="4"/>
  <c r="H219" i="2"/>
  <c r="I219" i="2" s="1"/>
  <c r="O219" i="2" s="1"/>
  <c r="Q219" i="2" s="1"/>
  <c r="R219" i="2" s="1"/>
  <c r="T219" i="2" s="1"/>
  <c r="V219" i="2" s="1"/>
  <c r="J75" i="4"/>
  <c r="J390" i="4"/>
  <c r="H381" i="2"/>
  <c r="I381" i="2" s="1"/>
  <c r="O381" i="2" s="1"/>
  <c r="P381" i="2"/>
  <c r="K381" i="2" s="1"/>
  <c r="J117" i="2"/>
  <c r="J274" i="2"/>
  <c r="P274" i="2"/>
  <c r="P707" i="2"/>
  <c r="P836" i="4"/>
  <c r="J707" i="2"/>
  <c r="J39" i="2"/>
  <c r="P733" i="4"/>
  <c r="H278" i="4"/>
  <c r="I278" i="4" s="1"/>
  <c r="O278" i="4" s="1"/>
  <c r="Q278" i="4" s="1"/>
  <c r="R278" i="4" s="1"/>
  <c r="T278" i="4" s="1"/>
  <c r="V278" i="4" s="1"/>
  <c r="H138" i="2"/>
  <c r="I138" i="2" s="1"/>
  <c r="O138" i="2" s="1"/>
  <c r="Q138" i="2" s="1"/>
  <c r="R138" i="2" s="1"/>
  <c r="T138" i="2" s="1"/>
  <c r="V138" i="2" s="1"/>
  <c r="P39" i="2"/>
  <c r="J168" i="4"/>
  <c r="K683" i="2"/>
  <c r="H256" i="2"/>
  <c r="I256" i="2" s="1"/>
  <c r="O256" i="2" s="1"/>
  <c r="P211" i="2"/>
  <c r="J265" i="2"/>
  <c r="J138" i="2"/>
  <c r="J694" i="2"/>
  <c r="J277" i="4"/>
  <c r="H856" i="4"/>
  <c r="I856" i="4" s="1"/>
  <c r="O856" i="4" s="1"/>
  <c r="Q856" i="4" s="1"/>
  <c r="R856" i="4" s="1"/>
  <c r="T856" i="4" s="1"/>
  <c r="V856" i="4" s="1"/>
  <c r="J856" i="4"/>
  <c r="P277" i="4"/>
  <c r="J110" i="4"/>
  <c r="H390" i="4"/>
  <c r="I390" i="4" s="1"/>
  <c r="O390" i="4" s="1"/>
  <c r="Q390" i="4" s="1"/>
  <c r="R390" i="4" s="1"/>
  <c r="T390" i="4" s="1"/>
  <c r="V390" i="4" s="1"/>
  <c r="H881" i="2"/>
  <c r="I881" i="2" s="1"/>
  <c r="O881" i="2" s="1"/>
  <c r="Q881" i="2" s="1"/>
  <c r="R881" i="2" s="1"/>
  <c r="T881" i="2" s="1"/>
  <c r="V881" i="2" s="1"/>
  <c r="P21" i="4"/>
  <c r="H21" i="4"/>
  <c r="J330" i="4"/>
  <c r="J860" i="4"/>
  <c r="P330" i="4"/>
  <c r="I274" i="2"/>
  <c r="O274" i="2" s="1"/>
  <c r="P860" i="4"/>
  <c r="J334" i="4"/>
  <c r="P788" i="4"/>
  <c r="P842" i="4"/>
  <c r="H728" i="4"/>
  <c r="I728" i="4" s="1"/>
  <c r="O728" i="4" s="1"/>
  <c r="H826" i="4"/>
  <c r="I826" i="4" s="1"/>
  <c r="O826" i="4" s="1"/>
  <c r="H567" i="4"/>
  <c r="I567" i="4" s="1"/>
  <c r="O567" i="4" s="1"/>
  <c r="Q567" i="4" s="1"/>
  <c r="R567" i="4" s="1"/>
  <c r="T567" i="4" s="1"/>
  <c r="V567" i="4" s="1"/>
  <c r="P728" i="4"/>
  <c r="J567" i="4"/>
  <c r="P921" i="2"/>
  <c r="H139" i="4"/>
  <c r="I139" i="4" s="1"/>
  <c r="O139" i="4" s="1"/>
  <c r="H792" i="2"/>
  <c r="I792" i="2" s="1"/>
  <c r="O792" i="2" s="1"/>
  <c r="I295" i="2"/>
  <c r="O295" i="2" s="1"/>
  <c r="J266" i="2"/>
  <c r="H221" i="4"/>
  <c r="I221" i="4" s="1"/>
  <c r="O221" i="4" s="1"/>
  <c r="H276" i="4"/>
  <c r="I276" i="4" s="1"/>
  <c r="O276" i="4" s="1"/>
  <c r="Q276" i="4" s="1"/>
  <c r="R276" i="4" s="1"/>
  <c r="T276" i="4" s="1"/>
  <c r="V276" i="4" s="1"/>
  <c r="P671" i="4"/>
  <c r="J629" i="2"/>
  <c r="J362" i="2"/>
  <c r="J328" i="2"/>
  <c r="I683" i="4"/>
  <c r="O683" i="4" s="1"/>
  <c r="J276" i="4"/>
  <c r="H854" i="2"/>
  <c r="I854" i="2" s="1"/>
  <c r="O854" i="2" s="1"/>
  <c r="P221" i="4"/>
  <c r="P38" i="4"/>
  <c r="P690" i="2"/>
  <c r="J403" i="4"/>
  <c r="H309" i="4"/>
  <c r="I309" i="4" s="1"/>
  <c r="O309" i="4" s="1"/>
  <c r="J690" i="2"/>
  <c r="J796" i="4"/>
  <c r="I121" i="2"/>
  <c r="O121" i="2" s="1"/>
  <c r="H801" i="2"/>
  <c r="I801" i="2" s="1"/>
  <c r="O801" i="2" s="1"/>
  <c r="Q801" i="2" s="1"/>
  <c r="R801" i="2" s="1"/>
  <c r="T801" i="2" s="1"/>
  <c r="V801" i="2" s="1"/>
  <c r="J754" i="2"/>
  <c r="H207" i="2"/>
  <c r="I207" i="2" s="1"/>
  <c r="O207" i="2" s="1"/>
  <c r="P796" i="4"/>
  <c r="P824" i="2"/>
  <c r="I32" i="2"/>
  <c r="O32" i="2" s="1"/>
  <c r="J582" i="4"/>
  <c r="J41" i="4"/>
  <c r="P48" i="4"/>
  <c r="P134" i="4"/>
  <c r="P629" i="2"/>
  <c r="P582" i="4"/>
  <c r="H41" i="4"/>
  <c r="I41" i="4" s="1"/>
  <c r="O41" i="4" s="1"/>
  <c r="Q41" i="4" s="1"/>
  <c r="R41" i="4" s="1"/>
  <c r="T41" i="4" s="1"/>
  <c r="V41" i="4" s="1"/>
  <c r="H48" i="4"/>
  <c r="H684" i="2"/>
  <c r="I684" i="2" s="1"/>
  <c r="O684" i="2" s="1"/>
  <c r="Q684" i="2" s="1"/>
  <c r="R684" i="2" s="1"/>
  <c r="T684" i="2" s="1"/>
  <c r="V684" i="2" s="1"/>
  <c r="I909" i="2"/>
  <c r="O909" i="2" s="1"/>
  <c r="I482" i="2"/>
  <c r="O482" i="2" s="1"/>
  <c r="H78" i="4"/>
  <c r="I78" i="4" s="1"/>
  <c r="O78" i="4" s="1"/>
  <c r="P67" i="4"/>
  <c r="H46" i="4"/>
  <c r="I46" i="4" s="1"/>
  <c r="O46" i="4" s="1"/>
  <c r="P78" i="4"/>
  <c r="I242" i="4"/>
  <c r="O242" i="4" s="1"/>
  <c r="J487" i="2"/>
  <c r="P838" i="4"/>
  <c r="I424" i="4"/>
  <c r="O424" i="4" s="1"/>
  <c r="H38" i="4"/>
  <c r="J191" i="2"/>
  <c r="H178" i="4"/>
  <c r="I178" i="4" s="1"/>
  <c r="O178" i="4" s="1"/>
  <c r="J424" i="4"/>
  <c r="H152" i="4"/>
  <c r="I152" i="4" s="1"/>
  <c r="O152" i="4" s="1"/>
  <c r="Q152" i="4" s="1"/>
  <c r="R152" i="4" s="1"/>
  <c r="T152" i="4" s="1"/>
  <c r="V152" i="4" s="1"/>
  <c r="P178" i="4"/>
  <c r="H508" i="2"/>
  <c r="I508" i="2" s="1"/>
  <c r="O508" i="2" s="1"/>
  <c r="Q508" i="2" s="1"/>
  <c r="R508" i="2" s="1"/>
  <c r="T508" i="2" s="1"/>
  <c r="V508" i="2" s="1"/>
  <c r="J517" i="2"/>
  <c r="P487" i="2"/>
  <c r="J838" i="4"/>
  <c r="J881" i="2"/>
  <c r="J35" i="2"/>
  <c r="J508" i="2"/>
  <c r="P256" i="2"/>
  <c r="P335" i="2"/>
  <c r="P517" i="2"/>
  <c r="H75" i="4"/>
  <c r="I75" i="4" s="1"/>
  <c r="O75" i="4" s="1"/>
  <c r="Q75" i="4" s="1"/>
  <c r="R75" i="4" s="1"/>
  <c r="T75" i="4" s="1"/>
  <c r="V75" i="4" s="1"/>
  <c r="I151" i="4"/>
  <c r="O151" i="4" s="1"/>
  <c r="H968" i="4"/>
  <c r="I968" i="4" s="1"/>
  <c r="O968" i="4" s="1"/>
  <c r="J822" i="4"/>
  <c r="J67" i="4"/>
  <c r="H265" i="2"/>
  <c r="I181" i="4"/>
  <c r="O181" i="4" s="1"/>
  <c r="J966" i="4"/>
  <c r="P876" i="4"/>
  <c r="P234" i="4"/>
  <c r="P227" i="2"/>
  <c r="H528" i="2"/>
  <c r="I528" i="2" s="1"/>
  <c r="O528" i="2" s="1"/>
  <c r="Q528" i="2" s="1"/>
  <c r="R528" i="2" s="1"/>
  <c r="T528" i="2" s="1"/>
  <c r="V528" i="2" s="1"/>
  <c r="P185" i="4"/>
  <c r="H921" i="2"/>
  <c r="J227" i="2"/>
  <c r="P542" i="2"/>
  <c r="P419" i="2"/>
  <c r="J528" i="2"/>
  <c r="H347" i="4"/>
  <c r="I347" i="4" s="1"/>
  <c r="O347" i="4" s="1"/>
  <c r="Q347" i="4" s="1"/>
  <c r="R347" i="4" s="1"/>
  <c r="T347" i="4" s="1"/>
  <c r="V347" i="4" s="1"/>
  <c r="I860" i="4"/>
  <c r="O860" i="4" s="1"/>
  <c r="H647" i="4"/>
  <c r="I647" i="4" s="1"/>
  <c r="O647" i="4" s="1"/>
  <c r="Q647" i="4" s="1"/>
  <c r="R647" i="4" s="1"/>
  <c r="T647" i="4" s="1"/>
  <c r="V647" i="4" s="1"/>
  <c r="J185" i="4"/>
  <c r="P722" i="2"/>
  <c r="P792" i="2"/>
  <c r="H542" i="2"/>
  <c r="I542" i="2" s="1"/>
  <c r="O542" i="2" s="1"/>
  <c r="H419" i="2"/>
  <c r="I419" i="2" s="1"/>
  <c r="O419" i="2" s="1"/>
  <c r="J601" i="2"/>
  <c r="J347" i="4"/>
  <c r="H362" i="2"/>
  <c r="I362" i="2" s="1"/>
  <c r="O362" i="2" s="1"/>
  <c r="Q362" i="2" s="1"/>
  <c r="R362" i="2" s="1"/>
  <c r="T362" i="2" s="1"/>
  <c r="V362" i="2" s="1"/>
  <c r="J647" i="4"/>
  <c r="P781" i="2"/>
  <c r="J722" i="2"/>
  <c r="J602" i="2"/>
  <c r="H754" i="2"/>
  <c r="I754" i="2" s="1"/>
  <c r="O754" i="2" s="1"/>
  <c r="Q754" i="2" s="1"/>
  <c r="R754" i="2" s="1"/>
  <c r="T754" i="2" s="1"/>
  <c r="V754" i="2" s="1"/>
  <c r="H913" i="2"/>
  <c r="I913" i="2" s="1"/>
  <c r="O913" i="2" s="1"/>
  <c r="Q913" i="2" s="1"/>
  <c r="R913" i="2" s="1"/>
  <c r="T913" i="2" s="1"/>
  <c r="V913" i="2" s="1"/>
  <c r="J139" i="2"/>
  <c r="H601" i="2"/>
  <c r="I601" i="2" s="1"/>
  <c r="O601" i="2" s="1"/>
  <c r="Q601" i="2" s="1"/>
  <c r="R601" i="2" s="1"/>
  <c r="T601" i="2" s="1"/>
  <c r="V601" i="2" s="1"/>
  <c r="I234" i="4"/>
  <c r="O234" i="4" s="1"/>
  <c r="I920" i="4"/>
  <c r="O920" i="4" s="1"/>
  <c r="P331" i="4"/>
  <c r="H331" i="4"/>
  <c r="I331" i="4" s="1"/>
  <c r="O331" i="4" s="1"/>
  <c r="I646" i="2"/>
  <c r="O646" i="2" s="1"/>
  <c r="Q646" i="2" s="1"/>
  <c r="R646" i="2" s="1"/>
  <c r="T646" i="2" s="1"/>
  <c r="V646" i="2" s="1"/>
  <c r="H914" i="2"/>
  <c r="P620" i="2"/>
  <c r="P440" i="2"/>
  <c r="H796" i="2"/>
  <c r="I796" i="2" s="1"/>
  <c r="O796" i="2" s="1"/>
  <c r="J620" i="2"/>
  <c r="H440" i="2"/>
  <c r="I440" i="2" s="1"/>
  <c r="O440" i="2" s="1"/>
  <c r="H28" i="4"/>
  <c r="I28" i="4" s="1"/>
  <c r="O28" i="4" s="1"/>
  <c r="H966" i="4"/>
  <c r="I966" i="4" s="1"/>
  <c r="O966" i="4" s="1"/>
  <c r="Q966" i="4" s="1"/>
  <c r="R966" i="4" s="1"/>
  <c r="T966" i="4" s="1"/>
  <c r="V966" i="4" s="1"/>
  <c r="P341" i="4"/>
  <c r="J278" i="4"/>
  <c r="J43" i="4"/>
  <c r="I43" i="4"/>
  <c r="O43" i="4" s="1"/>
  <c r="P43" i="4"/>
  <c r="H325" i="2"/>
  <c r="I325" i="2" s="1"/>
  <c r="O325" i="2" s="1"/>
  <c r="Q325" i="2" s="1"/>
  <c r="R325" i="2" s="1"/>
  <c r="T325" i="2" s="1"/>
  <c r="V325" i="2" s="1"/>
  <c r="P914" i="2"/>
  <c r="P796" i="2"/>
  <c r="P28" i="4"/>
  <c r="H400" i="2"/>
  <c r="I400" i="2" s="1"/>
  <c r="O400" i="2" s="1"/>
  <c r="Q400" i="2" s="1"/>
  <c r="R400" i="2" s="1"/>
  <c r="T400" i="2" s="1"/>
  <c r="V400" i="2" s="1"/>
  <c r="H136" i="2"/>
  <c r="H876" i="4"/>
  <c r="I876" i="4" s="1"/>
  <c r="O876" i="4" s="1"/>
  <c r="P424" i="4"/>
  <c r="J234" i="4"/>
  <c r="H872" i="2"/>
  <c r="I872" i="2" s="1"/>
  <c r="O872" i="2" s="1"/>
  <c r="Q872" i="2" s="1"/>
  <c r="R872" i="2" s="1"/>
  <c r="T872" i="2" s="1"/>
  <c r="V872" i="2" s="1"/>
  <c r="J801" i="2"/>
  <c r="J136" i="2"/>
  <c r="H341" i="4"/>
  <c r="I341" i="4" s="1"/>
  <c r="O341" i="4" s="1"/>
  <c r="J576" i="2"/>
  <c r="I629" i="2"/>
  <c r="O629" i="2" s="1"/>
  <c r="J595" i="2"/>
  <c r="P139" i="2"/>
  <c r="P239" i="2"/>
  <c r="P328" i="2"/>
  <c r="P797" i="2"/>
  <c r="I36" i="4"/>
  <c r="O36" i="4" s="1"/>
  <c r="H799" i="4"/>
  <c r="I799" i="4" s="1"/>
  <c r="O799" i="4" s="1"/>
  <c r="H595" i="2"/>
  <c r="I595" i="2" s="1"/>
  <c r="O595" i="2" s="1"/>
  <c r="Q595" i="2" s="1"/>
  <c r="R595" i="2" s="1"/>
  <c r="T595" i="2" s="1"/>
  <c r="V595" i="2" s="1"/>
  <c r="P602" i="2"/>
  <c r="J797" i="2"/>
  <c r="H576" i="2"/>
  <c r="P900" i="4"/>
  <c r="P945" i="2"/>
  <c r="H511" i="4"/>
  <c r="I511" i="4" s="1"/>
  <c r="O511" i="4" s="1"/>
  <c r="P923" i="2"/>
  <c r="H35" i="2"/>
  <c r="I35" i="2" s="1"/>
  <c r="O35" i="2" s="1"/>
  <c r="Q35" i="2" s="1"/>
  <c r="R35" i="2" s="1"/>
  <c r="T35" i="2" s="1"/>
  <c r="V35" i="2" s="1"/>
  <c r="J160" i="2"/>
  <c r="H590" i="2"/>
  <c r="I590" i="2" s="1"/>
  <c r="O590" i="2" s="1"/>
  <c r="P744" i="4"/>
  <c r="H322" i="4"/>
  <c r="I322" i="4" s="1"/>
  <c r="O322" i="4" s="1"/>
  <c r="Q322" i="4" s="1"/>
  <c r="R322" i="4" s="1"/>
  <c r="T322" i="4" s="1"/>
  <c r="V322" i="4" s="1"/>
  <c r="J392" i="4"/>
  <c r="P511" i="4"/>
  <c r="H24" i="4"/>
  <c r="I24" i="4" s="1"/>
  <c r="O24" i="4" s="1"/>
  <c r="Q24" i="4" s="1"/>
  <c r="R24" i="4" s="1"/>
  <c r="T24" i="4" s="1"/>
  <c r="V24" i="4" s="1"/>
  <c r="H572" i="2"/>
  <c r="I572" i="2" s="1"/>
  <c r="O572" i="2" s="1"/>
  <c r="Q572" i="2" s="1"/>
  <c r="R572" i="2" s="1"/>
  <c r="T572" i="2" s="1"/>
  <c r="V572" i="2" s="1"/>
  <c r="P105" i="2"/>
  <c r="J913" i="2"/>
  <c r="H286" i="2"/>
  <c r="I286" i="2" s="1"/>
  <c r="O286" i="2" s="1"/>
  <c r="Q286" i="2" s="1"/>
  <c r="R286" i="2" s="1"/>
  <c r="T286" i="2" s="1"/>
  <c r="V286" i="2" s="1"/>
  <c r="H160" i="2"/>
  <c r="I160" i="2" s="1"/>
  <c r="O160" i="2" s="1"/>
  <c r="Q160" i="2" s="1"/>
  <c r="R160" i="2" s="1"/>
  <c r="T160" i="2" s="1"/>
  <c r="V160" i="2" s="1"/>
  <c r="P683" i="4"/>
  <c r="H357" i="4"/>
  <c r="I357" i="4" s="1"/>
  <c r="O357" i="4" s="1"/>
  <c r="J24" i="4"/>
  <c r="J671" i="4"/>
  <c r="J572" i="2"/>
  <c r="J105" i="2"/>
  <c r="J286" i="2"/>
  <c r="P107" i="2"/>
  <c r="I105" i="2"/>
  <c r="O105" i="2" s="1"/>
  <c r="H135" i="4"/>
  <c r="I135" i="4" s="1"/>
  <c r="O135" i="4" s="1"/>
  <c r="Q135" i="4" s="1"/>
  <c r="R135" i="4" s="1"/>
  <c r="T135" i="4" s="1"/>
  <c r="V135" i="4" s="1"/>
  <c r="I944" i="2"/>
  <c r="O944" i="2" s="1"/>
  <c r="J923" i="2"/>
  <c r="P854" i="2"/>
  <c r="I307" i="2"/>
  <c r="O307" i="2" s="1"/>
  <c r="H945" i="2"/>
  <c r="I945" i="2" s="1"/>
  <c r="O945" i="2" s="1"/>
  <c r="J683" i="4"/>
  <c r="P826" i="4"/>
  <c r="H403" i="4"/>
  <c r="P390" i="2"/>
  <c r="H107" i="2"/>
  <c r="J219" i="2"/>
  <c r="H510" i="4"/>
  <c r="I510" i="4" s="1"/>
  <c r="O510" i="4" s="1"/>
  <c r="H842" i="4"/>
  <c r="I842" i="4" s="1"/>
  <c r="O842" i="4" s="1"/>
  <c r="P510" i="4"/>
  <c r="P516" i="4"/>
  <c r="J428" i="4"/>
  <c r="P981" i="2"/>
  <c r="H154" i="4"/>
  <c r="I154" i="4" s="1"/>
  <c r="O154" i="4" s="1"/>
  <c r="P139" i="4"/>
  <c r="H293" i="2"/>
  <c r="I293" i="2" s="1"/>
  <c r="O293" i="2" s="1"/>
  <c r="P261" i="2"/>
  <c r="H304" i="2"/>
  <c r="I304" i="2" s="1"/>
  <c r="O304" i="2" s="1"/>
  <c r="Q304" i="2" s="1"/>
  <c r="R304" i="2" s="1"/>
  <c r="T304" i="2" s="1"/>
  <c r="V304" i="2" s="1"/>
  <c r="P117" i="2"/>
  <c r="H622" i="2"/>
  <c r="H379" i="2"/>
  <c r="I379" i="2" s="1"/>
  <c r="O379" i="2" s="1"/>
  <c r="J29" i="2"/>
  <c r="I273" i="2"/>
  <c r="O273" i="2" s="1"/>
  <c r="H817" i="4"/>
  <c r="I817" i="4" s="1"/>
  <c r="O817" i="4" s="1"/>
  <c r="Q817" i="4" s="1"/>
  <c r="R817" i="4" s="1"/>
  <c r="T817" i="4" s="1"/>
  <c r="V817" i="4" s="1"/>
  <c r="H516" i="4"/>
  <c r="H438" i="4"/>
  <c r="I438" i="4" s="1"/>
  <c r="O438" i="4" s="1"/>
  <c r="Q438" i="4" s="1"/>
  <c r="R438" i="4" s="1"/>
  <c r="T438" i="4" s="1"/>
  <c r="V438" i="4" s="1"/>
  <c r="P428" i="4"/>
  <c r="J152" i="4"/>
  <c r="P154" i="4"/>
  <c r="J684" i="2"/>
  <c r="J325" i="2"/>
  <c r="P293" i="2"/>
  <c r="H306" i="2"/>
  <c r="I306" i="2" s="1"/>
  <c r="O306" i="2" s="1"/>
  <c r="H98" i="2"/>
  <c r="I98" i="2" s="1"/>
  <c r="O98" i="2" s="1"/>
  <c r="Q98" i="2" s="1"/>
  <c r="R98" i="2" s="1"/>
  <c r="T98" i="2" s="1"/>
  <c r="V98" i="2" s="1"/>
  <c r="J304" i="2"/>
  <c r="P918" i="2"/>
  <c r="H63" i="2"/>
  <c r="J253" i="2"/>
  <c r="H29" i="2"/>
  <c r="I29" i="2" s="1"/>
  <c r="O29" i="2" s="1"/>
  <c r="Q29" i="2" s="1"/>
  <c r="R29" i="2" s="1"/>
  <c r="T29" i="2" s="1"/>
  <c r="V29" i="2" s="1"/>
  <c r="I757" i="4"/>
  <c r="O757" i="4" s="1"/>
  <c r="I98" i="4"/>
  <c r="O98" i="4" s="1"/>
  <c r="P961" i="4"/>
  <c r="I767" i="4"/>
  <c r="O767" i="4" s="1"/>
  <c r="J817" i="4"/>
  <c r="P799" i="4"/>
  <c r="K799" i="4" s="1"/>
  <c r="H520" i="4"/>
  <c r="J790" i="4"/>
  <c r="J438" i="4"/>
  <c r="P299" i="4"/>
  <c r="J322" i="4"/>
  <c r="J45" i="4"/>
  <c r="P18" i="2"/>
  <c r="P306" i="2"/>
  <c r="J98" i="2"/>
  <c r="H234" i="2"/>
  <c r="I234" i="2" s="1"/>
  <c r="O234" i="2" s="1"/>
  <c r="Q234" i="2" s="1"/>
  <c r="R234" i="2" s="1"/>
  <c r="T234" i="2" s="1"/>
  <c r="V234" i="2" s="1"/>
  <c r="I809" i="2"/>
  <c r="O809" i="2" s="1"/>
  <c r="H253" i="2"/>
  <c r="I253" i="2" s="1"/>
  <c r="O253" i="2" s="1"/>
  <c r="Q253" i="2" s="1"/>
  <c r="R253" i="2" s="1"/>
  <c r="T253" i="2" s="1"/>
  <c r="V253" i="2" s="1"/>
  <c r="I706" i="4"/>
  <c r="O706" i="4" s="1"/>
  <c r="J920" i="4"/>
  <c r="H574" i="4"/>
  <c r="I574" i="4" s="1"/>
  <c r="O574" i="4" s="1"/>
  <c r="P520" i="4"/>
  <c r="I191" i="2"/>
  <c r="O191" i="2" s="1"/>
  <c r="H604" i="4"/>
  <c r="I604" i="4" s="1"/>
  <c r="O604" i="4" s="1"/>
  <c r="Q604" i="4" s="1"/>
  <c r="R604" i="4" s="1"/>
  <c r="T604" i="4" s="1"/>
  <c r="V604" i="4" s="1"/>
  <c r="P942" i="4"/>
  <c r="H624" i="4"/>
  <c r="I624" i="4" s="1"/>
  <c r="O624" i="4" s="1"/>
  <c r="J519" i="2"/>
  <c r="I790" i="4"/>
  <c r="O790" i="4" s="1"/>
  <c r="H942" i="4"/>
  <c r="I942" i="4" s="1"/>
  <c r="O942" i="4" s="1"/>
  <c r="P624" i="4"/>
  <c r="P615" i="2"/>
  <c r="H261" i="2"/>
  <c r="I299" i="4"/>
  <c r="O299" i="4" s="1"/>
  <c r="J981" i="2"/>
  <c r="K981" i="2" s="1"/>
  <c r="J390" i="2"/>
  <c r="P790" i="4"/>
  <c r="J299" i="4"/>
  <c r="P45" i="4"/>
  <c r="J609" i="2"/>
  <c r="J840" i="4"/>
  <c r="J386" i="2"/>
  <c r="H54" i="2"/>
  <c r="I54" i="2" s="1"/>
  <c r="O54" i="2" s="1"/>
  <c r="Q54" i="2" s="1"/>
  <c r="R54" i="2" s="1"/>
  <c r="T54" i="2" s="1"/>
  <c r="V54" i="2" s="1"/>
  <c r="P840" i="4"/>
  <c r="J757" i="4"/>
  <c r="P574" i="4"/>
  <c r="H764" i="4"/>
  <c r="J640" i="4"/>
  <c r="J478" i="4"/>
  <c r="H44" i="4"/>
  <c r="I44" i="4" s="1"/>
  <c r="O44" i="4" s="1"/>
  <c r="Q44" i="4" s="1"/>
  <c r="R44" i="4" s="1"/>
  <c r="T44" i="4" s="1"/>
  <c r="V44" i="4" s="1"/>
  <c r="P386" i="2"/>
  <c r="J54" i="2"/>
  <c r="I541" i="4"/>
  <c r="O541" i="4" s="1"/>
  <c r="J733" i="4"/>
  <c r="J673" i="4"/>
  <c r="P932" i="2"/>
  <c r="H456" i="2"/>
  <c r="I456" i="2" s="1"/>
  <c r="O456" i="2" s="1"/>
  <c r="Q456" i="2" s="1"/>
  <c r="R456" i="2" s="1"/>
  <c r="T456" i="2" s="1"/>
  <c r="V456" i="2" s="1"/>
  <c r="J400" i="2"/>
  <c r="J234" i="2"/>
  <c r="J781" i="2"/>
  <c r="P773" i="2"/>
  <c r="P229" i="2"/>
  <c r="P205" i="2"/>
  <c r="H918" i="2"/>
  <c r="J767" i="4"/>
  <c r="H974" i="4"/>
  <c r="P673" i="4"/>
  <c r="P719" i="4"/>
  <c r="J376" i="4"/>
  <c r="I932" i="2"/>
  <c r="O932" i="2" s="1"/>
  <c r="J671" i="2"/>
  <c r="J773" i="2"/>
  <c r="H229" i="2"/>
  <c r="I229" i="2" s="1"/>
  <c r="O229" i="2" s="1"/>
  <c r="H297" i="2"/>
  <c r="I297" i="2" s="1"/>
  <c r="O297" i="2" s="1"/>
  <c r="J211" i="2"/>
  <c r="P63" i="2"/>
  <c r="J97" i="4"/>
  <c r="H749" i="2"/>
  <c r="I749" i="2" s="1"/>
  <c r="O749" i="2" s="1"/>
  <c r="Q749" i="2" s="1"/>
  <c r="R749" i="2" s="1"/>
  <c r="T749" i="2" s="1"/>
  <c r="V749" i="2" s="1"/>
  <c r="J1000" i="4"/>
  <c r="I475" i="4"/>
  <c r="O475" i="4" s="1"/>
  <c r="P379" i="2"/>
  <c r="P968" i="4"/>
  <c r="H824" i="2"/>
  <c r="I824" i="2" s="1"/>
  <c r="O824" i="2" s="1"/>
  <c r="I45" i="4"/>
  <c r="O45" i="4" s="1"/>
  <c r="P191" i="2"/>
  <c r="P920" i="4"/>
  <c r="J604" i="4"/>
  <c r="P309" i="4"/>
  <c r="H544" i="4"/>
  <c r="I544" i="4" s="1"/>
  <c r="O544" i="4" s="1"/>
  <c r="Q544" i="4" s="1"/>
  <c r="R544" i="4" s="1"/>
  <c r="T544" i="4" s="1"/>
  <c r="V544" i="4" s="1"/>
  <c r="J544" i="4"/>
  <c r="P622" i="2"/>
  <c r="H615" i="2"/>
  <c r="K615" i="2" s="1"/>
  <c r="I840" i="4"/>
  <c r="O840" i="4" s="1"/>
  <c r="J706" i="4"/>
  <c r="P499" i="4"/>
  <c r="P757" i="4"/>
  <c r="P706" i="4"/>
  <c r="P764" i="4"/>
  <c r="H640" i="4"/>
  <c r="I640" i="4" s="1"/>
  <c r="O640" i="4" s="1"/>
  <c r="Q640" i="4" s="1"/>
  <c r="R640" i="4" s="1"/>
  <c r="T640" i="4" s="1"/>
  <c r="V640" i="4" s="1"/>
  <c r="J499" i="4"/>
  <c r="P609" i="2"/>
  <c r="I390" i="2"/>
  <c r="O390" i="2" s="1"/>
  <c r="P626" i="4"/>
  <c r="H95" i="2"/>
  <c r="I95" i="2" s="1"/>
  <c r="O95" i="2" s="1"/>
  <c r="Q95" i="2" s="1"/>
  <c r="R95" i="2" s="1"/>
  <c r="T95" i="2" s="1"/>
  <c r="V95" i="2" s="1"/>
  <c r="P58" i="2"/>
  <c r="P207" i="2"/>
  <c r="H478" i="4"/>
  <c r="I478" i="4" s="1"/>
  <c r="O478" i="4" s="1"/>
  <c r="Q478" i="4" s="1"/>
  <c r="R478" i="4" s="1"/>
  <c r="T478" i="4" s="1"/>
  <c r="V478" i="4" s="1"/>
  <c r="P671" i="2"/>
  <c r="P590" i="2"/>
  <c r="J44" i="4"/>
  <c r="J95" i="2"/>
  <c r="I291" i="2"/>
  <c r="O291" i="2" s="1"/>
  <c r="I499" i="4"/>
  <c r="O499" i="4" s="1"/>
  <c r="H376" i="4"/>
  <c r="I376" i="4" s="1"/>
  <c r="O376" i="4" s="1"/>
  <c r="Q376" i="4" s="1"/>
  <c r="R376" i="4" s="1"/>
  <c r="T376" i="4" s="1"/>
  <c r="V376" i="4" s="1"/>
  <c r="J932" i="2"/>
  <c r="J456" i="2"/>
  <c r="H205" i="2"/>
  <c r="I205" i="2" s="1"/>
  <c r="O205" i="2" s="1"/>
  <c r="H1000" i="4"/>
  <c r="I1000" i="4" s="1"/>
  <c r="O1000" i="4" s="1"/>
  <c r="Q1000" i="4" s="1"/>
  <c r="R1000" i="4" s="1"/>
  <c r="T1000" i="4" s="1"/>
  <c r="V1000" i="4" s="1"/>
  <c r="H928" i="4"/>
  <c r="I928" i="4" s="1"/>
  <c r="O928" i="4" s="1"/>
  <c r="P767" i="4"/>
  <c r="P974" i="4"/>
  <c r="H719" i="4"/>
  <c r="H492" i="4"/>
  <c r="I492" i="4" s="1"/>
  <c r="O492" i="4" s="1"/>
  <c r="Q492" i="4" s="1"/>
  <c r="R492" i="4" s="1"/>
  <c r="T492" i="4" s="1"/>
  <c r="V492" i="4" s="1"/>
  <c r="H318" i="4"/>
  <c r="I318" i="4" s="1"/>
  <c r="O318" i="4" s="1"/>
  <c r="H873" i="2"/>
  <c r="I873" i="2" s="1"/>
  <c r="O873" i="2" s="1"/>
  <c r="Q873" i="2" s="1"/>
  <c r="R873" i="2" s="1"/>
  <c r="T873" i="2" s="1"/>
  <c r="V873" i="2" s="1"/>
  <c r="H978" i="2"/>
  <c r="I978" i="2" s="1"/>
  <c r="O978" i="2" s="1"/>
  <c r="Q978" i="2" s="1"/>
  <c r="R978" i="2" s="1"/>
  <c r="T978" i="2" s="1"/>
  <c r="V978" i="2" s="1"/>
  <c r="J402" i="2"/>
  <c r="P311" i="2"/>
  <c r="P297" i="2"/>
  <c r="H856" i="2"/>
  <c r="I856" i="2" s="1"/>
  <c r="O856" i="2" s="1"/>
  <c r="J749" i="2"/>
  <c r="H532" i="4"/>
  <c r="I532" i="4" s="1"/>
  <c r="O532" i="4" s="1"/>
  <c r="Q532" i="4" s="1"/>
  <c r="R532" i="4" s="1"/>
  <c r="T532" i="4" s="1"/>
  <c r="V532" i="4" s="1"/>
  <c r="I744" i="4"/>
  <c r="O744" i="4" s="1"/>
  <c r="I808" i="4"/>
  <c r="O808" i="4" s="1"/>
  <c r="Q808" i="4" s="1"/>
  <c r="R808" i="4" s="1"/>
  <c r="T808" i="4" s="1"/>
  <c r="V808" i="4" s="1"/>
  <c r="P928" i="4"/>
  <c r="H634" i="4"/>
  <c r="I634" i="4" s="1"/>
  <c r="O634" i="4" s="1"/>
  <c r="J492" i="4"/>
  <c r="P318" i="4"/>
  <c r="J294" i="4"/>
  <c r="P392" i="4"/>
  <c r="H134" i="4"/>
  <c r="J873" i="2"/>
  <c r="J978" i="2"/>
  <c r="P46" i="4"/>
  <c r="H311" i="2"/>
  <c r="I311" i="2" s="1"/>
  <c r="O311" i="2" s="1"/>
  <c r="H266" i="2"/>
  <c r="I266" i="2" s="1"/>
  <c r="O266" i="2" s="1"/>
  <c r="Q266" i="2" s="1"/>
  <c r="R266" i="2" s="1"/>
  <c r="T266" i="2" s="1"/>
  <c r="V266" i="2" s="1"/>
  <c r="P856" i="2"/>
  <c r="J532" i="4"/>
  <c r="H519" i="2"/>
  <c r="I519" i="2" s="1"/>
  <c r="O519" i="2" s="1"/>
  <c r="Q519" i="2" s="1"/>
  <c r="R519" i="2" s="1"/>
  <c r="T519" i="2" s="1"/>
  <c r="V519" i="2" s="1"/>
  <c r="H900" i="4"/>
  <c r="I900" i="4" s="1"/>
  <c r="O900" i="4" s="1"/>
  <c r="I167" i="4"/>
  <c r="O167" i="4" s="1"/>
  <c r="I700" i="2"/>
  <c r="O700" i="2" s="1"/>
  <c r="I306" i="4"/>
  <c r="O306" i="4" s="1"/>
  <c r="J744" i="4"/>
  <c r="P634" i="4"/>
  <c r="H109" i="4"/>
  <c r="I109" i="4" s="1"/>
  <c r="O109" i="4" s="1"/>
  <c r="J872" i="2"/>
  <c r="H720" i="4"/>
  <c r="I720" i="4" s="1"/>
  <c r="O720" i="4" s="1"/>
  <c r="Q720" i="4" s="1"/>
  <c r="R720" i="4" s="1"/>
  <c r="T720" i="4" s="1"/>
  <c r="V720" i="4" s="1"/>
  <c r="J135" i="4"/>
  <c r="J975" i="4"/>
  <c r="P197" i="4"/>
  <c r="I680" i="4"/>
  <c r="O680" i="4" s="1"/>
  <c r="P220" i="2"/>
  <c r="H744" i="2"/>
  <c r="I744" i="2" s="1"/>
  <c r="O744" i="2" s="1"/>
  <c r="Q744" i="2" s="1"/>
  <c r="R744" i="2" s="1"/>
  <c r="T744" i="2" s="1"/>
  <c r="V744" i="2" s="1"/>
  <c r="H220" i="2"/>
  <c r="I220" i="2" s="1"/>
  <c r="O220" i="2" s="1"/>
  <c r="J744" i="2"/>
  <c r="J467" i="2"/>
  <c r="H474" i="2"/>
  <c r="I474" i="2" s="1"/>
  <c r="O474" i="2" s="1"/>
  <c r="H706" i="2"/>
  <c r="I706" i="2" s="1"/>
  <c r="O706" i="2" s="1"/>
  <c r="Q706" i="2" s="1"/>
  <c r="R706" i="2" s="1"/>
  <c r="T706" i="2" s="1"/>
  <c r="V706" i="2" s="1"/>
  <c r="P987" i="2"/>
  <c r="H467" i="2"/>
  <c r="I467" i="2" s="1"/>
  <c r="O467" i="2" s="1"/>
  <c r="Q467" i="2" s="1"/>
  <c r="R467" i="2" s="1"/>
  <c r="T467" i="2" s="1"/>
  <c r="V467" i="2" s="1"/>
  <c r="P474" i="2"/>
  <c r="J706" i="2"/>
  <c r="J699" i="2"/>
  <c r="H682" i="2"/>
  <c r="I682" i="2" s="1"/>
  <c r="O682" i="2" s="1"/>
  <c r="Q682" i="2" s="1"/>
  <c r="R682" i="2" s="1"/>
  <c r="T682" i="2" s="1"/>
  <c r="V682" i="2" s="1"/>
  <c r="I177" i="4"/>
  <c r="O177" i="4" s="1"/>
  <c r="J256" i="4"/>
  <c r="P181" i="4"/>
  <c r="I796" i="4"/>
  <c r="O796" i="4" s="1"/>
  <c r="H294" i="4"/>
  <c r="I294" i="4" s="1"/>
  <c r="O294" i="4" s="1"/>
  <c r="Q294" i="4" s="1"/>
  <c r="R294" i="4" s="1"/>
  <c r="T294" i="4" s="1"/>
  <c r="V294" i="4" s="1"/>
  <c r="J181" i="4"/>
  <c r="J67" i="2"/>
  <c r="J129" i="2"/>
  <c r="P694" i="4"/>
  <c r="H67" i="2"/>
  <c r="I67" i="2" s="1"/>
  <c r="O67" i="2" s="1"/>
  <c r="Q67" i="2" s="1"/>
  <c r="R67" i="2" s="1"/>
  <c r="T67" i="2" s="1"/>
  <c r="V67" i="2" s="1"/>
  <c r="P129" i="2"/>
  <c r="H973" i="4"/>
  <c r="I973" i="4" s="1"/>
  <c r="O973" i="4" s="1"/>
  <c r="J177" i="4"/>
  <c r="H987" i="2"/>
  <c r="P177" i="4"/>
  <c r="P256" i="4"/>
  <c r="I330" i="4"/>
  <c r="O330" i="4" s="1"/>
  <c r="P290" i="2"/>
  <c r="J167" i="4"/>
  <c r="J682" i="2"/>
  <c r="I581" i="4"/>
  <c r="O581" i="4" s="1"/>
  <c r="P97" i="4"/>
  <c r="H752" i="2"/>
  <c r="I752" i="2" s="1"/>
  <c r="O752" i="2" s="1"/>
  <c r="Q752" i="2" s="1"/>
  <c r="R752" i="2" s="1"/>
  <c r="T752" i="2" s="1"/>
  <c r="V752" i="2" s="1"/>
  <c r="J307" i="2"/>
  <c r="J752" i="2"/>
  <c r="P307" i="2"/>
  <c r="H822" i="4"/>
  <c r="H639" i="4"/>
  <c r="I639" i="4" s="1"/>
  <c r="O639" i="4" s="1"/>
  <c r="Q639" i="4" s="1"/>
  <c r="R639" i="4" s="1"/>
  <c r="T639" i="4" s="1"/>
  <c r="V639" i="4" s="1"/>
  <c r="H334" i="4"/>
  <c r="I334" i="4" s="1"/>
  <c r="O334" i="4" s="1"/>
  <c r="Q334" i="4" s="1"/>
  <c r="R334" i="4" s="1"/>
  <c r="T334" i="4" s="1"/>
  <c r="V334" i="4" s="1"/>
  <c r="H92" i="4"/>
  <c r="I92" i="4" s="1"/>
  <c r="O92" i="4" s="1"/>
  <c r="Q92" i="4" s="1"/>
  <c r="R92" i="4" s="1"/>
  <c r="T92" i="4" s="1"/>
  <c r="V92" i="4" s="1"/>
  <c r="P109" i="4"/>
  <c r="P726" i="2"/>
  <c r="P295" i="2"/>
  <c r="J639" i="4"/>
  <c r="J15" i="4"/>
  <c r="H681" i="2"/>
  <c r="I681" i="2" s="1"/>
  <c r="O681" i="2" s="1"/>
  <c r="H726" i="2"/>
  <c r="I726" i="2" s="1"/>
  <c r="O726" i="2" s="1"/>
  <c r="J18" i="2"/>
  <c r="J295" i="2"/>
  <c r="J14" i="4"/>
  <c r="H15" i="4"/>
  <c r="I15" i="4" s="1"/>
  <c r="O15" i="4" s="1"/>
  <c r="Q15" i="4" s="1"/>
  <c r="R15" i="4" s="1"/>
  <c r="T15" i="4" s="1"/>
  <c r="V15" i="4" s="1"/>
  <c r="H247" i="2"/>
  <c r="I247" i="2" s="1"/>
  <c r="O247" i="2" s="1"/>
  <c r="H993" i="4"/>
  <c r="I993" i="4" s="1"/>
  <c r="O993" i="4" s="1"/>
  <c r="Q993" i="4" s="1"/>
  <c r="R993" i="4" s="1"/>
  <c r="T993" i="4" s="1"/>
  <c r="V993" i="4" s="1"/>
  <c r="I673" i="4"/>
  <c r="O673" i="4" s="1"/>
  <c r="P247" i="2"/>
  <c r="J993" i="4"/>
  <c r="P151" i="4"/>
  <c r="H147" i="4"/>
  <c r="I147" i="4" s="1"/>
  <c r="O147" i="4" s="1"/>
  <c r="Q147" i="4" s="1"/>
  <c r="R147" i="4" s="1"/>
  <c r="T147" i="4" s="1"/>
  <c r="V147" i="4" s="1"/>
  <c r="P497" i="2"/>
  <c r="P934" i="2"/>
  <c r="J784" i="2"/>
  <c r="I984" i="2"/>
  <c r="O984" i="2" s="1"/>
  <c r="H113" i="4"/>
  <c r="I113" i="4" s="1"/>
  <c r="O113" i="4" s="1"/>
  <c r="Q113" i="4" s="1"/>
  <c r="R113" i="4" s="1"/>
  <c r="T113" i="4" s="1"/>
  <c r="V113" i="4" s="1"/>
  <c r="J147" i="4"/>
  <c r="H497" i="2"/>
  <c r="I497" i="2" s="1"/>
  <c r="O497" i="2" s="1"/>
  <c r="I159" i="2"/>
  <c r="O159" i="2" s="1"/>
  <c r="Q159" i="2" s="1"/>
  <c r="R159" i="2" s="1"/>
  <c r="T159" i="2" s="1"/>
  <c r="V159" i="2" s="1"/>
  <c r="J934" i="2"/>
  <c r="H784" i="2"/>
  <c r="I784" i="2" s="1"/>
  <c r="O784" i="2" s="1"/>
  <c r="Q784" i="2" s="1"/>
  <c r="R784" i="2" s="1"/>
  <c r="T784" i="2" s="1"/>
  <c r="V784" i="2" s="1"/>
  <c r="P56" i="4"/>
  <c r="J113" i="4"/>
  <c r="H699" i="2"/>
  <c r="I699" i="2" s="1"/>
  <c r="O699" i="2" s="1"/>
  <c r="Q699" i="2" s="1"/>
  <c r="R699" i="2" s="1"/>
  <c r="T699" i="2" s="1"/>
  <c r="V699" i="2" s="1"/>
  <c r="I277" i="4"/>
  <c r="O277" i="4" s="1"/>
  <c r="J268" i="4"/>
  <c r="H965" i="2"/>
  <c r="I965" i="2" s="1"/>
  <c r="O965" i="2" s="1"/>
  <c r="I256" i="4"/>
  <c r="O256" i="4" s="1"/>
  <c r="H669" i="2"/>
  <c r="I669" i="2" s="1"/>
  <c r="O669" i="2" s="1"/>
  <c r="Q669" i="2" s="1"/>
  <c r="R669" i="2" s="1"/>
  <c r="T669" i="2" s="1"/>
  <c r="V669" i="2" s="1"/>
  <c r="P92" i="2"/>
  <c r="J146" i="2"/>
  <c r="H225" i="2"/>
  <c r="I225" i="2" s="1"/>
  <c r="O225" i="2" s="1"/>
  <c r="J759" i="2"/>
  <c r="P418" i="2"/>
  <c r="H106" i="4"/>
  <c r="I106" i="4" s="1"/>
  <c r="O106" i="4" s="1"/>
  <c r="H607" i="4"/>
  <c r="I607" i="4" s="1"/>
  <c r="O607" i="4" s="1"/>
  <c r="P528" i="4"/>
  <c r="P965" i="2"/>
  <c r="J669" i="2"/>
  <c r="J513" i="2"/>
  <c r="H255" i="2"/>
  <c r="H92" i="2"/>
  <c r="I92" i="2" s="1"/>
  <c r="O92" i="2" s="1"/>
  <c r="P146" i="2"/>
  <c r="P218" i="2"/>
  <c r="P225" i="2"/>
  <c r="I901" i="4"/>
  <c r="O901" i="4" s="1"/>
  <c r="Q901" i="4" s="1"/>
  <c r="R901" i="4" s="1"/>
  <c r="T901" i="4" s="1"/>
  <c r="V901" i="4" s="1"/>
  <c r="H367" i="4"/>
  <c r="I367" i="4" s="1"/>
  <c r="O367" i="4" s="1"/>
  <c r="Q367" i="4" s="1"/>
  <c r="R367" i="4" s="1"/>
  <c r="T367" i="4" s="1"/>
  <c r="V367" i="4" s="1"/>
  <c r="H356" i="4"/>
  <c r="I356" i="4" s="1"/>
  <c r="O356" i="4" s="1"/>
  <c r="Q356" i="4" s="1"/>
  <c r="R356" i="4" s="1"/>
  <c r="T356" i="4" s="1"/>
  <c r="V356" i="4" s="1"/>
  <c r="P255" i="2"/>
  <c r="I328" i="2"/>
  <c r="O328" i="2" s="1"/>
  <c r="J218" i="2"/>
  <c r="J98" i="4"/>
  <c r="P536" i="2"/>
  <c r="H16" i="4"/>
  <c r="I16" i="4" s="1"/>
  <c r="O16" i="4" s="1"/>
  <c r="Q16" i="4" s="1"/>
  <c r="R16" i="4" s="1"/>
  <c r="T16" i="4" s="1"/>
  <c r="V16" i="4" s="1"/>
  <c r="I352" i="4"/>
  <c r="O352" i="4" s="1"/>
  <c r="H84" i="2"/>
  <c r="I84" i="2" s="1"/>
  <c r="O84" i="2" s="1"/>
  <c r="I392" i="4"/>
  <c r="O392" i="4" s="1"/>
  <c r="P84" i="2"/>
  <c r="H144" i="2"/>
  <c r="I144" i="2" s="1"/>
  <c r="O144" i="2" s="1"/>
  <c r="Q144" i="2" s="1"/>
  <c r="R144" i="2" s="1"/>
  <c r="T144" i="2" s="1"/>
  <c r="V144" i="2" s="1"/>
  <c r="J909" i="2"/>
  <c r="J866" i="4"/>
  <c r="J144" i="2"/>
  <c r="P866" i="4"/>
  <c r="I130" i="4"/>
  <c r="O130" i="4" s="1"/>
  <c r="J290" i="2"/>
  <c r="J273" i="2"/>
  <c r="J130" i="4"/>
  <c r="H50" i="2"/>
  <c r="P273" i="2"/>
  <c r="P213" i="4"/>
  <c r="P756" i="4"/>
  <c r="H213" i="4"/>
  <c r="I213" i="4" s="1"/>
  <c r="O213" i="4" s="1"/>
  <c r="P742" i="2"/>
  <c r="P89" i="2"/>
  <c r="H89" i="2"/>
  <c r="I89" i="2" s="1"/>
  <c r="O89" i="2" s="1"/>
  <c r="P169" i="2"/>
  <c r="H104" i="2"/>
  <c r="I104" i="2" s="1"/>
  <c r="O104" i="2" s="1"/>
  <c r="Q104" i="2" s="1"/>
  <c r="R104" i="2" s="1"/>
  <c r="T104" i="2" s="1"/>
  <c r="V104" i="2" s="1"/>
  <c r="P646" i="4"/>
  <c r="P50" i="2"/>
  <c r="H646" i="4"/>
  <c r="I646" i="4" s="1"/>
  <c r="O646" i="4" s="1"/>
  <c r="P677" i="2"/>
  <c r="I139" i="2"/>
  <c r="O139" i="2" s="1"/>
  <c r="H169" i="2"/>
  <c r="I169" i="2" s="1"/>
  <c r="O169" i="2" s="1"/>
  <c r="P759" i="2"/>
  <c r="P106" i="4"/>
  <c r="H528" i="4"/>
  <c r="I528" i="4" s="1"/>
  <c r="O528" i="4" s="1"/>
  <c r="H750" i="4"/>
  <c r="I750" i="4" s="1"/>
  <c r="O750" i="4" s="1"/>
  <c r="Q750" i="4" s="1"/>
  <c r="R750" i="4" s="1"/>
  <c r="T750" i="4" s="1"/>
  <c r="V750" i="4" s="1"/>
  <c r="H908" i="4"/>
  <c r="I908" i="4" s="1"/>
  <c r="O908" i="4" s="1"/>
  <c r="J356" i="4"/>
  <c r="P6" i="4"/>
  <c r="H463" i="2"/>
  <c r="I463" i="2" s="1"/>
  <c r="O463" i="2" s="1"/>
  <c r="J236" i="4"/>
  <c r="J16" i="4"/>
  <c r="P908" i="4"/>
  <c r="J680" i="4"/>
  <c r="P607" i="4"/>
  <c r="J541" i="4"/>
  <c r="J34" i="4"/>
  <c r="J6" i="4"/>
  <c r="J728" i="2"/>
  <c r="J240" i="2"/>
  <c r="H236" i="4"/>
  <c r="I236" i="4" s="1"/>
  <c r="O236" i="4" s="1"/>
  <c r="Q236" i="4" s="1"/>
  <c r="R236" i="4" s="1"/>
  <c r="T236" i="4" s="1"/>
  <c r="V236" i="4" s="1"/>
  <c r="J367" i="4"/>
  <c r="P680" i="4"/>
  <c r="P482" i="2"/>
  <c r="H507" i="2"/>
  <c r="I507" i="2" s="1"/>
  <c r="O507" i="2" s="1"/>
  <c r="Q507" i="2" s="1"/>
  <c r="R507" i="2" s="1"/>
  <c r="T507" i="2" s="1"/>
  <c r="V507" i="2" s="1"/>
  <c r="I742" i="2"/>
  <c r="O742" i="2" s="1"/>
  <c r="H611" i="4"/>
  <c r="I611" i="4" s="1"/>
  <c r="O611" i="4" s="1"/>
  <c r="H432" i="4"/>
  <c r="I6" i="4"/>
  <c r="O6" i="4" s="1"/>
  <c r="J908" i="2"/>
  <c r="J482" i="2"/>
  <c r="P327" i="2"/>
  <c r="J507" i="2"/>
  <c r="I340" i="4"/>
  <c r="O340" i="4" s="1"/>
  <c r="I149" i="2"/>
  <c r="O149" i="2" s="1"/>
  <c r="Q149" i="2" s="1"/>
  <c r="R149" i="2" s="1"/>
  <c r="T149" i="2" s="1"/>
  <c r="V149" i="2" s="1"/>
  <c r="J868" i="4"/>
  <c r="I782" i="4"/>
  <c r="O782" i="4" s="1"/>
  <c r="H606" i="4"/>
  <c r="I606" i="4" s="1"/>
  <c r="O606" i="4" s="1"/>
  <c r="Q606" i="4" s="1"/>
  <c r="R606" i="4" s="1"/>
  <c r="T606" i="4" s="1"/>
  <c r="V606" i="4" s="1"/>
  <c r="P611" i="4"/>
  <c r="P432" i="4"/>
  <c r="H381" i="4"/>
  <c r="I381" i="4" s="1"/>
  <c r="O381" i="4" s="1"/>
  <c r="H908" i="2"/>
  <c r="I908" i="2" s="1"/>
  <c r="O908" i="2" s="1"/>
  <c r="Q908" i="2" s="1"/>
  <c r="R908" i="2" s="1"/>
  <c r="T908" i="2" s="1"/>
  <c r="V908" i="2" s="1"/>
  <c r="P944" i="2"/>
  <c r="H327" i="2"/>
  <c r="J685" i="2"/>
  <c r="H398" i="2"/>
  <c r="I398" i="2" s="1"/>
  <c r="O398" i="2" s="1"/>
  <c r="I838" i="4"/>
  <c r="O838" i="4" s="1"/>
  <c r="H536" i="2"/>
  <c r="I536" i="2" s="1"/>
  <c r="O536" i="2" s="1"/>
  <c r="P240" i="2"/>
  <c r="H975" i="4"/>
  <c r="K873" i="4"/>
  <c r="P868" i="4"/>
  <c r="H743" i="4"/>
  <c r="I743" i="4" s="1"/>
  <c r="O743" i="4" s="1"/>
  <c r="Q743" i="4" s="1"/>
  <c r="R743" i="4" s="1"/>
  <c r="T743" i="4" s="1"/>
  <c r="V743" i="4" s="1"/>
  <c r="J771" i="4"/>
  <c r="J606" i="4"/>
  <c r="J151" i="4"/>
  <c r="H489" i="2"/>
  <c r="I489" i="2" s="1"/>
  <c r="O489" i="2" s="1"/>
  <c r="Q489" i="2" s="1"/>
  <c r="R489" i="2" s="1"/>
  <c r="T489" i="2" s="1"/>
  <c r="V489" i="2" s="1"/>
  <c r="J662" i="2"/>
  <c r="P398" i="2"/>
  <c r="I137" i="2"/>
  <c r="O137" i="2" s="1"/>
  <c r="H971" i="4"/>
  <c r="I971" i="4" s="1"/>
  <c r="O971" i="4" s="1"/>
  <c r="P971" i="4"/>
  <c r="P130" i="4"/>
  <c r="H771" i="4"/>
  <c r="I771" i="4" s="1"/>
  <c r="O771" i="4" s="1"/>
  <c r="Q771" i="4" s="1"/>
  <c r="R771" i="4" s="1"/>
  <c r="T771" i="4" s="1"/>
  <c r="V771" i="4" s="1"/>
  <c r="I582" i="4"/>
  <c r="O582" i="4" s="1"/>
  <c r="P662" i="2"/>
  <c r="J901" i="2"/>
  <c r="H489" i="4"/>
  <c r="I489" i="4" s="1"/>
  <c r="O489" i="4" s="1"/>
  <c r="Q489" i="4" s="1"/>
  <c r="R489" i="4" s="1"/>
  <c r="T489" i="4" s="1"/>
  <c r="V489" i="4" s="1"/>
  <c r="P518" i="4"/>
  <c r="P157" i="4"/>
  <c r="H402" i="2"/>
  <c r="I402" i="2" s="1"/>
  <c r="O402" i="2" s="1"/>
  <c r="Q402" i="2" s="1"/>
  <c r="R402" i="2" s="1"/>
  <c r="T402" i="2" s="1"/>
  <c r="V402" i="2" s="1"/>
  <c r="H24" i="2"/>
  <c r="I24" i="2" s="1"/>
  <c r="O24" i="2" s="1"/>
  <c r="P461" i="2"/>
  <c r="J483" i="4"/>
  <c r="P397" i="4"/>
  <c r="H157" i="4"/>
  <c r="J489" i="2"/>
  <c r="H94" i="4"/>
  <c r="I94" i="4" s="1"/>
  <c r="O94" i="4" s="1"/>
  <c r="Q94" i="4" s="1"/>
  <c r="R94" i="4" s="1"/>
  <c r="T94" i="4" s="1"/>
  <c r="V94" i="4" s="1"/>
  <c r="H697" i="2"/>
  <c r="I697" i="2" s="1"/>
  <c r="O697" i="2" s="1"/>
  <c r="Q697" i="2" s="1"/>
  <c r="R697" i="2" s="1"/>
  <c r="T697" i="2" s="1"/>
  <c r="V697" i="2" s="1"/>
  <c r="P765" i="2"/>
  <c r="P24" i="2"/>
  <c r="H461" i="2"/>
  <c r="P477" i="2"/>
  <c r="I225" i="4"/>
  <c r="O225" i="4" s="1"/>
  <c r="J720" i="4"/>
  <c r="H483" i="4"/>
  <c r="I483" i="4" s="1"/>
  <c r="O483" i="4" s="1"/>
  <c r="Q483" i="4" s="1"/>
  <c r="R483" i="4" s="1"/>
  <c r="T483" i="4" s="1"/>
  <c r="V483" i="4" s="1"/>
  <c r="P936" i="2"/>
  <c r="J94" i="4"/>
  <c r="H643" i="2"/>
  <c r="I643" i="2" s="1"/>
  <c r="O643" i="2" s="1"/>
  <c r="Q643" i="2" s="1"/>
  <c r="R643" i="2" s="1"/>
  <c r="T643" i="2" s="1"/>
  <c r="V643" i="2" s="1"/>
  <c r="H765" i="2"/>
  <c r="I765" i="2" s="1"/>
  <c r="O765" i="2" s="1"/>
  <c r="K376" i="2"/>
  <c r="H477" i="2"/>
  <c r="I477" i="2" s="1"/>
  <c r="O477" i="2" s="1"/>
  <c r="J444" i="2"/>
  <c r="I90" i="2"/>
  <c r="O90" i="2" s="1"/>
  <c r="I170" i="2"/>
  <c r="O170" i="2" s="1"/>
  <c r="Q170" i="2" s="1"/>
  <c r="R170" i="2" s="1"/>
  <c r="T170" i="2" s="1"/>
  <c r="V170" i="2" s="1"/>
  <c r="H14" i="4"/>
  <c r="I14" i="4" s="1"/>
  <c r="O14" i="4" s="1"/>
  <c r="Q14" i="4" s="1"/>
  <c r="R14" i="4" s="1"/>
  <c r="T14" i="4" s="1"/>
  <c r="V14" i="4" s="1"/>
  <c r="H626" i="2"/>
  <c r="I626" i="2" s="1"/>
  <c r="O626" i="2" s="1"/>
  <c r="Q626" i="2" s="1"/>
  <c r="R626" i="2" s="1"/>
  <c r="T626" i="2" s="1"/>
  <c r="V626" i="2" s="1"/>
  <c r="H685" i="2"/>
  <c r="I39" i="2"/>
  <c r="O39" i="2" s="1"/>
  <c r="J124" i="4"/>
  <c r="I337" i="2"/>
  <c r="O337" i="2" s="1"/>
  <c r="I882" i="2"/>
  <c r="O882" i="2" s="1"/>
  <c r="H150" i="4"/>
  <c r="I150" i="4" s="1"/>
  <c r="O150" i="4" s="1"/>
  <c r="Q150" i="4" s="1"/>
  <c r="R150" i="4" s="1"/>
  <c r="T150" i="4" s="1"/>
  <c r="V150" i="4" s="1"/>
  <c r="P34" i="4"/>
  <c r="H902" i="4"/>
  <c r="I902" i="4" s="1"/>
  <c r="O902" i="4" s="1"/>
  <c r="Q902" i="4" s="1"/>
  <c r="R902" i="4" s="1"/>
  <c r="T902" i="4" s="1"/>
  <c r="V902" i="4" s="1"/>
  <c r="J605" i="4"/>
  <c r="J750" i="4"/>
  <c r="H337" i="4"/>
  <c r="P882" i="2"/>
  <c r="I517" i="2"/>
  <c r="O517" i="2" s="1"/>
  <c r="P660" i="2"/>
  <c r="P899" i="2"/>
  <c r="I69" i="4"/>
  <c r="O69" i="4" s="1"/>
  <c r="Q69" i="4" s="1"/>
  <c r="R69" i="4" s="1"/>
  <c r="T69" i="4" s="1"/>
  <c r="V69" i="4" s="1"/>
  <c r="J727" i="2"/>
  <c r="P834" i="2"/>
  <c r="J518" i="4"/>
  <c r="J643" i="2"/>
  <c r="H124" i="4"/>
  <c r="I124" i="4" s="1"/>
  <c r="O124" i="4" s="1"/>
  <c r="Q124" i="4" s="1"/>
  <c r="R124" i="4" s="1"/>
  <c r="T124" i="4" s="1"/>
  <c r="V124" i="4" s="1"/>
  <c r="H869" i="4"/>
  <c r="I869" i="4" s="1"/>
  <c r="O869" i="4" s="1"/>
  <c r="Q869" i="4" s="1"/>
  <c r="R869" i="4" s="1"/>
  <c r="T869" i="4" s="1"/>
  <c r="V869" i="4" s="1"/>
  <c r="I34" i="4"/>
  <c r="O34" i="4" s="1"/>
  <c r="P337" i="4"/>
  <c r="J882" i="2"/>
  <c r="H953" i="2"/>
  <c r="I953" i="2" s="1"/>
  <c r="O953" i="2" s="1"/>
  <c r="Q953" i="2" s="1"/>
  <c r="R953" i="2" s="1"/>
  <c r="T953" i="2" s="1"/>
  <c r="V953" i="2" s="1"/>
  <c r="H675" i="2"/>
  <c r="I675" i="2" s="1"/>
  <c r="O675" i="2" s="1"/>
  <c r="J817" i="2"/>
  <c r="P372" i="2"/>
  <c r="P901" i="2"/>
  <c r="P997" i="2"/>
  <c r="K997" i="2" s="1"/>
  <c r="J489" i="4"/>
  <c r="P727" i="2"/>
  <c r="J834" i="2"/>
  <c r="J853" i="4"/>
  <c r="P809" i="2"/>
  <c r="I354" i="4"/>
  <c r="O354" i="4" s="1"/>
  <c r="J689" i="4"/>
  <c r="J869" i="4"/>
  <c r="J354" i="4"/>
  <c r="H255" i="4"/>
  <c r="I255" i="4" s="1"/>
  <c r="O255" i="4" s="1"/>
  <c r="Q255" i="4" s="1"/>
  <c r="R255" i="4" s="1"/>
  <c r="T255" i="4" s="1"/>
  <c r="V255" i="4" s="1"/>
  <c r="P962" i="2"/>
  <c r="J953" i="2"/>
  <c r="P675" i="2"/>
  <c r="H817" i="2"/>
  <c r="I817" i="2" s="1"/>
  <c r="O817" i="2" s="1"/>
  <c r="Q817" i="2" s="1"/>
  <c r="R817" i="2" s="1"/>
  <c r="T817" i="2" s="1"/>
  <c r="V817" i="2" s="1"/>
  <c r="H372" i="2"/>
  <c r="I335" i="2"/>
  <c r="O335" i="2" s="1"/>
  <c r="J121" i="2"/>
  <c r="P995" i="2"/>
  <c r="J902" i="4"/>
  <c r="H837" i="4"/>
  <c r="I837" i="4" s="1"/>
  <c r="O837" i="4" s="1"/>
  <c r="P605" i="4"/>
  <c r="H689" i="4"/>
  <c r="P354" i="4"/>
  <c r="J255" i="4"/>
  <c r="I429" i="4"/>
  <c r="O429" i="4" s="1"/>
  <c r="P268" i="4"/>
  <c r="P933" i="2"/>
  <c r="I568" i="4"/>
  <c r="O568" i="4" s="1"/>
  <c r="J95" i="4"/>
  <c r="I872" i="4"/>
  <c r="O872" i="4" s="1"/>
  <c r="I683" i="2"/>
  <c r="O683" i="2" s="1"/>
  <c r="Q683" i="2" s="1"/>
  <c r="R683" i="2" s="1"/>
  <c r="T683" i="2" s="1"/>
  <c r="V683" i="2" s="1"/>
  <c r="H756" i="4"/>
  <c r="I756" i="4" s="1"/>
  <c r="O756" i="4" s="1"/>
  <c r="H155" i="4"/>
  <c r="I155" i="4" s="1"/>
  <c r="O155" i="4" s="1"/>
  <c r="Q155" i="4" s="1"/>
  <c r="R155" i="4" s="1"/>
  <c r="T155" i="4" s="1"/>
  <c r="V155" i="4" s="1"/>
  <c r="I130" i="2"/>
  <c r="O130" i="2" s="1"/>
  <c r="I168" i="2"/>
  <c r="O168" i="2" s="1"/>
  <c r="P95" i="4"/>
  <c r="I834" i="2"/>
  <c r="O834" i="2" s="1"/>
  <c r="J523" i="2"/>
  <c r="H235" i="4"/>
  <c r="I235" i="4" s="1"/>
  <c r="O235" i="4" s="1"/>
  <c r="Q235" i="4" s="1"/>
  <c r="R235" i="4" s="1"/>
  <c r="T235" i="4" s="1"/>
  <c r="V235" i="4" s="1"/>
  <c r="J418" i="2"/>
  <c r="I662" i="2"/>
  <c r="O662" i="2" s="1"/>
  <c r="I846" i="2"/>
  <c r="O846" i="2" s="1"/>
  <c r="J579" i="4"/>
  <c r="P579" i="4"/>
  <c r="J319" i="4"/>
  <c r="J147" i="2"/>
  <c r="P147" i="2"/>
  <c r="H147" i="2"/>
  <c r="I147" i="2" s="1"/>
  <c r="O147" i="2" s="1"/>
  <c r="J995" i="4"/>
  <c r="H995" i="4"/>
  <c r="I995" i="4" s="1"/>
  <c r="O995" i="4" s="1"/>
  <c r="P995" i="4"/>
  <c r="H190" i="4"/>
  <c r="I190" i="4" s="1"/>
  <c r="O190" i="4" s="1"/>
  <c r="J190" i="4"/>
  <c r="P190" i="4"/>
  <c r="H27" i="4"/>
  <c r="I27" i="4" s="1"/>
  <c r="O27" i="4" s="1"/>
  <c r="P27" i="4"/>
  <c r="P337" i="2"/>
  <c r="P123" i="2"/>
  <c r="J738" i="4"/>
  <c r="P738" i="4"/>
  <c r="H505" i="4"/>
  <c r="I505" i="4" s="1"/>
  <c r="O505" i="4" s="1"/>
  <c r="Q505" i="4" s="1"/>
  <c r="R505" i="4" s="1"/>
  <c r="T505" i="4" s="1"/>
  <c r="V505" i="4" s="1"/>
  <c r="J505" i="4"/>
  <c r="P319" i="4"/>
  <c r="P160" i="4"/>
  <c r="J301" i="4"/>
  <c r="J123" i="2"/>
  <c r="J80" i="4"/>
  <c r="H80" i="4"/>
  <c r="I80" i="4" s="1"/>
  <c r="O80" i="4" s="1"/>
  <c r="P747" i="2"/>
  <c r="J747" i="2"/>
  <c r="H747" i="2"/>
  <c r="I747" i="2" s="1"/>
  <c r="O747" i="2" s="1"/>
  <c r="P550" i="4"/>
  <c r="H550" i="4"/>
  <c r="I550" i="4" s="1"/>
  <c r="O550" i="4" s="1"/>
  <c r="I153" i="2"/>
  <c r="O153" i="2" s="1"/>
  <c r="H925" i="2"/>
  <c r="I925" i="2" s="1"/>
  <c r="O925" i="2" s="1"/>
  <c r="P925" i="2"/>
  <c r="P7" i="2"/>
  <c r="H7" i="2"/>
  <c r="I7" i="2" s="1"/>
  <c r="O7" i="2" s="1"/>
  <c r="P795" i="4"/>
  <c r="H795" i="4"/>
  <c r="I795" i="4" s="1"/>
  <c r="O795" i="4" s="1"/>
  <c r="J795" i="4"/>
  <c r="J501" i="4"/>
  <c r="H501" i="4"/>
  <c r="I501" i="4" s="1"/>
  <c r="O501" i="4" s="1"/>
  <c r="P501" i="4"/>
  <c r="H481" i="4"/>
  <c r="I481" i="4" s="1"/>
  <c r="O481" i="4" s="1"/>
  <c r="P481" i="4"/>
  <c r="J481" i="4"/>
  <c r="H310" i="4"/>
  <c r="I310" i="4" s="1"/>
  <c r="O310" i="4" s="1"/>
  <c r="J310" i="4"/>
  <c r="P763" i="4"/>
  <c r="H763" i="4"/>
  <c r="I763" i="4" s="1"/>
  <c r="O763" i="4" s="1"/>
  <c r="J763" i="4"/>
  <c r="J298" i="2"/>
  <c r="P298" i="2"/>
  <c r="H298" i="2"/>
  <c r="I298" i="2" s="1"/>
  <c r="O298" i="2" s="1"/>
  <c r="P179" i="2"/>
  <c r="J179" i="2"/>
  <c r="H179" i="2"/>
  <c r="I179" i="2" s="1"/>
  <c r="O179" i="2" s="1"/>
  <c r="P192" i="4"/>
  <c r="H192" i="4"/>
  <c r="I192" i="4" s="1"/>
  <c r="O192" i="4" s="1"/>
  <c r="J192" i="4"/>
  <c r="J85" i="4"/>
  <c r="I901" i="2"/>
  <c r="O901" i="2" s="1"/>
  <c r="H350" i="4"/>
  <c r="I350" i="4" s="1"/>
  <c r="O350" i="4" s="1"/>
  <c r="P350" i="4"/>
  <c r="J350" i="4"/>
  <c r="I316" i="4"/>
  <c r="O316" i="4" s="1"/>
  <c r="P631" i="2"/>
  <c r="H631" i="2"/>
  <c r="I631" i="2" s="1"/>
  <c r="O631" i="2" s="1"/>
  <c r="J631" i="2"/>
  <c r="J173" i="4"/>
  <c r="J420" i="4"/>
  <c r="J843" i="4"/>
  <c r="P843" i="4"/>
  <c r="H843" i="4"/>
  <c r="I843" i="4" s="1"/>
  <c r="O843" i="4" s="1"/>
  <c r="J863" i="4"/>
  <c r="P863" i="4"/>
  <c r="H863" i="4"/>
  <c r="I863" i="4" s="1"/>
  <c r="O863" i="4" s="1"/>
  <c r="H19" i="2"/>
  <c r="I19" i="2" s="1"/>
  <c r="O19" i="2" s="1"/>
  <c r="P19" i="2"/>
  <c r="P262" i="4"/>
  <c r="P420" i="4"/>
  <c r="P807" i="4"/>
  <c r="J807" i="4"/>
  <c r="H807" i="4"/>
  <c r="I807" i="4" s="1"/>
  <c r="O807" i="4" s="1"/>
  <c r="P435" i="2"/>
  <c r="J435" i="2"/>
  <c r="H435" i="2"/>
  <c r="I435" i="2" s="1"/>
  <c r="O435" i="2" s="1"/>
  <c r="H401" i="4"/>
  <c r="I401" i="4" s="1"/>
  <c r="O401" i="4" s="1"/>
  <c r="J401" i="4"/>
  <c r="H311" i="4"/>
  <c r="I311" i="4" s="1"/>
  <c r="O311" i="4" s="1"/>
  <c r="P311" i="4"/>
  <c r="J311" i="4"/>
  <c r="H666" i="2"/>
  <c r="I666" i="2" s="1"/>
  <c r="O666" i="2" s="1"/>
  <c r="P666" i="2"/>
  <c r="J666" i="2"/>
  <c r="J833" i="2"/>
  <c r="P833" i="2"/>
  <c r="H833" i="2"/>
  <c r="I833" i="2" s="1"/>
  <c r="O833" i="2" s="1"/>
  <c r="H964" i="4"/>
  <c r="I964" i="4" s="1"/>
  <c r="O964" i="4" s="1"/>
  <c r="J964" i="4"/>
  <c r="P964" i="4"/>
  <c r="P952" i="2"/>
  <c r="J952" i="2"/>
  <c r="P400" i="4"/>
  <c r="J400" i="4"/>
  <c r="H400" i="4"/>
  <c r="I400" i="4" s="1"/>
  <c r="O400" i="4" s="1"/>
  <c r="H429" i="2"/>
  <c r="I429" i="2" s="1"/>
  <c r="O429" i="2" s="1"/>
  <c r="P429" i="2"/>
  <c r="J429" i="2"/>
  <c r="H578" i="4"/>
  <c r="I578" i="4" s="1"/>
  <c r="O578" i="4" s="1"/>
  <c r="Q578" i="4" s="1"/>
  <c r="R578" i="4" s="1"/>
  <c r="T578" i="4" s="1"/>
  <c r="V578" i="4" s="1"/>
  <c r="P378" i="4"/>
  <c r="H378" i="4"/>
  <c r="P363" i="4"/>
  <c r="H363" i="4"/>
  <c r="I363" i="4" s="1"/>
  <c r="O363" i="4" s="1"/>
  <c r="J432" i="2"/>
  <c r="H432" i="2"/>
  <c r="I432" i="2" s="1"/>
  <c r="O432" i="2" s="1"/>
  <c r="I342" i="2"/>
  <c r="O342" i="2" s="1"/>
  <c r="J36" i="4"/>
  <c r="P36" i="4"/>
  <c r="P44" i="2"/>
  <c r="J44" i="2"/>
  <c r="J654" i="4"/>
  <c r="H654" i="4"/>
  <c r="I654" i="4" s="1"/>
  <c r="O654" i="4" s="1"/>
  <c r="P654" i="4"/>
  <c r="P441" i="2"/>
  <c r="H441" i="2"/>
  <c r="I441" i="2" s="1"/>
  <c r="O441" i="2" s="1"/>
  <c r="J441" i="2"/>
  <c r="H160" i="4"/>
  <c r="I160" i="4" s="1"/>
  <c r="O160" i="4" s="1"/>
  <c r="H996" i="4"/>
  <c r="I996" i="4" s="1"/>
  <c r="O996" i="4" s="1"/>
  <c r="Q996" i="4" s="1"/>
  <c r="R996" i="4" s="1"/>
  <c r="T996" i="4" s="1"/>
  <c r="V996" i="4" s="1"/>
  <c r="I397" i="4"/>
  <c r="O397" i="4" s="1"/>
  <c r="H262" i="4"/>
  <c r="I262" i="4" s="1"/>
  <c r="O262" i="4" s="1"/>
  <c r="J342" i="2"/>
  <c r="P310" i="4"/>
  <c r="H921" i="4"/>
  <c r="I921" i="4" s="1"/>
  <c r="O921" i="4" s="1"/>
  <c r="J743" i="4"/>
  <c r="P921" i="4"/>
  <c r="H85" i="4"/>
  <c r="I85" i="4" s="1"/>
  <c r="O85" i="4" s="1"/>
  <c r="Q85" i="4" s="1"/>
  <c r="R85" i="4" s="1"/>
  <c r="T85" i="4" s="1"/>
  <c r="V85" i="4" s="1"/>
  <c r="H830" i="2"/>
  <c r="I830" i="2" s="1"/>
  <c r="O830" i="2" s="1"/>
  <c r="J830" i="2"/>
  <c r="J235" i="4"/>
  <c r="H933" i="2"/>
  <c r="I933" i="2" s="1"/>
  <c r="O933" i="2" s="1"/>
  <c r="J150" i="4"/>
  <c r="I859" i="4"/>
  <c r="O859" i="4" s="1"/>
  <c r="J352" i="4"/>
  <c r="H788" i="4"/>
  <c r="I788" i="4" s="1"/>
  <c r="O788" i="4" s="1"/>
  <c r="J316" i="2"/>
  <c r="I915" i="4"/>
  <c r="O915" i="4" s="1"/>
  <c r="Q915" i="4" s="1"/>
  <c r="R915" i="4" s="1"/>
  <c r="T915" i="4" s="1"/>
  <c r="V915" i="4" s="1"/>
  <c r="H197" i="4"/>
  <c r="I197" i="4" s="1"/>
  <c r="O197" i="4" s="1"/>
  <c r="I609" i="2"/>
  <c r="O609" i="2" s="1"/>
  <c r="H319" i="2"/>
  <c r="I319" i="2" s="1"/>
  <c r="O319" i="2" s="1"/>
  <c r="H316" i="2"/>
  <c r="H239" i="2"/>
  <c r="P909" i="2"/>
  <c r="H110" i="4"/>
  <c r="H853" i="4"/>
  <c r="H728" i="2"/>
  <c r="I728" i="2" s="1"/>
  <c r="O728" i="2" s="1"/>
  <c r="Q728" i="2" s="1"/>
  <c r="R728" i="2" s="1"/>
  <c r="T728" i="2" s="1"/>
  <c r="V728" i="2" s="1"/>
  <c r="J742" i="2"/>
  <c r="P319" i="2"/>
  <c r="I941" i="4"/>
  <c r="O941" i="4" s="1"/>
  <c r="I26" i="2"/>
  <c r="O26" i="2" s="1"/>
  <c r="J155" i="4"/>
  <c r="P1003" i="4"/>
  <c r="I981" i="2"/>
  <c r="O981" i="2" s="1"/>
  <c r="I83" i="2"/>
  <c r="O83" i="2" s="1"/>
  <c r="Q83" i="2" s="1"/>
  <c r="R83" i="2" s="1"/>
  <c r="T83" i="2" s="1"/>
  <c r="V83" i="2" s="1"/>
  <c r="P669" i="4"/>
  <c r="J398" i="4"/>
  <c r="P696" i="2"/>
  <c r="H505" i="2"/>
  <c r="I505" i="2" s="1"/>
  <c r="O505" i="2" s="1"/>
  <c r="Q505" i="2" s="1"/>
  <c r="R505" i="2" s="1"/>
  <c r="T505" i="2" s="1"/>
  <c r="V505" i="2" s="1"/>
  <c r="H669" i="4"/>
  <c r="I669" i="4" s="1"/>
  <c r="O669" i="4" s="1"/>
  <c r="P445" i="4"/>
  <c r="P398" i="4"/>
  <c r="H966" i="2"/>
  <c r="J505" i="2"/>
  <c r="J445" i="4"/>
  <c r="P966" i="2"/>
  <c r="H746" i="2"/>
  <c r="I746" i="2" s="1"/>
  <c r="O746" i="2" s="1"/>
  <c r="J787" i="2"/>
  <c r="I376" i="2"/>
  <c r="O376" i="2" s="1"/>
  <c r="Q376" i="2" s="1"/>
  <c r="R376" i="2" s="1"/>
  <c r="T376" i="2" s="1"/>
  <c r="V376" i="2" s="1"/>
  <c r="H455" i="2"/>
  <c r="I455" i="2" s="1"/>
  <c r="O455" i="2" s="1"/>
  <c r="Q455" i="2" s="1"/>
  <c r="R455" i="2" s="1"/>
  <c r="T455" i="2" s="1"/>
  <c r="V455" i="2" s="1"/>
  <c r="K901" i="4"/>
  <c r="P746" i="2"/>
  <c r="P889" i="2"/>
  <c r="H523" i="2"/>
  <c r="I523" i="2" s="1"/>
  <c r="O523" i="2" s="1"/>
  <c r="Q523" i="2" s="1"/>
  <c r="R523" i="2" s="1"/>
  <c r="T523" i="2" s="1"/>
  <c r="V523" i="2" s="1"/>
  <c r="P389" i="2"/>
  <c r="J455" i="2"/>
  <c r="I868" i="4"/>
  <c r="O868" i="4" s="1"/>
  <c r="J324" i="2"/>
  <c r="H389" i="2"/>
  <c r="J335" i="2"/>
  <c r="J886" i="4"/>
  <c r="H17" i="4"/>
  <c r="I17" i="4" s="1"/>
  <c r="O17" i="4" s="1"/>
  <c r="P17" i="4"/>
  <c r="J17" i="4"/>
  <c r="H1001" i="2"/>
  <c r="I1001" i="2" s="1"/>
  <c r="O1001" i="2" s="1"/>
  <c r="P1001" i="2"/>
  <c r="J1001" i="2"/>
  <c r="P185" i="2"/>
  <c r="J185" i="2"/>
  <c r="J740" i="2"/>
  <c r="H740" i="2"/>
  <c r="I740" i="2" s="1"/>
  <c r="O740" i="2" s="1"/>
  <c r="J621" i="4"/>
  <c r="P621" i="4"/>
  <c r="H886" i="4"/>
  <c r="I886" i="4" s="1"/>
  <c r="O886" i="4" s="1"/>
  <c r="Q886" i="4" s="1"/>
  <c r="R886" i="4" s="1"/>
  <c r="T886" i="4" s="1"/>
  <c r="V886" i="4" s="1"/>
  <c r="I398" i="4"/>
  <c r="O398" i="4" s="1"/>
  <c r="J715" i="2"/>
  <c r="H715" i="2"/>
  <c r="I715" i="2" s="1"/>
  <c r="O715" i="2" s="1"/>
  <c r="P715" i="2"/>
  <c r="P431" i="4"/>
  <c r="H431" i="4"/>
  <c r="P871" i="4"/>
  <c r="J871" i="4"/>
  <c r="P340" i="4"/>
  <c r="J340" i="4"/>
  <c r="P487" i="4"/>
  <c r="H487" i="4"/>
  <c r="I487" i="4" s="1"/>
  <c r="O487" i="4" s="1"/>
  <c r="P781" i="4"/>
  <c r="J781" i="4"/>
  <c r="P903" i="2"/>
  <c r="H903" i="2"/>
  <c r="I903" i="2" s="1"/>
  <c r="O903" i="2" s="1"/>
  <c r="J903" i="2"/>
  <c r="J448" i="2"/>
  <c r="P448" i="2"/>
  <c r="H448" i="2"/>
  <c r="I448" i="2" s="1"/>
  <c r="O448" i="2" s="1"/>
  <c r="P306" i="4"/>
  <c r="J306" i="4"/>
  <c r="P173" i="4"/>
  <c r="I11" i="4"/>
  <c r="O11" i="4" s="1"/>
  <c r="J673" i="2"/>
  <c r="P673" i="2"/>
  <c r="H673" i="2"/>
  <c r="I673" i="2" s="1"/>
  <c r="O673" i="2" s="1"/>
  <c r="P890" i="2"/>
  <c r="H890" i="2"/>
  <c r="P52" i="2"/>
  <c r="J52" i="2"/>
  <c r="H52" i="2"/>
  <c r="I52" i="2" s="1"/>
  <c r="O52" i="2" s="1"/>
  <c r="P700" i="2"/>
  <c r="P314" i="2"/>
  <c r="J314" i="2"/>
  <c r="H314" i="2"/>
  <c r="I314" i="2" s="1"/>
  <c r="O314" i="2" s="1"/>
  <c r="H599" i="2"/>
  <c r="I599" i="2" s="1"/>
  <c r="O599" i="2" s="1"/>
  <c r="Q599" i="2" s="1"/>
  <c r="R599" i="2" s="1"/>
  <c r="T599" i="2" s="1"/>
  <c r="V599" i="2" s="1"/>
  <c r="J599" i="2"/>
  <c r="J700" i="2"/>
  <c r="P880" i="4"/>
  <c r="H880" i="4"/>
  <c r="I880" i="4" s="1"/>
  <c r="O880" i="4" s="1"/>
  <c r="J650" i="2"/>
  <c r="H650" i="2"/>
  <c r="I650" i="2" s="1"/>
  <c r="O650" i="2" s="1"/>
  <c r="Q650" i="2" s="1"/>
  <c r="R650" i="2" s="1"/>
  <c r="T650" i="2" s="1"/>
  <c r="V650" i="2" s="1"/>
  <c r="I894" i="2"/>
  <c r="O894" i="2" s="1"/>
  <c r="H158" i="4"/>
  <c r="I158" i="4" s="1"/>
  <c r="O158" i="4" s="1"/>
  <c r="J158" i="4"/>
  <c r="P158" i="4"/>
  <c r="J425" i="4"/>
  <c r="J475" i="4"/>
  <c r="H473" i="2"/>
  <c r="I473" i="2" s="1"/>
  <c r="O473" i="2" s="1"/>
  <c r="I240" i="2"/>
  <c r="O240" i="2" s="1"/>
  <c r="P468" i="2"/>
  <c r="J468" i="2"/>
  <c r="H468" i="2"/>
  <c r="I468" i="2" s="1"/>
  <c r="O468" i="2" s="1"/>
  <c r="H608" i="4"/>
  <c r="I608" i="4" s="1"/>
  <c r="O608" i="4" s="1"/>
  <c r="J608" i="4"/>
  <c r="P577" i="4"/>
  <c r="J577" i="4"/>
  <c r="P446" i="4"/>
  <c r="J446" i="4"/>
  <c r="H446" i="4"/>
  <c r="I446" i="4" s="1"/>
  <c r="O446" i="4" s="1"/>
  <c r="J883" i="4"/>
  <c r="H883" i="4"/>
  <c r="I883" i="4" s="1"/>
  <c r="O883" i="4" s="1"/>
  <c r="P883" i="4"/>
  <c r="K808" i="4"/>
  <c r="P47" i="2"/>
  <c r="H47" i="2"/>
  <c r="I47" i="2" s="1"/>
  <c r="O47" i="2" s="1"/>
  <c r="J47" i="2"/>
  <c r="J240" i="4"/>
  <c r="P240" i="4"/>
  <c r="H475" i="2"/>
  <c r="I475" i="2" s="1"/>
  <c r="O475" i="2" s="1"/>
  <c r="P475" i="2"/>
  <c r="J475" i="2"/>
  <c r="J75" i="2"/>
  <c r="P75" i="2"/>
  <c r="H75" i="2"/>
  <c r="I75" i="2" s="1"/>
  <c r="O75" i="2" s="1"/>
  <c r="J555" i="4"/>
  <c r="P555" i="4"/>
  <c r="J89" i="4"/>
  <c r="H89" i="4"/>
  <c r="I89" i="4" s="1"/>
  <c r="O89" i="4" s="1"/>
  <c r="J472" i="2"/>
  <c r="P472" i="2"/>
  <c r="H472" i="2"/>
  <c r="I472" i="2" s="1"/>
  <c r="O472" i="2" s="1"/>
  <c r="J317" i="4"/>
  <c r="H317" i="4"/>
  <c r="I317" i="4" s="1"/>
  <c r="O317" i="4" s="1"/>
  <c r="P317" i="4"/>
  <c r="H781" i="4"/>
  <c r="I621" i="4"/>
  <c r="O621" i="4" s="1"/>
  <c r="H947" i="2"/>
  <c r="I947" i="2" s="1"/>
  <c r="O947" i="2" s="1"/>
  <c r="P947" i="2"/>
  <c r="J947" i="2"/>
  <c r="H918" i="4"/>
  <c r="I918" i="4" s="1"/>
  <c r="O918" i="4" s="1"/>
  <c r="P918" i="4"/>
  <c r="H425" i="4"/>
  <c r="I425" i="4" s="1"/>
  <c r="O425" i="4" s="1"/>
  <c r="Q425" i="4" s="1"/>
  <c r="R425" i="4" s="1"/>
  <c r="T425" i="4" s="1"/>
  <c r="V425" i="4" s="1"/>
  <c r="P825" i="2"/>
  <c r="P473" i="2"/>
  <c r="J554" i="4"/>
  <c r="P554" i="4"/>
  <c r="H554" i="4"/>
  <c r="I554" i="4" s="1"/>
  <c r="O554" i="4" s="1"/>
  <c r="J79" i="4"/>
  <c r="H79" i="4"/>
  <c r="I79" i="4" s="1"/>
  <c r="O79" i="4" s="1"/>
  <c r="P79" i="4"/>
  <c r="P567" i="2"/>
  <c r="J567" i="2"/>
  <c r="H567" i="2"/>
  <c r="I567" i="2" s="1"/>
  <c r="O567" i="2" s="1"/>
  <c r="P891" i="4"/>
  <c r="H891" i="4"/>
  <c r="I891" i="4" s="1"/>
  <c r="O891" i="4" s="1"/>
  <c r="J368" i="2"/>
  <c r="H368" i="2"/>
  <c r="I368" i="2" s="1"/>
  <c r="O368" i="2" s="1"/>
  <c r="P368" i="2"/>
  <c r="J857" i="2"/>
  <c r="H857" i="2"/>
  <c r="I857" i="2" s="1"/>
  <c r="O857" i="2" s="1"/>
  <c r="Q857" i="2" s="1"/>
  <c r="R857" i="2" s="1"/>
  <c r="T857" i="2" s="1"/>
  <c r="V857" i="2" s="1"/>
  <c r="H836" i="2"/>
  <c r="I836" i="2" s="1"/>
  <c r="O836" i="2" s="1"/>
  <c r="J836" i="2"/>
  <c r="P836" i="2"/>
  <c r="H233" i="2"/>
  <c r="I233" i="2" s="1"/>
  <c r="O233" i="2" s="1"/>
  <c r="P233" i="2"/>
  <c r="P955" i="4"/>
  <c r="H955" i="4"/>
  <c r="P513" i="4"/>
  <c r="H513" i="4"/>
  <c r="I513" i="4" s="1"/>
  <c r="O513" i="4" s="1"/>
  <c r="J513" i="4"/>
  <c r="P23" i="2"/>
  <c r="H23" i="2"/>
  <c r="I23" i="2" s="1"/>
  <c r="O23" i="2" s="1"/>
  <c r="J23" i="2"/>
  <c r="H368" i="4"/>
  <c r="I368" i="4" s="1"/>
  <c r="O368" i="4" s="1"/>
  <c r="P368" i="4"/>
  <c r="I518" i="4"/>
  <c r="O518" i="4" s="1"/>
  <c r="P740" i="2"/>
  <c r="P57" i="4"/>
  <c r="J57" i="4"/>
  <c r="H577" i="4"/>
  <c r="I577" i="4" s="1"/>
  <c r="O577" i="4" s="1"/>
  <c r="H787" i="2"/>
  <c r="J819" i="4"/>
  <c r="H819" i="4"/>
  <c r="I819" i="4" s="1"/>
  <c r="O819" i="4" s="1"/>
  <c r="H450" i="4"/>
  <c r="I450" i="4" s="1"/>
  <c r="O450" i="4" s="1"/>
  <c r="P450" i="4"/>
  <c r="J406" i="2"/>
  <c r="P406" i="2"/>
  <c r="P776" i="4"/>
  <c r="J776" i="4"/>
  <c r="H776" i="4"/>
  <c r="I776" i="4" s="1"/>
  <c r="O776" i="4" s="1"/>
  <c r="J402" i="4"/>
  <c r="H402" i="4"/>
  <c r="I402" i="4" s="1"/>
  <c r="O402" i="4" s="1"/>
  <c r="P402" i="4"/>
  <c r="H301" i="4"/>
  <c r="H382" i="2"/>
  <c r="I382" i="2" s="1"/>
  <c r="O382" i="2" s="1"/>
  <c r="J382" i="2"/>
  <c r="P382" i="2"/>
  <c r="P251" i="2"/>
  <c r="H251" i="2"/>
  <c r="I251" i="2" s="1"/>
  <c r="O251" i="2" s="1"/>
  <c r="Q251" i="2" s="1"/>
  <c r="R251" i="2" s="1"/>
  <c r="T251" i="2" s="1"/>
  <c r="V251" i="2" s="1"/>
  <c r="H55" i="2"/>
  <c r="I55" i="2" s="1"/>
  <c r="O55" i="2" s="1"/>
  <c r="H240" i="4"/>
  <c r="I240" i="4" s="1"/>
  <c r="O240" i="4" s="1"/>
  <c r="H694" i="4"/>
  <c r="I694" i="4" s="1"/>
  <c r="O694" i="4" s="1"/>
  <c r="I996" i="2"/>
  <c r="O996" i="2" s="1"/>
  <c r="P9" i="4"/>
  <c r="I145" i="4"/>
  <c r="O145" i="4" s="1"/>
  <c r="Q145" i="4" s="1"/>
  <c r="R145" i="4" s="1"/>
  <c r="T145" i="4" s="1"/>
  <c r="V145" i="4" s="1"/>
  <c r="P80" i="4"/>
  <c r="I18" i="2"/>
  <c r="O18" i="2" s="1"/>
  <c r="P773" i="4"/>
  <c r="H9" i="4"/>
  <c r="I9" i="4" s="1"/>
  <c r="O9" i="4" s="1"/>
  <c r="P352" i="4"/>
  <c r="I759" i="2"/>
  <c r="O759" i="2" s="1"/>
  <c r="J809" i="2"/>
  <c r="P730" i="2"/>
  <c r="J337" i="2"/>
  <c r="J996" i="4"/>
  <c r="J773" i="4"/>
  <c r="I705" i="4"/>
  <c r="O705" i="4" s="1"/>
  <c r="J397" i="4"/>
  <c r="J626" i="2"/>
  <c r="P681" i="2"/>
  <c r="H730" i="2"/>
  <c r="I730" i="2" s="1"/>
  <c r="O730" i="2" s="1"/>
  <c r="J899" i="2"/>
  <c r="P121" i="2"/>
  <c r="H508" i="4"/>
  <c r="I508" i="4" s="1"/>
  <c r="O508" i="4" s="1"/>
  <c r="Q508" i="4" s="1"/>
  <c r="R508" i="4" s="1"/>
  <c r="T508" i="4" s="1"/>
  <c r="V508" i="4" s="1"/>
  <c r="H738" i="4"/>
  <c r="I738" i="4" s="1"/>
  <c r="O738" i="4" s="1"/>
  <c r="H327" i="4"/>
  <c r="I327" i="4" s="1"/>
  <c r="O327" i="4" s="1"/>
  <c r="P327" i="4"/>
  <c r="J327" i="4"/>
  <c r="P316" i="4"/>
  <c r="J316" i="4"/>
  <c r="I936" i="2"/>
  <c r="O936" i="2" s="1"/>
  <c r="H526" i="2"/>
  <c r="I526" i="2" s="1"/>
  <c r="O526" i="2" s="1"/>
  <c r="P526" i="2"/>
  <c r="P581" i="4"/>
  <c r="P167" i="4"/>
  <c r="P541" i="4"/>
  <c r="H423" i="4"/>
  <c r="I423" i="4" s="1"/>
  <c r="O423" i="4" s="1"/>
  <c r="Q423" i="4" s="1"/>
  <c r="R423" i="4" s="1"/>
  <c r="T423" i="4" s="1"/>
  <c r="V423" i="4" s="1"/>
  <c r="I338" i="4"/>
  <c r="O338" i="4" s="1"/>
  <c r="P342" i="2"/>
  <c r="H513" i="2"/>
  <c r="P463" i="2"/>
  <c r="P830" i="2"/>
  <c r="P373" i="2"/>
  <c r="H277" i="2"/>
  <c r="I277" i="2" s="1"/>
  <c r="O277" i="2" s="1"/>
  <c r="J508" i="4"/>
  <c r="I132" i="4"/>
  <c r="O132" i="4" s="1"/>
  <c r="I329" i="2"/>
  <c r="O329" i="2" s="1"/>
  <c r="H56" i="4"/>
  <c r="I56" i="4" s="1"/>
  <c r="O56" i="4" s="1"/>
  <c r="I95" i="4"/>
  <c r="O95" i="4" s="1"/>
  <c r="I1003" i="4"/>
  <c r="O1003" i="4" s="1"/>
  <c r="I997" i="2"/>
  <c r="O997" i="2" s="1"/>
  <c r="I425" i="2"/>
  <c r="O425" i="2" s="1"/>
  <c r="J581" i="4"/>
  <c r="P336" i="4"/>
  <c r="J423" i="4"/>
  <c r="P994" i="2"/>
  <c r="I211" i="2"/>
  <c r="O211" i="2" s="1"/>
  <c r="J7" i="2"/>
  <c r="J373" i="2"/>
  <c r="I308" i="4"/>
  <c r="O308" i="4" s="1"/>
  <c r="Q308" i="4" s="1"/>
  <c r="R308" i="4" s="1"/>
  <c r="T308" i="4" s="1"/>
  <c r="V308" i="4" s="1"/>
  <c r="P495" i="4"/>
  <c r="J495" i="4"/>
  <c r="P665" i="4"/>
  <c r="H419" i="4"/>
  <c r="I419" i="4" s="1"/>
  <c r="O419" i="4" s="1"/>
  <c r="P790" i="2"/>
  <c r="H994" i="2"/>
  <c r="I994" i="2" s="1"/>
  <c r="O994" i="2" s="1"/>
  <c r="J654" i="2"/>
  <c r="I660" i="2"/>
  <c r="O660" i="2" s="1"/>
  <c r="I420" i="4"/>
  <c r="O420" i="4" s="1"/>
  <c r="J526" i="2"/>
  <c r="I889" i="2"/>
  <c r="O889" i="2" s="1"/>
  <c r="J660" i="2"/>
  <c r="J665" i="4"/>
  <c r="H790" i="2"/>
  <c r="I790" i="2" s="1"/>
  <c r="O790" i="2" s="1"/>
  <c r="I373" i="2"/>
  <c r="O373" i="2" s="1"/>
  <c r="I773" i="4"/>
  <c r="O773" i="4" s="1"/>
  <c r="I605" i="4"/>
  <c r="O605" i="4" s="1"/>
  <c r="J550" i="4"/>
  <c r="P419" i="4"/>
  <c r="J92" i="4"/>
  <c r="J962" i="2"/>
  <c r="J944" i="2"/>
  <c r="H44" i="2"/>
  <c r="I44" i="2" s="1"/>
  <c r="O44" i="2" s="1"/>
  <c r="H58" i="2"/>
  <c r="I58" i="2" s="1"/>
  <c r="O58" i="2" s="1"/>
  <c r="H336" i="4"/>
  <c r="I336" i="4" s="1"/>
  <c r="O336" i="4" s="1"/>
  <c r="P444" i="2"/>
  <c r="I386" i="2"/>
  <c r="O386" i="2" s="1"/>
  <c r="I887" i="4"/>
  <c r="O887" i="4" s="1"/>
  <c r="Q887" i="4" s="1"/>
  <c r="R887" i="4" s="1"/>
  <c r="T887" i="4" s="1"/>
  <c r="V887" i="4" s="1"/>
  <c r="P837" i="4"/>
  <c r="P996" i="2"/>
  <c r="J697" i="2"/>
  <c r="H694" i="2"/>
  <c r="P422" i="2"/>
  <c r="J425" i="2"/>
  <c r="J104" i="2"/>
  <c r="I208" i="2"/>
  <c r="O208" i="2" s="1"/>
  <c r="I527" i="2"/>
  <c r="O527" i="2" s="1"/>
  <c r="I175" i="4"/>
  <c r="O175" i="4" s="1"/>
  <c r="J996" i="2"/>
  <c r="I773" i="2"/>
  <c r="O773" i="2" s="1"/>
  <c r="J291" i="2"/>
  <c r="P291" i="2"/>
  <c r="I899" i="2"/>
  <c r="O899" i="2" s="1"/>
  <c r="J995" i="2"/>
  <c r="H422" i="2"/>
  <c r="P425" i="2"/>
  <c r="I717" i="2"/>
  <c r="O717" i="2" s="1"/>
  <c r="P98" i="4"/>
  <c r="P693" i="4"/>
  <c r="H693" i="4"/>
  <c r="I693" i="4" s="1"/>
  <c r="O693" i="4" s="1"/>
  <c r="H388" i="4"/>
  <c r="I388" i="4" s="1"/>
  <c r="O388" i="4" s="1"/>
  <c r="P388" i="4"/>
  <c r="J388" i="4"/>
  <c r="H86" i="4"/>
  <c r="I86" i="4" s="1"/>
  <c r="O86" i="4" s="1"/>
  <c r="J86" i="4"/>
  <c r="P86" i="4"/>
  <c r="J275" i="2"/>
  <c r="H275" i="2"/>
  <c r="I275" i="2" s="1"/>
  <c r="O275" i="2" s="1"/>
  <c r="P275" i="2"/>
  <c r="J249" i="2"/>
  <c r="H249" i="2"/>
  <c r="I249" i="2" s="1"/>
  <c r="O249" i="2" s="1"/>
  <c r="P249" i="2"/>
  <c r="J540" i="4"/>
  <c r="P540" i="4"/>
  <c r="H540" i="4"/>
  <c r="H501" i="2"/>
  <c r="I501" i="2" s="1"/>
  <c r="O501" i="2" s="1"/>
  <c r="P501" i="2"/>
  <c r="J501" i="2"/>
  <c r="P207" i="4"/>
  <c r="J207" i="4"/>
  <c r="H207" i="4"/>
  <c r="I207" i="4" s="1"/>
  <c r="O207" i="4" s="1"/>
  <c r="H488" i="4"/>
  <c r="I488" i="4" s="1"/>
  <c r="O488" i="4" s="1"/>
  <c r="J488" i="4"/>
  <c r="P488" i="4"/>
  <c r="I871" i="4"/>
  <c r="O871" i="4" s="1"/>
  <c r="P685" i="4"/>
  <c r="H685" i="4"/>
  <c r="I685" i="4" s="1"/>
  <c r="O685" i="4" s="1"/>
  <c r="J685" i="4"/>
  <c r="J343" i="4"/>
  <c r="J408" i="4"/>
  <c r="J459" i="2"/>
  <c r="H735" i="4"/>
  <c r="I735" i="4" s="1"/>
  <c r="O735" i="4" s="1"/>
  <c r="Q735" i="4" s="1"/>
  <c r="R735" i="4" s="1"/>
  <c r="T735" i="4" s="1"/>
  <c r="V735" i="4" s="1"/>
  <c r="P432" i="2"/>
  <c r="H459" i="2"/>
  <c r="I459" i="2" s="1"/>
  <c r="O459" i="2" s="1"/>
  <c r="Q459" i="2" s="1"/>
  <c r="R459" i="2" s="1"/>
  <c r="T459" i="2" s="1"/>
  <c r="V459" i="2" s="1"/>
  <c r="P168" i="2"/>
  <c r="H96" i="2"/>
  <c r="I96" i="2" s="1"/>
  <c r="O96" i="2" s="1"/>
  <c r="Q96" i="2" s="1"/>
  <c r="R96" i="2" s="1"/>
  <c r="T96" i="2" s="1"/>
  <c r="V96" i="2" s="1"/>
  <c r="J208" i="4"/>
  <c r="P55" i="2"/>
  <c r="H525" i="4"/>
  <c r="I525" i="4" s="1"/>
  <c r="O525" i="4" s="1"/>
  <c r="J525" i="4"/>
  <c r="J735" i="4"/>
  <c r="H555" i="4"/>
  <c r="I555" i="4" s="1"/>
  <c r="O555" i="4" s="1"/>
  <c r="K384" i="2"/>
  <c r="J168" i="2"/>
  <c r="J96" i="2"/>
  <c r="P208" i="4"/>
  <c r="P549" i="2"/>
  <c r="H549" i="2"/>
  <c r="I549" i="2" s="1"/>
  <c r="O549" i="2" s="1"/>
  <c r="H167" i="2"/>
  <c r="I167" i="2" s="1"/>
  <c r="O167" i="2" s="1"/>
  <c r="Q167" i="2" s="1"/>
  <c r="R167" i="2" s="1"/>
  <c r="T167" i="2" s="1"/>
  <c r="V167" i="2" s="1"/>
  <c r="J167" i="2"/>
  <c r="H361" i="2"/>
  <c r="I361" i="2" s="1"/>
  <c r="O361" i="2" s="1"/>
  <c r="P361" i="2"/>
  <c r="J361" i="2"/>
  <c r="H228" i="4"/>
  <c r="I228" i="4" s="1"/>
  <c r="O228" i="4" s="1"/>
  <c r="J228" i="4"/>
  <c r="H991" i="2"/>
  <c r="I991" i="2" s="1"/>
  <c r="O991" i="2" s="1"/>
  <c r="P991" i="2"/>
  <c r="P430" i="2"/>
  <c r="J430" i="2"/>
  <c r="P228" i="4"/>
  <c r="H399" i="2"/>
  <c r="I399" i="2" s="1"/>
  <c r="O399" i="2" s="1"/>
  <c r="P399" i="2"/>
  <c r="J399" i="2"/>
  <c r="J535" i="4"/>
  <c r="P535" i="4"/>
  <c r="I208" i="4"/>
  <c r="O208" i="4" s="1"/>
  <c r="H776" i="2"/>
  <c r="I776" i="2" s="1"/>
  <c r="O776" i="2" s="1"/>
  <c r="P776" i="2"/>
  <c r="J776" i="2"/>
  <c r="H206" i="2"/>
  <c r="I206" i="2" s="1"/>
  <c r="O206" i="2" s="1"/>
  <c r="P206" i="2"/>
  <c r="J206" i="2"/>
  <c r="H985" i="2"/>
  <c r="I985" i="2" s="1"/>
  <c r="O985" i="2" s="1"/>
  <c r="J936" i="2"/>
  <c r="H924" i="2"/>
  <c r="I924" i="2" s="1"/>
  <c r="O924" i="2" s="1"/>
  <c r="Q924" i="2" s="1"/>
  <c r="R924" i="2" s="1"/>
  <c r="T924" i="2" s="1"/>
  <c r="V924" i="2" s="1"/>
  <c r="K646" i="2"/>
  <c r="P102" i="2"/>
  <c r="P171" i="2"/>
  <c r="J171" i="2"/>
  <c r="J709" i="4"/>
  <c r="P709" i="4"/>
  <c r="H710" i="2"/>
  <c r="I710" i="2" s="1"/>
  <c r="O710" i="2" s="1"/>
  <c r="J710" i="2"/>
  <c r="P710" i="2"/>
  <c r="H649" i="2"/>
  <c r="I649" i="2" s="1"/>
  <c r="O649" i="2" s="1"/>
  <c r="J649" i="2"/>
  <c r="H522" i="4"/>
  <c r="I522" i="4" s="1"/>
  <c r="O522" i="4" s="1"/>
  <c r="J522" i="4"/>
  <c r="P627" i="2"/>
  <c r="J627" i="2"/>
  <c r="H627" i="2"/>
  <c r="I627" i="2" s="1"/>
  <c r="O627" i="2" s="1"/>
  <c r="H488" i="2"/>
  <c r="I488" i="2" s="1"/>
  <c r="O488" i="2" s="1"/>
  <c r="Q488" i="2" s="1"/>
  <c r="R488" i="2" s="1"/>
  <c r="T488" i="2" s="1"/>
  <c r="V488" i="2" s="1"/>
  <c r="J488" i="2"/>
  <c r="K855" i="4"/>
  <c r="J911" i="4"/>
  <c r="P911" i="4"/>
  <c r="H430" i="2"/>
  <c r="I430" i="2" s="1"/>
  <c r="O430" i="2" s="1"/>
  <c r="H102" i="2"/>
  <c r="I102" i="2" s="1"/>
  <c r="O102" i="2" s="1"/>
  <c r="I495" i="4"/>
  <c r="O495" i="4" s="1"/>
  <c r="P971" i="2"/>
  <c r="H971" i="2"/>
  <c r="I971" i="2" s="1"/>
  <c r="O971" i="2" s="1"/>
  <c r="P387" i="2"/>
  <c r="H387" i="2"/>
  <c r="I387" i="2" s="1"/>
  <c r="O387" i="2" s="1"/>
  <c r="J848" i="2"/>
  <c r="P848" i="2"/>
  <c r="J268" i="2"/>
  <c r="P268" i="2"/>
  <c r="H268" i="2"/>
  <c r="I268" i="2" s="1"/>
  <c r="O268" i="2" s="1"/>
  <c r="H579" i="4"/>
  <c r="P381" i="4"/>
  <c r="J180" i="2"/>
  <c r="P878" i="4"/>
  <c r="H878" i="4"/>
  <c r="I878" i="4" s="1"/>
  <c r="O878" i="4" s="1"/>
  <c r="J878" i="4"/>
  <c r="H841" i="4"/>
  <c r="I841" i="4" s="1"/>
  <c r="O841" i="4" s="1"/>
  <c r="J841" i="4"/>
  <c r="P841" i="4"/>
  <c r="P141" i="2"/>
  <c r="J141" i="2"/>
  <c r="H141" i="2"/>
  <c r="I141" i="2" s="1"/>
  <c r="O141" i="2" s="1"/>
  <c r="P990" i="4"/>
  <c r="J990" i="4"/>
  <c r="H990" i="4"/>
  <c r="I990" i="4" s="1"/>
  <c r="O990" i="4" s="1"/>
  <c r="I319" i="4"/>
  <c r="O319" i="4" s="1"/>
  <c r="P434" i="2"/>
  <c r="H434" i="2"/>
  <c r="I434" i="2" s="1"/>
  <c r="O434" i="2" s="1"/>
  <c r="J434" i="2"/>
  <c r="J363" i="4"/>
  <c r="J578" i="4"/>
  <c r="J32" i="2"/>
  <c r="H336" i="2"/>
  <c r="I336" i="2" s="1"/>
  <c r="O336" i="2" s="1"/>
  <c r="Q336" i="2" s="1"/>
  <c r="R336" i="2" s="1"/>
  <c r="T336" i="2" s="1"/>
  <c r="V336" i="2" s="1"/>
  <c r="H170" i="4"/>
  <c r="I170" i="4" s="1"/>
  <c r="O170" i="4" s="1"/>
  <c r="J170" i="4"/>
  <c r="P170" i="4"/>
  <c r="J31" i="4"/>
  <c r="H31" i="4"/>
  <c r="I31" i="4" s="1"/>
  <c r="O31" i="4" s="1"/>
  <c r="P31" i="4"/>
  <c r="J470" i="2"/>
  <c r="P470" i="2"/>
  <c r="K170" i="2"/>
  <c r="I781" i="2"/>
  <c r="O781" i="2" s="1"/>
  <c r="P475" i="4"/>
  <c r="P32" i="2"/>
  <c r="I185" i="2"/>
  <c r="O185" i="2" s="1"/>
  <c r="J336" i="2"/>
  <c r="H406" i="2"/>
  <c r="I406" i="2" s="1"/>
  <c r="O406" i="2" s="1"/>
  <c r="H587" i="2"/>
  <c r="I587" i="2" s="1"/>
  <c r="O587" i="2" s="1"/>
  <c r="P587" i="2"/>
  <c r="I598" i="2"/>
  <c r="O598" i="2" s="1"/>
  <c r="P154" i="2"/>
  <c r="J154" i="2"/>
  <c r="P374" i="2"/>
  <c r="Q374" i="2" s="1"/>
  <c r="R374" i="2" s="1"/>
  <c r="T374" i="2" s="1"/>
  <c r="V374" i="2" s="1"/>
  <c r="J374" i="2"/>
  <c r="H158" i="2"/>
  <c r="I158" i="2" s="1"/>
  <c r="O158" i="2" s="1"/>
  <c r="P158" i="2"/>
  <c r="J158" i="2"/>
  <c r="I470" i="2"/>
  <c r="O470" i="2" s="1"/>
  <c r="P499" i="2"/>
  <c r="J499" i="2"/>
  <c r="H499" i="2"/>
  <c r="I499" i="2" s="1"/>
  <c r="O499" i="2" s="1"/>
  <c r="I671" i="4"/>
  <c r="O671" i="4" s="1"/>
  <c r="J924" i="2"/>
  <c r="H180" i="2"/>
  <c r="I180" i="2" s="1"/>
  <c r="O180" i="2" s="1"/>
  <c r="Q180" i="2" s="1"/>
  <c r="R180" i="2" s="1"/>
  <c r="T180" i="2" s="1"/>
  <c r="V180" i="2" s="1"/>
  <c r="P296" i="2"/>
  <c r="H296" i="2"/>
  <c r="I296" i="2" s="1"/>
  <c r="O296" i="2" s="1"/>
  <c r="J296" i="2"/>
  <c r="H370" i="4"/>
  <c r="J564" i="2"/>
  <c r="P439" i="2"/>
  <c r="H439" i="2"/>
  <c r="I439" i="2" s="1"/>
  <c r="O439" i="2" s="1"/>
  <c r="J598" i="2"/>
  <c r="P598" i="2"/>
  <c r="P726" i="4"/>
  <c r="J726" i="4"/>
  <c r="H925" i="4"/>
  <c r="I925" i="4" s="1"/>
  <c r="O925" i="4" s="1"/>
  <c r="Q925" i="4" s="1"/>
  <c r="R925" i="4" s="1"/>
  <c r="T925" i="4" s="1"/>
  <c r="V925" i="4" s="1"/>
  <c r="J925" i="4"/>
  <c r="H932" i="4"/>
  <c r="I932" i="4" s="1"/>
  <c r="O932" i="4" s="1"/>
  <c r="Q932" i="4" s="1"/>
  <c r="R932" i="4" s="1"/>
  <c r="T932" i="4" s="1"/>
  <c r="V932" i="4" s="1"/>
  <c r="J932" i="4"/>
  <c r="J760" i="2"/>
  <c r="P760" i="2"/>
  <c r="J811" i="4"/>
  <c r="I185" i="4"/>
  <c r="O185" i="4" s="1"/>
  <c r="H926" i="2"/>
  <c r="I926" i="2" s="1"/>
  <c r="O926" i="2" s="1"/>
  <c r="Q926" i="2" s="1"/>
  <c r="R926" i="2" s="1"/>
  <c r="T926" i="2" s="1"/>
  <c r="V926" i="2" s="1"/>
  <c r="H564" i="2"/>
  <c r="I564" i="2" s="1"/>
  <c r="O564" i="2" s="1"/>
  <c r="Q564" i="2" s="1"/>
  <c r="R564" i="2" s="1"/>
  <c r="T564" i="2" s="1"/>
  <c r="V564" i="2" s="1"/>
  <c r="P424" i="2"/>
  <c r="H424" i="2"/>
  <c r="I424" i="2" s="1"/>
  <c r="O424" i="2" s="1"/>
  <c r="J818" i="4"/>
  <c r="H818" i="4"/>
  <c r="I818" i="4" s="1"/>
  <c r="O818" i="4" s="1"/>
  <c r="Q818" i="4" s="1"/>
  <c r="R818" i="4" s="1"/>
  <c r="T818" i="4" s="1"/>
  <c r="V818" i="4" s="1"/>
  <c r="P663" i="4"/>
  <c r="J663" i="4"/>
  <c r="H663" i="4"/>
  <c r="I663" i="4" s="1"/>
  <c r="O663" i="4" s="1"/>
  <c r="P714" i="4"/>
  <c r="J714" i="4"/>
  <c r="H714" i="4"/>
  <c r="I714" i="4" s="1"/>
  <c r="O714" i="4" s="1"/>
  <c r="J196" i="4"/>
  <c r="H196" i="4"/>
  <c r="I196" i="4" s="1"/>
  <c r="O196" i="4" s="1"/>
  <c r="Q196" i="4" s="1"/>
  <c r="R196" i="4" s="1"/>
  <c r="T196" i="4" s="1"/>
  <c r="V196" i="4" s="1"/>
  <c r="P941" i="4"/>
  <c r="H911" i="4"/>
  <c r="I911" i="4" s="1"/>
  <c r="O911" i="4" s="1"/>
  <c r="H811" i="4"/>
  <c r="I811" i="4" s="1"/>
  <c r="O811" i="4" s="1"/>
  <c r="Q811" i="4" s="1"/>
  <c r="R811" i="4" s="1"/>
  <c r="T811" i="4" s="1"/>
  <c r="V811" i="4" s="1"/>
  <c r="H726" i="4"/>
  <c r="I726" i="4" s="1"/>
  <c r="O726" i="4" s="1"/>
  <c r="H854" i="4"/>
  <c r="I854" i="4" s="1"/>
  <c r="O854" i="4" s="1"/>
  <c r="Q854" i="4" s="1"/>
  <c r="R854" i="4" s="1"/>
  <c r="T854" i="4" s="1"/>
  <c r="V854" i="4" s="1"/>
  <c r="J370" i="4"/>
  <c r="P251" i="4"/>
  <c r="J926" i="2"/>
  <c r="H654" i="2"/>
  <c r="I654" i="2" s="1"/>
  <c r="O654" i="2" s="1"/>
  <c r="Q654" i="2" s="1"/>
  <c r="R654" i="2" s="1"/>
  <c r="T654" i="2" s="1"/>
  <c r="V654" i="2" s="1"/>
  <c r="J387" i="2"/>
  <c r="P896" i="2"/>
  <c r="J896" i="2"/>
  <c r="P43" i="2"/>
  <c r="H43" i="2"/>
  <c r="J629" i="4"/>
  <c r="P629" i="4"/>
  <c r="H629" i="4"/>
  <c r="I629" i="4" s="1"/>
  <c r="O629" i="4" s="1"/>
  <c r="H659" i="2"/>
  <c r="I659" i="2" s="1"/>
  <c r="O659" i="2" s="1"/>
  <c r="P659" i="2"/>
  <c r="J941" i="4"/>
  <c r="J854" i="4"/>
  <c r="H332" i="4"/>
  <c r="I332" i="4" s="1"/>
  <c r="O332" i="4" s="1"/>
  <c r="Q332" i="4" s="1"/>
  <c r="R332" i="4" s="1"/>
  <c r="T332" i="4" s="1"/>
  <c r="V332" i="4" s="1"/>
  <c r="P408" i="4"/>
  <c r="I934" i="2"/>
  <c r="O934" i="2" s="1"/>
  <c r="I191" i="4"/>
  <c r="O191" i="4" s="1"/>
  <c r="Q191" i="4" s="1"/>
  <c r="R191" i="4" s="1"/>
  <c r="T191" i="4" s="1"/>
  <c r="V191" i="4" s="1"/>
  <c r="H120" i="4"/>
  <c r="I120" i="4" s="1"/>
  <c r="O120" i="4" s="1"/>
  <c r="H251" i="4"/>
  <c r="I251" i="4" s="1"/>
  <c r="O251" i="4" s="1"/>
  <c r="P793" i="2"/>
  <c r="H848" i="2"/>
  <c r="I848" i="2" s="1"/>
  <c r="O848" i="2" s="1"/>
  <c r="P484" i="4"/>
  <c r="J19" i="2"/>
  <c r="K83" i="2"/>
  <c r="J79" i="2"/>
  <c r="H79" i="2"/>
  <c r="I79" i="2" s="1"/>
  <c r="O79" i="2" s="1"/>
  <c r="Q79" i="2" s="1"/>
  <c r="R79" i="2" s="1"/>
  <c r="T79" i="2" s="1"/>
  <c r="V79" i="2" s="1"/>
  <c r="P649" i="2"/>
  <c r="P366" i="2"/>
  <c r="J366" i="2"/>
  <c r="H366" i="2"/>
  <c r="I366" i="2" s="1"/>
  <c r="O366" i="2" s="1"/>
  <c r="P679" i="2"/>
  <c r="H679" i="2"/>
  <c r="I679" i="2" s="1"/>
  <c r="O679" i="2" s="1"/>
  <c r="J679" i="2"/>
  <c r="P208" i="2"/>
  <c r="J208" i="2"/>
  <c r="H214" i="2"/>
  <c r="I214" i="2" s="1"/>
  <c r="O214" i="2" s="1"/>
  <c r="Q214" i="2" s="1"/>
  <c r="R214" i="2" s="1"/>
  <c r="T214" i="2" s="1"/>
  <c r="V214" i="2" s="1"/>
  <c r="J214" i="2"/>
  <c r="J413" i="4"/>
  <c r="H413" i="4"/>
  <c r="I413" i="4" s="1"/>
  <c r="O413" i="4" s="1"/>
  <c r="Q413" i="4" s="1"/>
  <c r="R413" i="4" s="1"/>
  <c r="T413" i="4" s="1"/>
  <c r="V413" i="4" s="1"/>
  <c r="P786" i="4"/>
  <c r="J786" i="4"/>
  <c r="H786" i="4"/>
  <c r="I786" i="4" s="1"/>
  <c r="O786" i="4" s="1"/>
  <c r="P522" i="4"/>
  <c r="H343" i="4"/>
  <c r="I343" i="4" s="1"/>
  <c r="O343" i="4" s="1"/>
  <c r="Q343" i="4" s="1"/>
  <c r="R343" i="4" s="1"/>
  <c r="T343" i="4" s="1"/>
  <c r="V343" i="4" s="1"/>
  <c r="J332" i="4"/>
  <c r="P120" i="4"/>
  <c r="H696" i="2"/>
  <c r="H484" i="4"/>
  <c r="P157" i="2"/>
  <c r="H157" i="2"/>
  <c r="I157" i="2" s="1"/>
  <c r="O157" i="2" s="1"/>
  <c r="J157" i="2"/>
  <c r="P456" i="4"/>
  <c r="J456" i="4"/>
  <c r="H535" i="4"/>
  <c r="H760" i="2"/>
  <c r="I760" i="2" s="1"/>
  <c r="O760" i="2" s="1"/>
  <c r="H571" i="2"/>
  <c r="P571" i="2"/>
  <c r="I6" i="2"/>
  <c r="O6" i="2" s="1"/>
  <c r="J27" i="2"/>
  <c r="H27" i="2"/>
  <c r="P27" i="2"/>
  <c r="P462" i="2"/>
  <c r="H462" i="2"/>
  <c r="I462" i="2" s="1"/>
  <c r="O462" i="2" s="1"/>
  <c r="J462" i="2"/>
  <c r="H543" i="4"/>
  <c r="I543" i="4" s="1"/>
  <c r="O543" i="4" s="1"/>
  <c r="P543" i="4"/>
  <c r="J543" i="4"/>
  <c r="J859" i="4"/>
  <c r="P859" i="4"/>
  <c r="K915" i="4"/>
  <c r="P737" i="4"/>
  <c r="J737" i="4"/>
  <c r="P988" i="4"/>
  <c r="J918" i="4"/>
  <c r="P608" i="4"/>
  <c r="P401" i="4"/>
  <c r="I1000" i="2"/>
  <c r="O1000" i="2" s="1"/>
  <c r="P89" i="4"/>
  <c r="I384" i="2"/>
  <c r="O384" i="2" s="1"/>
  <c r="Q384" i="2" s="1"/>
  <c r="R384" i="2" s="1"/>
  <c r="T384" i="2" s="1"/>
  <c r="V384" i="2" s="1"/>
  <c r="J889" i="2"/>
  <c r="I129" i="2"/>
  <c r="O129" i="2" s="1"/>
  <c r="P324" i="2"/>
  <c r="I227" i="2"/>
  <c r="O227" i="2" s="1"/>
  <c r="I290" i="2"/>
  <c r="O290" i="2" s="1"/>
  <c r="I690" i="2"/>
  <c r="O690" i="2" s="1"/>
  <c r="J1003" i="4"/>
  <c r="K754" i="4"/>
  <c r="I268" i="4"/>
  <c r="O268" i="4" s="1"/>
  <c r="J872" i="4"/>
  <c r="P872" i="4"/>
  <c r="I428" i="4"/>
  <c r="O428" i="4" s="1"/>
  <c r="I408" i="4"/>
  <c r="O408" i="4" s="1"/>
  <c r="P1000" i="2"/>
  <c r="H57" i="4"/>
  <c r="I57" i="4" s="1"/>
  <c r="O57" i="4" s="1"/>
  <c r="J18" i="4"/>
  <c r="P18" i="4"/>
  <c r="J1000" i="2"/>
  <c r="I111" i="4"/>
  <c r="O111" i="4" s="1"/>
  <c r="Q111" i="4" s="1"/>
  <c r="R111" i="4" s="1"/>
  <c r="T111" i="4" s="1"/>
  <c r="V111" i="4" s="1"/>
  <c r="J925" i="2"/>
  <c r="H677" i="2"/>
  <c r="I677" i="2" s="1"/>
  <c r="O677" i="2" s="1"/>
  <c r="J777" i="2"/>
  <c r="P137" i="2"/>
  <c r="K199" i="4"/>
  <c r="P500" i="4"/>
  <c r="J137" i="2"/>
  <c r="I988" i="4"/>
  <c r="O988" i="4" s="1"/>
  <c r="P6" i="2"/>
  <c r="J6" i="2"/>
  <c r="I855" i="4"/>
  <c r="O855" i="4" s="1"/>
  <c r="Q855" i="4" s="1"/>
  <c r="R855" i="4" s="1"/>
  <c r="T855" i="4" s="1"/>
  <c r="V855" i="4" s="1"/>
  <c r="H586" i="4"/>
  <c r="I586" i="4" s="1"/>
  <c r="O586" i="4" s="1"/>
  <c r="Q586" i="4" s="1"/>
  <c r="R586" i="4" s="1"/>
  <c r="T586" i="4" s="1"/>
  <c r="V586" i="4" s="1"/>
  <c r="I727" i="2"/>
  <c r="O727" i="2" s="1"/>
  <c r="P777" i="2"/>
  <c r="P322" i="2"/>
  <c r="J846" i="2"/>
  <c r="I487" i="2"/>
  <c r="O487" i="2" s="1"/>
  <c r="H500" i="4"/>
  <c r="I897" i="4"/>
  <c r="O897" i="4" s="1"/>
  <c r="Q897" i="4" s="1"/>
  <c r="R897" i="4" s="1"/>
  <c r="T897" i="4" s="1"/>
  <c r="V897" i="4" s="1"/>
  <c r="J586" i="4"/>
  <c r="J589" i="2"/>
  <c r="H322" i="2"/>
  <c r="P846" i="2"/>
  <c r="I444" i="2"/>
  <c r="O444" i="2" s="1"/>
  <c r="P589" i="2"/>
  <c r="J348" i="4"/>
  <c r="H348" i="4"/>
  <c r="I348" i="4" s="1"/>
  <c r="O348" i="4" s="1"/>
  <c r="P348" i="4"/>
  <c r="H951" i="2"/>
  <c r="I951" i="2" s="1"/>
  <c r="O951" i="2" s="1"/>
  <c r="P951" i="2"/>
  <c r="J951" i="2"/>
  <c r="P114" i="4"/>
  <c r="H114" i="4"/>
  <c r="I114" i="4" s="1"/>
  <c r="O114" i="4" s="1"/>
  <c r="J114" i="4"/>
  <c r="H1002" i="4"/>
  <c r="I1002" i="4" s="1"/>
  <c r="O1002" i="4" s="1"/>
  <c r="J1002" i="4"/>
  <c r="P1002" i="4"/>
  <c r="P562" i="2"/>
  <c r="H562" i="2"/>
  <c r="I562" i="2" s="1"/>
  <c r="O562" i="2" s="1"/>
  <c r="J562" i="2"/>
  <c r="J250" i="2"/>
  <c r="P250" i="2"/>
  <c r="H250" i="2"/>
  <c r="I250" i="2" s="1"/>
  <c r="O250" i="2" s="1"/>
  <c r="P767" i="2"/>
  <c r="J767" i="2"/>
  <c r="H767" i="2"/>
  <c r="I767" i="2" s="1"/>
  <c r="O767" i="2" s="1"/>
  <c r="J514" i="4"/>
  <c r="P514" i="4"/>
  <c r="H514" i="4"/>
  <c r="I514" i="4" s="1"/>
  <c r="O514" i="4" s="1"/>
  <c r="J296" i="4"/>
  <c r="H296" i="4"/>
  <c r="I296" i="4" s="1"/>
  <c r="O296" i="4" s="1"/>
  <c r="P296" i="4"/>
  <c r="P408" i="2"/>
  <c r="J408" i="2"/>
  <c r="H408" i="2"/>
  <c r="I408" i="2" s="1"/>
  <c r="O408" i="2" s="1"/>
  <c r="J516" i="2"/>
  <c r="H516" i="2"/>
  <c r="I516" i="2" s="1"/>
  <c r="O516" i="2" s="1"/>
  <c r="P516" i="2"/>
  <c r="H407" i="2"/>
  <c r="K101" i="4"/>
  <c r="H253" i="4"/>
  <c r="P253" i="4"/>
  <c r="J253" i="4"/>
  <c r="P166" i="2"/>
  <c r="H166" i="2"/>
  <c r="I166" i="2" s="1"/>
  <c r="O166" i="2" s="1"/>
  <c r="J166" i="2"/>
  <c r="J372" i="4"/>
  <c r="H372" i="4"/>
  <c r="I372" i="4" s="1"/>
  <c r="O372" i="4" s="1"/>
  <c r="P78" i="2"/>
  <c r="J78" i="2"/>
  <c r="H78" i="2"/>
  <c r="I78" i="2" s="1"/>
  <c r="O78" i="2" s="1"/>
  <c r="H581" i="2"/>
  <c r="I581" i="2" s="1"/>
  <c r="O581" i="2" s="1"/>
  <c r="P581" i="2"/>
  <c r="J581" i="2"/>
  <c r="P786" i="2"/>
  <c r="J786" i="2"/>
  <c r="H786" i="2"/>
  <c r="I786" i="2" s="1"/>
  <c r="O786" i="2" s="1"/>
  <c r="H195" i="2"/>
  <c r="I195" i="2" s="1"/>
  <c r="O195" i="2" s="1"/>
  <c r="J195" i="2"/>
  <c r="P195" i="2"/>
  <c r="P407" i="2"/>
  <c r="H302" i="4"/>
  <c r="P302" i="4"/>
  <c r="J302" i="4"/>
  <c r="P568" i="4"/>
  <c r="J568" i="4"/>
  <c r="J789" i="4"/>
  <c r="H789" i="4"/>
  <c r="I789" i="4" s="1"/>
  <c r="O789" i="4" s="1"/>
  <c r="P789" i="4"/>
  <c r="J641" i="2"/>
  <c r="P641" i="2"/>
  <c r="H641" i="2"/>
  <c r="I641" i="2" s="1"/>
  <c r="O641" i="2" s="1"/>
  <c r="J220" i="4"/>
  <c r="P220" i="4"/>
  <c r="H220" i="4"/>
  <c r="I220" i="4" s="1"/>
  <c r="O220" i="4" s="1"/>
  <c r="H267" i="4"/>
  <c r="I267" i="4" s="1"/>
  <c r="O267" i="4" s="1"/>
  <c r="Q267" i="4" s="1"/>
  <c r="R267" i="4" s="1"/>
  <c r="T267" i="4" s="1"/>
  <c r="V267" i="4" s="1"/>
  <c r="J267" i="4"/>
  <c r="P221" i="2"/>
  <c r="H221" i="2"/>
  <c r="I221" i="2" s="1"/>
  <c r="O221" i="2" s="1"/>
  <c r="J221" i="2"/>
  <c r="H731" i="2"/>
  <c r="P731" i="2"/>
  <c r="J957" i="2"/>
  <c r="P957" i="2"/>
  <c r="H957" i="2"/>
  <c r="P532" i="2"/>
  <c r="H532" i="2"/>
  <c r="I532" i="2" s="1"/>
  <c r="O532" i="2" s="1"/>
  <c r="J532" i="2"/>
  <c r="H795" i="2"/>
  <c r="P795" i="2"/>
  <c r="J795" i="2"/>
  <c r="H720" i="2"/>
  <c r="I720" i="2" s="1"/>
  <c r="O720" i="2" s="1"/>
  <c r="J720" i="2"/>
  <c r="P720" i="2"/>
  <c r="J312" i="2"/>
  <c r="H312" i="2"/>
  <c r="I312" i="2" s="1"/>
  <c r="O312" i="2" s="1"/>
  <c r="P312" i="2"/>
  <c r="P923" i="4"/>
  <c r="H923" i="4"/>
  <c r="I923" i="4" s="1"/>
  <c r="O923" i="4" s="1"/>
  <c r="P369" i="4"/>
  <c r="H369" i="4"/>
  <c r="I369" i="4" s="1"/>
  <c r="O369" i="4" s="1"/>
  <c r="J604" i="2"/>
  <c r="H604" i="2"/>
  <c r="I604" i="2" s="1"/>
  <c r="O604" i="2" s="1"/>
  <c r="Q604" i="2" s="1"/>
  <c r="R604" i="2" s="1"/>
  <c r="T604" i="2" s="1"/>
  <c r="V604" i="2" s="1"/>
  <c r="H458" i="2"/>
  <c r="I458" i="2" s="1"/>
  <c r="O458" i="2" s="1"/>
  <c r="J458" i="2"/>
  <c r="P458" i="2"/>
  <c r="P106" i="2"/>
  <c r="H106" i="2"/>
  <c r="I106" i="2" s="1"/>
  <c r="O106" i="2" s="1"/>
  <c r="J632" i="4"/>
  <c r="P632" i="4"/>
  <c r="H632" i="4"/>
  <c r="I632" i="4" s="1"/>
  <c r="O632" i="4" s="1"/>
  <c r="P1001" i="4"/>
  <c r="J1001" i="4"/>
  <c r="H1001" i="4"/>
  <c r="I1001" i="4" s="1"/>
  <c r="O1001" i="4" s="1"/>
  <c r="P807" i="2"/>
  <c r="J807" i="2"/>
  <c r="H807" i="2"/>
  <c r="I807" i="2" s="1"/>
  <c r="O807" i="2" s="1"/>
  <c r="P819" i="4"/>
  <c r="H861" i="2"/>
  <c r="I861" i="2" s="1"/>
  <c r="O861" i="2" s="1"/>
  <c r="P861" i="2"/>
  <c r="P380" i="2"/>
  <c r="H380" i="2"/>
  <c r="I380" i="2" s="1"/>
  <c r="O380" i="2" s="1"/>
  <c r="P100" i="4"/>
  <c r="J100" i="4"/>
  <c r="H100" i="4"/>
  <c r="I100" i="4" s="1"/>
  <c r="O100" i="4" s="1"/>
  <c r="J320" i="4"/>
  <c r="P320" i="4"/>
  <c r="H320" i="4"/>
  <c r="I320" i="4" s="1"/>
  <c r="O320" i="4" s="1"/>
  <c r="P391" i="4"/>
  <c r="J391" i="4"/>
  <c r="H391" i="4"/>
  <c r="I391" i="4" s="1"/>
  <c r="O391" i="4" s="1"/>
  <c r="J909" i="4"/>
  <c r="H909" i="4"/>
  <c r="I909" i="4" s="1"/>
  <c r="O909" i="4" s="1"/>
  <c r="P909" i="4"/>
  <c r="H404" i="4"/>
  <c r="I404" i="4" s="1"/>
  <c r="O404" i="4" s="1"/>
  <c r="P404" i="4"/>
  <c r="I836" i="4"/>
  <c r="O836" i="4" s="1"/>
  <c r="P163" i="4"/>
  <c r="J163" i="4"/>
  <c r="H163" i="4"/>
  <c r="I163" i="4" s="1"/>
  <c r="O163" i="4" s="1"/>
  <c r="I952" i="2"/>
  <c r="O952" i="2" s="1"/>
  <c r="I417" i="2"/>
  <c r="O417" i="2" s="1"/>
  <c r="H66" i="2"/>
  <c r="I66" i="2" s="1"/>
  <c r="O66" i="2" s="1"/>
  <c r="J66" i="2"/>
  <c r="P66" i="2"/>
  <c r="H367" i="2"/>
  <c r="I367" i="2" s="1"/>
  <c r="O367" i="2" s="1"/>
  <c r="P140" i="2"/>
  <c r="J140" i="2"/>
  <c r="P151" i="2"/>
  <c r="J151" i="2"/>
  <c r="H151" i="2"/>
  <c r="I151" i="2" s="1"/>
  <c r="O151" i="2" s="1"/>
  <c r="K111" i="4"/>
  <c r="P367" i="2"/>
  <c r="H553" i="4"/>
  <c r="I553" i="4" s="1"/>
  <c r="O553" i="4" s="1"/>
  <c r="H140" i="2"/>
  <c r="I140" i="2" s="1"/>
  <c r="O140" i="2" s="1"/>
  <c r="J11" i="4"/>
  <c r="P11" i="4"/>
  <c r="P692" i="4"/>
  <c r="P553" i="4"/>
  <c r="J369" i="4"/>
  <c r="P372" i="4"/>
  <c r="I101" i="4"/>
  <c r="O101" i="4" s="1"/>
  <c r="Q101" i="4" s="1"/>
  <c r="R101" i="4" s="1"/>
  <c r="T101" i="4" s="1"/>
  <c r="V101" i="4" s="1"/>
  <c r="J692" i="4"/>
  <c r="J861" i="2"/>
  <c r="H616" i="4"/>
  <c r="I616" i="4" s="1"/>
  <c r="O616" i="4" s="1"/>
  <c r="J380" i="2"/>
  <c r="J106" i="2"/>
  <c r="J143" i="4"/>
  <c r="H143" i="4"/>
  <c r="I143" i="4" s="1"/>
  <c r="O143" i="4" s="1"/>
  <c r="P143" i="4"/>
  <c r="P616" i="4"/>
  <c r="I54" i="4"/>
  <c r="O54" i="4" s="1"/>
  <c r="Q54" i="4" s="1"/>
  <c r="R54" i="4" s="1"/>
  <c r="T54" i="4" s="1"/>
  <c r="V54" i="4" s="1"/>
  <c r="P277" i="2"/>
  <c r="P973" i="4"/>
  <c r="J982" i="4"/>
  <c r="P982" i="4"/>
  <c r="H982" i="4"/>
  <c r="I982" i="4" s="1"/>
  <c r="O982" i="4" s="1"/>
  <c r="P387" i="4"/>
  <c r="J387" i="4"/>
  <c r="H387" i="4"/>
  <c r="I387" i="4" s="1"/>
  <c r="O387" i="4" s="1"/>
  <c r="H287" i="4"/>
  <c r="I287" i="4" s="1"/>
  <c r="O287" i="4" s="1"/>
  <c r="P287" i="4"/>
  <c r="J287" i="4"/>
  <c r="I418" i="2"/>
  <c r="O418" i="2" s="1"/>
  <c r="J784" i="4"/>
  <c r="H784" i="4"/>
  <c r="I784" i="4" s="1"/>
  <c r="O784" i="4" s="1"/>
  <c r="P784" i="4"/>
  <c r="I602" i="2"/>
  <c r="O602" i="2" s="1"/>
  <c r="P280" i="4"/>
  <c r="P985" i="2"/>
  <c r="H825" i="2"/>
  <c r="I825" i="2" s="1"/>
  <c r="O825" i="2" s="1"/>
  <c r="J896" i="4"/>
  <c r="H896" i="4"/>
  <c r="H597" i="2"/>
  <c r="I597" i="2" s="1"/>
  <c r="O597" i="2" s="1"/>
  <c r="J597" i="2"/>
  <c r="P597" i="2"/>
  <c r="P825" i="4"/>
  <c r="J825" i="4"/>
  <c r="H825" i="4"/>
  <c r="I825" i="4" s="1"/>
  <c r="O825" i="4" s="1"/>
  <c r="J929" i="2"/>
  <c r="H929" i="2"/>
  <c r="I929" i="2" s="1"/>
  <c r="O929" i="2" s="1"/>
  <c r="P929" i="2"/>
  <c r="H94" i="2"/>
  <c r="I94" i="2" s="1"/>
  <c r="O94" i="2" s="1"/>
  <c r="P94" i="2"/>
  <c r="J94" i="2"/>
  <c r="P674" i="2"/>
  <c r="J674" i="2"/>
  <c r="P913" i="4"/>
  <c r="J913" i="4"/>
  <c r="H913" i="4"/>
  <c r="I913" i="4" s="1"/>
  <c r="O913" i="4" s="1"/>
  <c r="J593" i="4"/>
  <c r="P593" i="4"/>
  <c r="H593" i="4"/>
  <c r="I593" i="4" s="1"/>
  <c r="O593" i="4" s="1"/>
  <c r="H911" i="2"/>
  <c r="I911" i="2" s="1"/>
  <c r="O911" i="2" s="1"/>
  <c r="J911" i="2"/>
  <c r="P911" i="2"/>
  <c r="H454" i="2"/>
  <c r="I454" i="2" s="1"/>
  <c r="O454" i="2" s="1"/>
  <c r="P454" i="2"/>
  <c r="J454" i="2"/>
  <c r="I282" i="4"/>
  <c r="O282" i="4" s="1"/>
  <c r="J188" i="4"/>
  <c r="H188" i="4"/>
  <c r="P188" i="4"/>
  <c r="H981" i="4"/>
  <c r="I981" i="4" s="1"/>
  <c r="O981" i="4" s="1"/>
  <c r="P981" i="4"/>
  <c r="J981" i="4"/>
  <c r="J803" i="4"/>
  <c r="P803" i="4"/>
  <c r="I707" i="2"/>
  <c r="O707" i="2" s="1"/>
  <c r="P257" i="2"/>
  <c r="J257" i="2"/>
  <c r="H257" i="2"/>
  <c r="I257" i="2" s="1"/>
  <c r="O257" i="2" s="1"/>
  <c r="J745" i="2"/>
  <c r="H745" i="2"/>
  <c r="I745" i="2" s="1"/>
  <c r="O745" i="2" s="1"/>
  <c r="P745" i="2"/>
  <c r="P575" i="4"/>
  <c r="J575" i="4"/>
  <c r="H575" i="4"/>
  <c r="I575" i="4" s="1"/>
  <c r="O575" i="4" s="1"/>
  <c r="I692" i="4"/>
  <c r="O692" i="4" s="1"/>
  <c r="H383" i="4"/>
  <c r="H260" i="2"/>
  <c r="I260" i="2" s="1"/>
  <c r="O260" i="2" s="1"/>
  <c r="Q260" i="2" s="1"/>
  <c r="R260" i="2" s="1"/>
  <c r="T260" i="2" s="1"/>
  <c r="V260" i="2" s="1"/>
  <c r="I708" i="4"/>
  <c r="O708" i="4" s="1"/>
  <c r="I280" i="4"/>
  <c r="O280" i="4" s="1"/>
  <c r="J383" i="4"/>
  <c r="J377" i="4"/>
  <c r="J260" i="2"/>
  <c r="P349" i="4"/>
  <c r="J349" i="4"/>
  <c r="H349" i="4"/>
  <c r="I349" i="4" s="1"/>
  <c r="O349" i="4" s="1"/>
  <c r="J128" i="4"/>
  <c r="P128" i="4"/>
  <c r="H128" i="4"/>
  <c r="I128" i="4" s="1"/>
  <c r="O128" i="4" s="1"/>
  <c r="J621" i="2"/>
  <c r="P621" i="2"/>
  <c r="H621" i="2"/>
  <c r="I621" i="2" s="1"/>
  <c r="O621" i="2" s="1"/>
  <c r="J317" i="2"/>
  <c r="H317" i="2"/>
  <c r="I317" i="2" s="1"/>
  <c r="O317" i="2" s="1"/>
  <c r="Q317" i="2" s="1"/>
  <c r="R317" i="2" s="1"/>
  <c r="T317" i="2" s="1"/>
  <c r="V317" i="2" s="1"/>
  <c r="H213" i="2"/>
  <c r="I213" i="2" s="1"/>
  <c r="O213" i="2" s="1"/>
  <c r="P213" i="2"/>
  <c r="H766" i="4"/>
  <c r="I766" i="4" s="1"/>
  <c r="O766" i="4" s="1"/>
  <c r="J766" i="4"/>
  <c r="P766" i="4"/>
  <c r="H486" i="2"/>
  <c r="P486" i="2"/>
  <c r="J486" i="2"/>
  <c r="H377" i="4"/>
  <c r="I377" i="4" s="1"/>
  <c r="O377" i="4" s="1"/>
  <c r="Q377" i="4" s="1"/>
  <c r="R377" i="4" s="1"/>
  <c r="T377" i="4" s="1"/>
  <c r="V377" i="4" s="1"/>
  <c r="P248" i="4"/>
  <c r="J248" i="4"/>
  <c r="H248" i="4"/>
  <c r="I248" i="4" s="1"/>
  <c r="O248" i="4" s="1"/>
  <c r="P57" i="2"/>
  <c r="J57" i="2"/>
  <c r="H57" i="2"/>
  <c r="I57" i="2" s="1"/>
  <c r="O57" i="2" s="1"/>
  <c r="P691" i="2"/>
  <c r="J691" i="2"/>
  <c r="H691" i="2"/>
  <c r="I691" i="2" s="1"/>
  <c r="O691" i="2" s="1"/>
  <c r="J85" i="2"/>
  <c r="P85" i="2"/>
  <c r="H85" i="2"/>
  <c r="H447" i="4"/>
  <c r="I447" i="4" s="1"/>
  <c r="O447" i="4" s="1"/>
  <c r="P447" i="4"/>
  <c r="J447" i="4"/>
  <c r="J708" i="4"/>
  <c r="H803" i="4"/>
  <c r="I803" i="4" s="1"/>
  <c r="O803" i="4" s="1"/>
  <c r="P708" i="4"/>
  <c r="H552" i="2"/>
  <c r="I552" i="2" s="1"/>
  <c r="O552" i="2" s="1"/>
  <c r="P552" i="2"/>
  <c r="H668" i="4"/>
  <c r="P668" i="4"/>
  <c r="J668" i="4"/>
  <c r="H855" i="2"/>
  <c r="I855" i="2" s="1"/>
  <c r="O855" i="2" s="1"/>
  <c r="J855" i="2"/>
  <c r="P855" i="2"/>
  <c r="H882" i="4"/>
  <c r="I882" i="4" s="1"/>
  <c r="O882" i="4" s="1"/>
  <c r="P858" i="4"/>
  <c r="J280" i="4"/>
  <c r="J225" i="4"/>
  <c r="J52" i="4"/>
  <c r="P560" i="2"/>
  <c r="H560" i="2"/>
  <c r="I560" i="2" s="1"/>
  <c r="O560" i="2" s="1"/>
  <c r="J812" i="2"/>
  <c r="H812" i="2"/>
  <c r="I812" i="2" s="1"/>
  <c r="O812" i="2" s="1"/>
  <c r="P812" i="2"/>
  <c r="H270" i="4"/>
  <c r="I270" i="4" s="1"/>
  <c r="O270" i="4" s="1"/>
  <c r="Q270" i="4" s="1"/>
  <c r="R270" i="4" s="1"/>
  <c r="T270" i="4" s="1"/>
  <c r="V270" i="4" s="1"/>
  <c r="J270" i="4"/>
  <c r="P282" i="4"/>
  <c r="J282" i="4"/>
  <c r="J988" i="4"/>
  <c r="P882" i="4"/>
  <c r="H858" i="4"/>
  <c r="I858" i="4" s="1"/>
  <c r="O858" i="4" s="1"/>
  <c r="P225" i="4"/>
  <c r="H52" i="4"/>
  <c r="I52" i="4" s="1"/>
  <c r="O52" i="4" s="1"/>
  <c r="Q52" i="4" s="1"/>
  <c r="R52" i="4" s="1"/>
  <c r="T52" i="4" s="1"/>
  <c r="V52" i="4" s="1"/>
  <c r="J759" i="4"/>
  <c r="H759" i="4"/>
  <c r="I759" i="4" s="1"/>
  <c r="O759" i="4" s="1"/>
  <c r="P759" i="4"/>
  <c r="K446" i="2"/>
  <c r="J213" i="2"/>
  <c r="I218" i="2"/>
  <c r="O218" i="2" s="1"/>
  <c r="I537" i="2"/>
  <c r="O537" i="2" s="1"/>
  <c r="I427" i="2"/>
  <c r="O427" i="2" s="1"/>
  <c r="Q427" i="2" s="1"/>
  <c r="R427" i="2" s="1"/>
  <c r="T427" i="2" s="1"/>
  <c r="V427" i="2" s="1"/>
  <c r="P153" i="2"/>
  <c r="J153" i="2"/>
  <c r="H19" i="4"/>
  <c r="I19" i="4" s="1"/>
  <c r="O19" i="4" s="1"/>
  <c r="P19" i="4"/>
  <c r="J19" i="4"/>
  <c r="P811" i="2"/>
  <c r="J811" i="2"/>
  <c r="H811" i="2"/>
  <c r="I811" i="2" s="1"/>
  <c r="O811" i="2" s="1"/>
  <c r="I800" i="4"/>
  <c r="O800" i="4" s="1"/>
  <c r="Q800" i="4" s="1"/>
  <c r="R800" i="4" s="1"/>
  <c r="T800" i="4" s="1"/>
  <c r="V800" i="4" s="1"/>
  <c r="I709" i="4"/>
  <c r="O709" i="4" s="1"/>
  <c r="K427" i="2"/>
  <c r="P705" i="4"/>
  <c r="J705" i="4"/>
  <c r="P550" i="2"/>
  <c r="J550" i="2"/>
  <c r="P865" i="2"/>
  <c r="J865" i="2"/>
  <c r="H865" i="2"/>
  <c r="I865" i="2" s="1"/>
  <c r="O865" i="2" s="1"/>
  <c r="P378" i="2"/>
  <c r="H378" i="2"/>
  <c r="I378" i="2" s="1"/>
  <c r="O378" i="2" s="1"/>
  <c r="J378" i="2"/>
  <c r="I793" i="2"/>
  <c r="O793" i="2" s="1"/>
  <c r="J51" i="2"/>
  <c r="H51" i="2"/>
  <c r="I51" i="2" s="1"/>
  <c r="O51" i="2" s="1"/>
  <c r="P51" i="2"/>
  <c r="P279" i="4"/>
  <c r="H279" i="4"/>
  <c r="I279" i="4" s="1"/>
  <c r="O279" i="4" s="1"/>
  <c r="J279" i="4"/>
  <c r="P502" i="2"/>
  <c r="J502" i="2"/>
  <c r="I665" i="4"/>
  <c r="O665" i="4" s="1"/>
  <c r="P525" i="4"/>
  <c r="H502" i="2"/>
  <c r="I502" i="2" s="1"/>
  <c r="O502" i="2" s="1"/>
  <c r="I896" i="2"/>
  <c r="O896" i="2" s="1"/>
  <c r="H735" i="2"/>
  <c r="I735" i="2" s="1"/>
  <c r="O735" i="2" s="1"/>
  <c r="P126" i="4"/>
  <c r="H126" i="4"/>
  <c r="I126" i="4" s="1"/>
  <c r="O126" i="4" s="1"/>
  <c r="J126" i="4"/>
  <c r="P763" i="2"/>
  <c r="J763" i="2"/>
  <c r="H763" i="2"/>
  <c r="I763" i="2" s="1"/>
  <c r="O763" i="2" s="1"/>
  <c r="P846" i="4"/>
  <c r="H846" i="4"/>
  <c r="I846" i="4" s="1"/>
  <c r="O846" i="4" s="1"/>
  <c r="J846" i="4"/>
  <c r="P132" i="4"/>
  <c r="J132" i="4"/>
  <c r="H469" i="2"/>
  <c r="P469" i="2"/>
  <c r="H612" i="2"/>
  <c r="I612" i="2" s="1"/>
  <c r="O612" i="2" s="1"/>
  <c r="P612" i="2"/>
  <c r="H551" i="2"/>
  <c r="I551" i="2" s="1"/>
  <c r="O551" i="2" s="1"/>
  <c r="P551" i="2"/>
  <c r="J551" i="2"/>
  <c r="I995" i="2"/>
  <c r="O995" i="2" s="1"/>
  <c r="P227" i="4"/>
  <c r="J227" i="4"/>
  <c r="H227" i="4"/>
  <c r="I227" i="4" s="1"/>
  <c r="O227" i="4" s="1"/>
  <c r="H559" i="2"/>
  <c r="I559" i="2" s="1"/>
  <c r="O559" i="2" s="1"/>
  <c r="P559" i="2"/>
  <c r="J559" i="2"/>
  <c r="H893" i="4"/>
  <c r="I893" i="4" s="1"/>
  <c r="O893" i="4" s="1"/>
  <c r="P893" i="4"/>
  <c r="J893" i="4"/>
  <c r="H275" i="4"/>
  <c r="I275" i="4" s="1"/>
  <c r="O275" i="4" s="1"/>
  <c r="P275" i="4"/>
  <c r="J275" i="4"/>
  <c r="H910" i="2"/>
  <c r="I910" i="2" s="1"/>
  <c r="O910" i="2" s="1"/>
  <c r="P910" i="2"/>
  <c r="J910" i="2"/>
  <c r="J561" i="2"/>
  <c r="H561" i="2"/>
  <c r="I561" i="2" s="1"/>
  <c r="O561" i="2" s="1"/>
  <c r="P561" i="2"/>
  <c r="I555" i="2"/>
  <c r="O555" i="2" s="1"/>
  <c r="H688" i="4"/>
  <c r="I688" i="4" s="1"/>
  <c r="O688" i="4" s="1"/>
  <c r="Q688" i="4" s="1"/>
  <c r="R688" i="4" s="1"/>
  <c r="T688" i="4" s="1"/>
  <c r="V688" i="4" s="1"/>
  <c r="J688" i="4"/>
  <c r="J242" i="4"/>
  <c r="P242" i="4"/>
  <c r="H650" i="4"/>
  <c r="I650" i="4" s="1"/>
  <c r="O650" i="4" s="1"/>
  <c r="P650" i="4"/>
  <c r="P26" i="2"/>
  <c r="J26" i="2"/>
  <c r="H235" i="2"/>
  <c r="I235" i="2" s="1"/>
  <c r="O235" i="2" s="1"/>
  <c r="P235" i="2"/>
  <c r="J235" i="2"/>
  <c r="J341" i="2"/>
  <c r="H341" i="2"/>
  <c r="I341" i="2" s="1"/>
  <c r="O341" i="2" s="1"/>
  <c r="Q341" i="2" s="1"/>
  <c r="R341" i="2" s="1"/>
  <c r="T341" i="2" s="1"/>
  <c r="V341" i="2" s="1"/>
  <c r="I625" i="4"/>
  <c r="O625" i="4" s="1"/>
  <c r="I754" i="4"/>
  <c r="O754" i="4" s="1"/>
  <c r="Q754" i="4" s="1"/>
  <c r="R754" i="4" s="1"/>
  <c r="T754" i="4" s="1"/>
  <c r="V754" i="4" s="1"/>
  <c r="K373" i="4"/>
  <c r="J175" i="4"/>
  <c r="P735" i="2"/>
  <c r="H99" i="2"/>
  <c r="I99" i="2" s="1"/>
  <c r="O99" i="2" s="1"/>
  <c r="Q99" i="2" s="1"/>
  <c r="R99" i="2" s="1"/>
  <c r="T99" i="2" s="1"/>
  <c r="V99" i="2" s="1"/>
  <c r="J739" i="4"/>
  <c r="H739" i="4"/>
  <c r="I739" i="4" s="1"/>
  <c r="O739" i="4" s="1"/>
  <c r="Q739" i="4" s="1"/>
  <c r="R739" i="4" s="1"/>
  <c r="T739" i="4" s="1"/>
  <c r="V739" i="4" s="1"/>
  <c r="P600" i="4"/>
  <c r="H600" i="4"/>
  <c r="H114" i="2"/>
  <c r="I114" i="2" s="1"/>
  <c r="O114" i="2" s="1"/>
  <c r="P114" i="2"/>
  <c r="I589" i="2"/>
  <c r="O589" i="2" s="1"/>
  <c r="J539" i="2"/>
  <c r="H539" i="2"/>
  <c r="I539" i="2" s="1"/>
  <c r="O539" i="2" s="1"/>
  <c r="P539" i="2"/>
  <c r="P894" i="2"/>
  <c r="J894" i="2"/>
  <c r="I324" i="2"/>
  <c r="O324" i="2" s="1"/>
  <c r="H125" i="4"/>
  <c r="I125" i="4" s="1"/>
  <c r="O125" i="4" s="1"/>
  <c r="J125" i="4"/>
  <c r="P125" i="4"/>
  <c r="I658" i="4"/>
  <c r="O658" i="4" s="1"/>
  <c r="P175" i="4"/>
  <c r="I18" i="4"/>
  <c r="O18" i="4" s="1"/>
  <c r="I797" i="2"/>
  <c r="O797" i="2" s="1"/>
  <c r="H301" i="2"/>
  <c r="I301" i="2" s="1"/>
  <c r="O301" i="2" s="1"/>
  <c r="Q301" i="2" s="1"/>
  <c r="R301" i="2" s="1"/>
  <c r="T301" i="2" s="1"/>
  <c r="V301" i="2" s="1"/>
  <c r="J99" i="2"/>
  <c r="J649" i="4"/>
  <c r="H649" i="4"/>
  <c r="I649" i="4" s="1"/>
  <c r="O649" i="4" s="1"/>
  <c r="P649" i="4"/>
  <c r="P97" i="2"/>
  <c r="H97" i="2"/>
  <c r="I97" i="2" s="1"/>
  <c r="O97" i="2" s="1"/>
  <c r="H187" i="4"/>
  <c r="I187" i="4" s="1"/>
  <c r="O187" i="4" s="1"/>
  <c r="J187" i="4"/>
  <c r="P187" i="4"/>
  <c r="H577" i="2"/>
  <c r="I577" i="2" s="1"/>
  <c r="O577" i="2" s="1"/>
  <c r="P577" i="2"/>
  <c r="J577" i="2"/>
  <c r="P442" i="4"/>
  <c r="H442" i="4"/>
  <c r="I442" i="4" s="1"/>
  <c r="O442" i="4" s="1"/>
  <c r="J90" i="2"/>
  <c r="P90" i="2"/>
  <c r="P858" i="2"/>
  <c r="J858" i="2"/>
  <c r="J793" i="2"/>
  <c r="J301" i="2"/>
  <c r="H171" i="2"/>
  <c r="J549" i="2"/>
  <c r="I123" i="2"/>
  <c r="O123" i="2" s="1"/>
  <c r="J328" i="4"/>
  <c r="H328" i="4"/>
  <c r="I328" i="4" s="1"/>
  <c r="O328" i="4" s="1"/>
  <c r="P328" i="4"/>
  <c r="J389" i="4"/>
  <c r="H389" i="4"/>
  <c r="I389" i="4" s="1"/>
  <c r="O389" i="4" s="1"/>
  <c r="P389" i="4"/>
  <c r="H49" i="2"/>
  <c r="I49" i="2" s="1"/>
  <c r="O49" i="2" s="1"/>
  <c r="P49" i="2"/>
  <c r="P313" i="2"/>
  <c r="J313" i="2"/>
  <c r="H313" i="2"/>
  <c r="I313" i="2" s="1"/>
  <c r="O313" i="2" s="1"/>
  <c r="J267" i="2"/>
  <c r="P267" i="2"/>
  <c r="H267" i="2"/>
  <c r="I267" i="2" s="1"/>
  <c r="O267" i="2" s="1"/>
  <c r="J281" i="4"/>
  <c r="P281" i="4"/>
  <c r="H281" i="4"/>
  <c r="I281" i="4" s="1"/>
  <c r="O281" i="4" s="1"/>
  <c r="J546" i="4"/>
  <c r="P546" i="4"/>
  <c r="H546" i="4"/>
  <c r="I546" i="4" s="1"/>
  <c r="O546" i="4" s="1"/>
  <c r="J40" i="2"/>
  <c r="H40" i="2"/>
  <c r="I40" i="2" s="1"/>
  <c r="O40" i="2" s="1"/>
  <c r="P40" i="2"/>
  <c r="H815" i="4"/>
  <c r="I815" i="4" s="1"/>
  <c r="O815" i="4" s="1"/>
  <c r="J815" i="4"/>
  <c r="P815" i="4"/>
  <c r="H173" i="2"/>
  <c r="I173" i="2" s="1"/>
  <c r="O173" i="2" s="1"/>
  <c r="J173" i="2"/>
  <c r="P173" i="2"/>
  <c r="I199" i="4"/>
  <c r="O199" i="4" s="1"/>
  <c r="Q199" i="4" s="1"/>
  <c r="R199" i="4" s="1"/>
  <c r="T199" i="4" s="1"/>
  <c r="V199" i="4" s="1"/>
  <c r="I156" i="4"/>
  <c r="O156" i="4" s="1"/>
  <c r="Q156" i="4" s="1"/>
  <c r="R156" i="4" s="1"/>
  <c r="T156" i="4" s="1"/>
  <c r="V156" i="4" s="1"/>
  <c r="I722" i="2"/>
  <c r="O722" i="2" s="1"/>
  <c r="I117" i="2"/>
  <c r="O117" i="2" s="1"/>
  <c r="P912" i="4"/>
  <c r="H912" i="4"/>
  <c r="I912" i="4" s="1"/>
  <c r="O912" i="4" s="1"/>
  <c r="J912" i="4"/>
  <c r="H247" i="4"/>
  <c r="I247" i="4" s="1"/>
  <c r="O247" i="4" s="1"/>
  <c r="P247" i="4"/>
  <c r="J247" i="4"/>
  <c r="J965" i="4"/>
  <c r="H965" i="4"/>
  <c r="I965" i="4" s="1"/>
  <c r="O965" i="4" s="1"/>
  <c r="P965" i="4"/>
  <c r="J900" i="2"/>
  <c r="H900" i="2"/>
  <c r="I900" i="2" s="1"/>
  <c r="O900" i="2" s="1"/>
  <c r="Q900" i="2" s="1"/>
  <c r="R900" i="2" s="1"/>
  <c r="T900" i="2" s="1"/>
  <c r="V900" i="2" s="1"/>
  <c r="P929" i="4"/>
  <c r="J929" i="4"/>
  <c r="H929" i="4"/>
  <c r="I929" i="4" s="1"/>
  <c r="O929" i="4" s="1"/>
  <c r="H288" i="4"/>
  <c r="I288" i="4" s="1"/>
  <c r="O288" i="4" s="1"/>
  <c r="J288" i="4"/>
  <c r="P288" i="4"/>
  <c r="H352" i="2"/>
  <c r="I352" i="2" s="1"/>
  <c r="O352" i="2" s="1"/>
  <c r="J352" i="2"/>
  <c r="P352" i="2"/>
  <c r="K149" i="2"/>
  <c r="J565" i="4"/>
  <c r="P565" i="4"/>
  <c r="H565" i="4"/>
  <c r="I565" i="4" s="1"/>
  <c r="O565" i="4" s="1"/>
  <c r="J920" i="2"/>
  <c r="P920" i="2"/>
  <c r="H920" i="2"/>
  <c r="I920" i="2" s="1"/>
  <c r="O920" i="2" s="1"/>
  <c r="J193" i="2"/>
  <c r="P193" i="2"/>
  <c r="H193" i="2"/>
  <c r="I193" i="2" s="1"/>
  <c r="O193" i="2" s="1"/>
  <c r="P943" i="2"/>
  <c r="J943" i="2"/>
  <c r="H943" i="2"/>
  <c r="I943" i="2" s="1"/>
  <c r="O943" i="2" s="1"/>
  <c r="J583" i="4"/>
  <c r="P583" i="4"/>
  <c r="H583" i="4"/>
  <c r="I583" i="4" s="1"/>
  <c r="O583" i="4" s="1"/>
  <c r="P843" i="2"/>
  <c r="J843" i="2"/>
  <c r="H843" i="2"/>
  <c r="I843" i="2" s="1"/>
  <c r="O843" i="2" s="1"/>
  <c r="I733" i="4"/>
  <c r="O733" i="4" s="1"/>
  <c r="I445" i="4"/>
  <c r="O445" i="4" s="1"/>
  <c r="K54" i="4"/>
  <c r="I176" i="2"/>
  <c r="O176" i="2" s="1"/>
  <c r="Q176" i="2" s="1"/>
  <c r="R176" i="2" s="1"/>
  <c r="T176" i="2" s="1"/>
  <c r="V176" i="2" s="1"/>
  <c r="H189" i="2"/>
  <c r="I189" i="2" s="1"/>
  <c r="O189" i="2" s="1"/>
  <c r="J189" i="2"/>
  <c r="P189" i="2"/>
  <c r="H172" i="2"/>
  <c r="P172" i="2"/>
  <c r="J172" i="2"/>
  <c r="I962" i="2"/>
  <c r="O962" i="2" s="1"/>
  <c r="J813" i="2"/>
  <c r="P813" i="2"/>
  <c r="I777" i="2"/>
  <c r="O777" i="2" s="1"/>
  <c r="P503" i="4"/>
  <c r="J503" i="4"/>
  <c r="H503" i="4"/>
  <c r="J878" i="2"/>
  <c r="H878" i="2"/>
  <c r="I878" i="2" s="1"/>
  <c r="O878" i="2" s="1"/>
  <c r="P878" i="2"/>
  <c r="P885" i="2"/>
  <c r="J885" i="2"/>
  <c r="H885" i="2"/>
  <c r="I885" i="2" s="1"/>
  <c r="O885" i="2" s="1"/>
  <c r="J399" i="4"/>
  <c r="P399" i="4"/>
  <c r="H399" i="4"/>
  <c r="I399" i="4" s="1"/>
  <c r="O399" i="4" s="1"/>
  <c r="H849" i="2"/>
  <c r="I849" i="2" s="1"/>
  <c r="O849" i="2" s="1"/>
  <c r="P849" i="2"/>
  <c r="J849" i="2"/>
  <c r="H962" i="4"/>
  <c r="I962" i="4" s="1"/>
  <c r="O962" i="4" s="1"/>
  <c r="P962" i="4"/>
  <c r="J962" i="4"/>
  <c r="H692" i="2"/>
  <c r="I692" i="2" s="1"/>
  <c r="O692" i="2" s="1"/>
  <c r="J692" i="2"/>
  <c r="P692" i="2"/>
  <c r="H943" i="4"/>
  <c r="I943" i="4" s="1"/>
  <c r="O943" i="4" s="1"/>
  <c r="J943" i="4"/>
  <c r="P943" i="4"/>
  <c r="J926" i="4"/>
  <c r="P926" i="4"/>
  <c r="H926" i="4"/>
  <c r="I926" i="4" s="1"/>
  <c r="O926" i="4" s="1"/>
  <c r="J477" i="4"/>
  <c r="H477" i="4"/>
  <c r="I477" i="4" s="1"/>
  <c r="O477" i="4" s="1"/>
  <c r="P477" i="4"/>
  <c r="H998" i="4"/>
  <c r="I998" i="4" s="1"/>
  <c r="O998" i="4" s="1"/>
  <c r="J998" i="4"/>
  <c r="P998" i="4"/>
  <c r="J944" i="4"/>
  <c r="P944" i="4"/>
  <c r="H944" i="4"/>
  <c r="I944" i="4" s="1"/>
  <c r="O944" i="4" s="1"/>
  <c r="P592" i="4"/>
  <c r="J592" i="4"/>
  <c r="H592" i="4"/>
  <c r="I592" i="4" s="1"/>
  <c r="O592" i="4" s="1"/>
  <c r="P345" i="2"/>
  <c r="J345" i="2"/>
  <c r="H345" i="2"/>
  <c r="I345" i="2" s="1"/>
  <c r="O345" i="2" s="1"/>
  <c r="P783" i="4"/>
  <c r="H783" i="4"/>
  <c r="I783" i="4" s="1"/>
  <c r="O783" i="4" s="1"/>
  <c r="J783" i="4"/>
  <c r="P940" i="4"/>
  <c r="H940" i="4"/>
  <c r="I940" i="4" s="1"/>
  <c r="O940" i="4" s="1"/>
  <c r="J940" i="4"/>
  <c r="J454" i="4"/>
  <c r="P454" i="4"/>
  <c r="H454" i="4"/>
  <c r="I454" i="4" s="1"/>
  <c r="O454" i="4" s="1"/>
  <c r="J600" i="2"/>
  <c r="H600" i="2"/>
  <c r="I600" i="2" s="1"/>
  <c r="O600" i="2" s="1"/>
  <c r="P600" i="2"/>
  <c r="P564" i="4"/>
  <c r="H564" i="4"/>
  <c r="I564" i="4" s="1"/>
  <c r="O564" i="4" s="1"/>
  <c r="J564" i="4"/>
  <c r="P741" i="4"/>
  <c r="H741" i="4"/>
  <c r="I741" i="4" s="1"/>
  <c r="O741" i="4" s="1"/>
  <c r="J741" i="4"/>
  <c r="I737" i="4"/>
  <c r="O737" i="4" s="1"/>
  <c r="P435" i="4"/>
  <c r="H435" i="4"/>
  <c r="I435" i="4" s="1"/>
  <c r="O435" i="4" s="1"/>
  <c r="J435" i="4"/>
  <c r="J224" i="4"/>
  <c r="H224" i="4"/>
  <c r="I224" i="4" s="1"/>
  <c r="O224" i="4" s="1"/>
  <c r="P224" i="4"/>
  <c r="H712" i="4"/>
  <c r="I712" i="4" s="1"/>
  <c r="O712" i="4" s="1"/>
  <c r="J712" i="4"/>
  <c r="P712" i="4"/>
  <c r="H947" i="4"/>
  <c r="I947" i="4" s="1"/>
  <c r="O947" i="4" s="1"/>
  <c r="P947" i="4"/>
  <c r="J947" i="4"/>
  <c r="P512" i="4"/>
  <c r="J512" i="4"/>
  <c r="H512" i="4"/>
  <c r="I512" i="4" s="1"/>
  <c r="O512" i="4" s="1"/>
  <c r="H992" i="4"/>
  <c r="I992" i="4" s="1"/>
  <c r="O992" i="4" s="1"/>
  <c r="J992" i="4"/>
  <c r="P992" i="4"/>
  <c r="J936" i="4"/>
  <c r="H936" i="4"/>
  <c r="I936" i="4" s="1"/>
  <c r="O936" i="4" s="1"/>
  <c r="P936" i="4"/>
  <c r="P970" i="4"/>
  <c r="H970" i="4"/>
  <c r="I970" i="4" s="1"/>
  <c r="O970" i="4" s="1"/>
  <c r="J970" i="4"/>
  <c r="P869" i="2"/>
  <c r="H869" i="2"/>
  <c r="I869" i="2" s="1"/>
  <c r="O869" i="2" s="1"/>
  <c r="J869" i="2"/>
  <c r="J731" i="4"/>
  <c r="P731" i="4"/>
  <c r="H731" i="4"/>
  <c r="I731" i="4" s="1"/>
  <c r="O731" i="4" s="1"/>
  <c r="P904" i="4"/>
  <c r="J904" i="4"/>
  <c r="H904" i="4"/>
  <c r="I904" i="4" s="1"/>
  <c r="O904" i="4" s="1"/>
  <c r="J601" i="4"/>
  <c r="P601" i="4"/>
  <c r="H601" i="4"/>
  <c r="I601" i="4" s="1"/>
  <c r="O601" i="4" s="1"/>
  <c r="P329" i="4"/>
  <c r="H329" i="4"/>
  <c r="I329" i="4" s="1"/>
  <c r="O329" i="4" s="1"/>
  <c r="J329" i="4"/>
  <c r="H457" i="4"/>
  <c r="I457" i="4" s="1"/>
  <c r="O457" i="4" s="1"/>
  <c r="P457" i="4"/>
  <c r="J457" i="4"/>
  <c r="J982" i="2"/>
  <c r="P982" i="2"/>
  <c r="H982" i="2"/>
  <c r="I982" i="2" s="1"/>
  <c r="O982" i="2" s="1"/>
  <c r="H113" i="2"/>
  <c r="I113" i="2" s="1"/>
  <c r="O113" i="2" s="1"/>
  <c r="J113" i="2"/>
  <c r="P113" i="2"/>
  <c r="P870" i="4"/>
  <c r="J870" i="4"/>
  <c r="H870" i="4"/>
  <c r="I870" i="4" s="1"/>
  <c r="O870" i="4" s="1"/>
  <c r="P594" i="4"/>
  <c r="J594" i="4"/>
  <c r="H594" i="4"/>
  <c r="I594" i="4" s="1"/>
  <c r="O594" i="4" s="1"/>
  <c r="P791" i="2"/>
  <c r="J791" i="2"/>
  <c r="H791" i="2"/>
  <c r="I791" i="2" s="1"/>
  <c r="O791" i="2" s="1"/>
  <c r="P681" i="4"/>
  <c r="H681" i="4"/>
  <c r="I681" i="4" s="1"/>
  <c r="O681" i="4" s="1"/>
  <c r="J681" i="4"/>
  <c r="H562" i="4"/>
  <c r="I562" i="4" s="1"/>
  <c r="O562" i="4" s="1"/>
  <c r="P562" i="4"/>
  <c r="J562" i="4"/>
  <c r="H849" i="4"/>
  <c r="I849" i="4" s="1"/>
  <c r="O849" i="4" s="1"/>
  <c r="J849" i="4"/>
  <c r="P849" i="4"/>
  <c r="H536" i="4"/>
  <c r="I536" i="4" s="1"/>
  <c r="O536" i="4" s="1"/>
  <c r="P536" i="4"/>
  <c r="J536" i="4"/>
  <c r="J954" i="4"/>
  <c r="H954" i="4"/>
  <c r="I954" i="4" s="1"/>
  <c r="O954" i="4" s="1"/>
  <c r="P954" i="4"/>
  <c r="J675" i="4"/>
  <c r="P675" i="4"/>
  <c r="H675" i="4"/>
  <c r="I675" i="4" s="1"/>
  <c r="O675" i="4" s="1"/>
  <c r="J792" i="4"/>
  <c r="H792" i="4"/>
  <c r="I792" i="4" s="1"/>
  <c r="O792" i="4" s="1"/>
  <c r="P792" i="4"/>
  <c r="J144" i="4"/>
  <c r="H144" i="4"/>
  <c r="I144" i="4" s="1"/>
  <c r="O144" i="4" s="1"/>
  <c r="P144" i="4"/>
  <c r="I186" i="2"/>
  <c r="O186" i="2" s="1"/>
  <c r="Q186" i="2" s="1"/>
  <c r="R186" i="2" s="1"/>
  <c r="T186" i="2" s="1"/>
  <c r="V186" i="2" s="1"/>
  <c r="K186" i="2"/>
  <c r="J976" i="4"/>
  <c r="H976" i="4"/>
  <c r="I976" i="4" s="1"/>
  <c r="O976" i="4" s="1"/>
  <c r="P976" i="4"/>
  <c r="J140" i="4"/>
  <c r="P140" i="4"/>
  <c r="H140" i="4"/>
  <c r="I140" i="4" s="1"/>
  <c r="O140" i="4" s="1"/>
  <c r="P331" i="2"/>
  <c r="J331" i="2"/>
  <c r="H331" i="2"/>
  <c r="I331" i="2" s="1"/>
  <c r="O331" i="2" s="1"/>
  <c r="P845" i="4"/>
  <c r="H845" i="4"/>
  <c r="I845" i="4" s="1"/>
  <c r="O845" i="4" s="1"/>
  <c r="J845" i="4"/>
  <c r="P664" i="2"/>
  <c r="J664" i="2"/>
  <c r="H664" i="2"/>
  <c r="I664" i="2" s="1"/>
  <c r="O664" i="2" s="1"/>
  <c r="H916" i="4"/>
  <c r="I916" i="4" s="1"/>
  <c r="O916" i="4" s="1"/>
  <c r="P916" i="4"/>
  <c r="J916" i="4"/>
  <c r="J881" i="4"/>
  <c r="H881" i="4"/>
  <c r="I881" i="4" s="1"/>
  <c r="O881" i="4" s="1"/>
  <c r="P881" i="4"/>
  <c r="P742" i="4"/>
  <c r="H742" i="4"/>
  <c r="I742" i="4" s="1"/>
  <c r="O742" i="4" s="1"/>
  <c r="J742" i="4"/>
  <c r="H852" i="4"/>
  <c r="I852" i="4" s="1"/>
  <c r="O852" i="4" s="1"/>
  <c r="J852" i="4"/>
  <c r="P852" i="4"/>
  <c r="J798" i="4"/>
  <c r="P798" i="4"/>
  <c r="H798" i="4"/>
  <c r="I798" i="4" s="1"/>
  <c r="O798" i="4" s="1"/>
  <c r="J820" i="4"/>
  <c r="H820" i="4"/>
  <c r="I820" i="4" s="1"/>
  <c r="O820" i="4" s="1"/>
  <c r="P820" i="4"/>
  <c r="H672" i="4"/>
  <c r="I672" i="4" s="1"/>
  <c r="O672" i="4" s="1"/>
  <c r="J672" i="4"/>
  <c r="P672" i="4"/>
  <c r="P679" i="4"/>
  <c r="J679" i="4"/>
  <c r="H679" i="4"/>
  <c r="I679" i="4" s="1"/>
  <c r="O679" i="4" s="1"/>
  <c r="P509" i="2"/>
  <c r="J509" i="2"/>
  <c r="H509" i="2"/>
  <c r="I509" i="2" s="1"/>
  <c r="O509" i="2" s="1"/>
  <c r="P743" i="2"/>
  <c r="J743" i="2"/>
  <c r="H743" i="2"/>
  <c r="I743" i="2" s="1"/>
  <c r="O743" i="2" s="1"/>
  <c r="J859" i="2"/>
  <c r="P859" i="2"/>
  <c r="H859" i="2"/>
  <c r="I859" i="2" s="1"/>
  <c r="O859" i="2" s="1"/>
  <c r="J81" i="4"/>
  <c r="H81" i="4"/>
  <c r="I81" i="4" s="1"/>
  <c r="O81" i="4" s="1"/>
  <c r="P81" i="4"/>
  <c r="J804" i="4"/>
  <c r="P804" i="4"/>
  <c r="H804" i="4"/>
  <c r="I804" i="4" s="1"/>
  <c r="O804" i="4" s="1"/>
  <c r="P939" i="4"/>
  <c r="H939" i="4"/>
  <c r="I939" i="4" s="1"/>
  <c r="O939" i="4" s="1"/>
  <c r="J939" i="4"/>
  <c r="J924" i="4"/>
  <c r="P924" i="4"/>
  <c r="H924" i="4"/>
  <c r="I924" i="4" s="1"/>
  <c r="O924" i="4" s="1"/>
  <c r="H879" i="4"/>
  <c r="I879" i="4" s="1"/>
  <c r="O879" i="4" s="1"/>
  <c r="J879" i="4"/>
  <c r="P879" i="4"/>
  <c r="P889" i="4"/>
  <c r="H889" i="4"/>
  <c r="I889" i="4" s="1"/>
  <c r="O889" i="4" s="1"/>
  <c r="J889" i="4"/>
  <c r="J931" i="4"/>
  <c r="P931" i="4"/>
  <c r="H931" i="4"/>
  <c r="I931" i="4" s="1"/>
  <c r="O931" i="4" s="1"/>
  <c r="P816" i="4"/>
  <c r="J816" i="4"/>
  <c r="H816" i="4"/>
  <c r="I816" i="4" s="1"/>
  <c r="O816" i="4" s="1"/>
  <c r="H576" i="4"/>
  <c r="I576" i="4" s="1"/>
  <c r="O576" i="4" s="1"/>
  <c r="J576" i="4"/>
  <c r="P576" i="4"/>
  <c r="H411" i="4"/>
  <c r="I411" i="4" s="1"/>
  <c r="O411" i="4" s="1"/>
  <c r="P411" i="4"/>
  <c r="J411" i="4"/>
  <c r="P999" i="4"/>
  <c r="H999" i="4"/>
  <c r="I999" i="4" s="1"/>
  <c r="O999" i="4" s="1"/>
  <c r="J999" i="4"/>
  <c r="P823" i="4"/>
  <c r="H823" i="4"/>
  <c r="I823" i="4" s="1"/>
  <c r="O823" i="4" s="1"/>
  <c r="J823" i="4"/>
  <c r="P969" i="4"/>
  <c r="H969" i="4"/>
  <c r="I969" i="4" s="1"/>
  <c r="O969" i="4" s="1"/>
  <c r="J969" i="4"/>
  <c r="J933" i="4"/>
  <c r="H933" i="4"/>
  <c r="I933" i="4" s="1"/>
  <c r="O933" i="4" s="1"/>
  <c r="P933" i="4"/>
  <c r="J699" i="4"/>
  <c r="P699" i="4"/>
  <c r="H699" i="4"/>
  <c r="I699" i="4" s="1"/>
  <c r="O699" i="4" s="1"/>
  <c r="P674" i="4"/>
  <c r="J674" i="4"/>
  <c r="H674" i="4"/>
  <c r="I674" i="4" s="1"/>
  <c r="O674" i="4" s="1"/>
  <c r="H927" i="4"/>
  <c r="I927" i="4" s="1"/>
  <c r="O927" i="4" s="1"/>
  <c r="P927" i="4"/>
  <c r="J927" i="4"/>
  <c r="J780" i="4"/>
  <c r="H780" i="4"/>
  <c r="I780" i="4" s="1"/>
  <c r="O780" i="4" s="1"/>
  <c r="P780" i="4"/>
  <c r="P561" i="4"/>
  <c r="J561" i="4"/>
  <c r="H561" i="4"/>
  <c r="I561" i="4" s="1"/>
  <c r="O561" i="4" s="1"/>
  <c r="P448" i="4"/>
  <c r="H448" i="4"/>
  <c r="I448" i="4" s="1"/>
  <c r="O448" i="4" s="1"/>
  <c r="J448" i="4"/>
  <c r="J119" i="4"/>
  <c r="P119" i="4"/>
  <c r="H119" i="4"/>
  <c r="I119" i="4" s="1"/>
  <c r="O119" i="4" s="1"/>
  <c r="J321" i="4"/>
  <c r="H321" i="4"/>
  <c r="I321" i="4" s="1"/>
  <c r="O321" i="4" s="1"/>
  <c r="P321" i="4"/>
  <c r="P264" i="4"/>
  <c r="H264" i="4"/>
  <c r="I264" i="4" s="1"/>
  <c r="O264" i="4" s="1"/>
  <c r="Q264" i="4" s="1"/>
  <c r="R264" i="4" s="1"/>
  <c r="T264" i="4" s="1"/>
  <c r="V264" i="4" s="1"/>
  <c r="J264" i="4"/>
  <c r="J437" i="2"/>
  <c r="H437" i="2"/>
  <c r="I437" i="2" s="1"/>
  <c r="O437" i="2" s="1"/>
  <c r="P437" i="2"/>
  <c r="J835" i="4"/>
  <c r="H835" i="4"/>
  <c r="I835" i="4" s="1"/>
  <c r="O835" i="4" s="1"/>
  <c r="P835" i="4"/>
  <c r="H464" i="4"/>
  <c r="I464" i="4" s="1"/>
  <c r="O464" i="4" s="1"/>
  <c r="P464" i="4"/>
  <c r="J464" i="4"/>
  <c r="H440" i="4"/>
  <c r="I440" i="4" s="1"/>
  <c r="O440" i="4" s="1"/>
  <c r="J440" i="4"/>
  <c r="P440" i="4"/>
  <c r="H538" i="4"/>
  <c r="I538" i="4" s="1"/>
  <c r="O538" i="4" s="1"/>
  <c r="P538" i="4"/>
  <c r="J538" i="4"/>
  <c r="P959" i="4"/>
  <c r="H959" i="4"/>
  <c r="I959" i="4" s="1"/>
  <c r="O959" i="4" s="1"/>
  <c r="J959" i="4"/>
  <c r="H496" i="4"/>
  <c r="I496" i="4" s="1"/>
  <c r="O496" i="4" s="1"/>
  <c r="J496" i="4"/>
  <c r="P496" i="4"/>
  <c r="P259" i="2"/>
  <c r="H259" i="2"/>
  <c r="I259" i="2" s="1"/>
  <c r="O259" i="2" s="1"/>
  <c r="J259" i="2"/>
  <c r="K887" i="4"/>
  <c r="J986" i="4"/>
  <c r="P986" i="4"/>
  <c r="H986" i="4"/>
  <c r="I986" i="4" s="1"/>
  <c r="O986" i="4" s="1"/>
  <c r="P725" i="4"/>
  <c r="H725" i="4"/>
  <c r="I725" i="4" s="1"/>
  <c r="O725" i="4" s="1"/>
  <c r="J725" i="4"/>
  <c r="H831" i="4"/>
  <c r="I831" i="4" s="1"/>
  <c r="O831" i="4" s="1"/>
  <c r="P831" i="4"/>
  <c r="J831" i="4"/>
  <c r="J571" i="4"/>
  <c r="H571" i="4"/>
  <c r="I571" i="4" s="1"/>
  <c r="O571" i="4" s="1"/>
  <c r="P571" i="4"/>
  <c r="H898" i="4"/>
  <c r="I898" i="4" s="1"/>
  <c r="O898" i="4" s="1"/>
  <c r="J898" i="4"/>
  <c r="P898" i="4"/>
  <c r="P289" i="4"/>
  <c r="J289" i="4"/>
  <c r="H289" i="4"/>
  <c r="I289" i="4" s="1"/>
  <c r="O289" i="4" s="1"/>
  <c r="P603" i="2"/>
  <c r="H603" i="2"/>
  <c r="I603" i="2" s="1"/>
  <c r="O603" i="2" s="1"/>
  <c r="J603" i="2"/>
  <c r="J815" i="2"/>
  <c r="P815" i="2"/>
  <c r="H815" i="2"/>
  <c r="I815" i="2" s="1"/>
  <c r="O815" i="2" s="1"/>
  <c r="P875" i="4"/>
  <c r="H875" i="4"/>
  <c r="I875" i="4" s="1"/>
  <c r="O875" i="4" s="1"/>
  <c r="J875" i="4"/>
  <c r="J589" i="4"/>
  <c r="H589" i="4"/>
  <c r="I589" i="4" s="1"/>
  <c r="O589" i="4" s="1"/>
  <c r="P589" i="4"/>
  <c r="H303" i="4"/>
  <c r="I303" i="4" s="1"/>
  <c r="O303" i="4" s="1"/>
  <c r="P303" i="4"/>
  <c r="J303" i="4"/>
  <c r="J184" i="2"/>
  <c r="H184" i="2"/>
  <c r="I184" i="2" s="1"/>
  <c r="O184" i="2" s="1"/>
  <c r="P184" i="2"/>
  <c r="J951" i="4"/>
  <c r="P951" i="4"/>
  <c r="H951" i="4"/>
  <c r="I951" i="4" s="1"/>
  <c r="O951" i="4" s="1"/>
  <c r="J809" i="4"/>
  <c r="H809" i="4"/>
  <c r="I809" i="4" s="1"/>
  <c r="O809" i="4" s="1"/>
  <c r="P809" i="4"/>
  <c r="H997" i="4"/>
  <c r="I997" i="4" s="1"/>
  <c r="O997" i="4" s="1"/>
  <c r="P997" i="4"/>
  <c r="J997" i="4"/>
  <c r="I866" i="4"/>
  <c r="O866" i="4" s="1"/>
  <c r="P980" i="4"/>
  <c r="H980" i="4"/>
  <c r="I980" i="4" s="1"/>
  <c r="O980" i="4" s="1"/>
  <c r="J980" i="4"/>
  <c r="P979" i="4"/>
  <c r="H979" i="4"/>
  <c r="I979" i="4" s="1"/>
  <c r="O979" i="4" s="1"/>
  <c r="J979" i="4"/>
  <c r="J684" i="4"/>
  <c r="H684" i="4"/>
  <c r="I684" i="4" s="1"/>
  <c r="O684" i="4" s="1"/>
  <c r="P684" i="4"/>
  <c r="P463" i="4"/>
  <c r="J463" i="4"/>
  <c r="H463" i="4"/>
  <c r="I463" i="4" s="1"/>
  <c r="O463" i="4" s="1"/>
  <c r="H485" i="4"/>
  <c r="I485" i="4" s="1"/>
  <c r="O485" i="4" s="1"/>
  <c r="P485" i="4"/>
  <c r="J485" i="4"/>
  <c r="J455" i="4"/>
  <c r="P455" i="4"/>
  <c r="H455" i="4"/>
  <c r="I455" i="4" s="1"/>
  <c r="O455" i="4" s="1"/>
  <c r="H515" i="4"/>
  <c r="I515" i="4" s="1"/>
  <c r="O515" i="4" s="1"/>
  <c r="J515" i="4"/>
  <c r="P515" i="4"/>
  <c r="H183" i="4"/>
  <c r="I183" i="4" s="1"/>
  <c r="O183" i="4" s="1"/>
  <c r="P183" i="4"/>
  <c r="J183" i="4"/>
  <c r="J257" i="4"/>
  <c r="H257" i="4"/>
  <c r="I257" i="4" s="1"/>
  <c r="O257" i="4" s="1"/>
  <c r="P257" i="4"/>
  <c r="P667" i="2"/>
  <c r="J667" i="2"/>
  <c r="H667" i="2"/>
  <c r="I667" i="2" s="1"/>
  <c r="O667" i="2" s="1"/>
  <c r="J21" i="2"/>
  <c r="P21" i="2"/>
  <c r="H21" i="2"/>
  <c r="I21" i="2" s="1"/>
  <c r="O21" i="2" s="1"/>
  <c r="J922" i="4"/>
  <c r="H922" i="4"/>
  <c r="I922" i="4" s="1"/>
  <c r="O922" i="4" s="1"/>
  <c r="P922" i="4"/>
  <c r="J956" i="4"/>
  <c r="H956" i="4"/>
  <c r="I956" i="4" s="1"/>
  <c r="O956" i="4" s="1"/>
  <c r="P956" i="4"/>
  <c r="P888" i="4"/>
  <c r="J888" i="4"/>
  <c r="H888" i="4"/>
  <c r="I888" i="4" s="1"/>
  <c r="O888" i="4" s="1"/>
  <c r="H907" i="4"/>
  <c r="I907" i="4" s="1"/>
  <c r="O907" i="4" s="1"/>
  <c r="P907" i="4"/>
  <c r="J907" i="4"/>
  <c r="P774" i="4"/>
  <c r="J774" i="4"/>
  <c r="H774" i="4"/>
  <c r="I774" i="4" s="1"/>
  <c r="O774" i="4" s="1"/>
  <c r="H290" i="4"/>
  <c r="I290" i="4" s="1"/>
  <c r="O290" i="4" s="1"/>
  <c r="J290" i="4"/>
  <c r="P290" i="4"/>
  <c r="J991" i="4"/>
  <c r="P991" i="4"/>
  <c r="H991" i="4"/>
  <c r="I991" i="4" s="1"/>
  <c r="O991" i="4" s="1"/>
  <c r="J245" i="4"/>
  <c r="P245" i="4"/>
  <c r="H245" i="4"/>
  <c r="I245" i="4" s="1"/>
  <c r="O245" i="4" s="1"/>
  <c r="H865" i="4"/>
  <c r="I865" i="4" s="1"/>
  <c r="O865" i="4" s="1"/>
  <c r="J865" i="4"/>
  <c r="P865" i="4"/>
  <c r="J935" i="4"/>
  <c r="P935" i="4"/>
  <c r="H935" i="4"/>
  <c r="I935" i="4" s="1"/>
  <c r="O935" i="4" s="1"/>
  <c r="P644" i="4"/>
  <c r="H644" i="4"/>
  <c r="I644" i="4" s="1"/>
  <c r="O644" i="4" s="1"/>
  <c r="J644" i="4"/>
  <c r="P599" i="4"/>
  <c r="J599" i="4"/>
  <c r="H599" i="4"/>
  <c r="I599" i="4" s="1"/>
  <c r="O599" i="4" s="1"/>
  <c r="P631" i="4"/>
  <c r="H631" i="4"/>
  <c r="I631" i="4" s="1"/>
  <c r="O631" i="4" s="1"/>
  <c r="J631" i="4"/>
  <c r="J458" i="4"/>
  <c r="H458" i="4"/>
  <c r="I458" i="4" s="1"/>
  <c r="O458" i="4" s="1"/>
  <c r="P458" i="4"/>
  <c r="P618" i="4"/>
  <c r="H618" i="4"/>
  <c r="I618" i="4" s="1"/>
  <c r="O618" i="4" s="1"/>
  <c r="J618" i="4"/>
  <c r="P748" i="4"/>
  <c r="J748" i="4"/>
  <c r="H748" i="4"/>
  <c r="I748" i="4" s="1"/>
  <c r="O748" i="4" s="1"/>
  <c r="P271" i="4"/>
  <c r="J271" i="4"/>
  <c r="H271" i="4"/>
  <c r="I271" i="4" s="1"/>
  <c r="O271" i="4" s="1"/>
  <c r="H203" i="4"/>
  <c r="I203" i="4" s="1"/>
  <c r="O203" i="4" s="1"/>
  <c r="P203" i="4"/>
  <c r="J203" i="4"/>
  <c r="J61" i="4"/>
  <c r="P61" i="4"/>
  <c r="H61" i="4"/>
  <c r="I61" i="4" s="1"/>
  <c r="O61" i="4" s="1"/>
  <c r="P715" i="4"/>
  <c r="H715" i="4"/>
  <c r="I715" i="4" s="1"/>
  <c r="O715" i="4" s="1"/>
  <c r="J715" i="4"/>
  <c r="J519" i="4"/>
  <c r="H519" i="4"/>
  <c r="I519" i="4" s="1"/>
  <c r="O519" i="4" s="1"/>
  <c r="P519" i="4"/>
  <c r="H549" i="4"/>
  <c r="I549" i="4" s="1"/>
  <c r="O549" i="4" s="1"/>
  <c r="P549" i="4"/>
  <c r="J549" i="4"/>
  <c r="P315" i="4"/>
  <c r="H315" i="4"/>
  <c r="I315" i="4" s="1"/>
  <c r="O315" i="4" s="1"/>
  <c r="J315" i="4"/>
  <c r="H978" i="4"/>
  <c r="I978" i="4" s="1"/>
  <c r="O978" i="4" s="1"/>
  <c r="P978" i="4"/>
  <c r="J978" i="4"/>
  <c r="H867" i="4"/>
  <c r="I867" i="4" s="1"/>
  <c r="O867" i="4" s="1"/>
  <c r="J867" i="4"/>
  <c r="P867" i="4"/>
  <c r="J934" i="4"/>
  <c r="P934" i="4"/>
  <c r="H934" i="4"/>
  <c r="I934" i="4" s="1"/>
  <c r="O934" i="4" s="1"/>
  <c r="J862" i="4"/>
  <c r="P862" i="4"/>
  <c r="H862" i="4"/>
  <c r="I862" i="4" s="1"/>
  <c r="O862" i="4" s="1"/>
  <c r="J768" i="4"/>
  <c r="H768" i="4"/>
  <c r="I768" i="4" s="1"/>
  <c r="O768" i="4" s="1"/>
  <c r="P768" i="4"/>
  <c r="J653" i="4"/>
  <c r="P653" i="4"/>
  <c r="H653" i="4"/>
  <c r="I653" i="4" s="1"/>
  <c r="O653" i="4" s="1"/>
  <c r="H682" i="4"/>
  <c r="I682" i="4" s="1"/>
  <c r="O682" i="4" s="1"/>
  <c r="P682" i="4"/>
  <c r="J682" i="4"/>
  <c r="J945" i="4"/>
  <c r="P945" i="4"/>
  <c r="H945" i="4"/>
  <c r="I945" i="4" s="1"/>
  <c r="O945" i="4" s="1"/>
  <c r="J667" i="4"/>
  <c r="P667" i="4"/>
  <c r="H667" i="4"/>
  <c r="I667" i="4" s="1"/>
  <c r="O667" i="4" s="1"/>
  <c r="P628" i="4"/>
  <c r="J628" i="4"/>
  <c r="H628" i="4"/>
  <c r="I628" i="4" s="1"/>
  <c r="O628" i="4" s="1"/>
  <c r="P990" i="2"/>
  <c r="J990" i="2"/>
  <c r="H990" i="2"/>
  <c r="I990" i="2" s="1"/>
  <c r="O990" i="2" s="1"/>
  <c r="P709" i="2"/>
  <c r="H709" i="2"/>
  <c r="I709" i="2" s="1"/>
  <c r="O709" i="2" s="1"/>
  <c r="J709" i="2"/>
  <c r="P468" i="4"/>
  <c r="H468" i="4"/>
  <c r="I468" i="4" s="1"/>
  <c r="O468" i="4" s="1"/>
  <c r="J468" i="4"/>
  <c r="H551" i="4"/>
  <c r="I551" i="4" s="1"/>
  <c r="O551" i="4" s="1"/>
  <c r="P551" i="4"/>
  <c r="J551" i="4"/>
  <c r="J409" i="4"/>
  <c r="H409" i="4"/>
  <c r="I409" i="4" s="1"/>
  <c r="O409" i="4" s="1"/>
  <c r="P409" i="4"/>
  <c r="P552" i="4"/>
  <c r="J552" i="4"/>
  <c r="H552" i="4"/>
  <c r="I552" i="4" s="1"/>
  <c r="O552" i="4" s="1"/>
  <c r="P910" i="4"/>
  <c r="H910" i="4"/>
  <c r="I910" i="4" s="1"/>
  <c r="O910" i="4" s="1"/>
  <c r="J910" i="4"/>
  <c r="K897" i="4"/>
  <c r="H977" i="4"/>
  <c r="I977" i="4" s="1"/>
  <c r="O977" i="4" s="1"/>
  <c r="J977" i="4"/>
  <c r="P977" i="4"/>
  <c r="H623" i="4"/>
  <c r="I623" i="4" s="1"/>
  <c r="O623" i="4" s="1"/>
  <c r="J623" i="4"/>
  <c r="P623" i="4"/>
  <c r="J710" i="4"/>
  <c r="P710" i="4"/>
  <c r="H710" i="4"/>
  <c r="I710" i="4" s="1"/>
  <c r="O710" i="4" s="1"/>
  <c r="J703" i="4"/>
  <c r="H703" i="4"/>
  <c r="I703" i="4" s="1"/>
  <c r="O703" i="4" s="1"/>
  <c r="P703" i="4"/>
  <c r="J830" i="4"/>
  <c r="H830" i="4"/>
  <c r="I830" i="4" s="1"/>
  <c r="O830" i="4" s="1"/>
  <c r="P830" i="4"/>
  <c r="P531" i="4"/>
  <c r="J531" i="4"/>
  <c r="H531" i="4"/>
  <c r="I531" i="4" s="1"/>
  <c r="O531" i="4" s="1"/>
  <c r="P617" i="4"/>
  <c r="H617" i="4"/>
  <c r="I617" i="4" s="1"/>
  <c r="O617" i="4" s="1"/>
  <c r="J617" i="4"/>
  <c r="J451" i="4"/>
  <c r="P451" i="4"/>
  <c r="H451" i="4"/>
  <c r="I451" i="4" s="1"/>
  <c r="O451" i="4" s="1"/>
  <c r="J459" i="4"/>
  <c r="P459" i="4"/>
  <c r="H459" i="4"/>
  <c r="I459" i="4" s="1"/>
  <c r="O459" i="4" s="1"/>
  <c r="H358" i="4"/>
  <c r="I358" i="4" s="1"/>
  <c r="O358" i="4" s="1"/>
  <c r="J358" i="4"/>
  <c r="P358" i="4"/>
  <c r="J449" i="4"/>
  <c r="H449" i="4"/>
  <c r="I449" i="4" s="1"/>
  <c r="O449" i="4" s="1"/>
  <c r="P449" i="4"/>
  <c r="P25" i="4"/>
  <c r="H25" i="4"/>
  <c r="I25" i="4" s="1"/>
  <c r="O25" i="4" s="1"/>
  <c r="J25" i="4"/>
  <c r="H870" i="2"/>
  <c r="I870" i="2" s="1"/>
  <c r="O870" i="2" s="1"/>
  <c r="P870" i="2"/>
  <c r="J870" i="2"/>
  <c r="H958" i="4"/>
  <c r="I958" i="4" s="1"/>
  <c r="O958" i="4" s="1"/>
  <c r="P958" i="4"/>
  <c r="J958" i="4"/>
  <c r="H917" i="4"/>
  <c r="I917" i="4" s="1"/>
  <c r="O917" i="4" s="1"/>
  <c r="J917" i="4"/>
  <c r="P917" i="4"/>
  <c r="H963" i="4"/>
  <c r="I963" i="4" s="1"/>
  <c r="O963" i="4" s="1"/>
  <c r="P963" i="4"/>
  <c r="J963" i="4"/>
  <c r="J952" i="4"/>
  <c r="H952" i="4"/>
  <c r="I952" i="4" s="1"/>
  <c r="O952" i="4" s="1"/>
  <c r="P952" i="4"/>
  <c r="P960" i="4"/>
  <c r="H960" i="4"/>
  <c r="I960" i="4" s="1"/>
  <c r="O960" i="4" s="1"/>
  <c r="J960" i="4"/>
  <c r="J894" i="4"/>
  <c r="P894" i="4"/>
  <c r="H894" i="4"/>
  <c r="I894" i="4" s="1"/>
  <c r="O894" i="4" s="1"/>
  <c r="J204" i="4"/>
  <c r="H204" i="4"/>
  <c r="I204" i="4" s="1"/>
  <c r="O204" i="4" s="1"/>
  <c r="P204" i="4"/>
  <c r="P701" i="4"/>
  <c r="J701" i="4"/>
  <c r="H701" i="4"/>
  <c r="I701" i="4" s="1"/>
  <c r="O701" i="4" s="1"/>
  <c r="P171" i="4"/>
  <c r="J171" i="4"/>
  <c r="H171" i="4"/>
  <c r="I171" i="4" s="1"/>
  <c r="O171" i="4" s="1"/>
  <c r="H339" i="4"/>
  <c r="I339" i="4" s="1"/>
  <c r="O339" i="4" s="1"/>
  <c r="P339" i="4"/>
  <c r="J339" i="4"/>
  <c r="P159" i="4"/>
  <c r="J159" i="4"/>
  <c r="H159" i="4"/>
  <c r="I159" i="4" s="1"/>
  <c r="O159" i="4" s="1"/>
  <c r="P736" i="2"/>
  <c r="H736" i="2"/>
  <c r="I736" i="2" s="1"/>
  <c r="O736" i="2" s="1"/>
  <c r="J736" i="2"/>
  <c r="J687" i="4"/>
  <c r="H687" i="4"/>
  <c r="I687" i="4" s="1"/>
  <c r="O687" i="4" s="1"/>
  <c r="P687" i="4"/>
  <c r="J985" i="4"/>
  <c r="H985" i="4"/>
  <c r="I985" i="4" s="1"/>
  <c r="O985" i="4" s="1"/>
  <c r="P985" i="4"/>
  <c r="J972" i="4"/>
  <c r="H972" i="4"/>
  <c r="I972" i="4" s="1"/>
  <c r="O972" i="4" s="1"/>
  <c r="P972" i="4"/>
  <c r="P884" i="4"/>
  <c r="J884" i="4"/>
  <c r="H884" i="4"/>
  <c r="I884" i="4" s="1"/>
  <c r="O884" i="4" s="1"/>
  <c r="H1004" i="4"/>
  <c r="I1004" i="4" s="1"/>
  <c r="O1004" i="4" s="1"/>
  <c r="P1004" i="4"/>
  <c r="J1004" i="4"/>
  <c r="P930" i="4"/>
  <c r="H930" i="4"/>
  <c r="I930" i="4" s="1"/>
  <c r="O930" i="4" s="1"/>
  <c r="J930" i="4"/>
  <c r="H696" i="4"/>
  <c r="I696" i="4" s="1"/>
  <c r="O696" i="4" s="1"/>
  <c r="P696" i="4"/>
  <c r="J696" i="4"/>
  <c r="J686" i="4"/>
  <c r="P686" i="4"/>
  <c r="H686" i="4"/>
  <c r="I686" i="4" s="1"/>
  <c r="O686" i="4" s="1"/>
  <c r="J638" i="4"/>
  <c r="H638" i="4"/>
  <c r="I638" i="4" s="1"/>
  <c r="O638" i="4" s="1"/>
  <c r="P638" i="4"/>
  <c r="J612" i="4"/>
  <c r="P612" i="4"/>
  <c r="H612" i="4"/>
  <c r="I612" i="4" s="1"/>
  <c r="O612" i="4" s="1"/>
  <c r="P755" i="4"/>
  <c r="J755" i="4"/>
  <c r="H755" i="4"/>
  <c r="I755" i="4" s="1"/>
  <c r="O755" i="4" s="1"/>
  <c r="K146" i="4"/>
  <c r="I146" i="4"/>
  <c r="O146" i="4" s="1"/>
  <c r="Q146" i="4" s="1"/>
  <c r="R146" i="4" s="1"/>
  <c r="T146" i="4" s="1"/>
  <c r="V146" i="4" s="1"/>
  <c r="J672" i="2"/>
  <c r="P672" i="2"/>
  <c r="H672" i="2"/>
  <c r="I672" i="2" s="1"/>
  <c r="O672" i="2" s="1"/>
  <c r="H938" i="4"/>
  <c r="I938" i="4" s="1"/>
  <c r="O938" i="4" s="1"/>
  <c r="J938" i="4"/>
  <c r="P938" i="4"/>
  <c r="P984" i="4"/>
  <c r="H984" i="4"/>
  <c r="I984" i="4" s="1"/>
  <c r="O984" i="4" s="1"/>
  <c r="J984" i="4"/>
  <c r="J834" i="4"/>
  <c r="P834" i="4"/>
  <c r="H834" i="4"/>
  <c r="I834" i="4" s="1"/>
  <c r="O834" i="4" s="1"/>
  <c r="J747" i="4"/>
  <c r="P747" i="4"/>
  <c r="H747" i="4"/>
  <c r="I747" i="4" s="1"/>
  <c r="O747" i="4" s="1"/>
  <c r="P630" i="4"/>
  <c r="H630" i="4"/>
  <c r="I630" i="4" s="1"/>
  <c r="O630" i="4" s="1"/>
  <c r="J630" i="4"/>
  <c r="J465" i="4"/>
  <c r="P465" i="4"/>
  <c r="H465" i="4"/>
  <c r="I465" i="4" s="1"/>
  <c r="O465" i="4" s="1"/>
  <c r="H587" i="4"/>
  <c r="I587" i="4" s="1"/>
  <c r="O587" i="4" s="1"/>
  <c r="P587" i="4"/>
  <c r="J587" i="4"/>
  <c r="H394" i="4"/>
  <c r="I394" i="4" s="1"/>
  <c r="O394" i="4" s="1"/>
  <c r="J394" i="4"/>
  <c r="P394" i="4"/>
  <c r="P462" i="4"/>
  <c r="J462" i="4"/>
  <c r="H462" i="4"/>
  <c r="I462" i="4" s="1"/>
  <c r="O462" i="4" s="1"/>
  <c r="J342" i="4"/>
  <c r="H342" i="4"/>
  <c r="I342" i="4" s="1"/>
  <c r="O342" i="4" s="1"/>
  <c r="P342" i="4"/>
  <c r="P335" i="4"/>
  <c r="H335" i="4"/>
  <c r="I335" i="4" s="1"/>
  <c r="O335" i="4" s="1"/>
  <c r="J335" i="4"/>
  <c r="J205" i="4"/>
  <c r="H205" i="4"/>
  <c r="I205" i="4" s="1"/>
  <c r="O205" i="4" s="1"/>
  <c r="P205" i="4"/>
  <c r="H365" i="4"/>
  <c r="I365" i="4" s="1"/>
  <c r="O365" i="4" s="1"/>
  <c r="P365" i="4"/>
  <c r="J365" i="4"/>
  <c r="H344" i="4"/>
  <c r="I344" i="4" s="1"/>
  <c r="O344" i="4" s="1"/>
  <c r="P344" i="4"/>
  <c r="J344" i="4"/>
  <c r="P847" i="2"/>
  <c r="H847" i="2"/>
  <c r="I847" i="2" s="1"/>
  <c r="O847" i="2" s="1"/>
  <c r="J847" i="2"/>
  <c r="J906" i="4"/>
  <c r="P906" i="4"/>
  <c r="H906" i="4"/>
  <c r="I906" i="4" s="1"/>
  <c r="O906" i="4" s="1"/>
  <c r="J772" i="4"/>
  <c r="P772" i="4"/>
  <c r="H772" i="4"/>
  <c r="I772" i="4" s="1"/>
  <c r="O772" i="4" s="1"/>
  <c r="H967" i="4"/>
  <c r="I967" i="4" s="1"/>
  <c r="O967" i="4" s="1"/>
  <c r="J967" i="4"/>
  <c r="P967" i="4"/>
  <c r="K953" i="4"/>
  <c r="P948" i="4"/>
  <c r="H948" i="4"/>
  <c r="I948" i="4" s="1"/>
  <c r="O948" i="4" s="1"/>
  <c r="J948" i="4"/>
  <c r="J609" i="4"/>
  <c r="P609" i="4"/>
  <c r="H609" i="4"/>
  <c r="I609" i="4" s="1"/>
  <c r="O609" i="4" s="1"/>
  <c r="H566" i="4"/>
  <c r="I566" i="4" s="1"/>
  <c r="O566" i="4" s="1"/>
  <c r="P566" i="4"/>
  <c r="J566" i="4"/>
  <c r="J444" i="4"/>
  <c r="H444" i="4"/>
  <c r="I444" i="4" s="1"/>
  <c r="O444" i="4" s="1"/>
  <c r="P444" i="4"/>
  <c r="P407" i="4"/>
  <c r="H407" i="4"/>
  <c r="I407" i="4" s="1"/>
  <c r="O407" i="4" s="1"/>
  <c r="J407" i="4"/>
  <c r="H702" i="2"/>
  <c r="I702" i="2" s="1"/>
  <c r="O702" i="2" s="1"/>
  <c r="J702" i="2"/>
  <c r="P702" i="2"/>
  <c r="P812" i="4"/>
  <c r="J812" i="4"/>
  <c r="H812" i="4"/>
  <c r="I812" i="4" s="1"/>
  <c r="O812" i="4" s="1"/>
  <c r="H717" i="4"/>
  <c r="I717" i="4" s="1"/>
  <c r="O717" i="4" s="1"/>
  <c r="P717" i="4"/>
  <c r="J717" i="4"/>
  <c r="J769" i="4"/>
  <c r="H769" i="4"/>
  <c r="I769" i="4" s="1"/>
  <c r="O769" i="4" s="1"/>
  <c r="P769" i="4"/>
  <c r="P778" i="4"/>
  <c r="J778" i="4"/>
  <c r="H778" i="4"/>
  <c r="I778" i="4" s="1"/>
  <c r="O778" i="4" s="1"/>
  <c r="J770" i="4"/>
  <c r="P770" i="4"/>
  <c r="H770" i="4"/>
  <c r="I770" i="4" s="1"/>
  <c r="O770" i="4" s="1"/>
  <c r="J833" i="4"/>
  <c r="H833" i="4"/>
  <c r="I833" i="4" s="1"/>
  <c r="O833" i="4" s="1"/>
  <c r="P833" i="4"/>
  <c r="J829" i="4"/>
  <c r="H829" i="4"/>
  <c r="I829" i="4" s="1"/>
  <c r="O829" i="4" s="1"/>
  <c r="P829" i="4"/>
  <c r="H433" i="4"/>
  <c r="I433" i="4" s="1"/>
  <c r="O433" i="4" s="1"/>
  <c r="P433" i="4"/>
  <c r="J433" i="4"/>
  <c r="J333" i="4"/>
  <c r="P333" i="4"/>
  <c r="H333" i="4"/>
  <c r="I333" i="4" s="1"/>
  <c r="O333" i="4" s="1"/>
  <c r="J509" i="4"/>
  <c r="H509" i="4"/>
  <c r="I509" i="4" s="1"/>
  <c r="O509" i="4" s="1"/>
  <c r="P509" i="4"/>
  <c r="J506" i="2"/>
  <c r="H506" i="2"/>
  <c r="I506" i="2" s="1"/>
  <c r="O506" i="2" s="1"/>
  <c r="P506" i="2"/>
  <c r="P586" i="2"/>
  <c r="H586" i="2"/>
  <c r="I586" i="2" s="1"/>
  <c r="O586" i="2" s="1"/>
  <c r="J586" i="2"/>
  <c r="P93" i="2"/>
  <c r="H93" i="2"/>
  <c r="I93" i="2" s="1"/>
  <c r="O93" i="2" s="1"/>
  <c r="J93" i="2"/>
  <c r="J946" i="4"/>
  <c r="P946" i="4"/>
  <c r="H946" i="4"/>
  <c r="I946" i="4" s="1"/>
  <c r="O946" i="4" s="1"/>
  <c r="J827" i="4"/>
  <c r="H827" i="4"/>
  <c r="I827" i="4" s="1"/>
  <c r="O827" i="4" s="1"/>
  <c r="P827" i="4"/>
  <c r="H590" i="4"/>
  <c r="I590" i="4" s="1"/>
  <c r="O590" i="4" s="1"/>
  <c r="P590" i="4"/>
  <c r="J590" i="4"/>
  <c r="H395" i="4"/>
  <c r="I395" i="4" s="1"/>
  <c r="O395" i="4" s="1"/>
  <c r="P395" i="4"/>
  <c r="J395" i="4"/>
  <c r="P548" i="4"/>
  <c r="H548" i="4"/>
  <c r="I548" i="4" s="1"/>
  <c r="O548" i="4" s="1"/>
  <c r="J548" i="4"/>
  <c r="J903" i="4"/>
  <c r="H903" i="4"/>
  <c r="I903" i="4" s="1"/>
  <c r="O903" i="4" s="1"/>
  <c r="P903" i="4"/>
  <c r="J325" i="4"/>
  <c r="P325" i="4"/>
  <c r="H325" i="4"/>
  <c r="I325" i="4" s="1"/>
  <c r="O325" i="4" s="1"/>
  <c r="H533" i="4"/>
  <c r="I533" i="4" s="1"/>
  <c r="O533" i="4" s="1"/>
  <c r="P533" i="4"/>
  <c r="J533" i="4"/>
  <c r="P418" i="4"/>
  <c r="H418" i="4"/>
  <c r="I418" i="4" s="1"/>
  <c r="O418" i="4" s="1"/>
  <c r="J418" i="4"/>
  <c r="J14" i="2"/>
  <c r="P14" i="2"/>
  <c r="H14" i="2"/>
  <c r="I14" i="2" s="1"/>
  <c r="O14" i="2" s="1"/>
  <c r="P145" i="2"/>
  <c r="J145" i="2"/>
  <c r="H145" i="2"/>
  <c r="I145" i="2" s="1"/>
  <c r="O145" i="2" s="1"/>
  <c r="J822" i="2"/>
  <c r="P822" i="2"/>
  <c r="H822" i="2"/>
  <c r="I822" i="2" s="1"/>
  <c r="O822" i="2" s="1"/>
  <c r="P237" i="2"/>
  <c r="J237" i="2"/>
  <c r="H237" i="2"/>
  <c r="I237" i="2" s="1"/>
  <c r="O237" i="2" s="1"/>
  <c r="H775" i="4"/>
  <c r="I775" i="4" s="1"/>
  <c r="O775" i="4" s="1"/>
  <c r="P775" i="4"/>
  <c r="J775" i="4"/>
  <c r="J695" i="4"/>
  <c r="P695" i="4"/>
  <c r="H695" i="4"/>
  <c r="I695" i="4" s="1"/>
  <c r="O695" i="4" s="1"/>
  <c r="J620" i="4"/>
  <c r="P620" i="4"/>
  <c r="H620" i="4"/>
  <c r="I620" i="4" s="1"/>
  <c r="O620" i="4" s="1"/>
  <c r="P752" i="4"/>
  <c r="J752" i="4"/>
  <c r="H752" i="4"/>
  <c r="I752" i="4" s="1"/>
  <c r="O752" i="4" s="1"/>
  <c r="J526" i="4"/>
  <c r="P526" i="4"/>
  <c r="H526" i="4"/>
  <c r="I526" i="4" s="1"/>
  <c r="O526" i="4" s="1"/>
  <c r="P851" i="4"/>
  <c r="J851" i="4"/>
  <c r="H851" i="4"/>
  <c r="I851" i="4" s="1"/>
  <c r="O851" i="4" s="1"/>
  <c r="H652" i="4"/>
  <c r="I652" i="4" s="1"/>
  <c r="O652" i="4" s="1"/>
  <c r="J652" i="4"/>
  <c r="P652" i="4"/>
  <c r="P507" i="4"/>
  <c r="H507" i="4"/>
  <c r="I507" i="4" s="1"/>
  <c r="O507" i="4" s="1"/>
  <c r="J507" i="4"/>
  <c r="H384" i="4"/>
  <c r="I384" i="4" s="1"/>
  <c r="O384" i="4" s="1"/>
  <c r="P384" i="4"/>
  <c r="J384" i="4"/>
  <c r="P588" i="4"/>
  <c r="J588" i="4"/>
  <c r="H588" i="4"/>
  <c r="I588" i="4" s="1"/>
  <c r="O588" i="4" s="1"/>
  <c r="P194" i="4"/>
  <c r="J194" i="4"/>
  <c r="H194" i="4"/>
  <c r="I194" i="4" s="1"/>
  <c r="O194" i="4" s="1"/>
  <c r="J241" i="4"/>
  <c r="H241" i="4"/>
  <c r="I241" i="4" s="1"/>
  <c r="O241" i="4" s="1"/>
  <c r="P241" i="4"/>
  <c r="J219" i="4"/>
  <c r="H219" i="4"/>
  <c r="I219" i="4" s="1"/>
  <c r="O219" i="4" s="1"/>
  <c r="P219" i="4"/>
  <c r="P29" i="4"/>
  <c r="J29" i="4"/>
  <c r="H29" i="4"/>
  <c r="I29" i="4" s="1"/>
  <c r="O29" i="4" s="1"/>
  <c r="P799" i="2"/>
  <c r="J799" i="2"/>
  <c r="H799" i="2"/>
  <c r="I799" i="2" s="1"/>
  <c r="O799" i="2" s="1"/>
  <c r="P892" i="4"/>
  <c r="H892" i="4"/>
  <c r="I892" i="4" s="1"/>
  <c r="O892" i="4" s="1"/>
  <c r="J892" i="4"/>
  <c r="P949" i="4"/>
  <c r="H949" i="4"/>
  <c r="I949" i="4" s="1"/>
  <c r="O949" i="4" s="1"/>
  <c r="J949" i="4"/>
  <c r="H753" i="4"/>
  <c r="I753" i="4" s="1"/>
  <c r="O753" i="4" s="1"/>
  <c r="J753" i="4"/>
  <c r="P753" i="4"/>
  <c r="P558" i="4"/>
  <c r="J558" i="4"/>
  <c r="H558" i="4"/>
  <c r="I558" i="4" s="1"/>
  <c r="O558" i="4" s="1"/>
  <c r="H530" i="4"/>
  <c r="I530" i="4" s="1"/>
  <c r="O530" i="4" s="1"/>
  <c r="J530" i="4"/>
  <c r="P530" i="4"/>
  <c r="H476" i="4"/>
  <c r="I476" i="4" s="1"/>
  <c r="O476" i="4" s="1"/>
  <c r="P476" i="4"/>
  <c r="J476" i="4"/>
  <c r="J595" i="4"/>
  <c r="H595" i="4"/>
  <c r="I595" i="4" s="1"/>
  <c r="O595" i="4" s="1"/>
  <c r="P595" i="4"/>
  <c r="J648" i="4"/>
  <c r="H648" i="4"/>
  <c r="I648" i="4" s="1"/>
  <c r="O648" i="4" s="1"/>
  <c r="P648" i="4"/>
  <c r="P226" i="4"/>
  <c r="J226" i="4"/>
  <c r="H226" i="4"/>
  <c r="I226" i="4" s="1"/>
  <c r="O226" i="4" s="1"/>
  <c r="P312" i="4"/>
  <c r="J312" i="4"/>
  <c r="H312" i="4"/>
  <c r="I312" i="4" s="1"/>
  <c r="O312" i="4" s="1"/>
  <c r="J184" i="4"/>
  <c r="P184" i="4"/>
  <c r="H184" i="4"/>
  <c r="I184" i="4" s="1"/>
  <c r="O184" i="4" s="1"/>
  <c r="P614" i="2"/>
  <c r="H614" i="2"/>
  <c r="I614" i="2" s="1"/>
  <c r="O614" i="2" s="1"/>
  <c r="J614" i="2"/>
  <c r="P545" i="2"/>
  <c r="J545" i="2"/>
  <c r="H545" i="2"/>
  <c r="I545" i="2" s="1"/>
  <c r="O545" i="2" s="1"/>
  <c r="P729" i="2"/>
  <c r="J729" i="2"/>
  <c r="H729" i="2"/>
  <c r="I729" i="2" s="1"/>
  <c r="O729" i="2" s="1"/>
  <c r="J698" i="4"/>
  <c r="P698" i="4"/>
  <c r="H698" i="4"/>
  <c r="I698" i="4" s="1"/>
  <c r="O698" i="4" s="1"/>
  <c r="P637" i="4"/>
  <c r="J637" i="4"/>
  <c r="H637" i="4"/>
  <c r="I637" i="4" s="1"/>
  <c r="O637" i="4" s="1"/>
  <c r="H751" i="4"/>
  <c r="I751" i="4" s="1"/>
  <c r="O751" i="4" s="1"/>
  <c r="J751" i="4"/>
  <c r="P751" i="4"/>
  <c r="J716" i="4"/>
  <c r="H716" i="4"/>
  <c r="I716" i="4" s="1"/>
  <c r="O716" i="4" s="1"/>
  <c r="P716" i="4"/>
  <c r="H847" i="4"/>
  <c r="I847" i="4" s="1"/>
  <c r="O847" i="4" s="1"/>
  <c r="P847" i="4"/>
  <c r="J847" i="4"/>
  <c r="J635" i="4"/>
  <c r="P635" i="4"/>
  <c r="H635" i="4"/>
  <c r="I635" i="4" s="1"/>
  <c r="O635" i="4" s="1"/>
  <c r="H323" i="4"/>
  <c r="I323" i="4" s="1"/>
  <c r="O323" i="4" s="1"/>
  <c r="P323" i="4"/>
  <c r="J323" i="4"/>
  <c r="H345" i="4"/>
  <c r="I345" i="4" s="1"/>
  <c r="O345" i="4" s="1"/>
  <c r="P345" i="4"/>
  <c r="J345" i="4"/>
  <c r="J141" i="4"/>
  <c r="P141" i="4"/>
  <c r="H141" i="4"/>
  <c r="I141" i="4" s="1"/>
  <c r="O141" i="4" s="1"/>
  <c r="P545" i="4"/>
  <c r="J545" i="4"/>
  <c r="H545" i="4"/>
  <c r="I545" i="4" s="1"/>
  <c r="O545" i="4" s="1"/>
  <c r="P76" i="4"/>
  <c r="H76" i="4"/>
  <c r="I76" i="4" s="1"/>
  <c r="O76" i="4" s="1"/>
  <c r="J76" i="4"/>
  <c r="J65" i="2"/>
  <c r="H65" i="2"/>
  <c r="I65" i="2" s="1"/>
  <c r="O65" i="2" s="1"/>
  <c r="P65" i="2"/>
  <c r="P950" i="4"/>
  <c r="H950" i="4"/>
  <c r="I950" i="4" s="1"/>
  <c r="O950" i="4" s="1"/>
  <c r="J950" i="4"/>
  <c r="J657" i="4"/>
  <c r="P657" i="4"/>
  <c r="H657" i="4"/>
  <c r="I657" i="4" s="1"/>
  <c r="O657" i="4" s="1"/>
  <c r="J713" i="4"/>
  <c r="P713" i="4"/>
  <c r="H713" i="4"/>
  <c r="I713" i="4" s="1"/>
  <c r="O713" i="4" s="1"/>
  <c r="P779" i="4"/>
  <c r="H779" i="4"/>
  <c r="I779" i="4" s="1"/>
  <c r="O779" i="4" s="1"/>
  <c r="J779" i="4"/>
  <c r="J994" i="4"/>
  <c r="H994" i="4"/>
  <c r="I994" i="4" s="1"/>
  <c r="O994" i="4" s="1"/>
  <c r="P994" i="4"/>
  <c r="P596" i="4"/>
  <c r="J596" i="4"/>
  <c r="H596" i="4"/>
  <c r="I596" i="4" s="1"/>
  <c r="O596" i="4" s="1"/>
  <c r="H704" i="4"/>
  <c r="I704" i="4" s="1"/>
  <c r="O704" i="4" s="1"/>
  <c r="P704" i="4"/>
  <c r="J704" i="4"/>
  <c r="J412" i="4"/>
  <c r="H412" i="4"/>
  <c r="I412" i="4" s="1"/>
  <c r="O412" i="4" s="1"/>
  <c r="P412" i="4"/>
  <c r="H645" i="4"/>
  <c r="I645" i="4" s="1"/>
  <c r="O645" i="4" s="1"/>
  <c r="P645" i="4"/>
  <c r="J645" i="4"/>
  <c r="H539" i="4"/>
  <c r="I539" i="4" s="1"/>
  <c r="O539" i="4" s="1"/>
  <c r="P539" i="4"/>
  <c r="J539" i="4"/>
  <c r="P504" i="4"/>
  <c r="H504" i="4"/>
  <c r="I504" i="4" s="1"/>
  <c r="O504" i="4" s="1"/>
  <c r="J504" i="4"/>
  <c r="P563" i="4"/>
  <c r="H563" i="4"/>
  <c r="I563" i="4" s="1"/>
  <c r="O563" i="4" s="1"/>
  <c r="J563" i="4"/>
  <c r="J534" i="4"/>
  <c r="H534" i="4"/>
  <c r="I534" i="4" s="1"/>
  <c r="O534" i="4" s="1"/>
  <c r="P534" i="4"/>
  <c r="P598" i="4"/>
  <c r="J598" i="4"/>
  <c r="H598" i="4"/>
  <c r="I598" i="4" s="1"/>
  <c r="O598" i="4" s="1"/>
  <c r="H62" i="4"/>
  <c r="I62" i="4" s="1"/>
  <c r="O62" i="4" s="1"/>
  <c r="P62" i="4"/>
  <c r="J62" i="4"/>
  <c r="P805" i="2"/>
  <c r="J805" i="2"/>
  <c r="H805" i="2"/>
  <c r="I805" i="2" s="1"/>
  <c r="O805" i="2" s="1"/>
  <c r="P498" i="2"/>
  <c r="J498" i="2"/>
  <c r="H498" i="2"/>
  <c r="I498" i="2" s="1"/>
  <c r="O498" i="2" s="1"/>
  <c r="P582" i="2"/>
  <c r="J582" i="2"/>
  <c r="H582" i="2"/>
  <c r="I582" i="2" s="1"/>
  <c r="O582" i="2" s="1"/>
  <c r="J70" i="2"/>
  <c r="H70" i="2"/>
  <c r="I70" i="2" s="1"/>
  <c r="O70" i="2" s="1"/>
  <c r="P70" i="2"/>
  <c r="J721" i="2"/>
  <c r="P721" i="2"/>
  <c r="H721" i="2"/>
  <c r="I721" i="2" s="1"/>
  <c r="O721" i="2" s="1"/>
  <c r="J627" i="4"/>
  <c r="H627" i="4"/>
  <c r="I627" i="4" s="1"/>
  <c r="O627" i="4" s="1"/>
  <c r="P627" i="4"/>
  <c r="J304" i="4"/>
  <c r="H304" i="4"/>
  <c r="I304" i="4" s="1"/>
  <c r="O304" i="4" s="1"/>
  <c r="P304" i="4"/>
  <c r="J179" i="4"/>
  <c r="H179" i="4"/>
  <c r="I179" i="4" s="1"/>
  <c r="O179" i="4" s="1"/>
  <c r="P179" i="4"/>
  <c r="J472" i="4"/>
  <c r="H472" i="4"/>
  <c r="I472" i="4" s="1"/>
  <c r="O472" i="4" s="1"/>
  <c r="P472" i="4"/>
  <c r="P405" i="4"/>
  <c r="J405" i="4"/>
  <c r="H405" i="4"/>
  <c r="I405" i="4" s="1"/>
  <c r="O405" i="4" s="1"/>
  <c r="J83" i="4"/>
  <c r="P83" i="4"/>
  <c r="H83" i="4"/>
  <c r="I83" i="4" s="1"/>
  <c r="O83" i="4" s="1"/>
  <c r="P851" i="2"/>
  <c r="J851" i="2"/>
  <c r="H851" i="2"/>
  <c r="I851" i="2" s="1"/>
  <c r="O851" i="2" s="1"/>
  <c r="J161" i="4"/>
  <c r="P161" i="4"/>
  <c r="H161" i="4"/>
  <c r="I161" i="4" s="1"/>
  <c r="O161" i="4" s="1"/>
  <c r="J983" i="2"/>
  <c r="P983" i="2"/>
  <c r="H983" i="2"/>
  <c r="I983" i="2" s="1"/>
  <c r="O983" i="2" s="1"/>
  <c r="J244" i="4"/>
  <c r="P244" i="4"/>
  <c r="H244" i="4"/>
  <c r="I244" i="4" s="1"/>
  <c r="O244" i="4" s="1"/>
  <c r="J300" i="2"/>
  <c r="H300" i="2"/>
  <c r="I300" i="2" s="1"/>
  <c r="O300" i="2" s="1"/>
  <c r="P300" i="2"/>
  <c r="H465" i="2"/>
  <c r="I465" i="2" s="1"/>
  <c r="O465" i="2" s="1"/>
  <c r="P465" i="2"/>
  <c r="J465" i="2"/>
  <c r="H8" i="2"/>
  <c r="I8" i="2" s="1"/>
  <c r="O8" i="2" s="1"/>
  <c r="P8" i="2"/>
  <c r="J8" i="2"/>
  <c r="J360" i="4"/>
  <c r="P360" i="4"/>
  <c r="H360" i="4"/>
  <c r="I360" i="4" s="1"/>
  <c r="O360" i="4" s="1"/>
  <c r="H133" i="4"/>
  <c r="I133" i="4" s="1"/>
  <c r="O133" i="4" s="1"/>
  <c r="J133" i="4"/>
  <c r="P133" i="4"/>
  <c r="P460" i="4"/>
  <c r="J460" i="4"/>
  <c r="H460" i="4"/>
  <c r="I460" i="4" s="1"/>
  <c r="O460" i="4" s="1"/>
  <c r="H243" i="4"/>
  <c r="I243" i="4" s="1"/>
  <c r="O243" i="4" s="1"/>
  <c r="P243" i="4"/>
  <c r="J243" i="4"/>
  <c r="H542" i="4"/>
  <c r="I542" i="4" s="1"/>
  <c r="O542" i="4" s="1"/>
  <c r="P542" i="4"/>
  <c r="J542" i="4"/>
  <c r="J938" i="2"/>
  <c r="P938" i="2"/>
  <c r="H938" i="2"/>
  <c r="I938" i="2" s="1"/>
  <c r="O938" i="2" s="1"/>
  <c r="H705" i="2"/>
  <c r="I705" i="2" s="1"/>
  <c r="O705" i="2" s="1"/>
  <c r="P705" i="2"/>
  <c r="J705" i="2"/>
  <c r="J688" i="2"/>
  <c r="H688" i="2"/>
  <c r="I688" i="2" s="1"/>
  <c r="O688" i="2" s="1"/>
  <c r="P688" i="2"/>
  <c r="P33" i="4"/>
  <c r="J33" i="4"/>
  <c r="H33" i="4"/>
  <c r="I33" i="4" s="1"/>
  <c r="O33" i="4" s="1"/>
  <c r="J523" i="4"/>
  <c r="H523" i="4"/>
  <c r="I523" i="4" s="1"/>
  <c r="O523" i="4" s="1"/>
  <c r="P523" i="4"/>
  <c r="P295" i="4"/>
  <c r="J295" i="4"/>
  <c r="H295" i="4"/>
  <c r="I295" i="4" s="1"/>
  <c r="O295" i="4" s="1"/>
  <c r="I314" i="4"/>
  <c r="O314" i="4" s="1"/>
  <c r="J362" i="4"/>
  <c r="H362" i="4"/>
  <c r="I362" i="4" s="1"/>
  <c r="O362" i="4" s="1"/>
  <c r="P362" i="4"/>
  <c r="J66" i="4"/>
  <c r="H66" i="4"/>
  <c r="I66" i="4" s="1"/>
  <c r="O66" i="4" s="1"/>
  <c r="P66" i="4"/>
  <c r="I953" i="4"/>
  <c r="O953" i="4" s="1"/>
  <c r="Q953" i="4" s="1"/>
  <c r="R953" i="4" s="1"/>
  <c r="T953" i="4" s="1"/>
  <c r="V953" i="4" s="1"/>
  <c r="J810" i="4"/>
  <c r="H810" i="4"/>
  <c r="I810" i="4" s="1"/>
  <c r="O810" i="4" s="1"/>
  <c r="P810" i="4"/>
  <c r="H864" i="4"/>
  <c r="I864" i="4" s="1"/>
  <c r="O864" i="4" s="1"/>
  <c r="P864" i="4"/>
  <c r="J864" i="4"/>
  <c r="P702" i="4"/>
  <c r="J702" i="4"/>
  <c r="H702" i="4"/>
  <c r="I702" i="4" s="1"/>
  <c r="O702" i="4" s="1"/>
  <c r="H711" i="4"/>
  <c r="I711" i="4" s="1"/>
  <c r="O711" i="4" s="1"/>
  <c r="P711" i="4"/>
  <c r="J711" i="4"/>
  <c r="J610" i="4"/>
  <c r="H610" i="4"/>
  <c r="I610" i="4" s="1"/>
  <c r="O610" i="4" s="1"/>
  <c r="P610" i="4"/>
  <c r="P557" i="4"/>
  <c r="H557" i="4"/>
  <c r="I557" i="4" s="1"/>
  <c r="O557" i="4" s="1"/>
  <c r="J557" i="4"/>
  <c r="P740" i="4"/>
  <c r="H740" i="4"/>
  <c r="I740" i="4" s="1"/>
  <c r="O740" i="4" s="1"/>
  <c r="J740" i="4"/>
  <c r="J380" i="4"/>
  <c r="H380" i="4"/>
  <c r="I380" i="4" s="1"/>
  <c r="O380" i="4" s="1"/>
  <c r="P380" i="4"/>
  <c r="H704" i="2"/>
  <c r="I704" i="2" s="1"/>
  <c r="O704" i="2" s="1"/>
  <c r="P704" i="2"/>
  <c r="J704" i="2"/>
  <c r="H665" i="2"/>
  <c r="I665" i="2" s="1"/>
  <c r="O665" i="2" s="1"/>
  <c r="J665" i="2"/>
  <c r="P665" i="2"/>
  <c r="H522" i="2"/>
  <c r="I522" i="2" s="1"/>
  <c r="O522" i="2" s="1"/>
  <c r="J522" i="2"/>
  <c r="P522" i="2"/>
  <c r="P890" i="4"/>
  <c r="J890" i="4"/>
  <c r="H890" i="4"/>
  <c r="I890" i="4" s="1"/>
  <c r="O890" i="4" s="1"/>
  <c r="P801" i="4"/>
  <c r="J801" i="4"/>
  <c r="H801" i="4"/>
  <c r="I801" i="4" s="1"/>
  <c r="O801" i="4" s="1"/>
  <c r="P666" i="4"/>
  <c r="H666" i="4"/>
  <c r="I666" i="4" s="1"/>
  <c r="O666" i="4" s="1"/>
  <c r="J666" i="4"/>
  <c r="P813" i="4"/>
  <c r="J813" i="4"/>
  <c r="H813" i="4"/>
  <c r="I813" i="4" s="1"/>
  <c r="O813" i="4" s="1"/>
  <c r="H591" i="4"/>
  <c r="I591" i="4" s="1"/>
  <c r="O591" i="4" s="1"/>
  <c r="P591" i="4"/>
  <c r="J591" i="4"/>
  <c r="J760" i="4"/>
  <c r="P760" i="4"/>
  <c r="H760" i="4"/>
  <c r="I760" i="4" s="1"/>
  <c r="O760" i="4" s="1"/>
  <c r="J727" i="4"/>
  <c r="H727" i="4"/>
  <c r="I727" i="4" s="1"/>
  <c r="O727" i="4" s="1"/>
  <c r="P727" i="4"/>
  <c r="J885" i="4"/>
  <c r="H885" i="4"/>
  <c r="I885" i="4" s="1"/>
  <c r="O885" i="4" s="1"/>
  <c r="P885" i="4"/>
  <c r="H746" i="4"/>
  <c r="I746" i="4" s="1"/>
  <c r="O746" i="4" s="1"/>
  <c r="P746" i="4"/>
  <c r="J746" i="4"/>
  <c r="P777" i="4"/>
  <c r="H777" i="4"/>
  <c r="I777" i="4" s="1"/>
  <c r="O777" i="4" s="1"/>
  <c r="J777" i="4"/>
  <c r="J585" i="4"/>
  <c r="H585" i="4"/>
  <c r="I585" i="4" s="1"/>
  <c r="O585" i="4" s="1"/>
  <c r="P585" i="4"/>
  <c r="P434" i="4"/>
  <c r="J434" i="4"/>
  <c r="H434" i="4"/>
  <c r="I434" i="4" s="1"/>
  <c r="O434" i="4" s="1"/>
  <c r="J469" i="4"/>
  <c r="H469" i="4"/>
  <c r="I469" i="4" s="1"/>
  <c r="O469" i="4" s="1"/>
  <c r="P469" i="4"/>
  <c r="H453" i="4"/>
  <c r="I453" i="4" s="1"/>
  <c r="O453" i="4" s="1"/>
  <c r="J453" i="4"/>
  <c r="P453" i="4"/>
  <c r="J193" i="4"/>
  <c r="H193" i="4"/>
  <c r="I193" i="4" s="1"/>
  <c r="O193" i="4" s="1"/>
  <c r="P193" i="4"/>
  <c r="P441" i="4"/>
  <c r="H441" i="4"/>
  <c r="I441" i="4" s="1"/>
  <c r="O441" i="4" s="1"/>
  <c r="J441" i="4"/>
  <c r="H326" i="4"/>
  <c r="I326" i="4" s="1"/>
  <c r="O326" i="4" s="1"/>
  <c r="J326" i="4"/>
  <c r="P326" i="4"/>
  <c r="J30" i="4"/>
  <c r="P30" i="4"/>
  <c r="H30" i="4"/>
  <c r="I30" i="4" s="1"/>
  <c r="O30" i="4" s="1"/>
  <c r="H20" i="4"/>
  <c r="I20" i="4" s="1"/>
  <c r="O20" i="4" s="1"/>
  <c r="P20" i="4"/>
  <c r="J20" i="4"/>
  <c r="P770" i="2"/>
  <c r="H770" i="2"/>
  <c r="I770" i="2" s="1"/>
  <c r="O770" i="2" s="1"/>
  <c r="J770" i="2"/>
  <c r="H538" i="2"/>
  <c r="I538" i="2" s="1"/>
  <c r="O538" i="2" s="1"/>
  <c r="P538" i="2"/>
  <c r="J538" i="2"/>
  <c r="H12" i="4"/>
  <c r="I12" i="4" s="1"/>
  <c r="O12" i="4" s="1"/>
  <c r="P12" i="4"/>
  <c r="J12" i="4"/>
  <c r="H132" i="2"/>
  <c r="I132" i="2" s="1"/>
  <c r="O132" i="2" s="1"/>
  <c r="P132" i="2"/>
  <c r="J132" i="2"/>
  <c r="P416" i="4"/>
  <c r="J416" i="4"/>
  <c r="H416" i="4"/>
  <c r="I416" i="4" s="1"/>
  <c r="O416" i="4" s="1"/>
  <c r="H524" i="4"/>
  <c r="I524" i="4" s="1"/>
  <c r="O524" i="4" s="1"/>
  <c r="P524" i="4"/>
  <c r="J524" i="4"/>
  <c r="J293" i="4"/>
  <c r="H293" i="4"/>
  <c r="I293" i="4" s="1"/>
  <c r="O293" i="4" s="1"/>
  <c r="P293" i="4"/>
  <c r="H198" i="4"/>
  <c r="I198" i="4" s="1"/>
  <c r="O198" i="4" s="1"/>
  <c r="P198" i="4"/>
  <c r="J198" i="4"/>
  <c r="P820" i="2"/>
  <c r="J820" i="2"/>
  <c r="H820" i="2"/>
  <c r="I820" i="2" s="1"/>
  <c r="O820" i="2" s="1"/>
  <c r="H109" i="2"/>
  <c r="I109" i="2" s="1"/>
  <c r="O109" i="2" s="1"/>
  <c r="P109" i="2"/>
  <c r="J109" i="2"/>
  <c r="J568" i="2"/>
  <c r="H568" i="2"/>
  <c r="I568" i="2" s="1"/>
  <c r="O568" i="2" s="1"/>
  <c r="P568" i="2"/>
  <c r="J875" i="2"/>
  <c r="H875" i="2"/>
  <c r="I875" i="2" s="1"/>
  <c r="O875" i="2" s="1"/>
  <c r="P875" i="2"/>
  <c r="P691" i="4"/>
  <c r="J691" i="4"/>
  <c r="H691" i="4"/>
  <c r="I691" i="4" s="1"/>
  <c r="O691" i="4" s="1"/>
  <c r="J164" i="4"/>
  <c r="P164" i="4"/>
  <c r="H164" i="4"/>
  <c r="I164" i="4" s="1"/>
  <c r="O164" i="4" s="1"/>
  <c r="P65" i="4"/>
  <c r="H65" i="4"/>
  <c r="I65" i="4" s="1"/>
  <c r="O65" i="4" s="1"/>
  <c r="J65" i="4"/>
  <c r="J292" i="4"/>
  <c r="H292" i="4"/>
  <c r="I292" i="4" s="1"/>
  <c r="O292" i="4" s="1"/>
  <c r="P292" i="4"/>
  <c r="J39" i="4"/>
  <c r="H39" i="4"/>
  <c r="I39" i="4" s="1"/>
  <c r="O39" i="4" s="1"/>
  <c r="P39" i="4"/>
  <c r="H980" i="2"/>
  <c r="I980" i="2" s="1"/>
  <c r="O980" i="2" s="1"/>
  <c r="J980" i="2"/>
  <c r="P980" i="2"/>
  <c r="H703" i="2"/>
  <c r="I703" i="2" s="1"/>
  <c r="O703" i="2" s="1"/>
  <c r="J703" i="2"/>
  <c r="P703" i="2"/>
  <c r="J986" i="2"/>
  <c r="H986" i="2"/>
  <c r="I986" i="2" s="1"/>
  <c r="O986" i="2" s="1"/>
  <c r="P986" i="2"/>
  <c r="J955" i="2"/>
  <c r="P955" i="2"/>
  <c r="H955" i="2"/>
  <c r="I955" i="2" s="1"/>
  <c r="O955" i="2" s="1"/>
  <c r="P656" i="2"/>
  <c r="J656" i="2"/>
  <c r="H656" i="2"/>
  <c r="I656" i="2" s="1"/>
  <c r="O656" i="2" s="1"/>
  <c r="P464" i="2"/>
  <c r="J464" i="2"/>
  <c r="H464" i="2"/>
  <c r="I464" i="2" s="1"/>
  <c r="O464" i="2" s="1"/>
  <c r="J563" i="2"/>
  <c r="P563" i="2"/>
  <c r="H563" i="2"/>
  <c r="I563" i="2" s="1"/>
  <c r="O563" i="2" s="1"/>
  <c r="K59" i="2"/>
  <c r="H957" i="4"/>
  <c r="I957" i="4" s="1"/>
  <c r="O957" i="4" s="1"/>
  <c r="P957" i="4"/>
  <c r="J957" i="4"/>
  <c r="H899" i="4"/>
  <c r="I899" i="4" s="1"/>
  <c r="O899" i="4" s="1"/>
  <c r="P899" i="4"/>
  <c r="J899" i="4"/>
  <c r="H793" i="4"/>
  <c r="I793" i="4" s="1"/>
  <c r="O793" i="4" s="1"/>
  <c r="P793" i="4"/>
  <c r="J793" i="4"/>
  <c r="K983" i="4"/>
  <c r="Q873" i="4"/>
  <c r="R873" i="4" s="1"/>
  <c r="T873" i="4" s="1"/>
  <c r="V873" i="4" s="1"/>
  <c r="P676" i="4"/>
  <c r="H676" i="4"/>
  <c r="I676" i="4" s="1"/>
  <c r="O676" i="4" s="1"/>
  <c r="J676" i="4"/>
  <c r="K800" i="4"/>
  <c r="H850" i="4"/>
  <c r="I850" i="4" s="1"/>
  <c r="O850" i="4" s="1"/>
  <c r="J850" i="4"/>
  <c r="P850" i="4"/>
  <c r="P641" i="4"/>
  <c r="J641" i="4"/>
  <c r="H641" i="4"/>
  <c r="I641" i="4" s="1"/>
  <c r="O641" i="4" s="1"/>
  <c r="H556" i="4"/>
  <c r="I556" i="4" s="1"/>
  <c r="O556" i="4" s="1"/>
  <c r="J556" i="4"/>
  <c r="P556" i="4"/>
  <c r="P396" i="4"/>
  <c r="J396" i="4"/>
  <c r="H396" i="4"/>
  <c r="I396" i="4" s="1"/>
  <c r="O396" i="4" s="1"/>
  <c r="P570" i="4"/>
  <c r="H570" i="4"/>
  <c r="I570" i="4" s="1"/>
  <c r="O570" i="4" s="1"/>
  <c r="Q570" i="4" s="1"/>
  <c r="R570" i="4" s="1"/>
  <c r="T570" i="4" s="1"/>
  <c r="V570" i="4" s="1"/>
  <c r="J570" i="4"/>
  <c r="J547" i="4"/>
  <c r="P547" i="4"/>
  <c r="H547" i="4"/>
  <c r="I547" i="4" s="1"/>
  <c r="O547" i="4" s="1"/>
  <c r="P406" i="4"/>
  <c r="H406" i="4"/>
  <c r="I406" i="4" s="1"/>
  <c r="O406" i="4" s="1"/>
  <c r="J406" i="4"/>
  <c r="H490" i="4"/>
  <c r="I490" i="4" s="1"/>
  <c r="O490" i="4" s="1"/>
  <c r="P490" i="4"/>
  <c r="J490" i="4"/>
  <c r="P427" i="4"/>
  <c r="J427" i="4"/>
  <c r="H427" i="4"/>
  <c r="I427" i="4" s="1"/>
  <c r="O427" i="4" s="1"/>
  <c r="H353" i="4"/>
  <c r="I353" i="4" s="1"/>
  <c r="O353" i="4" s="1"/>
  <c r="J353" i="4"/>
  <c r="P353" i="4"/>
  <c r="J300" i="4"/>
  <c r="P300" i="4"/>
  <c r="H300" i="4"/>
  <c r="I300" i="4" s="1"/>
  <c r="O300" i="4" s="1"/>
  <c r="H53" i="4"/>
  <c r="I53" i="4" s="1"/>
  <c r="O53" i="4" s="1"/>
  <c r="P53" i="4"/>
  <c r="J53" i="4"/>
  <c r="H466" i="4"/>
  <c r="I466" i="4" s="1"/>
  <c r="O466" i="4" s="1"/>
  <c r="P466" i="4"/>
  <c r="J466" i="4"/>
  <c r="P597" i="4"/>
  <c r="J597" i="4"/>
  <c r="H597" i="4"/>
  <c r="I597" i="4" s="1"/>
  <c r="O597" i="4" s="1"/>
  <c r="P663" i="2"/>
  <c r="J663" i="2"/>
  <c r="H663" i="2"/>
  <c r="I663" i="2" s="1"/>
  <c r="O663" i="2" s="1"/>
  <c r="J49" i="4"/>
  <c r="H49" i="4"/>
  <c r="I49" i="4" s="1"/>
  <c r="O49" i="4" s="1"/>
  <c r="P49" i="4"/>
  <c r="H250" i="4"/>
  <c r="I250" i="4" s="1"/>
  <c r="O250" i="4" s="1"/>
  <c r="P250" i="4"/>
  <c r="J250" i="4"/>
  <c r="H353" i="2"/>
  <c r="I353" i="2" s="1"/>
  <c r="O353" i="2" s="1"/>
  <c r="J353" i="2"/>
  <c r="P353" i="2"/>
  <c r="H9" i="2"/>
  <c r="I9" i="2" s="1"/>
  <c r="O9" i="2" s="1"/>
  <c r="J9" i="2"/>
  <c r="P9" i="2"/>
  <c r="P845" i="2"/>
  <c r="J845" i="2"/>
  <c r="H845" i="2"/>
  <c r="I845" i="2" s="1"/>
  <c r="O845" i="2" s="1"/>
  <c r="P832" i="4"/>
  <c r="H832" i="4"/>
  <c r="I832" i="4" s="1"/>
  <c r="O832" i="4" s="1"/>
  <c r="J832" i="4"/>
  <c r="P987" i="4"/>
  <c r="J987" i="4"/>
  <c r="H987" i="4"/>
  <c r="I987" i="4" s="1"/>
  <c r="O987" i="4" s="1"/>
  <c r="H937" i="4"/>
  <c r="I937" i="4" s="1"/>
  <c r="O937" i="4" s="1"/>
  <c r="P937" i="4"/>
  <c r="J937" i="4"/>
  <c r="P989" i="4"/>
  <c r="H989" i="4"/>
  <c r="I989" i="4" s="1"/>
  <c r="O989" i="4" s="1"/>
  <c r="J989" i="4"/>
  <c r="J828" i="4"/>
  <c r="P828" i="4"/>
  <c r="H828" i="4"/>
  <c r="I828" i="4" s="1"/>
  <c r="O828" i="4" s="1"/>
  <c r="H730" i="4"/>
  <c r="I730" i="4" s="1"/>
  <c r="O730" i="4" s="1"/>
  <c r="P730" i="4"/>
  <c r="J730" i="4"/>
  <c r="J758" i="4"/>
  <c r="H758" i="4"/>
  <c r="I758" i="4" s="1"/>
  <c r="O758" i="4" s="1"/>
  <c r="P758" i="4"/>
  <c r="J529" i="4"/>
  <c r="H529" i="4"/>
  <c r="I529" i="4" s="1"/>
  <c r="O529" i="4" s="1"/>
  <c r="P529" i="4"/>
  <c r="H877" i="4"/>
  <c r="I877" i="4" s="1"/>
  <c r="O877" i="4" s="1"/>
  <c r="P877" i="4"/>
  <c r="J877" i="4"/>
  <c r="J749" i="4"/>
  <c r="H749" i="4"/>
  <c r="I749" i="4" s="1"/>
  <c r="O749" i="4" s="1"/>
  <c r="P749" i="4"/>
  <c r="P437" i="4"/>
  <c r="H437" i="4"/>
  <c r="I437" i="4" s="1"/>
  <c r="O437" i="4" s="1"/>
  <c r="J437" i="4"/>
  <c r="H482" i="4"/>
  <c r="I482" i="4" s="1"/>
  <c r="O482" i="4" s="1"/>
  <c r="J482" i="4"/>
  <c r="P482" i="4"/>
  <c r="H762" i="4"/>
  <c r="I762" i="4" s="1"/>
  <c r="O762" i="4" s="1"/>
  <c r="J762" i="4"/>
  <c r="P762" i="4"/>
  <c r="J258" i="4"/>
  <c r="H258" i="4"/>
  <c r="I258" i="4" s="1"/>
  <c r="O258" i="4" s="1"/>
  <c r="P258" i="4"/>
  <c r="J677" i="4"/>
  <c r="P677" i="4"/>
  <c r="H677" i="4"/>
  <c r="I677" i="4" s="1"/>
  <c r="O677" i="4" s="1"/>
  <c r="P502" i="4"/>
  <c r="J502" i="4"/>
  <c r="H502" i="4"/>
  <c r="I502" i="4" s="1"/>
  <c r="O502" i="4" s="1"/>
  <c r="J252" i="4"/>
  <c r="H252" i="4"/>
  <c r="I252" i="4" s="1"/>
  <c r="O252" i="4" s="1"/>
  <c r="P252" i="4"/>
  <c r="J229" i="4"/>
  <c r="H229" i="4"/>
  <c r="I229" i="4" s="1"/>
  <c r="O229" i="4" s="1"/>
  <c r="P229" i="4"/>
  <c r="P40" i="4"/>
  <c r="J40" i="4"/>
  <c r="H40" i="4"/>
  <c r="I40" i="4" s="1"/>
  <c r="O40" i="4" s="1"/>
  <c r="J284" i="4"/>
  <c r="P284" i="4"/>
  <c r="H284" i="4"/>
  <c r="I284" i="4" s="1"/>
  <c r="O284" i="4" s="1"/>
  <c r="J305" i="4"/>
  <c r="H305" i="4"/>
  <c r="I305" i="4" s="1"/>
  <c r="O305" i="4" s="1"/>
  <c r="P305" i="4"/>
  <c r="J970" i="2"/>
  <c r="P970" i="2"/>
  <c r="H970" i="2"/>
  <c r="I970" i="2" s="1"/>
  <c r="O970" i="2" s="1"/>
  <c r="H348" i="2"/>
  <c r="I348" i="2" s="1"/>
  <c r="O348" i="2" s="1"/>
  <c r="J348" i="2"/>
  <c r="P348" i="2"/>
  <c r="J71" i="2"/>
  <c r="H71" i="2"/>
  <c r="I71" i="2" s="1"/>
  <c r="O71" i="2" s="1"/>
  <c r="P71" i="2"/>
  <c r="J914" i="4"/>
  <c r="P914" i="4"/>
  <c r="H914" i="4"/>
  <c r="I914" i="4" s="1"/>
  <c r="O914" i="4" s="1"/>
  <c r="H785" i="4"/>
  <c r="I785" i="4" s="1"/>
  <c r="O785" i="4" s="1"/>
  <c r="P785" i="4"/>
  <c r="J785" i="4"/>
  <c r="J821" i="4"/>
  <c r="P821" i="4"/>
  <c r="H821" i="4"/>
  <c r="I821" i="4" s="1"/>
  <c r="O821" i="4" s="1"/>
  <c r="J560" i="4"/>
  <c r="P560" i="4"/>
  <c r="H560" i="4"/>
  <c r="I560" i="4" s="1"/>
  <c r="O560" i="4" s="1"/>
  <c r="J697" i="4"/>
  <c r="H697" i="4"/>
  <c r="I697" i="4" s="1"/>
  <c r="O697" i="4" s="1"/>
  <c r="P697" i="4"/>
  <c r="H678" i="4"/>
  <c r="I678" i="4" s="1"/>
  <c r="O678" i="4" s="1"/>
  <c r="P678" i="4"/>
  <c r="J678" i="4"/>
  <c r="H787" i="4"/>
  <c r="I787" i="4" s="1"/>
  <c r="O787" i="4" s="1"/>
  <c r="P787" i="4"/>
  <c r="J787" i="4"/>
  <c r="P470" i="4"/>
  <c r="J470" i="4"/>
  <c r="H470" i="4"/>
  <c r="I470" i="4" s="1"/>
  <c r="O470" i="4" s="1"/>
  <c r="J633" i="4"/>
  <c r="P633" i="4"/>
  <c r="H633" i="4"/>
  <c r="I633" i="4" s="1"/>
  <c r="O633" i="4" s="1"/>
  <c r="J729" i="4"/>
  <c r="P729" i="4"/>
  <c r="H729" i="4"/>
  <c r="I729" i="4" s="1"/>
  <c r="O729" i="4" s="1"/>
  <c r="P559" i="4"/>
  <c r="H559" i="4"/>
  <c r="I559" i="4" s="1"/>
  <c r="O559" i="4" s="1"/>
  <c r="J559" i="4"/>
  <c r="H364" i="4"/>
  <c r="I364" i="4" s="1"/>
  <c r="O364" i="4" s="1"/>
  <c r="J364" i="4"/>
  <c r="P364" i="4"/>
  <c r="H263" i="4"/>
  <c r="I263" i="4" s="1"/>
  <c r="O263" i="4" s="1"/>
  <c r="P263" i="4"/>
  <c r="J263" i="4"/>
  <c r="H479" i="4"/>
  <c r="I479" i="4" s="1"/>
  <c r="O479" i="4" s="1"/>
  <c r="P479" i="4"/>
  <c r="J479" i="4"/>
  <c r="P217" i="4"/>
  <c r="J217" i="4"/>
  <c r="H217" i="4"/>
  <c r="I217" i="4" s="1"/>
  <c r="O217" i="4" s="1"/>
  <c r="H517" i="4"/>
  <c r="I517" i="4" s="1"/>
  <c r="O517" i="4" s="1"/>
  <c r="P517" i="4"/>
  <c r="J517" i="4"/>
  <c r="P949" i="2"/>
  <c r="H949" i="2"/>
  <c r="I949" i="2" s="1"/>
  <c r="O949" i="2" s="1"/>
  <c r="J949" i="2"/>
  <c r="H283" i="4"/>
  <c r="I283" i="4" s="1"/>
  <c r="O283" i="4" s="1"/>
  <c r="J283" i="4"/>
  <c r="P283" i="4"/>
  <c r="P862" i="2"/>
  <c r="J862" i="2"/>
  <c r="H862" i="2"/>
  <c r="I862" i="2" s="1"/>
  <c r="O862" i="2" s="1"/>
  <c r="H972" i="2"/>
  <c r="I972" i="2" s="1"/>
  <c r="O972" i="2" s="1"/>
  <c r="J972" i="2"/>
  <c r="P972" i="2"/>
  <c r="P323" i="2"/>
  <c r="J323" i="2"/>
  <c r="H323" i="2"/>
  <c r="I323" i="2" s="1"/>
  <c r="O323" i="2" s="1"/>
  <c r="H239" i="4"/>
  <c r="I239" i="4" s="1"/>
  <c r="O239" i="4" s="1"/>
  <c r="P239" i="4"/>
  <c r="J239" i="4"/>
  <c r="H756" i="2"/>
  <c r="I756" i="2" s="1"/>
  <c r="O756" i="2" s="1"/>
  <c r="P756" i="2"/>
  <c r="J756" i="2"/>
  <c r="J575" i="2"/>
  <c r="H575" i="2"/>
  <c r="I575" i="2" s="1"/>
  <c r="O575" i="2" s="1"/>
  <c r="P575" i="2"/>
  <c r="J34" i="2"/>
  <c r="P34" i="2"/>
  <c r="H34" i="2"/>
  <c r="I34" i="2" s="1"/>
  <c r="O34" i="2" s="1"/>
  <c r="J22" i="2"/>
  <c r="P22" i="2"/>
  <c r="H22" i="2"/>
  <c r="I22" i="2" s="1"/>
  <c r="O22" i="2" s="1"/>
  <c r="J919" i="4"/>
  <c r="H919" i="4"/>
  <c r="I919" i="4" s="1"/>
  <c r="O919" i="4" s="1"/>
  <c r="P919" i="4"/>
  <c r="P824" i="4"/>
  <c r="J824" i="4"/>
  <c r="H824" i="4"/>
  <c r="I824" i="4" s="1"/>
  <c r="O824" i="4" s="1"/>
  <c r="H718" i="4"/>
  <c r="I718" i="4" s="1"/>
  <c r="O718" i="4" s="1"/>
  <c r="P718" i="4"/>
  <c r="J718" i="4"/>
  <c r="P670" i="4"/>
  <c r="J670" i="4"/>
  <c r="H670" i="4"/>
  <c r="I670" i="4" s="1"/>
  <c r="O670" i="4" s="1"/>
  <c r="H724" i="4"/>
  <c r="I724" i="4" s="1"/>
  <c r="O724" i="4" s="1"/>
  <c r="P724" i="4"/>
  <c r="J724" i="4"/>
  <c r="H794" i="4"/>
  <c r="I794" i="4" s="1"/>
  <c r="O794" i="4" s="1"/>
  <c r="J794" i="4"/>
  <c r="P794" i="4"/>
  <c r="P905" i="4"/>
  <c r="J905" i="4"/>
  <c r="H905" i="4"/>
  <c r="I905" i="4" s="1"/>
  <c r="O905" i="4" s="1"/>
  <c r="H791" i="4"/>
  <c r="I791" i="4" s="1"/>
  <c r="O791" i="4" s="1"/>
  <c r="P791" i="4"/>
  <c r="J791" i="4"/>
  <c r="P848" i="4"/>
  <c r="H848" i="4"/>
  <c r="I848" i="4" s="1"/>
  <c r="O848" i="4" s="1"/>
  <c r="J848" i="4"/>
  <c r="P614" i="4"/>
  <c r="H614" i="4"/>
  <c r="I614" i="4" s="1"/>
  <c r="O614" i="4" s="1"/>
  <c r="J614" i="4"/>
  <c r="J651" i="4"/>
  <c r="P651" i="4"/>
  <c r="H651" i="4"/>
  <c r="I651" i="4" s="1"/>
  <c r="O651" i="4" s="1"/>
  <c r="H603" i="4"/>
  <c r="I603" i="4" s="1"/>
  <c r="O603" i="4" s="1"/>
  <c r="J603" i="4"/>
  <c r="P603" i="4"/>
  <c r="H857" i="4"/>
  <c r="I857" i="4" s="1"/>
  <c r="O857" i="4" s="1"/>
  <c r="J857" i="4"/>
  <c r="P857" i="4"/>
  <c r="I373" i="4"/>
  <c r="O373" i="4" s="1"/>
  <c r="Q373" i="4" s="1"/>
  <c r="R373" i="4" s="1"/>
  <c r="T373" i="4" s="1"/>
  <c r="V373" i="4" s="1"/>
  <c r="P422" i="4"/>
  <c r="H422" i="4"/>
  <c r="I422" i="4" s="1"/>
  <c r="O422" i="4" s="1"/>
  <c r="J422" i="4"/>
  <c r="J474" i="4"/>
  <c r="H474" i="4"/>
  <c r="I474" i="4" s="1"/>
  <c r="O474" i="4" s="1"/>
  <c r="P474" i="4"/>
  <c r="H410" i="4"/>
  <c r="I410" i="4" s="1"/>
  <c r="O410" i="4" s="1"/>
  <c r="J410" i="4"/>
  <c r="P410" i="4"/>
  <c r="J461" i="4"/>
  <c r="H461" i="4"/>
  <c r="I461" i="4" s="1"/>
  <c r="O461" i="4" s="1"/>
  <c r="P461" i="4"/>
  <c r="H572" i="4"/>
  <c r="I572" i="4" s="1"/>
  <c r="O572" i="4" s="1"/>
  <c r="P572" i="4"/>
  <c r="J572" i="4"/>
  <c r="P237" i="4"/>
  <c r="H237" i="4"/>
  <c r="I237" i="4" s="1"/>
  <c r="O237" i="4" s="1"/>
  <c r="J237" i="4"/>
  <c r="P254" i="4"/>
  <c r="H254" i="4"/>
  <c r="I254" i="4" s="1"/>
  <c r="O254" i="4" s="1"/>
  <c r="J254" i="4"/>
  <c r="H385" i="4"/>
  <c r="I385" i="4" s="1"/>
  <c r="O385" i="4" s="1"/>
  <c r="P385" i="4"/>
  <c r="J385" i="4"/>
  <c r="J246" i="4"/>
  <c r="H246" i="4"/>
  <c r="I246" i="4" s="1"/>
  <c r="O246" i="4" s="1"/>
  <c r="P246" i="4"/>
  <c r="I91" i="4"/>
  <c r="O91" i="4" s="1"/>
  <c r="Q91" i="4" s="1"/>
  <c r="R91" i="4" s="1"/>
  <c r="T91" i="4" s="1"/>
  <c r="V91" i="4" s="1"/>
  <c r="J897" i="2"/>
  <c r="H897" i="2"/>
  <c r="I897" i="2" s="1"/>
  <c r="O897" i="2" s="1"/>
  <c r="P897" i="2"/>
  <c r="P838" i="2"/>
  <c r="J838" i="2"/>
  <c r="H838" i="2"/>
  <c r="I838" i="2" s="1"/>
  <c r="O838" i="2" s="1"/>
  <c r="J640" i="2"/>
  <c r="P640" i="2"/>
  <c r="H640" i="2"/>
  <c r="I640" i="2" s="1"/>
  <c r="O640" i="2" s="1"/>
  <c r="J503" i="2"/>
  <c r="H503" i="2"/>
  <c r="I503" i="2" s="1"/>
  <c r="O503" i="2" s="1"/>
  <c r="P503" i="2"/>
  <c r="J280" i="2"/>
  <c r="H280" i="2"/>
  <c r="I280" i="2" s="1"/>
  <c r="O280" i="2" s="1"/>
  <c r="P280" i="2"/>
  <c r="H209" i="2"/>
  <c r="I209" i="2" s="1"/>
  <c r="O209" i="2" s="1"/>
  <c r="J209" i="2"/>
  <c r="P209" i="2"/>
  <c r="H315" i="2"/>
  <c r="I315" i="2" s="1"/>
  <c r="O315" i="2" s="1"/>
  <c r="P315" i="2"/>
  <c r="J315" i="2"/>
  <c r="H512" i="2"/>
  <c r="I512" i="2" s="1"/>
  <c r="O512" i="2" s="1"/>
  <c r="J512" i="2"/>
  <c r="P512" i="2"/>
  <c r="J861" i="4"/>
  <c r="P861" i="4"/>
  <c r="H861" i="4"/>
  <c r="I861" i="4" s="1"/>
  <c r="O861" i="4" s="1"/>
  <c r="J806" i="4"/>
  <c r="H806" i="4"/>
  <c r="I806" i="4" s="1"/>
  <c r="O806" i="4" s="1"/>
  <c r="P806" i="4"/>
  <c r="P765" i="4"/>
  <c r="H765" i="4"/>
  <c r="I765" i="4" s="1"/>
  <c r="O765" i="4" s="1"/>
  <c r="J765" i="4"/>
  <c r="J497" i="4"/>
  <c r="H497" i="4"/>
  <c r="I497" i="4" s="1"/>
  <c r="O497" i="4" s="1"/>
  <c r="P497" i="4"/>
  <c r="P662" i="4"/>
  <c r="J662" i="4"/>
  <c r="H662" i="4"/>
  <c r="I662" i="4" s="1"/>
  <c r="O662" i="4" s="1"/>
  <c r="P498" i="4"/>
  <c r="H498" i="4"/>
  <c r="I498" i="4" s="1"/>
  <c r="O498" i="4" s="1"/>
  <c r="J498" i="4"/>
  <c r="P636" i="4"/>
  <c r="J636" i="4"/>
  <c r="H636" i="4"/>
  <c r="I636" i="4" s="1"/>
  <c r="O636" i="4" s="1"/>
  <c r="H656" i="4"/>
  <c r="I656" i="4" s="1"/>
  <c r="O656" i="4" s="1"/>
  <c r="J656" i="4"/>
  <c r="P656" i="4"/>
  <c r="P722" i="4"/>
  <c r="H722" i="4"/>
  <c r="I722" i="4" s="1"/>
  <c r="O722" i="4" s="1"/>
  <c r="J722" i="4"/>
  <c r="J660" i="4"/>
  <c r="P660" i="4"/>
  <c r="H660" i="4"/>
  <c r="I660" i="4" s="1"/>
  <c r="O660" i="4" s="1"/>
  <c r="H615" i="4"/>
  <c r="I615" i="4" s="1"/>
  <c r="O615" i="4" s="1"/>
  <c r="J615" i="4"/>
  <c r="P615" i="4"/>
  <c r="H655" i="4"/>
  <c r="I655" i="4" s="1"/>
  <c r="O655" i="4" s="1"/>
  <c r="P655" i="4"/>
  <c r="J655" i="4"/>
  <c r="H661" i="4"/>
  <c r="I661" i="4" s="1"/>
  <c r="O661" i="4" s="1"/>
  <c r="P661" i="4"/>
  <c r="J661" i="4"/>
  <c r="P473" i="4"/>
  <c r="H473" i="4"/>
  <c r="I473" i="4" s="1"/>
  <c r="O473" i="4" s="1"/>
  <c r="J473" i="4"/>
  <c r="J386" i="4"/>
  <c r="P386" i="4"/>
  <c r="H386" i="4"/>
  <c r="I386" i="4" s="1"/>
  <c r="O386" i="4" s="1"/>
  <c r="P642" i="4"/>
  <c r="J642" i="4"/>
  <c r="H642" i="4"/>
  <c r="I642" i="4" s="1"/>
  <c r="O642" i="4" s="1"/>
  <c r="H162" i="4"/>
  <c r="I162" i="4" s="1"/>
  <c r="O162" i="4" s="1"/>
  <c r="P162" i="4"/>
  <c r="J162" i="4"/>
  <c r="J421" i="4"/>
  <c r="H421" i="4"/>
  <c r="I421" i="4" s="1"/>
  <c r="O421" i="4" s="1"/>
  <c r="P421" i="4"/>
  <c r="H351" i="4"/>
  <c r="I351" i="4" s="1"/>
  <c r="O351" i="4" s="1"/>
  <c r="P351" i="4"/>
  <c r="J351" i="4"/>
  <c r="J393" i="4"/>
  <c r="P393" i="4"/>
  <c r="H393" i="4"/>
  <c r="I393" i="4" s="1"/>
  <c r="O393" i="4" s="1"/>
  <c r="J103" i="4"/>
  <c r="P103" i="4"/>
  <c r="H103" i="4"/>
  <c r="I103" i="4" s="1"/>
  <c r="O103" i="4" s="1"/>
  <c r="H808" i="2"/>
  <c r="I808" i="2" s="1"/>
  <c r="O808" i="2" s="1"/>
  <c r="P808" i="2"/>
  <c r="J808" i="2"/>
  <c r="P47" i="4"/>
  <c r="J47" i="4"/>
  <c r="H47" i="4"/>
  <c r="I47" i="4" s="1"/>
  <c r="O47" i="4" s="1"/>
  <c r="J633" i="2"/>
  <c r="P633" i="2"/>
  <c r="H633" i="2"/>
  <c r="I633" i="2" s="1"/>
  <c r="O633" i="2" s="1"/>
  <c r="H860" i="2"/>
  <c r="I860" i="2" s="1"/>
  <c r="O860" i="2" s="1"/>
  <c r="P860" i="2"/>
  <c r="J860" i="2"/>
  <c r="H483" i="2"/>
  <c r="I483" i="2" s="1"/>
  <c r="O483" i="2" s="1"/>
  <c r="J483" i="2"/>
  <c r="P483" i="2"/>
  <c r="P657" i="2"/>
  <c r="J657" i="2"/>
  <c r="H657" i="2"/>
  <c r="I657" i="2" s="1"/>
  <c r="O657" i="2" s="1"/>
  <c r="P606" i="2"/>
  <c r="J606" i="2"/>
  <c r="H606" i="2"/>
  <c r="I606" i="2" s="1"/>
  <c r="O606" i="2" s="1"/>
  <c r="P64" i="4"/>
  <c r="H64" i="4"/>
  <c r="I64" i="4" s="1"/>
  <c r="O64" i="4" s="1"/>
  <c r="J64" i="4"/>
  <c r="P471" i="2"/>
  <c r="H471" i="2"/>
  <c r="I471" i="2" s="1"/>
  <c r="O471" i="2" s="1"/>
  <c r="J471" i="2"/>
  <c r="I983" i="4"/>
  <c r="O983" i="4" s="1"/>
  <c r="Q983" i="4" s="1"/>
  <c r="R983" i="4" s="1"/>
  <c r="T983" i="4" s="1"/>
  <c r="V983" i="4" s="1"/>
  <c r="J839" i="4"/>
  <c r="H839" i="4"/>
  <c r="I839" i="4" s="1"/>
  <c r="O839" i="4" s="1"/>
  <c r="P839" i="4"/>
  <c r="P745" i="4"/>
  <c r="H745" i="4"/>
  <c r="I745" i="4" s="1"/>
  <c r="O745" i="4" s="1"/>
  <c r="J745" i="4"/>
  <c r="P700" i="4"/>
  <c r="H700" i="4"/>
  <c r="I700" i="4" s="1"/>
  <c r="O700" i="4" s="1"/>
  <c r="J700" i="4"/>
  <c r="J844" i="4"/>
  <c r="H844" i="4"/>
  <c r="I844" i="4" s="1"/>
  <c r="O844" i="4" s="1"/>
  <c r="P844" i="4"/>
  <c r="J659" i="4"/>
  <c r="P659" i="4"/>
  <c r="H659" i="4"/>
  <c r="I659" i="4" s="1"/>
  <c r="O659" i="4" s="1"/>
  <c r="J707" i="4"/>
  <c r="H707" i="4"/>
  <c r="I707" i="4" s="1"/>
  <c r="O707" i="4" s="1"/>
  <c r="P707" i="4"/>
  <c r="H690" i="4"/>
  <c r="I690" i="4" s="1"/>
  <c r="O690" i="4" s="1"/>
  <c r="J690" i="4"/>
  <c r="P690" i="4"/>
  <c r="P664" i="4"/>
  <c r="H664" i="4"/>
  <c r="I664" i="4" s="1"/>
  <c r="O664" i="4" s="1"/>
  <c r="J664" i="4"/>
  <c r="J613" i="4"/>
  <c r="P613" i="4"/>
  <c r="H613" i="4"/>
  <c r="I613" i="4" s="1"/>
  <c r="O613" i="4" s="1"/>
  <c r="P802" i="4"/>
  <c r="H802" i="4"/>
  <c r="I802" i="4" s="1"/>
  <c r="O802" i="4" s="1"/>
  <c r="J802" i="4"/>
  <c r="H379" i="4"/>
  <c r="I379" i="4" s="1"/>
  <c r="O379" i="4" s="1"/>
  <c r="P379" i="4"/>
  <c r="J379" i="4"/>
  <c r="J285" i="4"/>
  <c r="P285" i="4"/>
  <c r="H285" i="4"/>
  <c r="I285" i="4" s="1"/>
  <c r="O285" i="4" s="1"/>
  <c r="P375" i="4"/>
  <c r="H375" i="4"/>
  <c r="I375" i="4" s="1"/>
  <c r="O375" i="4" s="1"/>
  <c r="J375" i="4"/>
  <c r="P467" i="4"/>
  <c r="J467" i="4"/>
  <c r="H467" i="4"/>
  <c r="I467" i="4" s="1"/>
  <c r="O467" i="4" s="1"/>
  <c r="P619" i="4"/>
  <c r="J619" i="4"/>
  <c r="H619" i="4"/>
  <c r="I619" i="4" s="1"/>
  <c r="O619" i="4" s="1"/>
  <c r="H414" i="4"/>
  <c r="I414" i="4" s="1"/>
  <c r="O414" i="4" s="1"/>
  <c r="P414" i="4"/>
  <c r="J414" i="4"/>
  <c r="P189" i="4"/>
  <c r="H189" i="4"/>
  <c r="I189" i="4" s="1"/>
  <c r="O189" i="4" s="1"/>
  <c r="J189" i="4"/>
  <c r="J200" i="4"/>
  <c r="P200" i="4"/>
  <c r="H200" i="4"/>
  <c r="I200" i="4" s="1"/>
  <c r="O200" i="4" s="1"/>
  <c r="P73" i="4"/>
  <c r="H73" i="4"/>
  <c r="I73" i="4" s="1"/>
  <c r="O73" i="4" s="1"/>
  <c r="J73" i="4"/>
  <c r="J230" i="4"/>
  <c r="H230" i="4"/>
  <c r="I230" i="4" s="1"/>
  <c r="O230" i="4" s="1"/>
  <c r="P230" i="4"/>
  <c r="H916" i="2"/>
  <c r="I916" i="2" s="1"/>
  <c r="O916" i="2" s="1"/>
  <c r="J916" i="2"/>
  <c r="P916" i="2"/>
  <c r="H471" i="4"/>
  <c r="I471" i="4" s="1"/>
  <c r="O471" i="4" s="1"/>
  <c r="P471" i="4"/>
  <c r="J471" i="4"/>
  <c r="J363" i="2"/>
  <c r="P363" i="2"/>
  <c r="H363" i="2"/>
  <c r="I363" i="2" s="1"/>
  <c r="O363" i="2" s="1"/>
  <c r="J278" i="2"/>
  <c r="H278" i="2"/>
  <c r="I278" i="2" s="1"/>
  <c r="O278" i="2" s="1"/>
  <c r="P278" i="2"/>
  <c r="P686" i="2"/>
  <c r="J686" i="2"/>
  <c r="H686" i="2"/>
  <c r="I686" i="2" s="1"/>
  <c r="O686" i="2" s="1"/>
  <c r="H409" i="2"/>
  <c r="I409" i="2" s="1"/>
  <c r="O409" i="2" s="1"/>
  <c r="P409" i="2"/>
  <c r="J409" i="2"/>
  <c r="H284" i="2"/>
  <c r="I284" i="2" s="1"/>
  <c r="O284" i="2" s="1"/>
  <c r="J284" i="2"/>
  <c r="P284" i="2"/>
  <c r="H209" i="4"/>
  <c r="I209" i="4" s="1"/>
  <c r="O209" i="4" s="1"/>
  <c r="P209" i="4"/>
  <c r="J209" i="4"/>
  <c r="J93" i="4"/>
  <c r="P93" i="4"/>
  <c r="H93" i="4"/>
  <c r="I93" i="4" s="1"/>
  <c r="O93" i="4" s="1"/>
  <c r="J643" i="4"/>
  <c r="H643" i="4"/>
  <c r="I643" i="4" s="1"/>
  <c r="O643" i="4" s="1"/>
  <c r="P643" i="4"/>
  <c r="H346" i="2"/>
  <c r="I346" i="2" s="1"/>
  <c r="O346" i="2" s="1"/>
  <c r="P346" i="2"/>
  <c r="J346" i="2"/>
  <c r="P156" i="2"/>
  <c r="J156" i="2"/>
  <c r="H156" i="2"/>
  <c r="I156" i="2" s="1"/>
  <c r="O156" i="2" s="1"/>
  <c r="P779" i="2"/>
  <c r="J779" i="2"/>
  <c r="H779" i="2"/>
  <c r="I779" i="2" s="1"/>
  <c r="O779" i="2" s="1"/>
  <c r="H222" i="2"/>
  <c r="I222" i="2" s="1"/>
  <c r="O222" i="2" s="1"/>
  <c r="J222" i="2"/>
  <c r="P222" i="2"/>
  <c r="J177" i="2"/>
  <c r="H177" i="2"/>
  <c r="I177" i="2" s="1"/>
  <c r="O177" i="2" s="1"/>
  <c r="P177" i="2"/>
  <c r="H206" i="4"/>
  <c r="I206" i="4" s="1"/>
  <c r="O206" i="4" s="1"/>
  <c r="J206" i="4"/>
  <c r="P206" i="4"/>
  <c r="H917" i="2"/>
  <c r="I917" i="2" s="1"/>
  <c r="O917" i="2" s="1"/>
  <c r="J917" i="2"/>
  <c r="P917" i="2"/>
  <c r="H967" i="2"/>
  <c r="I967" i="2" s="1"/>
  <c r="O967" i="2" s="1"/>
  <c r="P967" i="2"/>
  <c r="J967" i="2"/>
  <c r="J800" i="2"/>
  <c r="P800" i="2"/>
  <c r="H800" i="2"/>
  <c r="I800" i="2" s="1"/>
  <c r="O800" i="2" s="1"/>
  <c r="P74" i="4"/>
  <c r="H74" i="4"/>
  <c r="I74" i="4" s="1"/>
  <c r="O74" i="4" s="1"/>
  <c r="J74" i="4"/>
  <c r="J155" i="2"/>
  <c r="H155" i="2"/>
  <c r="I155" i="2" s="1"/>
  <c r="O155" i="2" s="1"/>
  <c r="P155" i="2"/>
  <c r="J460" i="2"/>
  <c r="H460" i="2"/>
  <c r="I460" i="2" s="1"/>
  <c r="O460" i="2" s="1"/>
  <c r="P460" i="2"/>
  <c r="P365" i="2"/>
  <c r="H365" i="2"/>
  <c r="I365" i="2" s="1"/>
  <c r="O365" i="2" s="1"/>
  <c r="J365" i="2"/>
  <c r="P231" i="4"/>
  <c r="H231" i="4"/>
  <c r="I231" i="4" s="1"/>
  <c r="O231" i="4" s="1"/>
  <c r="J231" i="4"/>
  <c r="J176" i="4"/>
  <c r="H176" i="4"/>
  <c r="I176" i="4" s="1"/>
  <c r="O176" i="4" s="1"/>
  <c r="P176" i="4"/>
  <c r="P963" i="2"/>
  <c r="J963" i="2"/>
  <c r="H963" i="2"/>
  <c r="I963" i="2" s="1"/>
  <c r="O963" i="2" s="1"/>
  <c r="P313" i="4"/>
  <c r="J313" i="4"/>
  <c r="H313" i="4"/>
  <c r="I313" i="4" s="1"/>
  <c r="O313" i="4" s="1"/>
  <c r="P758" i="2"/>
  <c r="J758" i="2"/>
  <c r="H758" i="2"/>
  <c r="I758" i="2" s="1"/>
  <c r="O758" i="2" s="1"/>
  <c r="P346" i="4"/>
  <c r="H346" i="4"/>
  <c r="I346" i="4" s="1"/>
  <c r="O346" i="4" s="1"/>
  <c r="J346" i="4"/>
  <c r="H202" i="4"/>
  <c r="I202" i="4" s="1"/>
  <c r="O202" i="4" s="1"/>
  <c r="P202" i="4"/>
  <c r="J202" i="4"/>
  <c r="J988" i="2"/>
  <c r="P988" i="2"/>
  <c r="H988" i="2"/>
  <c r="I988" i="2" s="1"/>
  <c r="O988" i="2" s="1"/>
  <c r="P976" i="2"/>
  <c r="J976" i="2"/>
  <c r="H976" i="2"/>
  <c r="I976" i="2" s="1"/>
  <c r="O976" i="2" s="1"/>
  <c r="J922" i="2"/>
  <c r="H922" i="2"/>
  <c r="I922" i="2" s="1"/>
  <c r="O922" i="2" s="1"/>
  <c r="P922" i="2"/>
  <c r="H818" i="2"/>
  <c r="I818" i="2" s="1"/>
  <c r="O818" i="2" s="1"/>
  <c r="P818" i="2"/>
  <c r="J818" i="2"/>
  <c r="H960" i="2"/>
  <c r="I960" i="2" s="1"/>
  <c r="O960" i="2" s="1"/>
  <c r="P960" i="2"/>
  <c r="J960" i="2"/>
  <c r="P359" i="4"/>
  <c r="J359" i="4"/>
  <c r="H359" i="4"/>
  <c r="I359" i="4" s="1"/>
  <c r="O359" i="4" s="1"/>
  <c r="P653" i="2"/>
  <c r="J653" i="2"/>
  <c r="H653" i="2"/>
  <c r="I653" i="2" s="1"/>
  <c r="O653" i="2" s="1"/>
  <c r="P806" i="2"/>
  <c r="J806" i="2"/>
  <c r="H806" i="2"/>
  <c r="I806" i="2" s="1"/>
  <c r="O806" i="2" s="1"/>
  <c r="J68" i="2"/>
  <c r="P68" i="2"/>
  <c r="H68" i="2"/>
  <c r="I68" i="2" s="1"/>
  <c r="O68" i="2" s="1"/>
  <c r="P318" i="2"/>
  <c r="H318" i="2"/>
  <c r="I318" i="2" s="1"/>
  <c r="O318" i="2" s="1"/>
  <c r="J318" i="2"/>
  <c r="P733" i="2"/>
  <c r="H733" i="2"/>
  <c r="I733" i="2" s="1"/>
  <c r="O733" i="2" s="1"/>
  <c r="J733" i="2"/>
  <c r="P203" i="2"/>
  <c r="J203" i="2"/>
  <c r="H203" i="2"/>
  <c r="I203" i="2" s="1"/>
  <c r="O203" i="2" s="1"/>
  <c r="J358" i="2"/>
  <c r="H358" i="2"/>
  <c r="I358" i="2" s="1"/>
  <c r="O358" i="2" s="1"/>
  <c r="P358" i="2"/>
  <c r="H443" i="4"/>
  <c r="I443" i="4" s="1"/>
  <c r="O443" i="4" s="1"/>
  <c r="P443" i="4"/>
  <c r="J443" i="4"/>
  <c r="P868" i="2"/>
  <c r="J868" i="2"/>
  <c r="H868" i="2"/>
  <c r="I868" i="2" s="1"/>
  <c r="O868" i="2" s="1"/>
  <c r="P273" i="4"/>
  <c r="H273" i="4"/>
  <c r="I273" i="4" s="1"/>
  <c r="O273" i="4" s="1"/>
  <c r="J273" i="4"/>
  <c r="P104" i="4"/>
  <c r="H104" i="4"/>
  <c r="I104" i="4" s="1"/>
  <c r="O104" i="4" s="1"/>
  <c r="J104" i="4"/>
  <c r="P578" i="2"/>
  <c r="H578" i="2"/>
  <c r="I578" i="2" s="1"/>
  <c r="O578" i="2" s="1"/>
  <c r="J578" i="2"/>
  <c r="P195" i="4"/>
  <c r="J195" i="4"/>
  <c r="H195" i="4"/>
  <c r="I195" i="4" s="1"/>
  <c r="O195" i="4" s="1"/>
  <c r="H415" i="4"/>
  <c r="I415" i="4" s="1"/>
  <c r="O415" i="4" s="1"/>
  <c r="P415" i="4"/>
  <c r="J415" i="4"/>
  <c r="K828" i="2"/>
  <c r="J584" i="4"/>
  <c r="P584" i="4"/>
  <c r="H584" i="4"/>
  <c r="I584" i="4" s="1"/>
  <c r="O584" i="4" s="1"/>
  <c r="J403" i="2"/>
  <c r="P403" i="2"/>
  <c r="H403" i="2"/>
  <c r="I403" i="2" s="1"/>
  <c r="O403" i="2" s="1"/>
  <c r="J22" i="4"/>
  <c r="P22" i="4"/>
  <c r="H22" i="4"/>
  <c r="I22" i="4" s="1"/>
  <c r="O22" i="4" s="1"/>
  <c r="P569" i="2"/>
  <c r="J569" i="2"/>
  <c r="H569" i="2"/>
  <c r="I569" i="2" s="1"/>
  <c r="O569" i="2" s="1"/>
  <c r="H658" i="2"/>
  <c r="I658" i="2" s="1"/>
  <c r="O658" i="2" s="1"/>
  <c r="J658" i="2"/>
  <c r="P658" i="2"/>
  <c r="J175" i="2"/>
  <c r="H175" i="2"/>
  <c r="I175" i="2" s="1"/>
  <c r="O175" i="2" s="1"/>
  <c r="P175" i="2"/>
  <c r="P430" i="4"/>
  <c r="H430" i="4"/>
  <c r="I430" i="4" s="1"/>
  <c r="O430" i="4" s="1"/>
  <c r="J430" i="4"/>
  <c r="J748" i="2"/>
  <c r="P748" i="2"/>
  <c r="H748" i="2"/>
  <c r="I748" i="2" s="1"/>
  <c r="O748" i="2" s="1"/>
  <c r="P491" i="4"/>
  <c r="J491" i="4"/>
  <c r="H491" i="4"/>
  <c r="I491" i="4" s="1"/>
  <c r="O491" i="4" s="1"/>
  <c r="P266" i="4"/>
  <c r="J266" i="4"/>
  <c r="H266" i="4"/>
  <c r="I266" i="4" s="1"/>
  <c r="O266" i="4" s="1"/>
  <c r="J238" i="4"/>
  <c r="H238" i="4"/>
  <c r="I238" i="4" s="1"/>
  <c r="O238" i="4" s="1"/>
  <c r="P238" i="4"/>
  <c r="P87" i="4"/>
  <c r="H87" i="4"/>
  <c r="I87" i="4" s="1"/>
  <c r="O87" i="4" s="1"/>
  <c r="J87" i="4"/>
  <c r="P116" i="4"/>
  <c r="J116" i="4"/>
  <c r="H116" i="4"/>
  <c r="I116" i="4" s="1"/>
  <c r="O116" i="4" s="1"/>
  <c r="P946" i="2"/>
  <c r="H946" i="2"/>
  <c r="I946" i="2" s="1"/>
  <c r="O946" i="2" s="1"/>
  <c r="J946" i="2"/>
  <c r="P905" i="2"/>
  <c r="H905" i="2"/>
  <c r="I905" i="2" s="1"/>
  <c r="O905" i="2" s="1"/>
  <c r="J905" i="2"/>
  <c r="I813" i="2"/>
  <c r="O813" i="2" s="1"/>
  <c r="J504" i="2"/>
  <c r="P504" i="2"/>
  <c r="H504" i="2"/>
  <c r="I504" i="2" s="1"/>
  <c r="O504" i="2" s="1"/>
  <c r="J625" i="2"/>
  <c r="P625" i="2"/>
  <c r="H625" i="2"/>
  <c r="I625" i="2" s="1"/>
  <c r="O625" i="2" s="1"/>
  <c r="P28" i="2"/>
  <c r="J28" i="2"/>
  <c r="H28" i="2"/>
  <c r="I28" i="2" s="1"/>
  <c r="O28" i="2" s="1"/>
  <c r="P724" i="2"/>
  <c r="J724" i="2"/>
  <c r="H724" i="2"/>
  <c r="I724" i="2" s="1"/>
  <c r="O724" i="2" s="1"/>
  <c r="P131" i="2"/>
  <c r="H131" i="2"/>
  <c r="I131" i="2" s="1"/>
  <c r="O131" i="2" s="1"/>
  <c r="J131" i="2"/>
  <c r="P736" i="4"/>
  <c r="H736" i="4"/>
  <c r="I736" i="4" s="1"/>
  <c r="O736" i="4" s="1"/>
  <c r="J736" i="4"/>
  <c r="H216" i="2"/>
  <c r="I216" i="2" s="1"/>
  <c r="O216" i="2" s="1"/>
  <c r="P216" i="2"/>
  <c r="J216" i="2"/>
  <c r="P958" i="2"/>
  <c r="H958" i="2"/>
  <c r="I958" i="2" s="1"/>
  <c r="O958" i="2" s="1"/>
  <c r="J958" i="2"/>
  <c r="P214" i="4"/>
  <c r="J214" i="4"/>
  <c r="H214" i="4"/>
  <c r="I214" i="4" s="1"/>
  <c r="O214" i="4" s="1"/>
  <c r="H622" i="4"/>
  <c r="I622" i="4" s="1"/>
  <c r="O622" i="4" s="1"/>
  <c r="J622" i="4"/>
  <c r="P622" i="4"/>
  <c r="J259" i="4"/>
  <c r="H259" i="4"/>
  <c r="I259" i="4" s="1"/>
  <c r="O259" i="4" s="1"/>
  <c r="P259" i="4"/>
  <c r="H88" i="4"/>
  <c r="I88" i="4" s="1"/>
  <c r="O88" i="4" s="1"/>
  <c r="J88" i="4"/>
  <c r="P88" i="4"/>
  <c r="H877" i="2"/>
  <c r="I877" i="2" s="1"/>
  <c r="O877" i="2" s="1"/>
  <c r="P877" i="2"/>
  <c r="J877" i="2"/>
  <c r="P506" i="4"/>
  <c r="J506" i="4"/>
  <c r="H506" i="4"/>
  <c r="I506" i="4" s="1"/>
  <c r="O506" i="4" s="1"/>
  <c r="P940" i="2"/>
  <c r="J940" i="2"/>
  <c r="H940" i="2"/>
  <c r="I940" i="2" s="1"/>
  <c r="O940" i="2" s="1"/>
  <c r="J904" i="2"/>
  <c r="P904" i="2"/>
  <c r="H904" i="2"/>
  <c r="I904" i="2" s="1"/>
  <c r="O904" i="2" s="1"/>
  <c r="J919" i="2"/>
  <c r="P919" i="2"/>
  <c r="H919" i="2"/>
  <c r="I919" i="2" s="1"/>
  <c r="O919" i="2" s="1"/>
  <c r="H605" i="2"/>
  <c r="I605" i="2" s="1"/>
  <c r="O605" i="2" s="1"/>
  <c r="J605" i="2"/>
  <c r="P605" i="2"/>
  <c r="J540" i="2"/>
  <c r="P540" i="2"/>
  <c r="H540" i="2"/>
  <c r="I540" i="2" s="1"/>
  <c r="O540" i="2" s="1"/>
  <c r="J10" i="2"/>
  <c r="P10" i="2"/>
  <c r="H10" i="2"/>
  <c r="I10" i="2" s="1"/>
  <c r="O10" i="2" s="1"/>
  <c r="H13" i="2"/>
  <c r="I13" i="2" s="1"/>
  <c r="O13" i="2" s="1"/>
  <c r="P13" i="2"/>
  <c r="J13" i="2"/>
  <c r="J839" i="2"/>
  <c r="P839" i="2"/>
  <c r="H839" i="2"/>
  <c r="I839" i="2" s="1"/>
  <c r="O839" i="2" s="1"/>
  <c r="P844" i="2"/>
  <c r="H844" i="2"/>
  <c r="I844" i="2" s="1"/>
  <c r="O844" i="2" s="1"/>
  <c r="J844" i="2"/>
  <c r="P915" i="2"/>
  <c r="J915" i="2"/>
  <c r="H915" i="2"/>
  <c r="I915" i="2" s="1"/>
  <c r="O915" i="2" s="1"/>
  <c r="P415" i="2"/>
  <c r="J415" i="2"/>
  <c r="H415" i="2"/>
  <c r="I415" i="2" s="1"/>
  <c r="O415" i="2" s="1"/>
  <c r="P294" i="2"/>
  <c r="H294" i="2"/>
  <c r="I294" i="2" s="1"/>
  <c r="O294" i="2" s="1"/>
  <c r="J294" i="2"/>
  <c r="P31" i="2"/>
  <c r="J31" i="2"/>
  <c r="H31" i="2"/>
  <c r="I31" i="2" s="1"/>
  <c r="O31" i="2" s="1"/>
  <c r="P272" i="2"/>
  <c r="J272" i="2"/>
  <c r="H272" i="2"/>
  <c r="I272" i="2" s="1"/>
  <c r="O272" i="2" s="1"/>
  <c r="J494" i="4"/>
  <c r="P494" i="4"/>
  <c r="H494" i="4"/>
  <c r="I494" i="4" s="1"/>
  <c r="O494" i="4" s="1"/>
  <c r="P554" i="2"/>
  <c r="J554" i="2"/>
  <c r="H554" i="2"/>
  <c r="I554" i="2" s="1"/>
  <c r="O554" i="2" s="1"/>
  <c r="H732" i="2"/>
  <c r="I732" i="2" s="1"/>
  <c r="O732" i="2" s="1"/>
  <c r="J732" i="2"/>
  <c r="P732" i="2"/>
  <c r="K130" i="2"/>
  <c r="P249" i="4"/>
  <c r="J249" i="4"/>
  <c r="H249" i="4"/>
  <c r="I249" i="4" s="1"/>
  <c r="O249" i="4" s="1"/>
  <c r="J10" i="4"/>
  <c r="H10" i="4"/>
  <c r="I10" i="4" s="1"/>
  <c r="O10" i="4" s="1"/>
  <c r="P10" i="4"/>
  <c r="H1002" i="2"/>
  <c r="I1002" i="2" s="1"/>
  <c r="O1002" i="2" s="1"/>
  <c r="P1002" i="2"/>
  <c r="J1002" i="2"/>
  <c r="H819" i="2"/>
  <c r="I819" i="2" s="1"/>
  <c r="O819" i="2" s="1"/>
  <c r="P819" i="2"/>
  <c r="J819" i="2"/>
  <c r="H782" i="2"/>
  <c r="I782" i="2" s="1"/>
  <c r="O782" i="2" s="1"/>
  <c r="P782" i="2"/>
  <c r="J782" i="2"/>
  <c r="J361" i="4"/>
  <c r="H361" i="4"/>
  <c r="I361" i="4" s="1"/>
  <c r="O361" i="4" s="1"/>
  <c r="P361" i="4"/>
  <c r="H223" i="4"/>
  <c r="I223" i="4" s="1"/>
  <c r="O223" i="4" s="1"/>
  <c r="P223" i="4"/>
  <c r="J223" i="4"/>
  <c r="J37" i="4"/>
  <c r="P37" i="4"/>
  <c r="H37" i="4"/>
  <c r="I37" i="4" s="1"/>
  <c r="O37" i="4" s="1"/>
  <c r="P668" i="2"/>
  <c r="H668" i="2"/>
  <c r="I668" i="2" s="1"/>
  <c r="O668" i="2" s="1"/>
  <c r="J668" i="2"/>
  <c r="J53" i="2"/>
  <c r="H53" i="2"/>
  <c r="I53" i="2" s="1"/>
  <c r="O53" i="2" s="1"/>
  <c r="P53" i="2"/>
  <c r="P734" i="2"/>
  <c r="J734" i="2"/>
  <c r="H734" i="2"/>
  <c r="I734" i="2" s="1"/>
  <c r="O734" i="2" s="1"/>
  <c r="H797" i="4"/>
  <c r="I797" i="4" s="1"/>
  <c r="O797" i="4" s="1"/>
  <c r="J797" i="4"/>
  <c r="P797" i="4"/>
  <c r="J535" i="2"/>
  <c r="H535" i="2"/>
  <c r="I535" i="2" s="1"/>
  <c r="O535" i="2" s="1"/>
  <c r="P535" i="2"/>
  <c r="P271" i="2"/>
  <c r="H271" i="2"/>
  <c r="I271" i="2" s="1"/>
  <c r="O271" i="2" s="1"/>
  <c r="J271" i="2"/>
  <c r="J566" i="2"/>
  <c r="P566" i="2"/>
  <c r="H566" i="2"/>
  <c r="I566" i="2" s="1"/>
  <c r="O566" i="2" s="1"/>
  <c r="P281" i="2"/>
  <c r="J281" i="2"/>
  <c r="H281" i="2"/>
  <c r="I281" i="2" s="1"/>
  <c r="O281" i="2" s="1"/>
  <c r="J515" i="2"/>
  <c r="H515" i="2"/>
  <c r="I515" i="2" s="1"/>
  <c r="O515" i="2" s="1"/>
  <c r="P515" i="2"/>
  <c r="P131" i="4"/>
  <c r="J131" i="4"/>
  <c r="H131" i="4"/>
  <c r="I131" i="4" s="1"/>
  <c r="O131" i="4" s="1"/>
  <c r="P96" i="4"/>
  <c r="H96" i="4"/>
  <c r="I96" i="4" s="1"/>
  <c r="O96" i="4" s="1"/>
  <c r="J96" i="4"/>
  <c r="H182" i="4"/>
  <c r="I182" i="4" s="1"/>
  <c r="O182" i="4" s="1"/>
  <c r="P182" i="4"/>
  <c r="J182" i="4"/>
  <c r="H63" i="4"/>
  <c r="I63" i="4" s="1"/>
  <c r="O63" i="4" s="1"/>
  <c r="J63" i="4"/>
  <c r="P63" i="4"/>
  <c r="P417" i="4"/>
  <c r="J417" i="4"/>
  <c r="H417" i="4"/>
  <c r="I417" i="4" s="1"/>
  <c r="O417" i="4" s="1"/>
  <c r="P734" i="4"/>
  <c r="J734" i="4"/>
  <c r="H734" i="4"/>
  <c r="I734" i="4" s="1"/>
  <c r="O734" i="4" s="1"/>
  <c r="J989" i="2"/>
  <c r="P989" i="2"/>
  <c r="H989" i="2"/>
  <c r="I989" i="2" s="1"/>
  <c r="O989" i="2" s="1"/>
  <c r="P186" i="4"/>
  <c r="H186" i="4"/>
  <c r="I186" i="4" s="1"/>
  <c r="O186" i="4" s="1"/>
  <c r="J186" i="4"/>
  <c r="H764" i="2"/>
  <c r="I764" i="2" s="1"/>
  <c r="O764" i="2" s="1"/>
  <c r="J764" i="2"/>
  <c r="P764" i="2"/>
  <c r="P891" i="2"/>
  <c r="H891" i="2"/>
  <c r="I891" i="2" s="1"/>
  <c r="O891" i="2" s="1"/>
  <c r="J891" i="2"/>
  <c r="H757" i="2"/>
  <c r="I757" i="2" s="1"/>
  <c r="O757" i="2" s="1"/>
  <c r="J757" i="2"/>
  <c r="P757" i="2"/>
  <c r="J525" i="2"/>
  <c r="H525" i="2"/>
  <c r="I525" i="2" s="1"/>
  <c r="O525" i="2" s="1"/>
  <c r="P525" i="2"/>
  <c r="H485" i="2"/>
  <c r="I485" i="2" s="1"/>
  <c r="O485" i="2" s="1"/>
  <c r="P485" i="2"/>
  <c r="J485" i="2"/>
  <c r="P788" i="2"/>
  <c r="J788" i="2"/>
  <c r="H788" i="2"/>
  <c r="I788" i="2" s="1"/>
  <c r="O788" i="2" s="1"/>
  <c r="P623" i="2"/>
  <c r="J623" i="2"/>
  <c r="H623" i="2"/>
  <c r="I623" i="2" s="1"/>
  <c r="O623" i="2" s="1"/>
  <c r="P884" i="2"/>
  <c r="J884" i="2"/>
  <c r="H884" i="2"/>
  <c r="I884" i="2" s="1"/>
  <c r="O884" i="2" s="1"/>
  <c r="P374" i="4"/>
  <c r="J374" i="4"/>
  <c r="H374" i="4"/>
  <c r="I374" i="4" s="1"/>
  <c r="O374" i="4" s="1"/>
  <c r="J375" i="2"/>
  <c r="H375" i="2"/>
  <c r="I375" i="2" s="1"/>
  <c r="O375" i="2" s="1"/>
  <c r="P375" i="2"/>
  <c r="P192" i="2"/>
  <c r="H192" i="2"/>
  <c r="I192" i="2" s="1"/>
  <c r="O192" i="2" s="1"/>
  <c r="J192" i="2"/>
  <c r="J90" i="4"/>
  <c r="H90" i="4"/>
  <c r="I90" i="4" s="1"/>
  <c r="O90" i="4" s="1"/>
  <c r="P90" i="4"/>
  <c r="H72" i="4"/>
  <c r="I72" i="4" s="1"/>
  <c r="O72" i="4" s="1"/>
  <c r="J72" i="4"/>
  <c r="P72" i="4"/>
  <c r="H116" i="2"/>
  <c r="I116" i="2" s="1"/>
  <c r="O116" i="2" s="1"/>
  <c r="J116" i="2"/>
  <c r="P116" i="2"/>
  <c r="H588" i="2"/>
  <c r="I588" i="2" s="1"/>
  <c r="O588" i="2" s="1"/>
  <c r="P588" i="2"/>
  <c r="J588" i="2"/>
  <c r="P533" i="2"/>
  <c r="J533" i="2"/>
  <c r="H533" i="2"/>
  <c r="I533" i="2" s="1"/>
  <c r="O533" i="2" s="1"/>
  <c r="J680" i="2"/>
  <c r="H680" i="2"/>
  <c r="I680" i="2" s="1"/>
  <c r="O680" i="2" s="1"/>
  <c r="P680" i="2"/>
  <c r="J5" i="2"/>
  <c r="P5" i="2"/>
  <c r="H5" i="2"/>
  <c r="I5" i="2" s="1"/>
  <c r="O5" i="2" s="1"/>
  <c r="P366" i="4"/>
  <c r="H366" i="4"/>
  <c r="I366" i="4" s="1"/>
  <c r="O366" i="4" s="1"/>
  <c r="J366" i="4"/>
  <c r="J180" i="4"/>
  <c r="P180" i="4"/>
  <c r="H180" i="4"/>
  <c r="I180" i="4" s="1"/>
  <c r="O180" i="4" s="1"/>
  <c r="H58" i="4"/>
  <c r="I58" i="4" s="1"/>
  <c r="O58" i="4" s="1"/>
  <c r="P58" i="4"/>
  <c r="J58" i="4"/>
  <c r="H436" i="4"/>
  <c r="I436" i="4" s="1"/>
  <c r="O436" i="4" s="1"/>
  <c r="P436" i="4"/>
  <c r="J436" i="4"/>
  <c r="P723" i="4"/>
  <c r="J723" i="4"/>
  <c r="H723" i="4"/>
  <c r="I723" i="4" s="1"/>
  <c r="O723" i="4" s="1"/>
  <c r="P969" i="2"/>
  <c r="J969" i="2"/>
  <c r="H969" i="2"/>
  <c r="I969" i="2" s="1"/>
  <c r="O969" i="2" s="1"/>
  <c r="J324" i="4"/>
  <c r="H324" i="4"/>
  <c r="I324" i="4" s="1"/>
  <c r="O324" i="4" s="1"/>
  <c r="P324" i="4"/>
  <c r="P108" i="4"/>
  <c r="J108" i="4"/>
  <c r="H108" i="4"/>
  <c r="I108" i="4" s="1"/>
  <c r="O108" i="4" s="1"/>
  <c r="J138" i="4"/>
  <c r="P138" i="4"/>
  <c r="H138" i="4"/>
  <c r="I138" i="4" s="1"/>
  <c r="O138" i="4" s="1"/>
  <c r="P42" i="4"/>
  <c r="J42" i="4"/>
  <c r="H42" i="4"/>
  <c r="I42" i="4" s="1"/>
  <c r="O42" i="4" s="1"/>
  <c r="H876" i="2"/>
  <c r="I876" i="2" s="1"/>
  <c r="O876" i="2" s="1"/>
  <c r="P876" i="2"/>
  <c r="J876" i="2"/>
  <c r="H778" i="2"/>
  <c r="I778" i="2" s="1"/>
  <c r="O778" i="2" s="1"/>
  <c r="J778" i="2"/>
  <c r="P778" i="2"/>
  <c r="J580" i="4"/>
  <c r="P580" i="4"/>
  <c r="H580" i="4"/>
  <c r="I580" i="4" s="1"/>
  <c r="O580" i="4" s="1"/>
  <c r="P371" i="2"/>
  <c r="J371" i="2"/>
  <c r="H371" i="2"/>
  <c r="I371" i="2" s="1"/>
  <c r="O371" i="2" s="1"/>
  <c r="J479" i="2"/>
  <c r="H479" i="2"/>
  <c r="I479" i="2" s="1"/>
  <c r="O479" i="2" s="1"/>
  <c r="P479" i="2"/>
  <c r="H286" i="4"/>
  <c r="I286" i="4" s="1"/>
  <c r="O286" i="4" s="1"/>
  <c r="J286" i="4"/>
  <c r="P286" i="4"/>
  <c r="I59" i="2"/>
  <c r="O59" i="2" s="1"/>
  <c r="Q59" i="2" s="1"/>
  <c r="R59" i="2" s="1"/>
  <c r="T59" i="2" s="1"/>
  <c r="V59" i="2" s="1"/>
  <c r="P410" i="2"/>
  <c r="J410" i="2"/>
  <c r="H410" i="2"/>
  <c r="I410" i="2" s="1"/>
  <c r="O410" i="2" s="1"/>
  <c r="P977" i="2"/>
  <c r="H977" i="2"/>
  <c r="I977" i="2" s="1"/>
  <c r="O977" i="2" s="1"/>
  <c r="J977" i="2"/>
  <c r="P493" i="4"/>
  <c r="J493" i="4"/>
  <c r="H493" i="4"/>
  <c r="I493" i="4" s="1"/>
  <c r="O493" i="4" s="1"/>
  <c r="J426" i="4"/>
  <c r="H426" i="4"/>
  <c r="I426" i="4" s="1"/>
  <c r="O426" i="4" s="1"/>
  <c r="P426" i="4"/>
  <c r="H13" i="4"/>
  <c r="I13" i="4" s="1"/>
  <c r="O13" i="4" s="1"/>
  <c r="P13" i="4"/>
  <c r="J13" i="4"/>
  <c r="J165" i="4"/>
  <c r="P165" i="4"/>
  <c r="H165" i="4"/>
  <c r="I165" i="4" s="1"/>
  <c r="O165" i="4" s="1"/>
  <c r="H32" i="4"/>
  <c r="I32" i="4" s="1"/>
  <c r="O32" i="4" s="1"/>
  <c r="P32" i="4"/>
  <c r="J32" i="4"/>
  <c r="J260" i="4"/>
  <c r="P260" i="4"/>
  <c r="H260" i="4"/>
  <c r="I260" i="4" s="1"/>
  <c r="O260" i="4" s="1"/>
  <c r="H136" i="4"/>
  <c r="I136" i="4" s="1"/>
  <c r="O136" i="4" s="1"/>
  <c r="P136" i="4"/>
  <c r="J136" i="4"/>
  <c r="H902" i="2"/>
  <c r="I902" i="2" s="1"/>
  <c r="O902" i="2" s="1"/>
  <c r="P902" i="2"/>
  <c r="J902" i="2"/>
  <c r="H841" i="2"/>
  <c r="I841" i="2" s="1"/>
  <c r="O841" i="2" s="1"/>
  <c r="P841" i="2"/>
  <c r="J841" i="2"/>
  <c r="H8" i="4"/>
  <c r="I8" i="4" s="1"/>
  <c r="O8" i="4" s="1"/>
  <c r="J8" i="4"/>
  <c r="P8" i="4"/>
  <c r="J481" i="2"/>
  <c r="H481" i="2"/>
  <c r="I481" i="2" s="1"/>
  <c r="O481" i="2" s="1"/>
  <c r="P481" i="2"/>
  <c r="J404" i="2"/>
  <c r="P404" i="2"/>
  <c r="H404" i="2"/>
  <c r="I404" i="2" s="1"/>
  <c r="O404" i="2" s="1"/>
  <c r="P842" i="2"/>
  <c r="J842" i="2"/>
  <c r="H842" i="2"/>
  <c r="I842" i="2" s="1"/>
  <c r="O842" i="2" s="1"/>
  <c r="P761" i="2"/>
  <c r="H761" i="2"/>
  <c r="I761" i="2" s="1"/>
  <c r="O761" i="2" s="1"/>
  <c r="J761" i="2"/>
  <c r="H117" i="4"/>
  <c r="I117" i="4" s="1"/>
  <c r="O117" i="4" s="1"/>
  <c r="J117" i="4"/>
  <c r="P117" i="4"/>
  <c r="H246" i="2"/>
  <c r="I246" i="2" s="1"/>
  <c r="O246" i="2" s="1"/>
  <c r="P246" i="2"/>
  <c r="J246" i="2"/>
  <c r="P355" i="4"/>
  <c r="J355" i="4"/>
  <c r="H355" i="4"/>
  <c r="I355" i="4" s="1"/>
  <c r="O355" i="4" s="1"/>
  <c r="H222" i="4"/>
  <c r="I222" i="4" s="1"/>
  <c r="O222" i="4" s="1"/>
  <c r="J222" i="4"/>
  <c r="P222" i="4"/>
  <c r="J212" i="4"/>
  <c r="H212" i="4"/>
  <c r="I212" i="4" s="1"/>
  <c r="O212" i="4" s="1"/>
  <c r="P212" i="4"/>
  <c r="J269" i="4"/>
  <c r="P269" i="4"/>
  <c r="H269" i="4"/>
  <c r="I269" i="4" s="1"/>
  <c r="O269" i="4" s="1"/>
  <c r="P993" i="2"/>
  <c r="H993" i="2"/>
  <c r="I993" i="2" s="1"/>
  <c r="O993" i="2" s="1"/>
  <c r="J993" i="2"/>
  <c r="P115" i="4"/>
  <c r="J115" i="4"/>
  <c r="H115" i="4"/>
  <c r="I115" i="4" s="1"/>
  <c r="O115" i="4" s="1"/>
  <c r="H121" i="4"/>
  <c r="I121" i="4" s="1"/>
  <c r="O121" i="4" s="1"/>
  <c r="P121" i="4"/>
  <c r="J121" i="4"/>
  <c r="J874" i="2"/>
  <c r="P874" i="2"/>
  <c r="H874" i="2"/>
  <c r="I874" i="2" s="1"/>
  <c r="O874" i="2" s="1"/>
  <c r="H750" i="2"/>
  <c r="I750" i="2" s="1"/>
  <c r="O750" i="2" s="1"/>
  <c r="J750" i="2"/>
  <c r="P750" i="2"/>
  <c r="H937" i="2"/>
  <c r="I937" i="2" s="1"/>
  <c r="O937" i="2" s="1"/>
  <c r="J937" i="2"/>
  <c r="P937" i="2"/>
  <c r="J879" i="2"/>
  <c r="H879" i="2"/>
  <c r="I879" i="2" s="1"/>
  <c r="O879" i="2" s="1"/>
  <c r="P879" i="2"/>
  <c r="P215" i="4"/>
  <c r="J215" i="4"/>
  <c r="H215" i="4"/>
  <c r="I215" i="4" s="1"/>
  <c r="O215" i="4" s="1"/>
  <c r="H486" i="4"/>
  <c r="I486" i="4" s="1"/>
  <c r="O486" i="4" s="1"/>
  <c r="P486" i="4"/>
  <c r="J486" i="4"/>
  <c r="H739" i="2"/>
  <c r="I739" i="2" s="1"/>
  <c r="O739" i="2" s="1"/>
  <c r="J739" i="2"/>
  <c r="P739" i="2"/>
  <c r="J68" i="4"/>
  <c r="H68" i="4"/>
  <c r="I68" i="4" s="1"/>
  <c r="O68" i="4" s="1"/>
  <c r="P68" i="4"/>
  <c r="H102" i="4"/>
  <c r="I102" i="4" s="1"/>
  <c r="O102" i="4" s="1"/>
  <c r="J102" i="4"/>
  <c r="P102" i="4"/>
  <c r="P129" i="4"/>
  <c r="H129" i="4"/>
  <c r="I129" i="4" s="1"/>
  <c r="O129" i="4" s="1"/>
  <c r="J129" i="4"/>
  <c r="H547" i="2"/>
  <c r="I547" i="2" s="1"/>
  <c r="O547" i="2" s="1"/>
  <c r="J547" i="2"/>
  <c r="P547" i="2"/>
  <c r="J689" i="2"/>
  <c r="P689" i="2"/>
  <c r="H689" i="2"/>
  <c r="I689" i="2" s="1"/>
  <c r="O689" i="2" s="1"/>
  <c r="J60" i="4"/>
  <c r="H60" i="4"/>
  <c r="I60" i="4" s="1"/>
  <c r="O60" i="4" s="1"/>
  <c r="P60" i="4"/>
  <c r="H143" i="2"/>
  <c r="I143" i="2" s="1"/>
  <c r="O143" i="2" s="1"/>
  <c r="P143" i="2"/>
  <c r="J143" i="2"/>
  <c r="H279" i="2"/>
  <c r="I279" i="2" s="1"/>
  <c r="O279" i="2" s="1"/>
  <c r="P279" i="2"/>
  <c r="J279" i="2"/>
  <c r="H385" i="2"/>
  <c r="I385" i="2" s="1"/>
  <c r="O385" i="2" s="1"/>
  <c r="P385" i="2"/>
  <c r="J385" i="2"/>
  <c r="P397" i="2"/>
  <c r="J397" i="2"/>
  <c r="H397" i="2"/>
  <c r="I397" i="2" s="1"/>
  <c r="O397" i="2" s="1"/>
  <c r="J541" i="2"/>
  <c r="H541" i="2"/>
  <c r="I541" i="2" s="1"/>
  <c r="O541" i="2" s="1"/>
  <c r="P541" i="2"/>
  <c r="P258" i="2"/>
  <c r="H258" i="2"/>
  <c r="I258" i="2" s="1"/>
  <c r="O258" i="2" s="1"/>
  <c r="J258" i="2"/>
  <c r="H16" i="2"/>
  <c r="I16" i="2" s="1"/>
  <c r="O16" i="2" s="1"/>
  <c r="P16" i="2"/>
  <c r="J16" i="2"/>
  <c r="J218" i="4"/>
  <c r="H218" i="4"/>
  <c r="I218" i="4" s="1"/>
  <c r="O218" i="4" s="1"/>
  <c r="P218" i="4"/>
  <c r="P211" i="4"/>
  <c r="J211" i="4"/>
  <c r="H211" i="4"/>
  <c r="I211" i="4" s="1"/>
  <c r="O211" i="4" s="1"/>
  <c r="P959" i="2"/>
  <c r="H959" i="2"/>
  <c r="I959" i="2" s="1"/>
  <c r="O959" i="2" s="1"/>
  <c r="J959" i="2"/>
  <c r="H291" i="4"/>
  <c r="I291" i="4" s="1"/>
  <c r="O291" i="4" s="1"/>
  <c r="P291" i="4"/>
  <c r="J291" i="4"/>
  <c r="P783" i="2"/>
  <c r="H783" i="2"/>
  <c r="I783" i="2" s="1"/>
  <c r="O783" i="2" s="1"/>
  <c r="J783" i="2"/>
  <c r="H961" i="2"/>
  <c r="I961" i="2" s="1"/>
  <c r="O961" i="2" s="1"/>
  <c r="P961" i="2"/>
  <c r="J961" i="2"/>
  <c r="J892" i="2"/>
  <c r="P892" i="2"/>
  <c r="H892" i="2"/>
  <c r="I892" i="2" s="1"/>
  <c r="O892" i="2" s="1"/>
  <c r="J837" i="2"/>
  <c r="P837" i="2"/>
  <c r="H837" i="2"/>
  <c r="I837" i="2" s="1"/>
  <c r="O837" i="2" s="1"/>
  <c r="H772" i="2"/>
  <c r="I772" i="2" s="1"/>
  <c r="O772" i="2" s="1"/>
  <c r="P772" i="2"/>
  <c r="J772" i="2"/>
  <c r="I620" i="2"/>
  <c r="O620" i="2" s="1"/>
  <c r="H802" i="2"/>
  <c r="I802" i="2" s="1"/>
  <c r="O802" i="2" s="1"/>
  <c r="P802" i="2"/>
  <c r="J802" i="2"/>
  <c r="J593" i="2"/>
  <c r="H593" i="2"/>
  <c r="I593" i="2" s="1"/>
  <c r="O593" i="2" s="1"/>
  <c r="P593" i="2"/>
  <c r="P864" i="2"/>
  <c r="H864" i="2"/>
  <c r="I864" i="2" s="1"/>
  <c r="O864" i="2" s="1"/>
  <c r="J864" i="2"/>
  <c r="H975" i="2"/>
  <c r="I975" i="2" s="1"/>
  <c r="O975" i="2" s="1"/>
  <c r="P975" i="2"/>
  <c r="J975" i="2"/>
  <c r="P769" i="2"/>
  <c r="J769" i="2"/>
  <c r="H769" i="2"/>
  <c r="I769" i="2" s="1"/>
  <c r="O769" i="2" s="1"/>
  <c r="H262" i="2"/>
  <c r="I262" i="2" s="1"/>
  <c r="O262" i="2" s="1"/>
  <c r="P262" i="2"/>
  <c r="J262" i="2"/>
  <c r="P973" i="2"/>
  <c r="H973" i="2"/>
  <c r="I973" i="2" s="1"/>
  <c r="O973" i="2" s="1"/>
  <c r="J973" i="2"/>
  <c r="I858" i="2"/>
  <c r="O858" i="2" s="1"/>
  <c r="J99" i="4"/>
  <c r="P99" i="4"/>
  <c r="H99" i="4"/>
  <c r="I99" i="4" s="1"/>
  <c r="O99" i="4" s="1"/>
  <c r="J118" i="4"/>
  <c r="P118" i="4"/>
  <c r="H118" i="4"/>
  <c r="I118" i="4" s="1"/>
  <c r="O118" i="4" s="1"/>
  <c r="H737" i="2"/>
  <c r="I737" i="2" s="1"/>
  <c r="O737" i="2" s="1"/>
  <c r="P737" i="2"/>
  <c r="J737" i="2"/>
  <c r="P7" i="4"/>
  <c r="H7" i="4"/>
  <c r="I7" i="4" s="1"/>
  <c r="O7" i="4" s="1"/>
  <c r="J7" i="4"/>
  <c r="P169" i="4"/>
  <c r="H169" i="4"/>
  <c r="I169" i="4" s="1"/>
  <c r="O169" i="4" s="1"/>
  <c r="Q169" i="4" s="1"/>
  <c r="R169" i="4" s="1"/>
  <c r="T169" i="4" s="1"/>
  <c r="V169" i="4" s="1"/>
  <c r="J169" i="4"/>
  <c r="P112" i="4"/>
  <c r="J112" i="4"/>
  <c r="H112" i="4"/>
  <c r="I112" i="4" s="1"/>
  <c r="O112" i="4" s="1"/>
  <c r="K91" i="4"/>
  <c r="J880" i="2"/>
  <c r="H880" i="2"/>
  <c r="I880" i="2" s="1"/>
  <c r="O880" i="2" s="1"/>
  <c r="P880" i="2"/>
  <c r="H840" i="2"/>
  <c r="I840" i="2" s="1"/>
  <c r="O840" i="2" s="1"/>
  <c r="P840" i="2"/>
  <c r="J840" i="2"/>
  <c r="P534" i="2"/>
  <c r="H534" i="2"/>
  <c r="I534" i="2" s="1"/>
  <c r="O534" i="2" s="1"/>
  <c r="J534" i="2"/>
  <c r="J388" i="2"/>
  <c r="H388" i="2"/>
  <c r="I388" i="2" s="1"/>
  <c r="O388" i="2" s="1"/>
  <c r="P388" i="2"/>
  <c r="H687" i="2"/>
  <c r="I687" i="2" s="1"/>
  <c r="O687" i="2" s="1"/>
  <c r="J687" i="2"/>
  <c r="P687" i="2"/>
  <c r="P86" i="2"/>
  <c r="J86" i="2"/>
  <c r="H86" i="2"/>
  <c r="I86" i="2" s="1"/>
  <c r="O86" i="2" s="1"/>
  <c r="J55" i="4"/>
  <c r="H55" i="4"/>
  <c r="I55" i="4" s="1"/>
  <c r="O55" i="4" s="1"/>
  <c r="P55" i="4"/>
  <c r="J127" i="4"/>
  <c r="P127" i="4"/>
  <c r="H127" i="4"/>
  <c r="I127" i="4" s="1"/>
  <c r="O127" i="4" s="1"/>
  <c r="P543" i="2"/>
  <c r="J543" i="2"/>
  <c r="H543" i="2"/>
  <c r="I543" i="2" s="1"/>
  <c r="O543" i="2" s="1"/>
  <c r="H357" i="2"/>
  <c r="I357" i="2" s="1"/>
  <c r="O357" i="2" s="1"/>
  <c r="J357" i="2"/>
  <c r="P357" i="2"/>
  <c r="H642" i="2"/>
  <c r="I642" i="2" s="1"/>
  <c r="O642" i="2" s="1"/>
  <c r="J642" i="2"/>
  <c r="P642" i="2"/>
  <c r="P51" i="4"/>
  <c r="J51" i="4"/>
  <c r="H51" i="4"/>
  <c r="I51" i="4" s="1"/>
  <c r="O51" i="4" s="1"/>
  <c r="P632" i="2"/>
  <c r="J632" i="2"/>
  <c r="H632" i="2"/>
  <c r="I632" i="2" s="1"/>
  <c r="O632" i="2" s="1"/>
  <c r="P931" i="2"/>
  <c r="H931" i="2"/>
  <c r="I931" i="2" s="1"/>
  <c r="O931" i="2" s="1"/>
  <c r="J931" i="2"/>
  <c r="J693" i="2"/>
  <c r="P693" i="2"/>
  <c r="H693" i="2"/>
  <c r="I693" i="2" s="1"/>
  <c r="O693" i="2" s="1"/>
  <c r="J867" i="2"/>
  <c r="H867" i="2"/>
  <c r="I867" i="2" s="1"/>
  <c r="O867" i="2" s="1"/>
  <c r="P867" i="2"/>
  <c r="H613" i="2"/>
  <c r="I613" i="2" s="1"/>
  <c r="O613" i="2" s="1"/>
  <c r="J613" i="2"/>
  <c r="P613" i="2"/>
  <c r="J107" i="4"/>
  <c r="H107" i="4"/>
  <c r="I107" i="4" s="1"/>
  <c r="O107" i="4" s="1"/>
  <c r="P107" i="4"/>
  <c r="P832" i="2"/>
  <c r="H832" i="2"/>
  <c r="I832" i="2" s="1"/>
  <c r="O832" i="2" s="1"/>
  <c r="J832" i="2"/>
  <c r="J210" i="2"/>
  <c r="H210" i="2"/>
  <c r="I210" i="2" s="1"/>
  <c r="O210" i="2" s="1"/>
  <c r="P210" i="2"/>
  <c r="P64" i="2"/>
  <c r="H64" i="2"/>
  <c r="I64" i="2" s="1"/>
  <c r="O64" i="2" s="1"/>
  <c r="J64" i="2"/>
  <c r="P303" i="2"/>
  <c r="H303" i="2"/>
  <c r="I303" i="2" s="1"/>
  <c r="O303" i="2" s="1"/>
  <c r="J303" i="2"/>
  <c r="P652" i="2"/>
  <c r="J652" i="2"/>
  <c r="H652" i="2"/>
  <c r="I652" i="2" s="1"/>
  <c r="O652" i="2" s="1"/>
  <c r="H557" i="2"/>
  <c r="I557" i="2" s="1"/>
  <c r="O557" i="2" s="1"/>
  <c r="J557" i="2"/>
  <c r="P557" i="2"/>
  <c r="H351" i="2"/>
  <c r="I351" i="2" s="1"/>
  <c r="O351" i="2" s="1"/>
  <c r="J351" i="2"/>
  <c r="P351" i="2"/>
  <c r="J453" i="2"/>
  <c r="P453" i="2"/>
  <c r="H453" i="2"/>
  <c r="I453" i="2" s="1"/>
  <c r="O453" i="2" s="1"/>
  <c r="J265" i="4"/>
  <c r="H265" i="4"/>
  <c r="I265" i="4" s="1"/>
  <c r="O265" i="4" s="1"/>
  <c r="P265" i="4"/>
  <c r="H197" i="2"/>
  <c r="I197" i="2" s="1"/>
  <c r="O197" i="2" s="1"/>
  <c r="J197" i="2"/>
  <c r="P197" i="2"/>
  <c r="J11" i="2"/>
  <c r="H11" i="2"/>
  <c r="I11" i="2" s="1"/>
  <c r="O11" i="2" s="1"/>
  <c r="P11" i="2"/>
  <c r="J814" i="2"/>
  <c r="H814" i="2"/>
  <c r="I814" i="2" s="1"/>
  <c r="O814" i="2" s="1"/>
  <c r="P814" i="2"/>
  <c r="J948" i="2"/>
  <c r="H948" i="2"/>
  <c r="I948" i="2" s="1"/>
  <c r="O948" i="2" s="1"/>
  <c r="P948" i="2"/>
  <c r="J232" i="4"/>
  <c r="H232" i="4"/>
  <c r="I232" i="4" s="1"/>
  <c r="O232" i="4" s="1"/>
  <c r="P232" i="4"/>
  <c r="H941" i="2"/>
  <c r="I941" i="2" s="1"/>
  <c r="O941" i="2" s="1"/>
  <c r="P941" i="2"/>
  <c r="J941" i="2"/>
  <c r="P714" i="2"/>
  <c r="J714" i="2"/>
  <c r="H714" i="2"/>
  <c r="I714" i="2" s="1"/>
  <c r="O714" i="2" s="1"/>
  <c r="H678" i="2"/>
  <c r="I678" i="2" s="1"/>
  <c r="O678" i="2" s="1"/>
  <c r="P678" i="2"/>
  <c r="J678" i="2"/>
  <c r="J780" i="2"/>
  <c r="P780" i="2"/>
  <c r="H780" i="2"/>
  <c r="I780" i="2" s="1"/>
  <c r="O780" i="2" s="1"/>
  <c r="P161" i="2"/>
  <c r="J161" i="2"/>
  <c r="H161" i="2"/>
  <c r="I161" i="2" s="1"/>
  <c r="O161" i="2" s="1"/>
  <c r="P546" i="2"/>
  <c r="J546" i="2"/>
  <c r="H546" i="2"/>
  <c r="I546" i="2" s="1"/>
  <c r="O546" i="2" s="1"/>
  <c r="P445" i="2"/>
  <c r="J445" i="2"/>
  <c r="H445" i="2"/>
  <c r="I445" i="2" s="1"/>
  <c r="O445" i="2" s="1"/>
  <c r="H333" i="2"/>
  <c r="I333" i="2" s="1"/>
  <c r="O333" i="2" s="1"/>
  <c r="P333" i="2"/>
  <c r="J333" i="2"/>
  <c r="J827" i="2"/>
  <c r="P827" i="2"/>
  <c r="H827" i="2"/>
  <c r="I827" i="2" s="1"/>
  <c r="O827" i="2" s="1"/>
  <c r="H548" i="2"/>
  <c r="I548" i="2" s="1"/>
  <c r="O548" i="2" s="1"/>
  <c r="J548" i="2"/>
  <c r="P548" i="2"/>
  <c r="H826" i="2"/>
  <c r="I826" i="2" s="1"/>
  <c r="O826" i="2" s="1"/>
  <c r="P826" i="2"/>
  <c r="J826" i="2"/>
  <c r="P585" i="2"/>
  <c r="J585" i="2"/>
  <c r="H585" i="2"/>
  <c r="I585" i="2" s="1"/>
  <c r="O585" i="2" s="1"/>
  <c r="J212" i="2"/>
  <c r="H212" i="2"/>
  <c r="I212" i="2" s="1"/>
  <c r="O212" i="2" s="1"/>
  <c r="P212" i="2"/>
  <c r="J510" i="2"/>
  <c r="H510" i="2"/>
  <c r="I510" i="2" s="1"/>
  <c r="O510" i="2" s="1"/>
  <c r="P510" i="2"/>
  <c r="J676" i="2"/>
  <c r="H676" i="2"/>
  <c r="I676" i="2" s="1"/>
  <c r="O676" i="2" s="1"/>
  <c r="P676" i="2"/>
  <c r="P531" i="2"/>
  <c r="H531" i="2"/>
  <c r="I531" i="2" s="1"/>
  <c r="O531" i="2" s="1"/>
  <c r="J531" i="2"/>
  <c r="H401" i="2"/>
  <c r="I401" i="2" s="1"/>
  <c r="O401" i="2" s="1"/>
  <c r="P401" i="2"/>
  <c r="J401" i="2"/>
  <c r="P202" i="2"/>
  <c r="J202" i="2"/>
  <c r="H202" i="2"/>
  <c r="I202" i="2" s="1"/>
  <c r="O202" i="2" s="1"/>
  <c r="H17" i="2"/>
  <c r="I17" i="2" s="1"/>
  <c r="O17" i="2" s="1"/>
  <c r="J17" i="2"/>
  <c r="P17" i="2"/>
  <c r="J377" i="2"/>
  <c r="P377" i="2"/>
  <c r="H377" i="2"/>
  <c r="I377" i="2" s="1"/>
  <c r="O377" i="2" s="1"/>
  <c r="J785" i="2"/>
  <c r="P785" i="2"/>
  <c r="H785" i="2"/>
  <c r="I785" i="2" s="1"/>
  <c r="O785" i="2" s="1"/>
  <c r="P1004" i="2"/>
  <c r="J1004" i="2"/>
  <c r="H1004" i="2"/>
  <c r="I1004" i="2" s="1"/>
  <c r="O1004" i="2" s="1"/>
  <c r="H602" i="4"/>
  <c r="I602" i="4" s="1"/>
  <c r="O602" i="4" s="1"/>
  <c r="P602" i="4"/>
  <c r="J602" i="4"/>
  <c r="H798" i="2"/>
  <c r="I798" i="2" s="1"/>
  <c r="O798" i="2" s="1"/>
  <c r="P798" i="2"/>
  <c r="J798" i="2"/>
  <c r="P216" i="4"/>
  <c r="H216" i="4"/>
  <c r="I216" i="4" s="1"/>
  <c r="O216" i="4" s="1"/>
  <c r="J216" i="4"/>
  <c r="P956" i="2"/>
  <c r="H956" i="2"/>
  <c r="I956" i="2" s="1"/>
  <c r="O956" i="2" s="1"/>
  <c r="J956" i="2"/>
  <c r="H137" i="4"/>
  <c r="I137" i="4" s="1"/>
  <c r="O137" i="4" s="1"/>
  <c r="P137" i="4"/>
  <c r="J137" i="4"/>
  <c r="P149" i="4"/>
  <c r="J149" i="4"/>
  <c r="H149" i="4"/>
  <c r="I149" i="4" s="1"/>
  <c r="O149" i="4" s="1"/>
  <c r="J423" i="2"/>
  <c r="H423" i="2"/>
  <c r="I423" i="2" s="1"/>
  <c r="O423" i="2" s="1"/>
  <c r="P423" i="2"/>
  <c r="H210" i="4"/>
  <c r="I210" i="4" s="1"/>
  <c r="O210" i="4" s="1"/>
  <c r="P210" i="4"/>
  <c r="J210" i="4"/>
  <c r="P964" i="2"/>
  <c r="J964" i="2"/>
  <c r="H964" i="2"/>
  <c r="I964" i="2" s="1"/>
  <c r="O964" i="2" s="1"/>
  <c r="H443" i="2"/>
  <c r="I443" i="2" s="1"/>
  <c r="O443" i="2" s="1"/>
  <c r="P443" i="2"/>
  <c r="J443" i="2"/>
  <c r="P863" i="2"/>
  <c r="J863" i="2"/>
  <c r="H863" i="2"/>
  <c r="I863" i="2" s="1"/>
  <c r="O863" i="2" s="1"/>
  <c r="H630" i="2"/>
  <c r="I630" i="2" s="1"/>
  <c r="O630" i="2" s="1"/>
  <c r="P630" i="2"/>
  <c r="J630" i="2"/>
  <c r="J382" i="4"/>
  <c r="H382" i="4"/>
  <c r="I382" i="4" s="1"/>
  <c r="O382" i="4" s="1"/>
  <c r="P382" i="4"/>
  <c r="H771" i="2"/>
  <c r="I771" i="2" s="1"/>
  <c r="O771" i="2" s="1"/>
  <c r="P771" i="2"/>
  <c r="J771" i="2"/>
  <c r="H243" i="2"/>
  <c r="I243" i="2" s="1"/>
  <c r="O243" i="2" s="1"/>
  <c r="J243" i="2"/>
  <c r="P243" i="2"/>
  <c r="H283" i="2"/>
  <c r="I283" i="2" s="1"/>
  <c r="O283" i="2" s="1"/>
  <c r="P283" i="2"/>
  <c r="J283" i="2"/>
  <c r="P414" i="2"/>
  <c r="J414" i="2"/>
  <c r="H414" i="2"/>
  <c r="I414" i="2" s="1"/>
  <c r="O414" i="2" s="1"/>
  <c r="H118" i="2"/>
  <c r="I118" i="2" s="1"/>
  <c r="O118" i="2" s="1"/>
  <c r="P118" i="2"/>
  <c r="J118" i="2"/>
  <c r="P84" i="4"/>
  <c r="J84" i="4"/>
  <c r="H84" i="4"/>
  <c r="I84" i="4" s="1"/>
  <c r="O84" i="4" s="1"/>
  <c r="J927" i="2"/>
  <c r="P927" i="2"/>
  <c r="H927" i="2"/>
  <c r="I927" i="2" s="1"/>
  <c r="O927" i="2" s="1"/>
  <c r="P394" i="2"/>
  <c r="H394" i="2"/>
  <c r="I394" i="2" s="1"/>
  <c r="O394" i="2" s="1"/>
  <c r="J394" i="2"/>
  <c r="H584" i="2"/>
  <c r="I584" i="2" s="1"/>
  <c r="O584" i="2" s="1"/>
  <c r="J584" i="2"/>
  <c r="P584" i="2"/>
  <c r="J70" i="4"/>
  <c r="H70" i="4"/>
  <c r="I70" i="4" s="1"/>
  <c r="O70" i="4" s="1"/>
  <c r="P70" i="4"/>
  <c r="H718" i="2"/>
  <c r="I718" i="2" s="1"/>
  <c r="O718" i="2" s="1"/>
  <c r="J718" i="2"/>
  <c r="P718" i="2"/>
  <c r="J238" i="2"/>
  <c r="P238" i="2"/>
  <c r="H238" i="2"/>
  <c r="I238" i="2" s="1"/>
  <c r="O238" i="2" s="1"/>
  <c r="P998" i="2"/>
  <c r="H998" i="2"/>
  <c r="I998" i="2" s="1"/>
  <c r="O998" i="2" s="1"/>
  <c r="J998" i="2"/>
  <c r="H511" i="2"/>
  <c r="I511" i="2" s="1"/>
  <c r="O511" i="2" s="1"/>
  <c r="P511" i="2"/>
  <c r="J511" i="2"/>
  <c r="J492" i="2"/>
  <c r="H492" i="2"/>
  <c r="I492" i="2" s="1"/>
  <c r="O492" i="2" s="1"/>
  <c r="P492" i="2"/>
  <c r="J452" i="2"/>
  <c r="H452" i="2"/>
  <c r="I452" i="2" s="1"/>
  <c r="O452" i="2" s="1"/>
  <c r="P452" i="2"/>
  <c r="J50" i="4"/>
  <c r="H50" i="4"/>
  <c r="I50" i="4" s="1"/>
  <c r="O50" i="4" s="1"/>
  <c r="P50" i="4"/>
  <c r="H72" i="2"/>
  <c r="I72" i="2" s="1"/>
  <c r="O72" i="2" s="1"/>
  <c r="J72" i="2"/>
  <c r="P72" i="2"/>
  <c r="P421" i="2"/>
  <c r="H421" i="2"/>
  <c r="I421" i="2" s="1"/>
  <c r="O421" i="2" s="1"/>
  <c r="J421" i="2"/>
  <c r="J638" i="2"/>
  <c r="H638" i="2"/>
  <c r="I638" i="2" s="1"/>
  <c r="O638" i="2" s="1"/>
  <c r="P638" i="2"/>
  <c r="J340" i="2"/>
  <c r="P340" i="2"/>
  <c r="H340" i="2"/>
  <c r="I340" i="2" s="1"/>
  <c r="O340" i="2" s="1"/>
  <c r="J495" i="2"/>
  <c r="P495" i="2"/>
  <c r="H495" i="2"/>
  <c r="I495" i="2" s="1"/>
  <c r="O495" i="2" s="1"/>
  <c r="H478" i="2"/>
  <c r="I478" i="2" s="1"/>
  <c r="O478" i="2" s="1"/>
  <c r="J478" i="2"/>
  <c r="P478" i="2"/>
  <c r="P761" i="4"/>
  <c r="J761" i="4"/>
  <c r="H761" i="4"/>
  <c r="I761" i="4" s="1"/>
  <c r="O761" i="4" s="1"/>
  <c r="H616" i="2"/>
  <c r="I616" i="2" s="1"/>
  <c r="O616" i="2" s="1"/>
  <c r="J616" i="2"/>
  <c r="P616" i="2"/>
  <c r="P570" i="2"/>
  <c r="J570" i="2"/>
  <c r="H570" i="2"/>
  <c r="I570" i="2" s="1"/>
  <c r="O570" i="2" s="1"/>
  <c r="P308" i="2"/>
  <c r="J308" i="2"/>
  <c r="H308" i="2"/>
  <c r="I308" i="2" s="1"/>
  <c r="O308" i="2" s="1"/>
  <c r="P431" i="2"/>
  <c r="J431" i="2"/>
  <c r="H431" i="2"/>
  <c r="I431" i="2" s="1"/>
  <c r="O431" i="2" s="1"/>
  <c r="H69" i="2"/>
  <c r="I69" i="2" s="1"/>
  <c r="O69" i="2" s="1"/>
  <c r="J69" i="2"/>
  <c r="P69" i="2"/>
  <c r="J320" i="2"/>
  <c r="P320" i="2"/>
  <c r="H320" i="2"/>
  <c r="I320" i="2" s="1"/>
  <c r="O320" i="2" s="1"/>
  <c r="H392" i="2"/>
  <c r="I392" i="2" s="1"/>
  <c r="O392" i="2" s="1"/>
  <c r="P392" i="2"/>
  <c r="J392" i="2"/>
  <c r="H282" i="2"/>
  <c r="I282" i="2" s="1"/>
  <c r="O282" i="2" s="1"/>
  <c r="P282" i="2"/>
  <c r="J282" i="2"/>
  <c r="J46" i="2"/>
  <c r="H46" i="2"/>
  <c r="I46" i="2" s="1"/>
  <c r="O46" i="2" s="1"/>
  <c r="P46" i="2"/>
  <c r="H23" i="4"/>
  <c r="I23" i="4" s="1"/>
  <c r="O23" i="4" s="1"/>
  <c r="P23" i="4"/>
  <c r="J23" i="4"/>
  <c r="J232" i="2"/>
  <c r="H232" i="2"/>
  <c r="I232" i="2" s="1"/>
  <c r="O232" i="2" s="1"/>
  <c r="P232" i="2"/>
  <c r="P33" i="2"/>
  <c r="J33" i="2"/>
  <c r="H33" i="2"/>
  <c r="I33" i="2" s="1"/>
  <c r="O33" i="2" s="1"/>
  <c r="J48" i="2"/>
  <c r="H48" i="2"/>
  <c r="I48" i="2" s="1"/>
  <c r="O48" i="2" s="1"/>
  <c r="P48" i="2"/>
  <c r="P76" i="2"/>
  <c r="H76" i="2"/>
  <c r="I76" i="2" s="1"/>
  <c r="O76" i="2" s="1"/>
  <c r="J76" i="2"/>
  <c r="H330" i="2"/>
  <c r="I330" i="2" s="1"/>
  <c r="O330" i="2" s="1"/>
  <c r="P330" i="2"/>
  <c r="J330" i="2"/>
  <c r="P248" i="2"/>
  <c r="H248" i="2"/>
  <c r="I248" i="2" s="1"/>
  <c r="O248" i="2" s="1"/>
  <c r="J248" i="2"/>
  <c r="H610" i="2"/>
  <c r="I610" i="2" s="1"/>
  <c r="O610" i="2" s="1"/>
  <c r="P610" i="2"/>
  <c r="J610" i="2"/>
  <c r="H302" i="2"/>
  <c r="I302" i="2" s="1"/>
  <c r="O302" i="2" s="1"/>
  <c r="J302" i="2"/>
  <c r="P302" i="2"/>
  <c r="P82" i="2"/>
  <c r="H82" i="2"/>
  <c r="I82" i="2" s="1"/>
  <c r="O82" i="2" s="1"/>
  <c r="J82" i="2"/>
  <c r="H80" i="2"/>
  <c r="I80" i="2" s="1"/>
  <c r="O80" i="2" s="1"/>
  <c r="J80" i="2"/>
  <c r="P80" i="2"/>
  <c r="J30" i="2"/>
  <c r="P30" i="2"/>
  <c r="H30" i="2"/>
  <c r="I30" i="2" s="1"/>
  <c r="O30" i="2" s="1"/>
  <c r="P292" i="2"/>
  <c r="J292" i="2"/>
  <c r="H292" i="2"/>
  <c r="I292" i="2" s="1"/>
  <c r="O292" i="2" s="1"/>
  <c r="H59" i="4"/>
  <c r="I59" i="4" s="1"/>
  <c r="O59" i="4" s="1"/>
  <c r="J59" i="4"/>
  <c r="P59" i="4"/>
  <c r="H123" i="4"/>
  <c r="I123" i="4" s="1"/>
  <c r="O123" i="4" s="1"/>
  <c r="P123" i="4"/>
  <c r="J123" i="4"/>
  <c r="P569" i="4"/>
  <c r="H569" i="4"/>
  <c r="I569" i="4" s="1"/>
  <c r="O569" i="4" s="1"/>
  <c r="J569" i="4"/>
  <c r="P853" i="2"/>
  <c r="H853" i="2"/>
  <c r="I853" i="2" s="1"/>
  <c r="O853" i="2" s="1"/>
  <c r="J853" i="2"/>
  <c r="P912" i="2"/>
  <c r="H912" i="2"/>
  <c r="I912" i="2" s="1"/>
  <c r="O912" i="2" s="1"/>
  <c r="J912" i="2"/>
  <c r="P888" i="2"/>
  <c r="H888" i="2"/>
  <c r="I888" i="2" s="1"/>
  <c r="O888" i="2" s="1"/>
  <c r="J888" i="2"/>
  <c r="J580" i="2"/>
  <c r="P580" i="2"/>
  <c r="H580" i="2"/>
  <c r="I580" i="2" s="1"/>
  <c r="O580" i="2" s="1"/>
  <c r="J480" i="2"/>
  <c r="H480" i="2"/>
  <c r="I480" i="2" s="1"/>
  <c r="O480" i="2" s="1"/>
  <c r="P480" i="2"/>
  <c r="J708" i="2"/>
  <c r="H708" i="2"/>
  <c r="I708" i="2" s="1"/>
  <c r="O708" i="2" s="1"/>
  <c r="P708" i="2"/>
  <c r="J364" i="2"/>
  <c r="P364" i="2"/>
  <c r="H364" i="2"/>
  <c r="I364" i="2" s="1"/>
  <c r="O364" i="2" s="1"/>
  <c r="J110" i="2"/>
  <c r="H110" i="2"/>
  <c r="I110" i="2" s="1"/>
  <c r="O110" i="2" s="1"/>
  <c r="P110" i="2"/>
  <c r="J343" i="2"/>
  <c r="H343" i="2"/>
  <c r="I343" i="2" s="1"/>
  <c r="O343" i="2" s="1"/>
  <c r="P343" i="2"/>
  <c r="J500" i="2"/>
  <c r="H500" i="2"/>
  <c r="I500" i="2" s="1"/>
  <c r="O500" i="2" s="1"/>
  <c r="P500" i="2"/>
  <c r="J5" i="4"/>
  <c r="P5" i="4"/>
  <c r="H5" i="4"/>
  <c r="I5" i="4" s="1"/>
  <c r="O5" i="4" s="1"/>
  <c r="J490" i="2"/>
  <c r="P490" i="2"/>
  <c r="H490" i="2"/>
  <c r="I490" i="2" s="1"/>
  <c r="O490" i="2" s="1"/>
  <c r="P529" i="2"/>
  <c r="J529" i="2"/>
  <c r="H529" i="2"/>
  <c r="I529" i="2" s="1"/>
  <c r="O529" i="2" s="1"/>
  <c r="P119" i="2"/>
  <c r="J119" i="2"/>
  <c r="H119" i="2"/>
  <c r="I119" i="2" s="1"/>
  <c r="O119" i="2" s="1"/>
  <c r="P36" i="2"/>
  <c r="H36" i="2"/>
  <c r="I36" i="2" s="1"/>
  <c r="O36" i="2" s="1"/>
  <c r="J36" i="2"/>
  <c r="J25" i="2"/>
  <c r="P25" i="2"/>
  <c r="H25" i="2"/>
  <c r="I25" i="2" s="1"/>
  <c r="O25" i="2" s="1"/>
  <c r="P254" i="2"/>
  <c r="J254" i="2"/>
  <c r="H254" i="2"/>
  <c r="I254" i="2" s="1"/>
  <c r="O254" i="2" s="1"/>
  <c r="P999" i="2"/>
  <c r="J999" i="2"/>
  <c r="H999" i="2"/>
  <c r="I999" i="2" s="1"/>
  <c r="O999" i="2" s="1"/>
  <c r="P852" i="2"/>
  <c r="J852" i="2"/>
  <c r="H852" i="2"/>
  <c r="I852" i="2" s="1"/>
  <c r="O852" i="2" s="1"/>
  <c r="P928" i="2"/>
  <c r="H928" i="2"/>
  <c r="I928" i="2" s="1"/>
  <c r="O928" i="2" s="1"/>
  <c r="J928" i="2"/>
  <c r="P371" i="4"/>
  <c r="J371" i="4"/>
  <c r="H371" i="4"/>
  <c r="I371" i="4" s="1"/>
  <c r="O371" i="4" s="1"/>
  <c r="P166" i="4"/>
  <c r="H166" i="4"/>
  <c r="I166" i="4" s="1"/>
  <c r="O166" i="4" s="1"/>
  <c r="J166" i="4"/>
  <c r="H122" i="4"/>
  <c r="I122" i="4" s="1"/>
  <c r="O122" i="4" s="1"/>
  <c r="J122" i="4"/>
  <c r="P122" i="4"/>
  <c r="P974" i="2"/>
  <c r="J974" i="2"/>
  <c r="H974" i="2"/>
  <c r="I974" i="2" s="1"/>
  <c r="O974" i="2" s="1"/>
  <c r="P634" i="2"/>
  <c r="H634" i="2"/>
  <c r="I634" i="2" s="1"/>
  <c r="O634" i="2" s="1"/>
  <c r="J634" i="2"/>
  <c r="J751" i="2"/>
  <c r="H751" i="2"/>
  <c r="I751" i="2" s="1"/>
  <c r="O751" i="2" s="1"/>
  <c r="P751" i="2"/>
  <c r="P713" i="2"/>
  <c r="J713" i="2"/>
  <c r="H713" i="2"/>
  <c r="I713" i="2" s="1"/>
  <c r="O713" i="2" s="1"/>
  <c r="P789" i="2"/>
  <c r="J789" i="2"/>
  <c r="H789" i="2"/>
  <c r="I789" i="2" s="1"/>
  <c r="O789" i="2" s="1"/>
  <c r="H592" i="2"/>
  <c r="I592" i="2" s="1"/>
  <c r="O592" i="2" s="1"/>
  <c r="P592" i="2"/>
  <c r="J592" i="2"/>
  <c r="P639" i="2"/>
  <c r="J639" i="2"/>
  <c r="H639" i="2"/>
  <c r="I639" i="2" s="1"/>
  <c r="O639" i="2" s="1"/>
  <c r="H26" i="4"/>
  <c r="I26" i="4" s="1"/>
  <c r="O26" i="4" s="1"/>
  <c r="P26" i="4"/>
  <c r="J26" i="4"/>
  <c r="J413" i="2"/>
  <c r="H413" i="2"/>
  <c r="I413" i="2" s="1"/>
  <c r="O413" i="2" s="1"/>
  <c r="P413" i="2"/>
  <c r="J887" i="2"/>
  <c r="H887" i="2"/>
  <c r="I887" i="2" s="1"/>
  <c r="O887" i="2" s="1"/>
  <c r="P887" i="2"/>
  <c r="H231" i="2"/>
  <c r="I231" i="2" s="1"/>
  <c r="O231" i="2" s="1"/>
  <c r="P231" i="2"/>
  <c r="J231" i="2"/>
  <c r="H544" i="2"/>
  <c r="I544" i="2" s="1"/>
  <c r="O544" i="2" s="1"/>
  <c r="P544" i="2"/>
  <c r="J544" i="2"/>
  <c r="H391" i="2"/>
  <c r="I391" i="2" s="1"/>
  <c r="O391" i="2" s="1"/>
  <c r="J391" i="2"/>
  <c r="P391" i="2"/>
  <c r="P289" i="2"/>
  <c r="H289" i="2"/>
  <c r="I289" i="2" s="1"/>
  <c r="O289" i="2" s="1"/>
  <c r="J289" i="2"/>
  <c r="J607" i="2"/>
  <c r="P607" i="2"/>
  <c r="H607" i="2"/>
  <c r="I607" i="2" s="1"/>
  <c r="O607" i="2" s="1"/>
  <c r="P942" i="2"/>
  <c r="H942" i="2"/>
  <c r="I942" i="2" s="1"/>
  <c r="O942" i="2" s="1"/>
  <c r="J942" i="2"/>
  <c r="H518" i="2"/>
  <c r="I518" i="2" s="1"/>
  <c r="O518" i="2" s="1"/>
  <c r="P518" i="2"/>
  <c r="J518" i="2"/>
  <c r="J172" i="4"/>
  <c r="P172" i="4"/>
  <c r="H172" i="4"/>
  <c r="I172" i="4" s="1"/>
  <c r="O172" i="4" s="1"/>
  <c r="P698" i="2"/>
  <c r="J698" i="2"/>
  <c r="H698" i="2"/>
  <c r="I698" i="2" s="1"/>
  <c r="O698" i="2" s="1"/>
  <c r="J954" i="2"/>
  <c r="P954" i="2"/>
  <c r="H954" i="2"/>
  <c r="I954" i="2" s="1"/>
  <c r="O954" i="2" s="1"/>
  <c r="H217" i="2"/>
  <c r="I217" i="2" s="1"/>
  <c r="O217" i="2" s="1"/>
  <c r="J217" i="2"/>
  <c r="P217" i="2"/>
  <c r="J152" i="2"/>
  <c r="P152" i="2"/>
  <c r="H152" i="2"/>
  <c r="I152" i="2" s="1"/>
  <c r="O152" i="2" s="1"/>
  <c r="H15" i="2"/>
  <c r="I15" i="2" s="1"/>
  <c r="O15" i="2" s="1"/>
  <c r="J15" i="2"/>
  <c r="P15" i="2"/>
  <c r="J725" i="2"/>
  <c r="P725" i="2"/>
  <c r="H725" i="2"/>
  <c r="I725" i="2" s="1"/>
  <c r="O725" i="2" s="1"/>
  <c r="H442" i="2"/>
  <c r="I442" i="2" s="1"/>
  <c r="O442" i="2" s="1"/>
  <c r="P442" i="2"/>
  <c r="J442" i="2"/>
  <c r="H701" i="2"/>
  <c r="I701" i="2" s="1"/>
  <c r="O701" i="2" s="1"/>
  <c r="J701" i="2"/>
  <c r="P701" i="2"/>
  <c r="P105" i="4"/>
  <c r="H105" i="4"/>
  <c r="I105" i="4" s="1"/>
  <c r="O105" i="4" s="1"/>
  <c r="J105" i="4"/>
  <c r="J261" i="4"/>
  <c r="P261" i="4"/>
  <c r="H261" i="4"/>
  <c r="I261" i="4" s="1"/>
  <c r="O261" i="4" s="1"/>
  <c r="P950" i="2"/>
  <c r="H950" i="2"/>
  <c r="I950" i="2" s="1"/>
  <c r="O950" i="2" s="1"/>
  <c r="J950" i="2"/>
  <c r="H558" i="2"/>
  <c r="I558" i="2" s="1"/>
  <c r="O558" i="2" s="1"/>
  <c r="P558" i="2"/>
  <c r="J558" i="2"/>
  <c r="P537" i="4"/>
  <c r="J537" i="4"/>
  <c r="H537" i="4"/>
  <c r="I537" i="4" s="1"/>
  <c r="O537" i="4" s="1"/>
  <c r="I923" i="2"/>
  <c r="O923" i="2" s="1"/>
  <c r="P617" i="2"/>
  <c r="J617" i="2"/>
  <c r="H617" i="2"/>
  <c r="I617" i="2" s="1"/>
  <c r="O617" i="2" s="1"/>
  <c r="H635" i="2"/>
  <c r="I635" i="2" s="1"/>
  <c r="O635" i="2" s="1"/>
  <c r="P635" i="2"/>
  <c r="J635" i="2"/>
  <c r="J992" i="2"/>
  <c r="H992" i="2"/>
  <c r="I992" i="2" s="1"/>
  <c r="O992" i="2" s="1"/>
  <c r="P992" i="2"/>
  <c r="J591" i="2"/>
  <c r="P591" i="2"/>
  <c r="H591" i="2"/>
  <c r="I591" i="2" s="1"/>
  <c r="O591" i="2" s="1"/>
  <c r="P274" i="4"/>
  <c r="H274" i="4"/>
  <c r="I274" i="4" s="1"/>
  <c r="O274" i="4" s="1"/>
  <c r="J274" i="4"/>
  <c r="P866" i="2"/>
  <c r="J866" i="2"/>
  <c r="H866" i="2"/>
  <c r="I866" i="2" s="1"/>
  <c r="O866" i="2" s="1"/>
  <c r="P573" i="2"/>
  <c r="J573" i="2"/>
  <c r="H573" i="2"/>
  <c r="I573" i="2" s="1"/>
  <c r="O573" i="2" s="1"/>
  <c r="I671" i="2"/>
  <c r="O671" i="2" s="1"/>
  <c r="P556" i="2"/>
  <c r="J556" i="2"/>
  <c r="H556" i="2"/>
  <c r="I556" i="2" s="1"/>
  <c r="O556" i="2" s="1"/>
  <c r="K69" i="4"/>
  <c r="H230" i="2"/>
  <c r="I230" i="2" s="1"/>
  <c r="O230" i="2" s="1"/>
  <c r="P230" i="2"/>
  <c r="J230" i="2"/>
  <c r="J285" i="2"/>
  <c r="H285" i="2"/>
  <c r="I285" i="2" s="1"/>
  <c r="O285" i="2" s="1"/>
  <c r="P285" i="2"/>
  <c r="P359" i="2"/>
  <c r="H359" i="2"/>
  <c r="I359" i="2" s="1"/>
  <c r="O359" i="2" s="1"/>
  <c r="J359" i="2"/>
  <c r="H871" i="2"/>
  <c r="I871" i="2" s="1"/>
  <c r="O871" i="2" s="1"/>
  <c r="J871" i="2"/>
  <c r="P871" i="2"/>
  <c r="H829" i="2"/>
  <c r="I829" i="2" s="1"/>
  <c r="O829" i="2" s="1"/>
  <c r="P829" i="2"/>
  <c r="J829" i="2"/>
  <c r="P334" i="2"/>
  <c r="H334" i="2"/>
  <c r="I334" i="2" s="1"/>
  <c r="O334" i="2" s="1"/>
  <c r="J334" i="2"/>
  <c r="J276" i="2"/>
  <c r="H276" i="2"/>
  <c r="I276" i="2" s="1"/>
  <c r="O276" i="2" s="1"/>
  <c r="P276" i="2"/>
  <c r="H810" i="2"/>
  <c r="I810" i="2" s="1"/>
  <c r="O810" i="2" s="1"/>
  <c r="J810" i="2"/>
  <c r="P810" i="2"/>
  <c r="J272" i="4"/>
  <c r="P272" i="4"/>
  <c r="H272" i="4"/>
  <c r="I272" i="4" s="1"/>
  <c r="O272" i="4" s="1"/>
  <c r="J520" i="2"/>
  <c r="P520" i="2"/>
  <c r="H520" i="2"/>
  <c r="I520" i="2" s="1"/>
  <c r="O520" i="2" s="1"/>
  <c r="H142" i="4"/>
  <c r="I142" i="4" s="1"/>
  <c r="O142" i="4" s="1"/>
  <c r="J142" i="4"/>
  <c r="P142" i="4"/>
  <c r="H127" i="2"/>
  <c r="I127" i="2" s="1"/>
  <c r="O127" i="2" s="1"/>
  <c r="J127" i="2"/>
  <c r="P127" i="2"/>
  <c r="H287" i="2"/>
  <c r="I287" i="2" s="1"/>
  <c r="O287" i="2" s="1"/>
  <c r="P287" i="2"/>
  <c r="J287" i="2"/>
  <c r="H126" i="2"/>
  <c r="I126" i="2" s="1"/>
  <c r="O126" i="2" s="1"/>
  <c r="P126" i="2"/>
  <c r="J126" i="2"/>
  <c r="P428" i="2"/>
  <c r="J428" i="2"/>
  <c r="H428" i="2"/>
  <c r="I428" i="2" s="1"/>
  <c r="O428" i="2" s="1"/>
  <c r="P37" i="2"/>
  <c r="J37" i="2"/>
  <c r="H37" i="2"/>
  <c r="I37" i="2" s="1"/>
  <c r="O37" i="2" s="1"/>
  <c r="P895" i="2"/>
  <c r="H895" i="2"/>
  <c r="I895" i="2" s="1"/>
  <c r="O895" i="2" s="1"/>
  <c r="J895" i="2"/>
  <c r="P521" i="2"/>
  <c r="H521" i="2"/>
  <c r="I521" i="2" s="1"/>
  <c r="O521" i="2" s="1"/>
  <c r="J521" i="2"/>
  <c r="P553" i="2"/>
  <c r="J553" i="2"/>
  <c r="H553" i="2"/>
  <c r="I553" i="2" s="1"/>
  <c r="O553" i="2" s="1"/>
  <c r="J803" i="2"/>
  <c r="H803" i="2"/>
  <c r="I803" i="2" s="1"/>
  <c r="O803" i="2" s="1"/>
  <c r="P803" i="2"/>
  <c r="J883" i="2"/>
  <c r="H883" i="2"/>
  <c r="I883" i="2" s="1"/>
  <c r="O883" i="2" s="1"/>
  <c r="P883" i="2"/>
  <c r="J648" i="2"/>
  <c r="P648" i="2"/>
  <c r="H648" i="2"/>
  <c r="I648" i="2" s="1"/>
  <c r="O648" i="2" s="1"/>
  <c r="P695" i="2"/>
  <c r="H695" i="2"/>
  <c r="I695" i="2" s="1"/>
  <c r="O695" i="2" s="1"/>
  <c r="J695" i="2"/>
  <c r="P449" i="2"/>
  <c r="J449" i="2"/>
  <c r="H449" i="2"/>
  <c r="I449" i="2" s="1"/>
  <c r="O449" i="2" s="1"/>
  <c r="H242" i="2"/>
  <c r="I242" i="2" s="1"/>
  <c r="O242" i="2" s="1"/>
  <c r="J242" i="2"/>
  <c r="P242" i="2"/>
  <c r="P181" i="2"/>
  <c r="J181" i="2"/>
  <c r="H181" i="2"/>
  <c r="I181" i="2" s="1"/>
  <c r="O181" i="2" s="1"/>
  <c r="J755" i="2"/>
  <c r="P755" i="2"/>
  <c r="H755" i="2"/>
  <c r="I755" i="2" s="1"/>
  <c r="O755" i="2" s="1"/>
  <c r="H12" i="2"/>
  <c r="I12" i="2" s="1"/>
  <c r="O12" i="2" s="1"/>
  <c r="P12" i="2"/>
  <c r="J12" i="2"/>
  <c r="P968" i="2"/>
  <c r="J968" i="2"/>
  <c r="H968" i="2"/>
  <c r="I968" i="2" s="1"/>
  <c r="O968" i="2" s="1"/>
  <c r="H396" i="2"/>
  <c r="I396" i="2" s="1"/>
  <c r="O396" i="2" s="1"/>
  <c r="J396" i="2"/>
  <c r="P396" i="2"/>
  <c r="I446" i="2"/>
  <c r="O446" i="2" s="1"/>
  <c r="Q446" i="2" s="1"/>
  <c r="R446" i="2" s="1"/>
  <c r="T446" i="2" s="1"/>
  <c r="V446" i="2" s="1"/>
  <c r="P493" i="2"/>
  <c r="J493" i="2"/>
  <c r="H493" i="2"/>
  <c r="I493" i="2" s="1"/>
  <c r="O493" i="2" s="1"/>
  <c r="P645" i="2"/>
  <c r="J645" i="2"/>
  <c r="H645" i="2"/>
  <c r="I645" i="2" s="1"/>
  <c r="O645" i="2" s="1"/>
  <c r="J741" i="2"/>
  <c r="P741" i="2"/>
  <c r="H741" i="2"/>
  <c r="I741" i="2" s="1"/>
  <c r="O741" i="2" s="1"/>
  <c r="J344" i="2"/>
  <c r="P344" i="2"/>
  <c r="H344" i="2"/>
  <c r="I344" i="2" s="1"/>
  <c r="O344" i="2" s="1"/>
  <c r="J45" i="2"/>
  <c r="P45" i="2"/>
  <c r="H45" i="2"/>
  <c r="I45" i="2" s="1"/>
  <c r="O45" i="2" s="1"/>
  <c r="J579" i="2"/>
  <c r="P579" i="2"/>
  <c r="H579" i="2"/>
  <c r="I579" i="2" s="1"/>
  <c r="O579" i="2" s="1"/>
  <c r="H355" i="2"/>
  <c r="I355" i="2" s="1"/>
  <c r="O355" i="2" s="1"/>
  <c r="J355" i="2"/>
  <c r="P355" i="2"/>
  <c r="P935" i="2"/>
  <c r="H935" i="2"/>
  <c r="I935" i="2" s="1"/>
  <c r="O935" i="2" s="1"/>
  <c r="J935" i="2"/>
  <c r="H907" i="2"/>
  <c r="I907" i="2" s="1"/>
  <c r="O907" i="2" s="1"/>
  <c r="J907" i="2"/>
  <c r="P907" i="2"/>
  <c r="P893" i="2"/>
  <c r="H893" i="2"/>
  <c r="I893" i="2" s="1"/>
  <c r="O893" i="2" s="1"/>
  <c r="J893" i="2"/>
  <c r="P608" i="2"/>
  <c r="J608" i="2"/>
  <c r="H608" i="2"/>
  <c r="I608" i="2" s="1"/>
  <c r="O608" i="2" s="1"/>
  <c r="J142" i="2"/>
  <c r="H142" i="2"/>
  <c r="I142" i="2" s="1"/>
  <c r="O142" i="2" s="1"/>
  <c r="P142" i="2"/>
  <c r="J716" i="2"/>
  <c r="P716" i="2"/>
  <c r="H716" i="2"/>
  <c r="I716" i="2" s="1"/>
  <c r="O716" i="2" s="1"/>
  <c r="P288" i="2"/>
  <c r="H288" i="2"/>
  <c r="I288" i="2" s="1"/>
  <c r="O288" i="2" s="1"/>
  <c r="J288" i="2"/>
  <c r="J163" i="2"/>
  <c r="P163" i="2"/>
  <c r="H163" i="2"/>
  <c r="I163" i="2" s="1"/>
  <c r="O163" i="2" s="1"/>
  <c r="P148" i="2"/>
  <c r="J148" i="2"/>
  <c r="H148" i="2"/>
  <c r="I148" i="2" s="1"/>
  <c r="O148" i="2" s="1"/>
  <c r="P768" i="2"/>
  <c r="J768" i="2"/>
  <c r="H768" i="2"/>
  <c r="I768" i="2" s="1"/>
  <c r="O768" i="2" s="1"/>
  <c r="P71" i="4"/>
  <c r="J71" i="4"/>
  <c r="H71" i="4"/>
  <c r="I71" i="4" s="1"/>
  <c r="O71" i="4" s="1"/>
  <c r="P850" i="2"/>
  <c r="J850" i="2"/>
  <c r="H850" i="2"/>
  <c r="I850" i="2" s="1"/>
  <c r="O850" i="2" s="1"/>
  <c r="P766" i="2"/>
  <c r="H766" i="2"/>
  <c r="I766" i="2" s="1"/>
  <c r="O766" i="2" s="1"/>
  <c r="J766" i="2"/>
  <c r="H906" i="2"/>
  <c r="I906" i="2" s="1"/>
  <c r="O906" i="2" s="1"/>
  <c r="J906" i="2"/>
  <c r="P906" i="2"/>
  <c r="H835" i="2"/>
  <c r="I835" i="2" s="1"/>
  <c r="O835" i="2" s="1"/>
  <c r="P835" i="2"/>
  <c r="J835" i="2"/>
  <c r="J670" i="2"/>
  <c r="P670" i="2"/>
  <c r="H670" i="2"/>
  <c r="I670" i="2" s="1"/>
  <c r="O670" i="2" s="1"/>
  <c r="J831" i="2"/>
  <c r="H831" i="2"/>
  <c r="I831" i="2" s="1"/>
  <c r="O831" i="2" s="1"/>
  <c r="P831" i="2"/>
  <c r="P711" i="2"/>
  <c r="H711" i="2"/>
  <c r="I711" i="2" s="1"/>
  <c r="O711" i="2" s="1"/>
  <c r="J711" i="2"/>
  <c r="P514" i="2"/>
  <c r="J514" i="2"/>
  <c r="H514" i="2"/>
  <c r="I514" i="2" s="1"/>
  <c r="O514" i="2" s="1"/>
  <c r="P150" i="2"/>
  <c r="J150" i="2"/>
  <c r="H150" i="2"/>
  <c r="I150" i="2" s="1"/>
  <c r="O150" i="2" s="1"/>
  <c r="P594" i="2"/>
  <c r="J594" i="2"/>
  <c r="H594" i="2"/>
  <c r="I594" i="2" s="1"/>
  <c r="O594" i="2" s="1"/>
  <c r="J360" i="2"/>
  <c r="H360" i="2"/>
  <c r="I360" i="2" s="1"/>
  <c r="O360" i="2" s="1"/>
  <c r="P360" i="2"/>
  <c r="P148" i="4"/>
  <c r="H148" i="4"/>
  <c r="I148" i="4" s="1"/>
  <c r="O148" i="4" s="1"/>
  <c r="J148" i="4"/>
  <c r="P245" i="2"/>
  <c r="J245" i="2"/>
  <c r="H245" i="2"/>
  <c r="I245" i="2" s="1"/>
  <c r="O245" i="2" s="1"/>
  <c r="J655" i="2"/>
  <c r="P655" i="2"/>
  <c r="H655" i="2"/>
  <c r="I655" i="2" s="1"/>
  <c r="O655" i="2" s="1"/>
  <c r="H484" i="2"/>
  <c r="I484" i="2" s="1"/>
  <c r="O484" i="2" s="1"/>
  <c r="J484" i="2"/>
  <c r="P484" i="2"/>
  <c r="J269" i="2"/>
  <c r="P269" i="2"/>
  <c r="H269" i="2"/>
  <c r="I269" i="2" s="1"/>
  <c r="O269" i="2" s="1"/>
  <c r="H930" i="2"/>
  <c r="I930" i="2" s="1"/>
  <c r="O930" i="2" s="1"/>
  <c r="J930" i="2"/>
  <c r="P930" i="2"/>
  <c r="J326" i="2"/>
  <c r="P326" i="2"/>
  <c r="H326" i="2"/>
  <c r="I326" i="2" s="1"/>
  <c r="O326" i="2" s="1"/>
  <c r="H20" i="2"/>
  <c r="I20" i="2" s="1"/>
  <c r="O20" i="2" s="1"/>
  <c r="J20" i="2"/>
  <c r="P20" i="2"/>
  <c r="P436" i="2"/>
  <c r="J436" i="2"/>
  <c r="H436" i="2"/>
  <c r="I436" i="2" s="1"/>
  <c r="O436" i="2" s="1"/>
  <c r="P62" i="2"/>
  <c r="J62" i="2"/>
  <c r="H62" i="2"/>
  <c r="I62" i="2" s="1"/>
  <c r="O62" i="2" s="1"/>
  <c r="J412" i="2"/>
  <c r="H412" i="2"/>
  <c r="I412" i="2" s="1"/>
  <c r="O412" i="2" s="1"/>
  <c r="P412" i="2"/>
  <c r="J122" i="2"/>
  <c r="P122" i="2"/>
  <c r="H122" i="2"/>
  <c r="I122" i="2" s="1"/>
  <c r="O122" i="2" s="1"/>
  <c r="P270" i="2"/>
  <c r="J270" i="2"/>
  <c r="H270" i="2"/>
  <c r="I270" i="2" s="1"/>
  <c r="O270" i="2" s="1"/>
  <c r="H115" i="2"/>
  <c r="I115" i="2" s="1"/>
  <c r="O115" i="2" s="1"/>
  <c r="P115" i="2"/>
  <c r="J115" i="2"/>
  <c r="K191" i="4"/>
  <c r="P738" i="2"/>
  <c r="H738" i="2"/>
  <c r="I738" i="2" s="1"/>
  <c r="O738" i="2" s="1"/>
  <c r="J738" i="2"/>
  <c r="P174" i="4"/>
  <c r="H174" i="4"/>
  <c r="I174" i="4" s="1"/>
  <c r="O174" i="4" s="1"/>
  <c r="J174" i="4"/>
  <c r="P886" i="2"/>
  <c r="J886" i="2"/>
  <c r="H886" i="2"/>
  <c r="I886" i="2" s="1"/>
  <c r="O886" i="2" s="1"/>
  <c r="J480" i="4"/>
  <c r="H480" i="4"/>
  <c r="I480" i="4" s="1"/>
  <c r="O480" i="4" s="1"/>
  <c r="P480" i="4"/>
  <c r="J939" i="2"/>
  <c r="P939" i="2"/>
  <c r="H939" i="2"/>
  <c r="I939" i="2" s="1"/>
  <c r="O939" i="2" s="1"/>
  <c r="J723" i="2"/>
  <c r="H723" i="2"/>
  <c r="I723" i="2" s="1"/>
  <c r="O723" i="2" s="1"/>
  <c r="P723" i="2"/>
  <c r="P190" i="2"/>
  <c r="J190" i="2"/>
  <c r="H190" i="2"/>
  <c r="I190" i="2" s="1"/>
  <c r="O190" i="2" s="1"/>
  <c r="P233" i="4"/>
  <c r="J233" i="4"/>
  <c r="H233" i="4"/>
  <c r="I233" i="4" s="1"/>
  <c r="O233" i="4" s="1"/>
  <c r="J153" i="4"/>
  <c r="H153" i="4"/>
  <c r="I153" i="4" s="1"/>
  <c r="O153" i="4" s="1"/>
  <c r="P153" i="4"/>
  <c r="J201" i="4"/>
  <c r="P201" i="4"/>
  <c r="H201" i="4"/>
  <c r="I201" i="4" s="1"/>
  <c r="O201" i="4" s="1"/>
  <c r="H383" i="2"/>
  <c r="I383" i="2" s="1"/>
  <c r="O383" i="2" s="1"/>
  <c r="J383" i="2"/>
  <c r="P383" i="2"/>
  <c r="P108" i="2"/>
  <c r="H108" i="2"/>
  <c r="I108" i="2" s="1"/>
  <c r="O108" i="2" s="1"/>
  <c r="J108" i="2"/>
  <c r="J35" i="4"/>
  <c r="H35" i="4"/>
  <c r="I35" i="4" s="1"/>
  <c r="O35" i="4" s="1"/>
  <c r="P35" i="4"/>
  <c r="P624" i="2"/>
  <c r="J624" i="2"/>
  <c r="H624" i="2"/>
  <c r="I624" i="2" s="1"/>
  <c r="O624" i="2" s="1"/>
  <c r="H496" i="2"/>
  <c r="I496" i="2" s="1"/>
  <c r="O496" i="2" s="1"/>
  <c r="P496" i="2"/>
  <c r="J496" i="2"/>
  <c r="P370" i="2"/>
  <c r="H370" i="2"/>
  <c r="I370" i="2" s="1"/>
  <c r="O370" i="2" s="1"/>
  <c r="J370" i="2"/>
  <c r="P774" i="2"/>
  <c r="J774" i="2"/>
  <c r="H774" i="2"/>
  <c r="I774" i="2" s="1"/>
  <c r="O774" i="2" s="1"/>
  <c r="J823" i="2"/>
  <c r="H823" i="2"/>
  <c r="I823" i="2" s="1"/>
  <c r="O823" i="2" s="1"/>
  <c r="P823" i="2"/>
  <c r="H438" i="2"/>
  <c r="I438" i="2" s="1"/>
  <c r="O438" i="2" s="1"/>
  <c r="P438" i="2"/>
  <c r="J438" i="2"/>
  <c r="P165" i="2"/>
  <c r="J165" i="2"/>
  <c r="H165" i="2"/>
  <c r="I165" i="2" s="1"/>
  <c r="O165" i="2" s="1"/>
  <c r="H236" i="2"/>
  <c r="I236" i="2" s="1"/>
  <c r="O236" i="2" s="1"/>
  <c r="P236" i="2"/>
  <c r="J236" i="2"/>
  <c r="P188" i="2"/>
  <c r="H188" i="2"/>
  <c r="I188" i="2" s="1"/>
  <c r="O188" i="2" s="1"/>
  <c r="J188" i="2"/>
  <c r="I146" i="2"/>
  <c r="O146" i="2" s="1"/>
  <c r="H393" i="2"/>
  <c r="I393" i="2" s="1"/>
  <c r="O393" i="2" s="1"/>
  <c r="P393" i="2"/>
  <c r="J393" i="2"/>
  <c r="P369" i="2"/>
  <c r="J369" i="2"/>
  <c r="H369" i="2"/>
  <c r="I369" i="2" s="1"/>
  <c r="O369" i="2" s="1"/>
  <c r="P134" i="2"/>
  <c r="H134" i="2"/>
  <c r="I134" i="2" s="1"/>
  <c r="O134" i="2" s="1"/>
  <c r="J134" i="2"/>
  <c r="J450" i="2"/>
  <c r="P450" i="2"/>
  <c r="H450" i="2"/>
  <c r="I450" i="2" s="1"/>
  <c r="O450" i="2" s="1"/>
  <c r="P61" i="2"/>
  <c r="H61" i="2"/>
  <c r="I61" i="2" s="1"/>
  <c r="O61" i="2" s="1"/>
  <c r="J61" i="2"/>
  <c r="J339" i="2"/>
  <c r="P339" i="2"/>
  <c r="H339" i="2"/>
  <c r="I339" i="2" s="1"/>
  <c r="O339" i="2" s="1"/>
  <c r="P226" i="2"/>
  <c r="H226" i="2"/>
  <c r="I226" i="2" s="1"/>
  <c r="O226" i="2" s="1"/>
  <c r="J226" i="2"/>
  <c r="P416" i="2"/>
  <c r="J416" i="2"/>
  <c r="H416" i="2"/>
  <c r="I416" i="2" s="1"/>
  <c r="O416" i="2" s="1"/>
  <c r="J466" i="2"/>
  <c r="H466" i="2"/>
  <c r="I466" i="2" s="1"/>
  <c r="O466" i="2" s="1"/>
  <c r="P466" i="2"/>
  <c r="P447" i="2"/>
  <c r="J447" i="2"/>
  <c r="H447" i="2"/>
  <c r="I447" i="2" s="1"/>
  <c r="O447" i="2" s="1"/>
  <c r="P200" i="2"/>
  <c r="J200" i="2"/>
  <c r="H200" i="2"/>
  <c r="I200" i="2" s="1"/>
  <c r="O200" i="2" s="1"/>
  <c r="P224" i="2"/>
  <c r="J224" i="2"/>
  <c r="H224" i="2"/>
  <c r="I224" i="2" s="1"/>
  <c r="O224" i="2" s="1"/>
  <c r="P77" i="2"/>
  <c r="H77" i="2"/>
  <c r="I77" i="2" s="1"/>
  <c r="O77" i="2" s="1"/>
  <c r="J77" i="2"/>
  <c r="P133" i="2"/>
  <c r="H133" i="2"/>
  <c r="I133" i="2" s="1"/>
  <c r="O133" i="2" s="1"/>
  <c r="J133" i="2"/>
  <c r="P476" i="2"/>
  <c r="J476" i="2"/>
  <c r="H476" i="2"/>
  <c r="I476" i="2" s="1"/>
  <c r="O476" i="2" s="1"/>
  <c r="J196" i="2"/>
  <c r="H196" i="2"/>
  <c r="I196" i="2" s="1"/>
  <c r="O196" i="2" s="1"/>
  <c r="P196" i="2"/>
  <c r="P100" i="2"/>
  <c r="J100" i="2"/>
  <c r="H100" i="2"/>
  <c r="I100" i="2" s="1"/>
  <c r="O100" i="2" s="1"/>
  <c r="P405" i="2"/>
  <c r="J405" i="2"/>
  <c r="H405" i="2"/>
  <c r="I405" i="2" s="1"/>
  <c r="O405" i="2" s="1"/>
  <c r="J82" i="4"/>
  <c r="P82" i="4"/>
  <c r="H82" i="4"/>
  <c r="I82" i="4" s="1"/>
  <c r="O82" i="4" s="1"/>
  <c r="J125" i="2"/>
  <c r="H125" i="2"/>
  <c r="I125" i="2" s="1"/>
  <c r="O125" i="2" s="1"/>
  <c r="P125" i="2"/>
  <c r="P135" i="2"/>
  <c r="H135" i="2"/>
  <c r="I135" i="2" s="1"/>
  <c r="O135" i="2" s="1"/>
  <c r="J135" i="2"/>
  <c r="H350" i="2"/>
  <c r="I350" i="2" s="1"/>
  <c r="O350" i="2" s="1"/>
  <c r="P350" i="2"/>
  <c r="J350" i="2"/>
  <c r="J111" i="2"/>
  <c r="H111" i="2"/>
  <c r="I111" i="2" s="1"/>
  <c r="O111" i="2" s="1"/>
  <c r="P111" i="2"/>
  <c r="H411" i="2"/>
  <c r="I411" i="2" s="1"/>
  <c r="O411" i="2" s="1"/>
  <c r="P411" i="2"/>
  <c r="J411" i="2"/>
  <c r="P73" i="2"/>
  <c r="J73" i="2"/>
  <c r="H73" i="2"/>
  <c r="I73" i="2" s="1"/>
  <c r="O73" i="2" s="1"/>
  <c r="H87" i="2"/>
  <c r="I87" i="2" s="1"/>
  <c r="O87" i="2" s="1"/>
  <c r="P87" i="2"/>
  <c r="J87" i="2"/>
  <c r="P354" i="2"/>
  <c r="H354" i="2"/>
  <c r="I354" i="2" s="1"/>
  <c r="O354" i="2" s="1"/>
  <c r="J354" i="2"/>
  <c r="J88" i="2"/>
  <c r="H88" i="2"/>
  <c r="I88" i="2" s="1"/>
  <c r="O88" i="2" s="1"/>
  <c r="P88" i="2"/>
  <c r="P120" i="2"/>
  <c r="H120" i="2"/>
  <c r="I120" i="2" s="1"/>
  <c r="O120" i="2" s="1"/>
  <c r="J120" i="2"/>
  <c r="P42" i="2"/>
  <c r="J42" i="2"/>
  <c r="H42" i="2"/>
  <c r="I42" i="2" s="1"/>
  <c r="O42" i="2" s="1"/>
  <c r="P305" i="2"/>
  <c r="J305" i="2"/>
  <c r="H305" i="2"/>
  <c r="I305" i="2" s="1"/>
  <c r="O305" i="2" s="1"/>
  <c r="J565" i="2"/>
  <c r="P565" i="2"/>
  <c r="H565" i="2"/>
  <c r="I565" i="2" s="1"/>
  <c r="O565" i="2" s="1"/>
  <c r="J41" i="2"/>
  <c r="H41" i="2"/>
  <c r="I41" i="2" s="1"/>
  <c r="O41" i="2" s="1"/>
  <c r="P41" i="2"/>
  <c r="J183" i="2"/>
  <c r="H183" i="2"/>
  <c r="I183" i="2" s="1"/>
  <c r="O183" i="2" s="1"/>
  <c r="P183" i="2"/>
  <c r="P310" i="2"/>
  <c r="J310" i="2"/>
  <c r="H310" i="2"/>
  <c r="I310" i="2" s="1"/>
  <c r="O310" i="2" s="1"/>
  <c r="H174" i="2"/>
  <c r="I174" i="2" s="1"/>
  <c r="O174" i="2" s="1"/>
  <c r="P174" i="2"/>
  <c r="J174" i="2"/>
  <c r="J775" i="2"/>
  <c r="P775" i="2"/>
  <c r="H775" i="2"/>
  <c r="I775" i="2" s="1"/>
  <c r="O775" i="2" s="1"/>
  <c r="P494" i="2"/>
  <c r="H494" i="2"/>
  <c r="I494" i="2" s="1"/>
  <c r="O494" i="2" s="1"/>
  <c r="J494" i="2"/>
  <c r="H644" i="2"/>
  <c r="I644" i="2" s="1"/>
  <c r="O644" i="2" s="1"/>
  <c r="P644" i="2"/>
  <c r="J644" i="2"/>
  <c r="P263" i="2"/>
  <c r="J263" i="2"/>
  <c r="H263" i="2"/>
  <c r="I263" i="2" s="1"/>
  <c r="O263" i="2" s="1"/>
  <c r="P619" i="2"/>
  <c r="H619" i="2"/>
  <c r="I619" i="2" s="1"/>
  <c r="O619" i="2" s="1"/>
  <c r="J619" i="2"/>
  <c r="J164" i="2"/>
  <c r="P164" i="2"/>
  <c r="H164" i="2"/>
  <c r="I164" i="2" s="1"/>
  <c r="O164" i="2" s="1"/>
  <c r="H112" i="2"/>
  <c r="I112" i="2" s="1"/>
  <c r="O112" i="2" s="1"/>
  <c r="J112" i="2"/>
  <c r="P112" i="2"/>
  <c r="J637" i="2"/>
  <c r="P637" i="2"/>
  <c r="H637" i="2"/>
  <c r="I637" i="2" s="1"/>
  <c r="O637" i="2" s="1"/>
  <c r="H81" i="2"/>
  <c r="I81" i="2" s="1"/>
  <c r="O81" i="2" s="1"/>
  <c r="J81" i="2"/>
  <c r="P81" i="2"/>
  <c r="H762" i="2"/>
  <c r="I762" i="2" s="1"/>
  <c r="O762" i="2" s="1"/>
  <c r="P762" i="2"/>
  <c r="J762" i="2"/>
  <c r="P204" i="2"/>
  <c r="H204" i="2"/>
  <c r="I204" i="2" s="1"/>
  <c r="O204" i="2" s="1"/>
  <c r="J204" i="2"/>
  <c r="P332" i="2"/>
  <c r="H332" i="2"/>
  <c r="I332" i="2" s="1"/>
  <c r="O332" i="2" s="1"/>
  <c r="J332" i="2"/>
  <c r="P583" i="2"/>
  <c r="H583" i="2"/>
  <c r="I583" i="2" s="1"/>
  <c r="O583" i="2" s="1"/>
  <c r="J583" i="2"/>
  <c r="J420" i="2"/>
  <c r="P420" i="2"/>
  <c r="H420" i="2"/>
  <c r="I420" i="2" s="1"/>
  <c r="O420" i="2" s="1"/>
  <c r="P215" i="2"/>
  <c r="J215" i="2"/>
  <c r="H215" i="2"/>
  <c r="I215" i="2" s="1"/>
  <c r="O215" i="2" s="1"/>
  <c r="H574" i="2"/>
  <c r="I574" i="2" s="1"/>
  <c r="O574" i="2" s="1"/>
  <c r="P574" i="2"/>
  <c r="J574" i="2"/>
  <c r="P299" i="2"/>
  <c r="J299" i="2"/>
  <c r="H299" i="2"/>
  <c r="I299" i="2" s="1"/>
  <c r="O299" i="2" s="1"/>
  <c r="H356" i="2"/>
  <c r="I356" i="2" s="1"/>
  <c r="O356" i="2" s="1"/>
  <c r="P356" i="2"/>
  <c r="J356" i="2"/>
  <c r="H349" i="2"/>
  <c r="I349" i="2" s="1"/>
  <c r="O349" i="2" s="1"/>
  <c r="J349" i="2"/>
  <c r="P349" i="2"/>
  <c r="H804" i="2"/>
  <c r="I804" i="2" s="1"/>
  <c r="O804" i="2" s="1"/>
  <c r="P804" i="2"/>
  <c r="J804" i="2"/>
  <c r="P264" i="2"/>
  <c r="J264" i="2"/>
  <c r="H264" i="2"/>
  <c r="I264" i="2" s="1"/>
  <c r="O264" i="2" s="1"/>
  <c r="H395" i="2"/>
  <c r="I395" i="2" s="1"/>
  <c r="O395" i="2" s="1"/>
  <c r="J395" i="2"/>
  <c r="P395" i="2"/>
  <c r="P38" i="2"/>
  <c r="H38" i="2"/>
  <c r="I38" i="2" s="1"/>
  <c r="O38" i="2" s="1"/>
  <c r="J38" i="2"/>
  <c r="P794" i="2"/>
  <c r="J794" i="2"/>
  <c r="H794" i="2"/>
  <c r="I794" i="2" s="1"/>
  <c r="O794" i="2" s="1"/>
  <c r="H223" i="2"/>
  <c r="I223" i="2" s="1"/>
  <c r="O223" i="2" s="1"/>
  <c r="P223" i="2"/>
  <c r="J223" i="2"/>
  <c r="P596" i="2"/>
  <c r="J596" i="2"/>
  <c r="H596" i="2"/>
  <c r="I596" i="2" s="1"/>
  <c r="O596" i="2" s="1"/>
  <c r="H628" i="2"/>
  <c r="I628" i="2" s="1"/>
  <c r="O628" i="2" s="1"/>
  <c r="P628" i="2"/>
  <c r="J628" i="2"/>
  <c r="P74" i="2"/>
  <c r="J74" i="2"/>
  <c r="H74" i="2"/>
  <c r="I74" i="2" s="1"/>
  <c r="O74" i="2" s="1"/>
  <c r="P244" i="2"/>
  <c r="J244" i="2"/>
  <c r="H244" i="2"/>
  <c r="I244" i="2" s="1"/>
  <c r="O244" i="2" s="1"/>
  <c r="P719" i="2"/>
  <c r="J719" i="2"/>
  <c r="H719" i="2"/>
  <c r="I719" i="2" s="1"/>
  <c r="O719" i="2" s="1"/>
  <c r="K176" i="2"/>
  <c r="J338" i="2"/>
  <c r="P338" i="2"/>
  <c r="H338" i="2"/>
  <c r="I338" i="2" s="1"/>
  <c r="O338" i="2" s="1"/>
  <c r="J182" i="2"/>
  <c r="H182" i="2"/>
  <c r="I182" i="2" s="1"/>
  <c r="O182" i="2" s="1"/>
  <c r="P182" i="2"/>
  <c r="H611" i="2"/>
  <c r="I611" i="2" s="1"/>
  <c r="O611" i="2" s="1"/>
  <c r="J611" i="2"/>
  <c r="P611" i="2"/>
  <c r="J199" i="2"/>
  <c r="P199" i="2"/>
  <c r="H199" i="2"/>
  <c r="I199" i="2" s="1"/>
  <c r="O199" i="2" s="1"/>
  <c r="P201" i="2"/>
  <c r="H201" i="2"/>
  <c r="I201" i="2" s="1"/>
  <c r="O201" i="2" s="1"/>
  <c r="J201" i="2"/>
  <c r="J162" i="2"/>
  <c r="H162" i="2"/>
  <c r="I162" i="2" s="1"/>
  <c r="O162" i="2" s="1"/>
  <c r="P162" i="2"/>
  <c r="H128" i="2"/>
  <c r="I128" i="2" s="1"/>
  <c r="O128" i="2" s="1"/>
  <c r="P128" i="2"/>
  <c r="J128" i="2"/>
  <c r="P103" i="2"/>
  <c r="H103" i="2"/>
  <c r="I103" i="2" s="1"/>
  <c r="O103" i="2" s="1"/>
  <c r="J103" i="2"/>
  <c r="J91" i="2"/>
  <c r="P91" i="2"/>
  <c r="H91" i="2"/>
  <c r="I91" i="2" s="1"/>
  <c r="O91" i="2" s="1"/>
  <c r="P60" i="2"/>
  <c r="H60" i="2"/>
  <c r="I60" i="2" s="1"/>
  <c r="O60" i="2" s="1"/>
  <c r="J60" i="2"/>
  <c r="P309" i="2"/>
  <c r="H309" i="2"/>
  <c r="I309" i="2" s="1"/>
  <c r="O309" i="2" s="1"/>
  <c r="J309" i="2"/>
  <c r="P530" i="2"/>
  <c r="H530" i="2"/>
  <c r="I530" i="2" s="1"/>
  <c r="O530" i="2" s="1"/>
  <c r="J530" i="2"/>
  <c r="P321" i="2"/>
  <c r="H321" i="2"/>
  <c r="I321" i="2" s="1"/>
  <c r="O321" i="2" s="1"/>
  <c r="J321" i="2"/>
  <c r="H56" i="2"/>
  <c r="I56" i="2" s="1"/>
  <c r="O56" i="2" s="1"/>
  <c r="P56" i="2"/>
  <c r="J56" i="2"/>
  <c r="J491" i="2"/>
  <c r="H491" i="2"/>
  <c r="I491" i="2" s="1"/>
  <c r="O491" i="2" s="1"/>
  <c r="P491" i="2"/>
  <c r="P651" i="2"/>
  <c r="J651" i="2"/>
  <c r="H651" i="2"/>
  <c r="I651" i="2" s="1"/>
  <c r="O651" i="2" s="1"/>
  <c r="H347" i="2"/>
  <c r="I347" i="2" s="1"/>
  <c r="O347" i="2" s="1"/>
  <c r="P347" i="2"/>
  <c r="J347" i="2"/>
  <c r="J647" i="2"/>
  <c r="H647" i="2"/>
  <c r="I647" i="2" s="1"/>
  <c r="O647" i="2" s="1"/>
  <c r="P647" i="2"/>
  <c r="J457" i="2"/>
  <c r="H457" i="2"/>
  <c r="I457" i="2" s="1"/>
  <c r="O457" i="2" s="1"/>
  <c r="P457" i="2"/>
  <c r="J451" i="2"/>
  <c r="H451" i="2"/>
  <c r="I451" i="2" s="1"/>
  <c r="O451" i="2" s="1"/>
  <c r="P451" i="2"/>
  <c r="J898" i="2"/>
  <c r="H898" i="2"/>
  <c r="I898" i="2" s="1"/>
  <c r="O898" i="2" s="1"/>
  <c r="P898" i="2"/>
  <c r="P194" i="2"/>
  <c r="H194" i="2"/>
  <c r="I194" i="2" s="1"/>
  <c r="O194" i="2" s="1"/>
  <c r="J194" i="2"/>
  <c r="P636" i="2"/>
  <c r="J636" i="2"/>
  <c r="H636" i="2"/>
  <c r="I636" i="2" s="1"/>
  <c r="O636" i="2" s="1"/>
  <c r="J187" i="2"/>
  <c r="P187" i="2"/>
  <c r="H187" i="2"/>
  <c r="I187" i="2" s="1"/>
  <c r="O187" i="2" s="1"/>
  <c r="J252" i="2"/>
  <c r="H252" i="2"/>
  <c r="I252" i="2" s="1"/>
  <c r="O252" i="2" s="1"/>
  <c r="P252" i="2"/>
  <c r="P433" i="2"/>
  <c r="J433" i="2"/>
  <c r="H433" i="2"/>
  <c r="I433" i="2" s="1"/>
  <c r="O433" i="2" s="1"/>
  <c r="J178" i="2"/>
  <c r="H178" i="2"/>
  <c r="I178" i="2" s="1"/>
  <c r="O178" i="2" s="1"/>
  <c r="P178" i="2"/>
  <c r="K979" i="2" l="1"/>
  <c r="Q625" i="4"/>
  <c r="R625" i="4" s="1"/>
  <c r="T625" i="4" s="1"/>
  <c r="V625" i="4" s="1"/>
  <c r="K429" i="4"/>
  <c r="K573" i="4"/>
  <c r="K44" i="4"/>
  <c r="K805" i="4"/>
  <c r="Q429" i="4"/>
  <c r="R429" i="4" s="1"/>
  <c r="T429" i="4" s="1"/>
  <c r="V429" i="4" s="1"/>
  <c r="I979" i="2"/>
  <c r="O979" i="2" s="1"/>
  <c r="Q979" i="2" s="1"/>
  <c r="R979" i="2" s="1"/>
  <c r="T979" i="2" s="1"/>
  <c r="V979" i="2" s="1"/>
  <c r="Q130" i="2"/>
  <c r="R130" i="2" s="1"/>
  <c r="T130" i="2" s="1"/>
  <c r="V130" i="2" s="1"/>
  <c r="K329" i="2"/>
  <c r="K782" i="4"/>
  <c r="K101" i="2"/>
  <c r="Q524" i="2"/>
  <c r="R524" i="2" s="1"/>
  <c r="T524" i="2" s="1"/>
  <c r="V524" i="2" s="1"/>
  <c r="Q97" i="4"/>
  <c r="R97" i="4" s="1"/>
  <c r="T97" i="4" s="1"/>
  <c r="V97" i="4" s="1"/>
  <c r="K527" i="4"/>
  <c r="K510" i="4"/>
  <c r="K721" i="4"/>
  <c r="I721" i="4"/>
  <c r="O721" i="4" s="1"/>
  <c r="Q721" i="4" s="1"/>
  <c r="R721" i="4" s="1"/>
  <c r="T721" i="4" s="1"/>
  <c r="V721" i="4" s="1"/>
  <c r="I101" i="2"/>
  <c r="O101" i="2" s="1"/>
  <c r="Q101" i="2" s="1"/>
  <c r="R101" i="2" s="1"/>
  <c r="T101" i="2" s="1"/>
  <c r="V101" i="2" s="1"/>
  <c r="K241" i="2"/>
  <c r="K712" i="2"/>
  <c r="K658" i="4"/>
  <c r="K895" i="4"/>
  <c r="K816" i="2"/>
  <c r="K228" i="2"/>
  <c r="K478" i="4"/>
  <c r="K277" i="4"/>
  <c r="K309" i="4"/>
  <c r="Q67" i="4"/>
  <c r="R67" i="4" s="1"/>
  <c r="T67" i="4" s="1"/>
  <c r="V67" i="4" s="1"/>
  <c r="K856" i="4"/>
  <c r="K452" i="4"/>
  <c r="I241" i="2"/>
  <c r="O241" i="2" s="1"/>
  <c r="Q241" i="2" s="1"/>
  <c r="R241" i="2" s="1"/>
  <c r="T241" i="2" s="1"/>
  <c r="V241" i="2" s="1"/>
  <c r="Q782" i="4"/>
  <c r="R782" i="4" s="1"/>
  <c r="T782" i="4" s="1"/>
  <c r="V782" i="4" s="1"/>
  <c r="K1003" i="2"/>
  <c r="Q338" i="4"/>
  <c r="R338" i="4" s="1"/>
  <c r="T338" i="4" s="1"/>
  <c r="V338" i="4" s="1"/>
  <c r="Q895" i="4"/>
  <c r="R895" i="4" s="1"/>
  <c r="T895" i="4" s="1"/>
  <c r="V895" i="4" s="1"/>
  <c r="Q573" i="4"/>
  <c r="R573" i="4" s="1"/>
  <c r="T573" i="4" s="1"/>
  <c r="V573" i="4" s="1"/>
  <c r="K555" i="2"/>
  <c r="K338" i="4"/>
  <c r="K821" i="2"/>
  <c r="Q555" i="2"/>
  <c r="R555" i="2" s="1"/>
  <c r="T555" i="2" s="1"/>
  <c r="V555" i="2" s="1"/>
  <c r="K145" i="4"/>
  <c r="Q314" i="4"/>
  <c r="R314" i="4" s="1"/>
  <c r="T314" i="4" s="1"/>
  <c r="V314" i="4" s="1"/>
  <c r="K219" i="2"/>
  <c r="K124" i="2"/>
  <c r="I1003" i="2"/>
  <c r="O1003" i="2" s="1"/>
  <c r="Q1003" i="2" s="1"/>
  <c r="R1003" i="2" s="1"/>
  <c r="T1003" i="2" s="1"/>
  <c r="V1003" i="2" s="1"/>
  <c r="K618" i="2"/>
  <c r="Q874" i="4"/>
  <c r="R874" i="4" s="1"/>
  <c r="T874" i="4" s="1"/>
  <c r="V874" i="4" s="1"/>
  <c r="Q712" i="2"/>
  <c r="R712" i="2" s="1"/>
  <c r="T712" i="2" s="1"/>
  <c r="V712" i="2" s="1"/>
  <c r="K753" i="2"/>
  <c r="Q579" i="2"/>
  <c r="R579" i="2" s="1"/>
  <c r="T579" i="2" s="1"/>
  <c r="V579" i="2" s="1"/>
  <c r="Q204" i="2"/>
  <c r="R204" i="2" s="1"/>
  <c r="T204" i="2" s="1"/>
  <c r="V204" i="2" s="1"/>
  <c r="K537" i="2"/>
  <c r="K732" i="4"/>
  <c r="Q298" i="4"/>
  <c r="R298" i="4" s="1"/>
  <c r="T298" i="4" s="1"/>
  <c r="V298" i="4" s="1"/>
  <c r="Q674" i="2"/>
  <c r="R674" i="2" s="1"/>
  <c r="T674" i="2" s="1"/>
  <c r="V674" i="2" s="1"/>
  <c r="I732" i="4"/>
  <c r="O732" i="4" s="1"/>
  <c r="Q732" i="4" s="1"/>
  <c r="R732" i="4" s="1"/>
  <c r="T732" i="4" s="1"/>
  <c r="V732" i="4" s="1"/>
  <c r="K274" i="2"/>
  <c r="Q661" i="2"/>
  <c r="R661" i="2" s="1"/>
  <c r="T661" i="2" s="1"/>
  <c r="V661" i="2" s="1"/>
  <c r="I618" i="2"/>
  <c r="O618" i="2" s="1"/>
  <c r="Q618" i="2" s="1"/>
  <c r="R618" i="2" s="1"/>
  <c r="T618" i="2" s="1"/>
  <c r="V618" i="2" s="1"/>
  <c r="Q456" i="4"/>
  <c r="R456" i="4" s="1"/>
  <c r="T456" i="4" s="1"/>
  <c r="V456" i="4" s="1"/>
  <c r="K198" i="2"/>
  <c r="Q537" i="2"/>
  <c r="R537" i="2" s="1"/>
  <c r="T537" i="2" s="1"/>
  <c r="V537" i="2" s="1"/>
  <c r="K717" i="2"/>
  <c r="K298" i="4"/>
  <c r="K168" i="4"/>
  <c r="K984" i="2"/>
  <c r="Q848" i="4"/>
  <c r="R848" i="4" s="1"/>
  <c r="T848" i="4" s="1"/>
  <c r="V848" i="4" s="1"/>
  <c r="Q521" i="4"/>
  <c r="R521" i="4" s="1"/>
  <c r="T521" i="4" s="1"/>
  <c r="V521" i="4" s="1"/>
  <c r="K874" i="4"/>
  <c r="I452" i="4"/>
  <c r="O452" i="4" s="1"/>
  <c r="Q452" i="4" s="1"/>
  <c r="R452" i="4" s="1"/>
  <c r="T452" i="4" s="1"/>
  <c r="V452" i="4" s="1"/>
  <c r="Q772" i="4"/>
  <c r="R772" i="4" s="1"/>
  <c r="T772" i="4" s="1"/>
  <c r="V772" i="4" s="1"/>
  <c r="K707" i="2"/>
  <c r="K836" i="4"/>
  <c r="K567" i="4"/>
  <c r="K417" i="2"/>
  <c r="K426" i="2"/>
  <c r="Q814" i="4"/>
  <c r="R814" i="4" s="1"/>
  <c r="T814" i="4" s="1"/>
  <c r="V814" i="4" s="1"/>
  <c r="K521" i="4"/>
  <c r="Q154" i="2"/>
  <c r="R154" i="2" s="1"/>
  <c r="T154" i="2" s="1"/>
  <c r="V154" i="2" s="1"/>
  <c r="Q984" i="2"/>
  <c r="R984" i="2" s="1"/>
  <c r="T984" i="2" s="1"/>
  <c r="V984" i="2" s="1"/>
  <c r="Q381" i="2"/>
  <c r="R381" i="2" s="1"/>
  <c r="T381" i="2" s="1"/>
  <c r="V381" i="2" s="1"/>
  <c r="Q357" i="4"/>
  <c r="R357" i="4" s="1"/>
  <c r="T357" i="4" s="1"/>
  <c r="V357" i="4" s="1"/>
  <c r="Q717" i="2"/>
  <c r="R717" i="2" s="1"/>
  <c r="T717" i="2" s="1"/>
  <c r="V717" i="2" s="1"/>
  <c r="K98" i="2"/>
  <c r="K527" i="2"/>
  <c r="K297" i="4"/>
  <c r="Q550" i="2"/>
  <c r="R550" i="2" s="1"/>
  <c r="T550" i="2" s="1"/>
  <c r="V550" i="2" s="1"/>
  <c r="Q658" i="4"/>
  <c r="R658" i="4" s="1"/>
  <c r="T658" i="4" s="1"/>
  <c r="V658" i="4" s="1"/>
  <c r="Q836" i="4"/>
  <c r="R836" i="4" s="1"/>
  <c r="T836" i="4" s="1"/>
  <c r="V836" i="4" s="1"/>
  <c r="Q387" i="2"/>
  <c r="R387" i="2" s="1"/>
  <c r="T387" i="2" s="1"/>
  <c r="V387" i="2" s="1"/>
  <c r="K626" i="4"/>
  <c r="K947" i="2"/>
  <c r="K278" i="4"/>
  <c r="K814" i="4"/>
  <c r="Q707" i="2"/>
  <c r="R707" i="2" s="1"/>
  <c r="T707" i="2" s="1"/>
  <c r="V707" i="2" s="1"/>
  <c r="Q733" i="4"/>
  <c r="R733" i="4" s="1"/>
  <c r="T733" i="4" s="1"/>
  <c r="V733" i="4" s="1"/>
  <c r="K961" i="4"/>
  <c r="Q904" i="2"/>
  <c r="R904" i="2" s="1"/>
  <c r="T904" i="2" s="1"/>
  <c r="V904" i="2" s="1"/>
  <c r="Q657" i="2"/>
  <c r="R657" i="2" s="1"/>
  <c r="T657" i="2" s="1"/>
  <c r="V657" i="2" s="1"/>
  <c r="K890" i="2"/>
  <c r="Q527" i="2"/>
  <c r="R527" i="2" s="1"/>
  <c r="T527" i="2" s="1"/>
  <c r="V527" i="2" s="1"/>
  <c r="I297" i="4"/>
  <c r="O297" i="4" s="1"/>
  <c r="Q297" i="4" s="1"/>
  <c r="R297" i="4" s="1"/>
  <c r="T297" i="4" s="1"/>
  <c r="V297" i="4" s="1"/>
  <c r="K117" i="2"/>
  <c r="K568" i="4"/>
  <c r="Q417" i="2"/>
  <c r="R417" i="2" s="1"/>
  <c r="T417" i="2" s="1"/>
  <c r="V417" i="2" s="1"/>
  <c r="Q878" i="4"/>
  <c r="R878" i="4" s="1"/>
  <c r="T878" i="4" s="1"/>
  <c r="V878" i="4" s="1"/>
  <c r="Q274" i="2"/>
  <c r="R274" i="2" s="1"/>
  <c r="T274" i="2" s="1"/>
  <c r="V274" i="2" s="1"/>
  <c r="K39" i="2"/>
  <c r="K41" i="4"/>
  <c r="Q329" i="2"/>
  <c r="R329" i="2" s="1"/>
  <c r="T329" i="2" s="1"/>
  <c r="V329" i="2" s="1"/>
  <c r="K932" i="2"/>
  <c r="K211" i="2"/>
  <c r="K733" i="4"/>
  <c r="K236" i="4"/>
  <c r="Q211" i="2"/>
  <c r="R211" i="2" s="1"/>
  <c r="T211" i="2" s="1"/>
  <c r="V211" i="2" s="1"/>
  <c r="K152" i="4"/>
  <c r="K138" i="2"/>
  <c r="K520" i="4"/>
  <c r="K690" i="2"/>
  <c r="K47" i="2"/>
  <c r="K871" i="4"/>
  <c r="K826" i="4"/>
  <c r="K881" i="2"/>
  <c r="K390" i="4"/>
  <c r="Q39" i="2"/>
  <c r="R39" i="2" s="1"/>
  <c r="T39" i="2" s="1"/>
  <c r="V39" i="2" s="1"/>
  <c r="K48" i="4"/>
  <c r="Q846" i="2"/>
  <c r="R846" i="2" s="1"/>
  <c r="T846" i="2" s="1"/>
  <c r="V846" i="2" s="1"/>
  <c r="K341" i="4"/>
  <c r="Q181" i="4"/>
  <c r="R181" i="4" s="1"/>
  <c r="T181" i="4" s="1"/>
  <c r="V181" i="4" s="1"/>
  <c r="K265" i="2"/>
  <c r="K330" i="4"/>
  <c r="Q843" i="4"/>
  <c r="R843" i="4" s="1"/>
  <c r="T843" i="4" s="1"/>
  <c r="V843" i="4" s="1"/>
  <c r="Q298" i="2"/>
  <c r="R298" i="2" s="1"/>
  <c r="T298" i="2" s="1"/>
  <c r="V298" i="2" s="1"/>
  <c r="Q299" i="4"/>
  <c r="R299" i="4" s="1"/>
  <c r="T299" i="4" s="1"/>
  <c r="V299" i="4" s="1"/>
  <c r="K21" i="4"/>
  <c r="Q386" i="2"/>
  <c r="R386" i="2" s="1"/>
  <c r="T386" i="2" s="1"/>
  <c r="V386" i="2" s="1"/>
  <c r="K256" i="2"/>
  <c r="Q57" i="2"/>
  <c r="R57" i="2" s="1"/>
  <c r="T57" i="2" s="1"/>
  <c r="V57" i="2" s="1"/>
  <c r="Q151" i="4"/>
  <c r="R151" i="4" s="1"/>
  <c r="T151" i="4" s="1"/>
  <c r="V151" i="4" s="1"/>
  <c r="K744" i="2"/>
  <c r="K604" i="4"/>
  <c r="K357" i="4"/>
  <c r="Q565" i="4"/>
  <c r="R565" i="4" s="1"/>
  <c r="T565" i="4" s="1"/>
  <c r="V565" i="4" s="1"/>
  <c r="Q350" i="4"/>
  <c r="R350" i="4" s="1"/>
  <c r="T350" i="4" s="1"/>
  <c r="V350" i="4" s="1"/>
  <c r="K207" i="2"/>
  <c r="K403" i="4"/>
  <c r="K913" i="2"/>
  <c r="Q178" i="4"/>
  <c r="R178" i="4" s="1"/>
  <c r="T178" i="4" s="1"/>
  <c r="V178" i="4" s="1"/>
  <c r="Q220" i="4"/>
  <c r="R220" i="4" s="1"/>
  <c r="T220" i="4" s="1"/>
  <c r="V220" i="4" s="1"/>
  <c r="I21" i="4"/>
  <c r="O21" i="4" s="1"/>
  <c r="Q21" i="4" s="1"/>
  <c r="R21" i="4" s="1"/>
  <c r="T21" i="4" s="1"/>
  <c r="V21" i="4" s="1"/>
  <c r="K822" i="4"/>
  <c r="Q838" i="4"/>
  <c r="R838" i="4" s="1"/>
  <c r="T838" i="4" s="1"/>
  <c r="V838" i="4" s="1"/>
  <c r="Q74" i="2"/>
  <c r="R74" i="2" s="1"/>
  <c r="T74" i="2" s="1"/>
  <c r="V74" i="2" s="1"/>
  <c r="Q824" i="2"/>
  <c r="R824" i="2" s="1"/>
  <c r="T824" i="2" s="1"/>
  <c r="V824" i="2" s="1"/>
  <c r="K185" i="4"/>
  <c r="K710" i="2"/>
  <c r="K752" i="2"/>
  <c r="K968" i="4"/>
  <c r="Q757" i="4"/>
  <c r="R757" i="4" s="1"/>
  <c r="T757" i="4" s="1"/>
  <c r="V757" i="4" s="1"/>
  <c r="K722" i="2"/>
  <c r="K221" i="4"/>
  <c r="K842" i="4"/>
  <c r="Q854" i="2"/>
  <c r="R854" i="2" s="1"/>
  <c r="T854" i="2" s="1"/>
  <c r="V854" i="2" s="1"/>
  <c r="K418" i="2"/>
  <c r="Q796" i="4"/>
  <c r="R796" i="4" s="1"/>
  <c r="T796" i="4" s="1"/>
  <c r="V796" i="4" s="1"/>
  <c r="K781" i="2"/>
  <c r="K276" i="4"/>
  <c r="Q24" i="2"/>
  <c r="R24" i="2" s="1"/>
  <c r="T24" i="2" s="1"/>
  <c r="V24" i="2" s="1"/>
  <c r="Q32" i="2"/>
  <c r="R32" i="2" s="1"/>
  <c r="T32" i="2" s="1"/>
  <c r="V32" i="2" s="1"/>
  <c r="K923" i="2"/>
  <c r="Q620" i="2"/>
  <c r="R620" i="2" s="1"/>
  <c r="T620" i="2" s="1"/>
  <c r="V620" i="2" s="1"/>
  <c r="K337" i="4"/>
  <c r="Q105" i="2"/>
  <c r="R105" i="2" s="1"/>
  <c r="T105" i="2" s="1"/>
  <c r="V105" i="2" s="1"/>
  <c r="K582" i="4"/>
  <c r="K860" i="4"/>
  <c r="Q330" i="4"/>
  <c r="R330" i="4" s="1"/>
  <c r="T330" i="4" s="1"/>
  <c r="V330" i="4" s="1"/>
  <c r="K744" i="4"/>
  <c r="K706" i="4"/>
  <c r="K18" i="2"/>
  <c r="K440" i="2"/>
  <c r="K38" i="4"/>
  <c r="Q138" i="4"/>
  <c r="R138" i="4" s="1"/>
  <c r="T138" i="4" s="1"/>
  <c r="V138" i="4" s="1"/>
  <c r="K316" i="4"/>
  <c r="Q788" i="4"/>
  <c r="R788" i="4" s="1"/>
  <c r="T788" i="4" s="1"/>
  <c r="V788" i="4" s="1"/>
  <c r="Q744" i="4"/>
  <c r="R744" i="4" s="1"/>
  <c r="T744" i="4" s="1"/>
  <c r="V744" i="4" s="1"/>
  <c r="K261" i="2"/>
  <c r="K45" i="4"/>
  <c r="Q424" i="4"/>
  <c r="R424" i="4" s="1"/>
  <c r="T424" i="4" s="1"/>
  <c r="V424" i="4" s="1"/>
  <c r="K742" i="2"/>
  <c r="I48" i="4"/>
  <c r="O48" i="4" s="1"/>
  <c r="Q48" i="4" s="1"/>
  <c r="R48" i="4" s="1"/>
  <c r="T48" i="4" s="1"/>
  <c r="V48" i="4" s="1"/>
  <c r="K784" i="2"/>
  <c r="Q842" i="4"/>
  <c r="R842" i="4" s="1"/>
  <c r="T842" i="4" s="1"/>
  <c r="V842" i="4" s="1"/>
  <c r="Q582" i="4"/>
  <c r="R582" i="4" s="1"/>
  <c r="T582" i="4" s="1"/>
  <c r="V582" i="4" s="1"/>
  <c r="K136" i="2"/>
  <c r="K754" i="2"/>
  <c r="Q671" i="4"/>
  <c r="R671" i="4" s="1"/>
  <c r="T671" i="4" s="1"/>
  <c r="V671" i="4" s="1"/>
  <c r="Q475" i="4"/>
  <c r="R475" i="4" s="1"/>
  <c r="T475" i="4" s="1"/>
  <c r="V475" i="4" s="1"/>
  <c r="K764" i="4"/>
  <c r="K390" i="2"/>
  <c r="Q234" i="4"/>
  <c r="R234" i="4" s="1"/>
  <c r="T234" i="4" s="1"/>
  <c r="V234" i="4" s="1"/>
  <c r="K796" i="4"/>
  <c r="Q227" i="2"/>
  <c r="R227" i="2" s="1"/>
  <c r="T227" i="2" s="1"/>
  <c r="V227" i="2" s="1"/>
  <c r="Q860" i="4"/>
  <c r="R860" i="4" s="1"/>
  <c r="T860" i="4" s="1"/>
  <c r="V860" i="4" s="1"/>
  <c r="K306" i="2"/>
  <c r="Q93" i="4"/>
  <c r="R93" i="4" s="1"/>
  <c r="T93" i="4" s="1"/>
  <c r="V93" i="4" s="1"/>
  <c r="K993" i="4"/>
  <c r="K974" i="4"/>
  <c r="K508" i="2"/>
  <c r="K728" i="4"/>
  <c r="K590" i="2"/>
  <c r="K602" i="2"/>
  <c r="K532" i="4"/>
  <c r="K640" i="4"/>
  <c r="K107" i="2"/>
  <c r="Q139" i="4"/>
  <c r="R139" i="4" s="1"/>
  <c r="T139" i="4" s="1"/>
  <c r="V139" i="4" s="1"/>
  <c r="I38" i="4"/>
  <c r="O38" i="4" s="1"/>
  <c r="Q38" i="4" s="1"/>
  <c r="R38" i="4" s="1"/>
  <c r="T38" i="4" s="1"/>
  <c r="V38" i="4" s="1"/>
  <c r="Q510" i="4"/>
  <c r="R510" i="4" s="1"/>
  <c r="T510" i="4" s="1"/>
  <c r="V510" i="4" s="1"/>
  <c r="Q139" i="2"/>
  <c r="R139" i="2" s="1"/>
  <c r="T139" i="2" s="1"/>
  <c r="V139" i="2" s="1"/>
  <c r="K757" i="4"/>
  <c r="K139" i="2"/>
  <c r="K542" i="2"/>
  <c r="K35" i="2"/>
  <c r="I265" i="2"/>
  <c r="O265" i="2" s="1"/>
  <c r="Q265" i="2" s="1"/>
  <c r="R265" i="2" s="1"/>
  <c r="T265" i="2" s="1"/>
  <c r="V265" i="2" s="1"/>
  <c r="K611" i="4"/>
  <c r="Q277" i="4"/>
  <c r="R277" i="4" s="1"/>
  <c r="T277" i="4" s="1"/>
  <c r="V277" i="4" s="1"/>
  <c r="K918" i="2"/>
  <c r="K29" i="2"/>
  <c r="K683" i="4"/>
  <c r="Q43" i="4"/>
  <c r="R43" i="4" s="1"/>
  <c r="T43" i="4" s="1"/>
  <c r="V43" i="4" s="1"/>
  <c r="K227" i="2"/>
  <c r="Q185" i="4"/>
  <c r="R185" i="4" s="1"/>
  <c r="T185" i="4" s="1"/>
  <c r="V185" i="4" s="1"/>
  <c r="Q959" i="2"/>
  <c r="R959" i="2" s="1"/>
  <c r="T959" i="2" s="1"/>
  <c r="V959" i="2" s="1"/>
  <c r="Q679" i="2"/>
  <c r="R679" i="2" s="1"/>
  <c r="T679" i="2" s="1"/>
  <c r="V679" i="2" s="1"/>
  <c r="Q307" i="2"/>
  <c r="R307" i="2" s="1"/>
  <c r="T307" i="2" s="1"/>
  <c r="V307" i="2" s="1"/>
  <c r="K328" i="2"/>
  <c r="K838" i="4"/>
  <c r="Q826" i="4"/>
  <c r="R826" i="4" s="1"/>
  <c r="T826" i="4" s="1"/>
  <c r="V826" i="4" s="1"/>
  <c r="K921" i="2"/>
  <c r="I403" i="4"/>
  <c r="O403" i="4" s="1"/>
  <c r="Q403" i="4" s="1"/>
  <c r="R403" i="4" s="1"/>
  <c r="T403" i="4" s="1"/>
  <c r="V403" i="4" s="1"/>
  <c r="K97" i="4"/>
  <c r="K134" i="4"/>
  <c r="Q34" i="2"/>
  <c r="R34" i="2" s="1"/>
  <c r="T34" i="2" s="1"/>
  <c r="V34" i="2" s="1"/>
  <c r="Q888" i="4"/>
  <c r="R888" i="4" s="1"/>
  <c r="T888" i="4" s="1"/>
  <c r="V888" i="4" s="1"/>
  <c r="K605" i="4"/>
  <c r="Q89" i="2"/>
  <c r="R89" i="2" s="1"/>
  <c r="T89" i="2" s="1"/>
  <c r="V89" i="2" s="1"/>
  <c r="K75" i="4"/>
  <c r="Q706" i="4"/>
  <c r="R706" i="4" s="1"/>
  <c r="T706" i="4" s="1"/>
  <c r="V706" i="4" s="1"/>
  <c r="K253" i="2"/>
  <c r="K517" i="2"/>
  <c r="Q574" i="4"/>
  <c r="R574" i="4" s="1"/>
  <c r="T574" i="4" s="1"/>
  <c r="V574" i="4" s="1"/>
  <c r="K108" i="2"/>
  <c r="Q822" i="2"/>
  <c r="R822" i="2" s="1"/>
  <c r="T822" i="2" s="1"/>
  <c r="V822" i="2" s="1"/>
  <c r="K544" i="4"/>
  <c r="I136" i="2"/>
  <c r="O136" i="2" s="1"/>
  <c r="Q136" i="2" s="1"/>
  <c r="R136" i="2" s="1"/>
  <c r="T136" i="2" s="1"/>
  <c r="V136" i="2" s="1"/>
  <c r="K256" i="4"/>
  <c r="K1000" i="4"/>
  <c r="K234" i="2"/>
  <c r="K63" i="2"/>
  <c r="Q629" i="2"/>
  <c r="R629" i="2" s="1"/>
  <c r="T629" i="2" s="1"/>
  <c r="V629" i="2" s="1"/>
  <c r="K854" i="2"/>
  <c r="K492" i="4"/>
  <c r="K139" i="4"/>
  <c r="K28" i="4"/>
  <c r="Q602" i="2"/>
  <c r="R602" i="2" s="1"/>
  <c r="T602" i="2" s="1"/>
  <c r="V602" i="2" s="1"/>
  <c r="Q440" i="2"/>
  <c r="R440" i="2" s="1"/>
  <c r="T440" i="2" s="1"/>
  <c r="V440" i="2" s="1"/>
  <c r="Q949" i="2"/>
  <c r="R949" i="2" s="1"/>
  <c r="T949" i="2" s="1"/>
  <c r="V949" i="2" s="1"/>
  <c r="I921" i="2"/>
  <c r="O921" i="2" s="1"/>
  <c r="Q921" i="2" s="1"/>
  <c r="R921" i="2" s="1"/>
  <c r="T921" i="2" s="1"/>
  <c r="V921" i="2" s="1"/>
  <c r="K759" i="2"/>
  <c r="Q306" i="2"/>
  <c r="R306" i="2" s="1"/>
  <c r="T306" i="2" s="1"/>
  <c r="V306" i="2" s="1"/>
  <c r="K362" i="2"/>
  <c r="K620" i="2"/>
  <c r="K178" i="4"/>
  <c r="K817" i="4"/>
  <c r="K191" i="2"/>
  <c r="Q242" i="4"/>
  <c r="R242" i="4" s="1"/>
  <c r="T242" i="4" s="1"/>
  <c r="V242" i="4" s="1"/>
  <c r="Q809" i="2"/>
  <c r="R809" i="2" s="1"/>
  <c r="T809" i="2" s="1"/>
  <c r="V809" i="2" s="1"/>
  <c r="K234" i="4"/>
  <c r="K792" i="2"/>
  <c r="Q78" i="4"/>
  <c r="R78" i="4" s="1"/>
  <c r="T78" i="4" s="1"/>
  <c r="V78" i="4" s="1"/>
  <c r="Q295" i="2"/>
  <c r="R295" i="2" s="1"/>
  <c r="T295" i="2" s="1"/>
  <c r="V295" i="2" s="1"/>
  <c r="Q297" i="2"/>
  <c r="R297" i="2" s="1"/>
  <c r="T297" i="2" s="1"/>
  <c r="V297" i="2" s="1"/>
  <c r="K629" i="2"/>
  <c r="K419" i="2"/>
  <c r="K424" i="4"/>
  <c r="K293" i="2"/>
  <c r="K428" i="4"/>
  <c r="K67" i="4"/>
  <c r="Q728" i="4"/>
  <c r="R728" i="4" s="1"/>
  <c r="T728" i="4" s="1"/>
  <c r="V728" i="4" s="1"/>
  <c r="Q520" i="2"/>
  <c r="R520" i="2" s="1"/>
  <c r="T520" i="2" s="1"/>
  <c r="V520" i="2" s="1"/>
  <c r="K109" i="4"/>
  <c r="Q932" i="2"/>
  <c r="R932" i="2" s="1"/>
  <c r="T932" i="2" s="1"/>
  <c r="V932" i="2" s="1"/>
  <c r="K43" i="4"/>
  <c r="Q796" i="2"/>
  <c r="R796" i="2" s="1"/>
  <c r="T796" i="2" s="1"/>
  <c r="V796" i="2" s="1"/>
  <c r="K78" i="4"/>
  <c r="K609" i="2"/>
  <c r="K595" i="2"/>
  <c r="K528" i="2"/>
  <c r="Q660" i="2"/>
  <c r="R660" i="2" s="1"/>
  <c r="T660" i="2" s="1"/>
  <c r="V660" i="2" s="1"/>
  <c r="K379" i="2"/>
  <c r="K869" i="4"/>
  <c r="K682" i="2"/>
  <c r="K392" i="4"/>
  <c r="Q634" i="4"/>
  <c r="R634" i="4" s="1"/>
  <c r="T634" i="4" s="1"/>
  <c r="V634" i="4" s="1"/>
  <c r="I107" i="2"/>
  <c r="O107" i="2" s="1"/>
  <c r="Q107" i="2" s="1"/>
  <c r="R107" i="2" s="1"/>
  <c r="T107" i="2" s="1"/>
  <c r="V107" i="2" s="1"/>
  <c r="Q690" i="2"/>
  <c r="R690" i="2" s="1"/>
  <c r="T690" i="2" s="1"/>
  <c r="V690" i="2" s="1"/>
  <c r="K335" i="2"/>
  <c r="K46" i="4"/>
  <c r="Q191" i="2"/>
  <c r="R191" i="2" s="1"/>
  <c r="T191" i="2" s="1"/>
  <c r="V191" i="2" s="1"/>
  <c r="Q117" i="2"/>
  <c r="R117" i="2" s="1"/>
  <c r="T117" i="2" s="1"/>
  <c r="V117" i="2" s="1"/>
  <c r="Q909" i="2"/>
  <c r="R909" i="2" s="1"/>
  <c r="T909" i="2" s="1"/>
  <c r="V909" i="2" s="1"/>
  <c r="K286" i="2"/>
  <c r="K601" i="2"/>
  <c r="Q273" i="2"/>
  <c r="R273" i="2" s="1"/>
  <c r="T273" i="2" s="1"/>
  <c r="V273" i="2" s="1"/>
  <c r="Q511" i="4"/>
  <c r="R511" i="4" s="1"/>
  <c r="T511" i="4" s="1"/>
  <c r="V511" i="4" s="1"/>
  <c r="K801" i="2"/>
  <c r="K796" i="2"/>
  <c r="Q482" i="2"/>
  <c r="R482" i="2" s="1"/>
  <c r="T482" i="2" s="1"/>
  <c r="V482" i="2" s="1"/>
  <c r="Q36" i="4"/>
  <c r="R36" i="4" s="1"/>
  <c r="T36" i="4" s="1"/>
  <c r="V36" i="4" s="1"/>
  <c r="Q944" i="2"/>
  <c r="R944" i="2" s="1"/>
  <c r="T944" i="2" s="1"/>
  <c r="V944" i="2" s="1"/>
  <c r="K773" i="2"/>
  <c r="K54" i="2"/>
  <c r="K322" i="4"/>
  <c r="K684" i="2"/>
  <c r="K671" i="4"/>
  <c r="Q517" i="2"/>
  <c r="R517" i="2" s="1"/>
  <c r="T517" i="2" s="1"/>
  <c r="V517" i="2" s="1"/>
  <c r="Q335" i="2"/>
  <c r="R335" i="2" s="1"/>
  <c r="T335" i="2" s="1"/>
  <c r="V335" i="2" s="1"/>
  <c r="Q256" i="2"/>
  <c r="R256" i="2" s="1"/>
  <c r="T256" i="2" s="1"/>
  <c r="V256" i="2" s="1"/>
  <c r="K372" i="2"/>
  <c r="K400" i="2"/>
  <c r="Q487" i="2"/>
  <c r="R487" i="2" s="1"/>
  <c r="T487" i="2" s="1"/>
  <c r="V487" i="2" s="1"/>
  <c r="K499" i="4"/>
  <c r="K673" i="4"/>
  <c r="Q328" i="2"/>
  <c r="R328" i="2" s="1"/>
  <c r="T328" i="2" s="1"/>
  <c r="V328" i="2" s="1"/>
  <c r="K105" i="2"/>
  <c r="Q419" i="2"/>
  <c r="R419" i="2" s="1"/>
  <c r="T419" i="2" s="1"/>
  <c r="V419" i="2" s="1"/>
  <c r="Q499" i="4"/>
  <c r="R499" i="4" s="1"/>
  <c r="T499" i="4" s="1"/>
  <c r="V499" i="4" s="1"/>
  <c r="Q229" i="2"/>
  <c r="R229" i="2" s="1"/>
  <c r="T229" i="2" s="1"/>
  <c r="V229" i="2" s="1"/>
  <c r="K325" i="2"/>
  <c r="K572" i="2"/>
  <c r="K945" i="2"/>
  <c r="Q542" i="2"/>
  <c r="R542" i="2" s="1"/>
  <c r="T542" i="2" s="1"/>
  <c r="V542" i="2" s="1"/>
  <c r="Q693" i="4"/>
  <c r="R693" i="4" s="1"/>
  <c r="T693" i="4" s="1"/>
  <c r="V693" i="4" s="1"/>
  <c r="K368" i="4"/>
  <c r="K367" i="4"/>
  <c r="K273" i="2"/>
  <c r="K987" i="2"/>
  <c r="K749" i="2"/>
  <c r="K95" i="2"/>
  <c r="K671" i="2"/>
  <c r="K299" i="4"/>
  <c r="K24" i="4"/>
  <c r="K576" i="2"/>
  <c r="K914" i="2"/>
  <c r="Q645" i="2"/>
  <c r="R645" i="2" s="1"/>
  <c r="T645" i="2" s="1"/>
  <c r="V645" i="2" s="1"/>
  <c r="Q221" i="4"/>
  <c r="R221" i="4" s="1"/>
  <c r="T221" i="4" s="1"/>
  <c r="V221" i="4" s="1"/>
  <c r="K177" i="4"/>
  <c r="Q856" i="2"/>
  <c r="R856" i="2" s="1"/>
  <c r="T856" i="2" s="1"/>
  <c r="V856" i="2" s="1"/>
  <c r="Q942" i="4"/>
  <c r="R942" i="4" s="1"/>
  <c r="T942" i="4" s="1"/>
  <c r="V942" i="4" s="1"/>
  <c r="K797" i="2"/>
  <c r="Q876" i="4"/>
  <c r="R876" i="4" s="1"/>
  <c r="T876" i="4" s="1"/>
  <c r="V876" i="4" s="1"/>
  <c r="K487" i="2"/>
  <c r="Q121" i="2"/>
  <c r="R121" i="2" s="1"/>
  <c r="T121" i="2" s="1"/>
  <c r="V121" i="2" s="1"/>
  <c r="K318" i="4"/>
  <c r="Q122" i="2"/>
  <c r="R122" i="2" s="1"/>
  <c r="T122" i="2" s="1"/>
  <c r="V122" i="2" s="1"/>
  <c r="Q671" i="2"/>
  <c r="R671" i="2" s="1"/>
  <c r="T671" i="2" s="1"/>
  <c r="V671" i="2" s="1"/>
  <c r="Q331" i="4"/>
  <c r="R331" i="4" s="1"/>
  <c r="T331" i="4" s="1"/>
  <c r="V331" i="4" s="1"/>
  <c r="K376" i="4"/>
  <c r="K790" i="4"/>
  <c r="Q683" i="4"/>
  <c r="R683" i="4" s="1"/>
  <c r="T683" i="4" s="1"/>
  <c r="V683" i="4" s="1"/>
  <c r="K331" i="4"/>
  <c r="Q293" i="4"/>
  <c r="R293" i="4" s="1"/>
  <c r="T293" i="4" s="1"/>
  <c r="V293" i="4" s="1"/>
  <c r="K856" i="2"/>
  <c r="K347" i="4"/>
  <c r="Q318" i="4"/>
  <c r="R318" i="4" s="1"/>
  <c r="T318" i="4" s="1"/>
  <c r="V318" i="4" s="1"/>
  <c r="Q920" i="4"/>
  <c r="R920" i="4" s="1"/>
  <c r="T920" i="4" s="1"/>
  <c r="V920" i="4" s="1"/>
  <c r="K942" i="4"/>
  <c r="Q404" i="2"/>
  <c r="R404" i="2" s="1"/>
  <c r="T404" i="2" s="1"/>
  <c r="V404" i="2" s="1"/>
  <c r="Q566" i="2"/>
  <c r="R566" i="2" s="1"/>
  <c r="T566" i="2" s="1"/>
  <c r="V566" i="2" s="1"/>
  <c r="Q659" i="4"/>
  <c r="R659" i="4" s="1"/>
  <c r="T659" i="4" s="1"/>
  <c r="V659" i="4" s="1"/>
  <c r="I914" i="2"/>
  <c r="O914" i="2" s="1"/>
  <c r="Q914" i="2" s="1"/>
  <c r="R914" i="2" s="1"/>
  <c r="T914" i="2" s="1"/>
  <c r="V914" i="2" s="1"/>
  <c r="Q18" i="2"/>
  <c r="R18" i="2" s="1"/>
  <c r="T18" i="2" s="1"/>
  <c r="V18" i="2" s="1"/>
  <c r="K978" i="2"/>
  <c r="I63" i="2"/>
  <c r="O63" i="2" s="1"/>
  <c r="Q63" i="2" s="1"/>
  <c r="R63" i="2" s="1"/>
  <c r="T63" i="2" s="1"/>
  <c r="V63" i="2" s="1"/>
  <c r="K767" i="4"/>
  <c r="Q767" i="4"/>
  <c r="R767" i="4" s="1"/>
  <c r="T767" i="4" s="1"/>
  <c r="V767" i="4" s="1"/>
  <c r="Q923" i="2"/>
  <c r="R923" i="2" s="1"/>
  <c r="T923" i="2" s="1"/>
  <c r="V923" i="2" s="1"/>
  <c r="Q341" i="4"/>
  <c r="R341" i="4" s="1"/>
  <c r="T341" i="4" s="1"/>
  <c r="V341" i="4" s="1"/>
  <c r="Q981" i="2"/>
  <c r="R981" i="2" s="1"/>
  <c r="T981" i="2" s="1"/>
  <c r="V981" i="2" s="1"/>
  <c r="K873" i="2"/>
  <c r="K719" i="4"/>
  <c r="Q45" i="4"/>
  <c r="R45" i="4" s="1"/>
  <c r="T45" i="4" s="1"/>
  <c r="V45" i="4" s="1"/>
  <c r="I576" i="2"/>
  <c r="O576" i="2" s="1"/>
  <c r="Q576" i="2" s="1"/>
  <c r="R576" i="2" s="1"/>
  <c r="T576" i="2" s="1"/>
  <c r="V576" i="2" s="1"/>
  <c r="K944" i="2"/>
  <c r="Q513" i="4"/>
  <c r="R513" i="4" s="1"/>
  <c r="T513" i="4" s="1"/>
  <c r="V513" i="4" s="1"/>
  <c r="Q472" i="2"/>
  <c r="R472" i="2" s="1"/>
  <c r="T472" i="2" s="1"/>
  <c r="V472" i="2" s="1"/>
  <c r="K505" i="4"/>
  <c r="Q154" i="4"/>
  <c r="R154" i="4" s="1"/>
  <c r="T154" i="4" s="1"/>
  <c r="V154" i="4" s="1"/>
  <c r="I261" i="2"/>
  <c r="O261" i="2" s="1"/>
  <c r="Q261" i="2" s="1"/>
  <c r="R261" i="2" s="1"/>
  <c r="T261" i="2" s="1"/>
  <c r="V261" i="2" s="1"/>
  <c r="Q390" i="2"/>
  <c r="R390" i="2" s="1"/>
  <c r="T390" i="2" s="1"/>
  <c r="V390" i="2" s="1"/>
  <c r="K205" i="2"/>
  <c r="Q379" i="2"/>
  <c r="R379" i="2" s="1"/>
  <c r="T379" i="2" s="1"/>
  <c r="V379" i="2" s="1"/>
  <c r="K817" i="2"/>
  <c r="K151" i="4"/>
  <c r="Q900" i="4"/>
  <c r="R900" i="4" s="1"/>
  <c r="T900" i="4" s="1"/>
  <c r="V900" i="4" s="1"/>
  <c r="Q382" i="2"/>
  <c r="R382" i="2" s="1"/>
  <c r="T382" i="2" s="1"/>
  <c r="V382" i="2" s="1"/>
  <c r="K953" i="2"/>
  <c r="K297" i="2"/>
  <c r="K872" i="2"/>
  <c r="I337" i="4"/>
  <c r="O337" i="4" s="1"/>
  <c r="Q337" i="4" s="1"/>
  <c r="R337" i="4" s="1"/>
  <c r="T337" i="4" s="1"/>
  <c r="V337" i="4" s="1"/>
  <c r="Q291" i="2"/>
  <c r="R291" i="2" s="1"/>
  <c r="T291" i="2" s="1"/>
  <c r="V291" i="2" s="1"/>
  <c r="K900" i="4"/>
  <c r="Q722" i="2"/>
  <c r="R722" i="2" s="1"/>
  <c r="T722" i="2" s="1"/>
  <c r="V722" i="2" s="1"/>
  <c r="Q590" i="2"/>
  <c r="R590" i="2" s="1"/>
  <c r="T590" i="2" s="1"/>
  <c r="V590" i="2" s="1"/>
  <c r="K129" i="2"/>
  <c r="Q428" i="4"/>
  <c r="R428" i="4" s="1"/>
  <c r="T428" i="4" s="1"/>
  <c r="V428" i="4" s="1"/>
  <c r="K519" i="2"/>
  <c r="Q945" i="2"/>
  <c r="R945" i="2" s="1"/>
  <c r="T945" i="2" s="1"/>
  <c r="V945" i="2" s="1"/>
  <c r="Q311" i="2"/>
  <c r="R311" i="2" s="1"/>
  <c r="T311" i="2" s="1"/>
  <c r="V311" i="2" s="1"/>
  <c r="Q673" i="4"/>
  <c r="R673" i="4" s="1"/>
  <c r="T673" i="4" s="1"/>
  <c r="V673" i="4" s="1"/>
  <c r="Q624" i="4"/>
  <c r="R624" i="4" s="1"/>
  <c r="T624" i="4" s="1"/>
  <c r="V624" i="4" s="1"/>
  <c r="K516" i="4"/>
  <c r="K511" i="4"/>
  <c r="K386" i="2"/>
  <c r="K574" i="4"/>
  <c r="K622" i="2"/>
  <c r="K160" i="2"/>
  <c r="Q797" i="2"/>
  <c r="R797" i="2" s="1"/>
  <c r="T797" i="2" s="1"/>
  <c r="V797" i="2" s="1"/>
  <c r="Q28" i="4"/>
  <c r="R28" i="4" s="1"/>
  <c r="T28" i="4" s="1"/>
  <c r="V28" i="4" s="1"/>
  <c r="K135" i="4"/>
  <c r="Q928" i="4"/>
  <c r="R928" i="4" s="1"/>
  <c r="T928" i="4" s="1"/>
  <c r="V928" i="4" s="1"/>
  <c r="K840" i="4"/>
  <c r="K920" i="4"/>
  <c r="Q293" i="2"/>
  <c r="R293" i="2" s="1"/>
  <c r="T293" i="2" s="1"/>
  <c r="V293" i="2" s="1"/>
  <c r="K647" i="4"/>
  <c r="Q680" i="4"/>
  <c r="R680" i="4" s="1"/>
  <c r="T680" i="4" s="1"/>
  <c r="V680" i="4" s="1"/>
  <c r="Q781" i="2"/>
  <c r="R781" i="2" s="1"/>
  <c r="T781" i="2" s="1"/>
  <c r="V781" i="2" s="1"/>
  <c r="Q596" i="4"/>
  <c r="R596" i="4" s="1"/>
  <c r="T596" i="4" s="1"/>
  <c r="V596" i="4" s="1"/>
  <c r="K966" i="4"/>
  <c r="Q921" i="4"/>
  <c r="R921" i="4" s="1"/>
  <c r="T921" i="4" s="1"/>
  <c r="V921" i="4" s="1"/>
  <c r="K290" i="2"/>
  <c r="K634" i="4"/>
  <c r="K456" i="2"/>
  <c r="Q790" i="4"/>
  <c r="R790" i="4" s="1"/>
  <c r="T790" i="4" s="1"/>
  <c r="V790" i="4" s="1"/>
  <c r="K706" i="2"/>
  <c r="Q605" i="4"/>
  <c r="R605" i="4" s="1"/>
  <c r="T605" i="4" s="1"/>
  <c r="V605" i="4" s="1"/>
  <c r="Q971" i="4"/>
  <c r="R971" i="4" s="1"/>
  <c r="T971" i="4" s="1"/>
  <c r="V971" i="4" s="1"/>
  <c r="I615" i="2"/>
  <c r="O615" i="2" s="1"/>
  <c r="Q615" i="2" s="1"/>
  <c r="R615" i="2" s="1"/>
  <c r="T615" i="2" s="1"/>
  <c r="V615" i="2" s="1"/>
  <c r="Q792" i="2"/>
  <c r="R792" i="2" s="1"/>
  <c r="T792" i="2" s="1"/>
  <c r="V792" i="2" s="1"/>
  <c r="K876" i="4"/>
  <c r="K599" i="2"/>
  <c r="K398" i="2"/>
  <c r="K497" i="2"/>
  <c r="K154" i="4"/>
  <c r="I974" i="4"/>
  <c r="O974" i="4" s="1"/>
  <c r="Q974" i="4" s="1"/>
  <c r="R974" i="4" s="1"/>
  <c r="T974" i="4" s="1"/>
  <c r="V974" i="4" s="1"/>
  <c r="I520" i="4"/>
  <c r="O520" i="4" s="1"/>
  <c r="Q520" i="4" s="1"/>
  <c r="R520" i="4" s="1"/>
  <c r="T520" i="4" s="1"/>
  <c r="V520" i="4" s="1"/>
  <c r="K928" i="4"/>
  <c r="I918" i="2"/>
  <c r="O918" i="2" s="1"/>
  <c r="Q918" i="2" s="1"/>
  <c r="R918" i="2" s="1"/>
  <c r="T918" i="2" s="1"/>
  <c r="V918" i="2" s="1"/>
  <c r="K381" i="4"/>
  <c r="Q400" i="4"/>
  <c r="R400" i="4" s="1"/>
  <c r="T400" i="4" s="1"/>
  <c r="V400" i="4" s="1"/>
  <c r="Q995" i="4"/>
  <c r="R995" i="4" s="1"/>
  <c r="T995" i="4" s="1"/>
  <c r="V995" i="4" s="1"/>
  <c r="K146" i="2"/>
  <c r="K181" i="4"/>
  <c r="K910" i="4"/>
  <c r="I622" i="2"/>
  <c r="O622" i="2" s="1"/>
  <c r="Q622" i="2" s="1"/>
  <c r="R622" i="2" s="1"/>
  <c r="T622" i="2" s="1"/>
  <c r="V622" i="2" s="1"/>
  <c r="K214" i="2"/>
  <c r="Q167" i="4"/>
  <c r="R167" i="4" s="1"/>
  <c r="T167" i="4" s="1"/>
  <c r="V167" i="4" s="1"/>
  <c r="K771" i="4"/>
  <c r="K607" i="4"/>
  <c r="Q177" i="4"/>
  <c r="R177" i="4" s="1"/>
  <c r="T177" i="4" s="1"/>
  <c r="V177" i="4" s="1"/>
  <c r="K624" i="4"/>
  <c r="Q497" i="2"/>
  <c r="R497" i="2" s="1"/>
  <c r="T497" i="2" s="1"/>
  <c r="V497" i="2" s="1"/>
  <c r="K266" i="2"/>
  <c r="Q137" i="2"/>
  <c r="R137" i="2" s="1"/>
  <c r="T137" i="2" s="1"/>
  <c r="V137" i="2" s="1"/>
  <c r="Q63" i="4"/>
  <c r="R63" i="4" s="1"/>
  <c r="T63" i="4" s="1"/>
  <c r="V63" i="4" s="1"/>
  <c r="Q92" i="2"/>
  <c r="R92" i="2" s="1"/>
  <c r="T92" i="2" s="1"/>
  <c r="V92" i="2" s="1"/>
  <c r="K699" i="2"/>
  <c r="Q334" i="2"/>
  <c r="R334" i="2" s="1"/>
  <c r="T334" i="2" s="1"/>
  <c r="V334" i="2" s="1"/>
  <c r="Q891" i="2"/>
  <c r="R891" i="2" s="1"/>
  <c r="T891" i="2" s="1"/>
  <c r="V891" i="2" s="1"/>
  <c r="K456" i="4"/>
  <c r="Q554" i="4"/>
  <c r="R554" i="4" s="1"/>
  <c r="T554" i="4" s="1"/>
  <c r="V554" i="4" s="1"/>
  <c r="K507" i="2"/>
  <c r="K908" i="4"/>
  <c r="K255" i="2"/>
  <c r="I764" i="4"/>
  <c r="O764" i="4" s="1"/>
  <c r="Q764" i="4" s="1"/>
  <c r="R764" i="4" s="1"/>
  <c r="T764" i="4" s="1"/>
  <c r="V764" i="4" s="1"/>
  <c r="K438" i="4"/>
  <c r="K113" i="4"/>
  <c r="K824" i="2"/>
  <c r="I719" i="4"/>
  <c r="O719" i="4" s="1"/>
  <c r="Q719" i="4" s="1"/>
  <c r="R719" i="4" s="1"/>
  <c r="T719" i="4" s="1"/>
  <c r="V719" i="4" s="1"/>
  <c r="K225" i="2"/>
  <c r="Q726" i="2"/>
  <c r="R726" i="2" s="1"/>
  <c r="T726" i="2" s="1"/>
  <c r="V726" i="2" s="1"/>
  <c r="Q46" i="4"/>
  <c r="R46" i="4" s="1"/>
  <c r="T46" i="4" s="1"/>
  <c r="V46" i="4" s="1"/>
  <c r="I134" i="4"/>
  <c r="O134" i="4" s="1"/>
  <c r="Q134" i="4" s="1"/>
  <c r="R134" i="4" s="1"/>
  <c r="T134" i="4" s="1"/>
  <c r="V134" i="4" s="1"/>
  <c r="K229" i="2"/>
  <c r="K218" i="2"/>
  <c r="K304" i="2"/>
  <c r="Q934" i="2"/>
  <c r="R934" i="2" s="1"/>
  <c r="T934" i="2" s="1"/>
  <c r="V934" i="2" s="1"/>
  <c r="K680" i="4"/>
  <c r="Q626" i="4"/>
  <c r="R626" i="4" s="1"/>
  <c r="T626" i="4" s="1"/>
  <c r="V626" i="4" s="1"/>
  <c r="Q961" i="4"/>
  <c r="R961" i="4" s="1"/>
  <c r="T961" i="4" s="1"/>
  <c r="V961" i="4" s="1"/>
  <c r="K311" i="2"/>
  <c r="Q773" i="2"/>
  <c r="R773" i="2" s="1"/>
  <c r="T773" i="2" s="1"/>
  <c r="V773" i="2" s="1"/>
  <c r="Q799" i="4"/>
  <c r="R799" i="4" s="1"/>
  <c r="T799" i="4" s="1"/>
  <c r="V799" i="4" s="1"/>
  <c r="K720" i="4"/>
  <c r="Q392" i="4"/>
  <c r="R392" i="4" s="1"/>
  <c r="T392" i="4" s="1"/>
  <c r="V392" i="4" s="1"/>
  <c r="Q530" i="2"/>
  <c r="R530" i="2" s="1"/>
  <c r="T530" i="2" s="1"/>
  <c r="V530" i="2" s="1"/>
  <c r="Q448" i="4"/>
  <c r="R448" i="4" s="1"/>
  <c r="T448" i="4" s="1"/>
  <c r="V448" i="4" s="1"/>
  <c r="K295" i="2"/>
  <c r="K267" i="4"/>
  <c r="Q290" i="2"/>
  <c r="R290" i="2" s="1"/>
  <c r="T290" i="2" s="1"/>
  <c r="V290" i="2" s="1"/>
  <c r="K854" i="4"/>
  <c r="Q694" i="4"/>
  <c r="R694" i="4" s="1"/>
  <c r="T694" i="4" s="1"/>
  <c r="V694" i="4" s="1"/>
  <c r="Q306" i="4"/>
  <c r="R306" i="4" s="1"/>
  <c r="T306" i="4" s="1"/>
  <c r="V306" i="4" s="1"/>
  <c r="Q609" i="2"/>
  <c r="R609" i="2" s="1"/>
  <c r="T609" i="2" s="1"/>
  <c r="V609" i="2" s="1"/>
  <c r="K319" i="4"/>
  <c r="Q354" i="4"/>
  <c r="R354" i="4" s="1"/>
  <c r="T354" i="4" s="1"/>
  <c r="V354" i="4" s="1"/>
  <c r="K975" i="4"/>
  <c r="K482" i="2"/>
  <c r="K16" i="4"/>
  <c r="K669" i="2"/>
  <c r="K294" i="4"/>
  <c r="I516" i="4"/>
  <c r="O516" i="4" s="1"/>
  <c r="Q516" i="4" s="1"/>
  <c r="R516" i="4" s="1"/>
  <c r="T516" i="4" s="1"/>
  <c r="V516" i="4" s="1"/>
  <c r="Q475" i="2"/>
  <c r="R475" i="2" s="1"/>
  <c r="T475" i="2" s="1"/>
  <c r="V475" i="2" s="1"/>
  <c r="K240" i="2"/>
  <c r="K908" i="2"/>
  <c r="Q840" i="4"/>
  <c r="R840" i="4" s="1"/>
  <c r="T840" i="4" s="1"/>
  <c r="V840" i="4" s="1"/>
  <c r="Q205" i="2"/>
  <c r="R205" i="2" s="1"/>
  <c r="T205" i="2" s="1"/>
  <c r="V205" i="2" s="1"/>
  <c r="Q197" i="4"/>
  <c r="R197" i="4" s="1"/>
  <c r="T197" i="4" s="1"/>
  <c r="V197" i="4" s="1"/>
  <c r="K965" i="2"/>
  <c r="Q58" i="2"/>
  <c r="R58" i="2" s="1"/>
  <c r="T58" i="2" s="1"/>
  <c r="V58" i="2" s="1"/>
  <c r="K662" i="2"/>
  <c r="K432" i="4"/>
  <c r="Q468" i="2"/>
  <c r="R468" i="2" s="1"/>
  <c r="T468" i="2" s="1"/>
  <c r="V468" i="2" s="1"/>
  <c r="K903" i="2"/>
  <c r="Q662" i="2"/>
  <c r="R662" i="2" s="1"/>
  <c r="T662" i="2" s="1"/>
  <c r="V662" i="2" s="1"/>
  <c r="Q611" i="4"/>
  <c r="R611" i="4" s="1"/>
  <c r="T611" i="4" s="1"/>
  <c r="V611" i="4" s="1"/>
  <c r="Q106" i="4"/>
  <c r="R106" i="4" s="1"/>
  <c r="T106" i="4" s="1"/>
  <c r="V106" i="4" s="1"/>
  <c r="K67" i="2"/>
  <c r="K220" i="2"/>
  <c r="Q309" i="4"/>
  <c r="R309" i="4" s="1"/>
  <c r="T309" i="4" s="1"/>
  <c r="V309" i="4" s="1"/>
  <c r="Q240" i="4"/>
  <c r="R240" i="4" s="1"/>
  <c r="T240" i="4" s="1"/>
  <c r="V240" i="4" s="1"/>
  <c r="Q477" i="2"/>
  <c r="R477" i="2" s="1"/>
  <c r="T477" i="2" s="1"/>
  <c r="V477" i="2" s="1"/>
  <c r="Q207" i="2"/>
  <c r="R207" i="2" s="1"/>
  <c r="T207" i="2" s="1"/>
  <c r="V207" i="2" s="1"/>
  <c r="K461" i="2"/>
  <c r="K934" i="2"/>
  <c r="K788" i="4"/>
  <c r="Q759" i="2"/>
  <c r="R759" i="2" s="1"/>
  <c r="T759" i="2" s="1"/>
  <c r="V759" i="2" s="1"/>
  <c r="Q244" i="4"/>
  <c r="R244" i="4" s="1"/>
  <c r="T244" i="4" s="1"/>
  <c r="V244" i="4" s="1"/>
  <c r="Q884" i="4"/>
  <c r="R884" i="4" s="1"/>
  <c r="T884" i="4" s="1"/>
  <c r="V884" i="4" s="1"/>
  <c r="Q968" i="4"/>
  <c r="R968" i="4" s="1"/>
  <c r="T968" i="4" s="1"/>
  <c r="V968" i="4" s="1"/>
  <c r="Q903" i="2"/>
  <c r="R903" i="2" s="1"/>
  <c r="T903" i="2" s="1"/>
  <c r="V903" i="2" s="1"/>
  <c r="Q398" i="2"/>
  <c r="R398" i="2" s="1"/>
  <c r="T398" i="2" s="1"/>
  <c r="V398" i="2" s="1"/>
  <c r="K147" i="4"/>
  <c r="K467" i="2"/>
  <c r="I987" i="2"/>
  <c r="O987" i="2" s="1"/>
  <c r="Q987" i="2" s="1"/>
  <c r="R987" i="2" s="1"/>
  <c r="T987" i="2" s="1"/>
  <c r="V987" i="2" s="1"/>
  <c r="Q247" i="2"/>
  <c r="R247" i="2" s="1"/>
  <c r="T247" i="2" s="1"/>
  <c r="V247" i="2" s="1"/>
  <c r="K474" i="2"/>
  <c r="I822" i="4"/>
  <c r="O822" i="4" s="1"/>
  <c r="Q822" i="4" s="1"/>
  <c r="R822" i="4" s="1"/>
  <c r="T822" i="4" s="1"/>
  <c r="V822" i="4" s="1"/>
  <c r="K307" i="2"/>
  <c r="Q589" i="2"/>
  <c r="R589" i="2" s="1"/>
  <c r="T589" i="2" s="1"/>
  <c r="V589" i="2" s="1"/>
  <c r="K685" i="4"/>
  <c r="Q891" i="4"/>
  <c r="R891" i="4" s="1"/>
  <c r="T891" i="4" s="1"/>
  <c r="V891" i="4" s="1"/>
  <c r="Q7" i="2"/>
  <c r="R7" i="2" s="1"/>
  <c r="T7" i="2" s="1"/>
  <c r="V7" i="2" s="1"/>
  <c r="Q6" i="4"/>
  <c r="R6" i="4" s="1"/>
  <c r="T6" i="4" s="1"/>
  <c r="V6" i="4" s="1"/>
  <c r="K528" i="4"/>
  <c r="Q832" i="2"/>
  <c r="R832" i="2" s="1"/>
  <c r="T832" i="2" s="1"/>
  <c r="V832" i="2" s="1"/>
  <c r="Q42" i="4"/>
  <c r="R42" i="4" s="1"/>
  <c r="T42" i="4" s="1"/>
  <c r="V42" i="4" s="1"/>
  <c r="Q801" i="4"/>
  <c r="R801" i="4" s="1"/>
  <c r="T801" i="4" s="1"/>
  <c r="V801" i="4" s="1"/>
  <c r="Q685" i="4"/>
  <c r="R685" i="4" s="1"/>
  <c r="T685" i="4" s="1"/>
  <c r="V685" i="4" s="1"/>
  <c r="K536" i="2"/>
  <c r="Q213" i="4"/>
  <c r="R213" i="4" s="1"/>
  <c r="T213" i="4" s="1"/>
  <c r="V213" i="4" s="1"/>
  <c r="K334" i="4"/>
  <c r="K501" i="4"/>
  <c r="Q824" i="4"/>
  <c r="R824" i="4" s="1"/>
  <c r="T824" i="4" s="1"/>
  <c r="V824" i="4" s="1"/>
  <c r="K973" i="4"/>
  <c r="Q837" i="4"/>
  <c r="R837" i="4" s="1"/>
  <c r="T837" i="4" s="1"/>
  <c r="V837" i="4" s="1"/>
  <c r="Q215" i="4"/>
  <c r="R215" i="4" s="1"/>
  <c r="T215" i="4" s="1"/>
  <c r="V215" i="4" s="1"/>
  <c r="K513" i="4"/>
  <c r="K340" i="4"/>
  <c r="K378" i="4"/>
  <c r="K311" i="4"/>
  <c r="K489" i="2"/>
  <c r="K130" i="4"/>
  <c r="K50" i="2"/>
  <c r="Q474" i="2"/>
  <c r="R474" i="2" s="1"/>
  <c r="T474" i="2" s="1"/>
  <c r="V474" i="2" s="1"/>
  <c r="K606" i="4"/>
  <c r="K866" i="4"/>
  <c r="K807" i="4"/>
  <c r="K425" i="4"/>
  <c r="K15" i="4"/>
  <c r="K373" i="2"/>
  <c r="Q148" i="4"/>
  <c r="R148" i="4" s="1"/>
  <c r="T148" i="4" s="1"/>
  <c r="V148" i="4" s="1"/>
  <c r="Q993" i="2"/>
  <c r="R993" i="2" s="1"/>
  <c r="T993" i="2" s="1"/>
  <c r="V993" i="2" s="1"/>
  <c r="Q892" i="4"/>
  <c r="R892" i="4" s="1"/>
  <c r="T892" i="4" s="1"/>
  <c r="V892" i="4" s="1"/>
  <c r="Q515" i="4"/>
  <c r="R515" i="4" s="1"/>
  <c r="T515" i="4" s="1"/>
  <c r="V515" i="4" s="1"/>
  <c r="Q872" i="4"/>
  <c r="R872" i="4" s="1"/>
  <c r="T872" i="4" s="1"/>
  <c r="V872" i="4" s="1"/>
  <c r="Q129" i="2"/>
  <c r="R129" i="2" s="1"/>
  <c r="T129" i="2" s="1"/>
  <c r="V129" i="2" s="1"/>
  <c r="Q714" i="4"/>
  <c r="R714" i="4" s="1"/>
  <c r="T714" i="4" s="1"/>
  <c r="V714" i="4" s="1"/>
  <c r="Q889" i="2"/>
  <c r="R889" i="2" s="1"/>
  <c r="T889" i="2" s="1"/>
  <c r="V889" i="2" s="1"/>
  <c r="Q56" i="4"/>
  <c r="R56" i="4" s="1"/>
  <c r="T56" i="4" s="1"/>
  <c r="V56" i="4" s="1"/>
  <c r="Q581" i="4"/>
  <c r="R581" i="4" s="1"/>
  <c r="T581" i="4" s="1"/>
  <c r="V581" i="4" s="1"/>
  <c r="Q996" i="2"/>
  <c r="R996" i="2" s="1"/>
  <c r="T996" i="2" s="1"/>
  <c r="V996" i="2" s="1"/>
  <c r="K429" i="2"/>
  <c r="K631" i="2"/>
  <c r="Q747" i="2"/>
  <c r="R747" i="2" s="1"/>
  <c r="T747" i="2" s="1"/>
  <c r="V747" i="2" s="1"/>
  <c r="Q220" i="2"/>
  <c r="R220" i="2" s="1"/>
  <c r="T220" i="2" s="1"/>
  <c r="V220" i="2" s="1"/>
  <c r="Q256" i="4"/>
  <c r="R256" i="4" s="1"/>
  <c r="T256" i="4" s="1"/>
  <c r="V256" i="4" s="1"/>
  <c r="Q133" i="2"/>
  <c r="R133" i="2" s="1"/>
  <c r="T133" i="2" s="1"/>
  <c r="V133" i="2" s="1"/>
  <c r="Q672" i="2"/>
  <c r="R672" i="2" s="1"/>
  <c r="T672" i="2" s="1"/>
  <c r="V672" i="2" s="1"/>
  <c r="Q815" i="2"/>
  <c r="R815" i="2" s="1"/>
  <c r="T815" i="2" s="1"/>
  <c r="V815" i="2" s="1"/>
  <c r="Q681" i="4"/>
  <c r="R681" i="4" s="1"/>
  <c r="T681" i="4" s="1"/>
  <c r="V681" i="4" s="1"/>
  <c r="Q536" i="2"/>
  <c r="R536" i="2" s="1"/>
  <c r="T536" i="2" s="1"/>
  <c r="V536" i="2" s="1"/>
  <c r="Q44" i="2"/>
  <c r="R44" i="2" s="1"/>
  <c r="T44" i="2" s="1"/>
  <c r="V44" i="2" s="1"/>
  <c r="Q880" i="4"/>
  <c r="R880" i="4" s="1"/>
  <c r="T880" i="4" s="1"/>
  <c r="V880" i="4" s="1"/>
  <c r="K886" i="4"/>
  <c r="K441" i="2"/>
  <c r="Q435" i="2"/>
  <c r="R435" i="2" s="1"/>
  <c r="T435" i="2" s="1"/>
  <c r="V435" i="2" s="1"/>
  <c r="Q84" i="2"/>
  <c r="R84" i="2" s="1"/>
  <c r="T84" i="2" s="1"/>
  <c r="V84" i="2" s="1"/>
  <c r="K382" i="2"/>
  <c r="K577" i="4"/>
  <c r="K523" i="2"/>
  <c r="Q607" i="4"/>
  <c r="R607" i="4" s="1"/>
  <c r="T607" i="4" s="1"/>
  <c r="V607" i="4" s="1"/>
  <c r="K678" i="2"/>
  <c r="Q904" i="4"/>
  <c r="R904" i="4" s="1"/>
  <c r="T904" i="4" s="1"/>
  <c r="V904" i="4" s="1"/>
  <c r="Q151" i="2"/>
  <c r="R151" i="2" s="1"/>
  <c r="T151" i="2" s="1"/>
  <c r="V151" i="2" s="1"/>
  <c r="Q319" i="4"/>
  <c r="R319" i="4" s="1"/>
  <c r="T319" i="4" s="1"/>
  <c r="V319" i="4" s="1"/>
  <c r="K848" i="2"/>
  <c r="Q327" i="4"/>
  <c r="R327" i="4" s="1"/>
  <c r="T327" i="4" s="1"/>
  <c r="V327" i="4" s="1"/>
  <c r="Q262" i="4"/>
  <c r="R262" i="4" s="1"/>
  <c r="T262" i="4" s="1"/>
  <c r="V262" i="4" s="1"/>
  <c r="K420" i="4"/>
  <c r="K763" i="4"/>
  <c r="K685" i="2"/>
  <c r="K765" i="2"/>
  <c r="K6" i="4"/>
  <c r="Q617" i="4"/>
  <c r="R617" i="4" s="1"/>
  <c r="T617" i="4" s="1"/>
  <c r="V617" i="4" s="1"/>
  <c r="K213" i="4"/>
  <c r="Q250" i="2"/>
  <c r="R250" i="2" s="1"/>
  <c r="T250" i="2" s="1"/>
  <c r="V250" i="2" s="1"/>
  <c r="K598" i="2"/>
  <c r="Q649" i="2"/>
  <c r="R649" i="2" s="1"/>
  <c r="T649" i="2" s="1"/>
  <c r="V649" i="2" s="1"/>
  <c r="K301" i="4"/>
  <c r="Q75" i="2"/>
  <c r="R75" i="2" s="1"/>
  <c r="T75" i="2" s="1"/>
  <c r="V75" i="2" s="1"/>
  <c r="Q448" i="2"/>
  <c r="R448" i="2" s="1"/>
  <c r="T448" i="2" s="1"/>
  <c r="V448" i="2" s="1"/>
  <c r="Q397" i="4"/>
  <c r="R397" i="4" s="1"/>
  <c r="T397" i="4" s="1"/>
  <c r="V397" i="4" s="1"/>
  <c r="Q763" i="4"/>
  <c r="R763" i="4" s="1"/>
  <c r="T763" i="4" s="1"/>
  <c r="V763" i="4" s="1"/>
  <c r="K356" i="4"/>
  <c r="K487" i="4"/>
  <c r="Q964" i="4"/>
  <c r="R964" i="4" s="1"/>
  <c r="T964" i="4" s="1"/>
  <c r="V964" i="4" s="1"/>
  <c r="K646" i="4"/>
  <c r="K36" i="4"/>
  <c r="K92" i="4"/>
  <c r="K936" i="2"/>
  <c r="Q420" i="4"/>
  <c r="R420" i="4" s="1"/>
  <c r="T420" i="4" s="1"/>
  <c r="V420" i="4" s="1"/>
  <c r="K833" i="2"/>
  <c r="K643" i="2"/>
  <c r="K863" i="4"/>
  <c r="K354" i="4"/>
  <c r="K921" i="4"/>
  <c r="K402" i="2"/>
  <c r="K124" i="4"/>
  <c r="Q109" i="4"/>
  <c r="R109" i="4" s="1"/>
  <c r="T109" i="4" s="1"/>
  <c r="V109" i="4" s="1"/>
  <c r="K902" i="4"/>
  <c r="Q160" i="4"/>
  <c r="R160" i="4" s="1"/>
  <c r="T160" i="4" s="1"/>
  <c r="V160" i="4" s="1"/>
  <c r="K327" i="2"/>
  <c r="Q158" i="4"/>
  <c r="R158" i="4" s="1"/>
  <c r="T158" i="4" s="1"/>
  <c r="V158" i="4" s="1"/>
  <c r="K581" i="4"/>
  <c r="K336" i="2"/>
  <c r="Q225" i="2"/>
  <c r="R225" i="2" s="1"/>
  <c r="T225" i="2" s="1"/>
  <c r="V225" i="2" s="1"/>
  <c r="K192" i="4"/>
  <c r="K795" i="4"/>
  <c r="K268" i="4"/>
  <c r="Q568" i="4"/>
  <c r="R568" i="4" s="1"/>
  <c r="T568" i="4" s="1"/>
  <c r="V568" i="4" s="1"/>
  <c r="K868" i="4"/>
  <c r="Q936" i="2"/>
  <c r="R936" i="2" s="1"/>
  <c r="T936" i="2" s="1"/>
  <c r="V936" i="2" s="1"/>
  <c r="K255" i="4"/>
  <c r="K743" i="4"/>
  <c r="Q962" i="2"/>
  <c r="R962" i="2" s="1"/>
  <c r="T962" i="2" s="1"/>
  <c r="V962" i="2" s="1"/>
  <c r="K247" i="2"/>
  <c r="Q146" i="2"/>
  <c r="R146" i="2" s="1"/>
  <c r="T146" i="2" s="1"/>
  <c r="V146" i="2" s="1"/>
  <c r="K639" i="4"/>
  <c r="Q677" i="2"/>
  <c r="R677" i="2" s="1"/>
  <c r="T677" i="2" s="1"/>
  <c r="V677" i="2" s="1"/>
  <c r="K853" i="4"/>
  <c r="K92" i="2"/>
  <c r="K448" i="2"/>
  <c r="K157" i="4"/>
  <c r="K726" i="2"/>
  <c r="I50" i="2"/>
  <c r="O50" i="2" s="1"/>
  <c r="Q50" i="2" s="1"/>
  <c r="R50" i="2" s="1"/>
  <c r="T50" i="2" s="1"/>
  <c r="V50" i="2" s="1"/>
  <c r="Q933" i="2"/>
  <c r="R933" i="2" s="1"/>
  <c r="T933" i="2" s="1"/>
  <c r="V933" i="2" s="1"/>
  <c r="Q366" i="4"/>
  <c r="R366" i="4" s="1"/>
  <c r="T366" i="4" s="1"/>
  <c r="V366" i="4" s="1"/>
  <c r="Q779" i="4"/>
  <c r="R779" i="4" s="1"/>
  <c r="T779" i="4" s="1"/>
  <c r="V779" i="4" s="1"/>
  <c r="K709" i="4"/>
  <c r="Q947" i="2"/>
  <c r="R947" i="2" s="1"/>
  <c r="T947" i="2" s="1"/>
  <c r="V947" i="2" s="1"/>
  <c r="Q240" i="2"/>
  <c r="R240" i="2" s="1"/>
  <c r="T240" i="2" s="1"/>
  <c r="V240" i="2" s="1"/>
  <c r="Q481" i="4"/>
  <c r="R481" i="4" s="1"/>
  <c r="T481" i="4" s="1"/>
  <c r="V481" i="4" s="1"/>
  <c r="Q317" i="4"/>
  <c r="R317" i="4" s="1"/>
  <c r="T317" i="4" s="1"/>
  <c r="V317" i="4" s="1"/>
  <c r="Q614" i="4"/>
  <c r="R614" i="4" s="1"/>
  <c r="T614" i="4" s="1"/>
  <c r="V614" i="4" s="1"/>
  <c r="Q406" i="4"/>
  <c r="R406" i="4" s="1"/>
  <c r="T406" i="4" s="1"/>
  <c r="V406" i="4" s="1"/>
  <c r="Q218" i="2"/>
  <c r="R218" i="2" s="1"/>
  <c r="T218" i="2" s="1"/>
  <c r="V218" i="2" s="1"/>
  <c r="K564" i="2"/>
  <c r="K34" i="4"/>
  <c r="Q352" i="4"/>
  <c r="R352" i="4" s="1"/>
  <c r="T352" i="4" s="1"/>
  <c r="V352" i="4" s="1"/>
  <c r="K840" i="2"/>
  <c r="Q866" i="4"/>
  <c r="R866" i="4" s="1"/>
  <c r="T866" i="4" s="1"/>
  <c r="V866" i="4" s="1"/>
  <c r="K397" i="4"/>
  <c r="Q406" i="2"/>
  <c r="R406" i="2" s="1"/>
  <c r="T406" i="2" s="1"/>
  <c r="V406" i="2" s="1"/>
  <c r="K971" i="4"/>
  <c r="K505" i="2"/>
  <c r="K155" i="4"/>
  <c r="Q319" i="2"/>
  <c r="R319" i="2" s="1"/>
  <c r="T319" i="2" s="1"/>
  <c r="V319" i="2" s="1"/>
  <c r="Q147" i="2"/>
  <c r="R147" i="2" s="1"/>
  <c r="T147" i="2" s="1"/>
  <c r="V147" i="2" s="1"/>
  <c r="K728" i="2"/>
  <c r="Q130" i="4"/>
  <c r="R130" i="4" s="1"/>
  <c r="T130" i="4" s="1"/>
  <c r="V130" i="4" s="1"/>
  <c r="K235" i="4"/>
  <c r="Q79" i="4"/>
  <c r="R79" i="4" s="1"/>
  <c r="T79" i="4" s="1"/>
  <c r="V79" i="4" s="1"/>
  <c r="K150" i="4"/>
  <c r="Q742" i="2"/>
  <c r="R742" i="2" s="1"/>
  <c r="T742" i="2" s="1"/>
  <c r="V742" i="2" s="1"/>
  <c r="Q272" i="4"/>
  <c r="R272" i="4" s="1"/>
  <c r="T272" i="4" s="1"/>
  <c r="V272" i="4" s="1"/>
  <c r="K58" i="2"/>
  <c r="Q888" i="2"/>
  <c r="R888" i="2" s="1"/>
  <c r="T888" i="2" s="1"/>
  <c r="V888" i="2" s="1"/>
  <c r="K674" i="2"/>
  <c r="K144" i="2"/>
  <c r="K324" i="2"/>
  <c r="K370" i="4"/>
  <c r="K374" i="2"/>
  <c r="K55" i="2"/>
  <c r="Q463" i="2"/>
  <c r="R463" i="2" s="1"/>
  <c r="T463" i="2" s="1"/>
  <c r="V463" i="2" s="1"/>
  <c r="K314" i="2"/>
  <c r="Q631" i="2"/>
  <c r="R631" i="2" s="1"/>
  <c r="T631" i="2" s="1"/>
  <c r="V631" i="2" s="1"/>
  <c r="K489" i="4"/>
  <c r="Q710" i="2"/>
  <c r="R710" i="2" s="1"/>
  <c r="T710" i="2" s="1"/>
  <c r="V710" i="2" s="1"/>
  <c r="K700" i="2"/>
  <c r="K316" i="2"/>
  <c r="Q310" i="4"/>
  <c r="R310" i="4" s="1"/>
  <c r="T310" i="4" s="1"/>
  <c r="V310" i="4" s="1"/>
  <c r="K89" i="2"/>
  <c r="K169" i="2"/>
  <c r="K463" i="2"/>
  <c r="Q294" i="2"/>
  <c r="R294" i="2" s="1"/>
  <c r="T294" i="2" s="1"/>
  <c r="V294" i="2" s="1"/>
  <c r="Q698" i="4"/>
  <c r="R698" i="4" s="1"/>
  <c r="T698" i="4" s="1"/>
  <c r="V698" i="4" s="1"/>
  <c r="K317" i="4"/>
  <c r="Q245" i="4"/>
  <c r="R245" i="4" s="1"/>
  <c r="T245" i="4" s="1"/>
  <c r="V245" i="4" s="1"/>
  <c r="Q123" i="2"/>
  <c r="R123" i="2" s="1"/>
  <c r="T123" i="2" s="1"/>
  <c r="V123" i="2" s="1"/>
  <c r="Q981" i="4"/>
  <c r="R981" i="4" s="1"/>
  <c r="T981" i="4" s="1"/>
  <c r="V981" i="4" s="1"/>
  <c r="Q562" i="2"/>
  <c r="R562" i="2" s="1"/>
  <c r="T562" i="2" s="1"/>
  <c r="V562" i="2" s="1"/>
  <c r="I461" i="2"/>
  <c r="O461" i="2" s="1"/>
  <c r="Q461" i="2" s="1"/>
  <c r="R461" i="2" s="1"/>
  <c r="T461" i="2" s="1"/>
  <c r="V461" i="2" s="1"/>
  <c r="Q941" i="4"/>
  <c r="R941" i="4" s="1"/>
  <c r="T941" i="4" s="1"/>
  <c r="V941" i="4" s="1"/>
  <c r="I853" i="4"/>
  <c r="O853" i="4" s="1"/>
  <c r="Q853" i="4" s="1"/>
  <c r="R853" i="4" s="1"/>
  <c r="T853" i="4" s="1"/>
  <c r="V853" i="4" s="1"/>
  <c r="K790" i="2"/>
  <c r="Q795" i="4"/>
  <c r="R795" i="4" s="1"/>
  <c r="T795" i="4" s="1"/>
  <c r="V795" i="4" s="1"/>
  <c r="K233" i="2"/>
  <c r="Q646" i="4"/>
  <c r="R646" i="4" s="1"/>
  <c r="T646" i="4" s="1"/>
  <c r="V646" i="4" s="1"/>
  <c r="Q441" i="2"/>
  <c r="R441" i="2" s="1"/>
  <c r="T441" i="2" s="1"/>
  <c r="V441" i="2" s="1"/>
  <c r="K481" i="4"/>
  <c r="Q756" i="4"/>
  <c r="R756" i="4" s="1"/>
  <c r="T756" i="4" s="1"/>
  <c r="V756" i="4" s="1"/>
  <c r="K901" i="2"/>
  <c r="Q918" i="4"/>
  <c r="R918" i="4" s="1"/>
  <c r="T918" i="4" s="1"/>
  <c r="V918" i="4" s="1"/>
  <c r="K104" i="2"/>
  <c r="K7" i="2"/>
  <c r="K689" i="4"/>
  <c r="Q34" i="4"/>
  <c r="R34" i="4" s="1"/>
  <c r="T34" i="4" s="1"/>
  <c r="V34" i="4" s="1"/>
  <c r="K526" i="2"/>
  <c r="Q666" i="2"/>
  <c r="R666" i="2" s="1"/>
  <c r="T666" i="2" s="1"/>
  <c r="V666" i="2" s="1"/>
  <c r="K809" i="2"/>
  <c r="Q450" i="4"/>
  <c r="R450" i="4" s="1"/>
  <c r="T450" i="4" s="1"/>
  <c r="V450" i="4" s="1"/>
  <c r="Q27" i="4"/>
  <c r="R27" i="4" s="1"/>
  <c r="T27" i="4" s="1"/>
  <c r="V27" i="4" s="1"/>
  <c r="K727" i="2"/>
  <c r="K277" i="2"/>
  <c r="Q911" i="4"/>
  <c r="R911" i="4" s="1"/>
  <c r="T911" i="4" s="1"/>
  <c r="V911" i="4" s="1"/>
  <c r="K254" i="4"/>
  <c r="K750" i="4"/>
  <c r="Q755" i="4"/>
  <c r="R755" i="4" s="1"/>
  <c r="T755" i="4" s="1"/>
  <c r="V755" i="4" s="1"/>
  <c r="Q665" i="4"/>
  <c r="R665" i="4" s="1"/>
  <c r="T665" i="4" s="1"/>
  <c r="V665" i="4" s="1"/>
  <c r="Q225" i="4"/>
  <c r="R225" i="4" s="1"/>
  <c r="T225" i="4" s="1"/>
  <c r="V225" i="4" s="1"/>
  <c r="Q268" i="4"/>
  <c r="R268" i="4" s="1"/>
  <c r="T268" i="4" s="1"/>
  <c r="V268" i="4" s="1"/>
  <c r="I975" i="4"/>
  <c r="O975" i="4" s="1"/>
  <c r="Q975" i="4" s="1"/>
  <c r="R975" i="4" s="1"/>
  <c r="T975" i="4" s="1"/>
  <c r="V975" i="4" s="1"/>
  <c r="K837" i="4"/>
  <c r="Q342" i="2"/>
  <c r="R342" i="2" s="1"/>
  <c r="T342" i="2" s="1"/>
  <c r="V342" i="2" s="1"/>
  <c r="Q773" i="4"/>
  <c r="R773" i="4" s="1"/>
  <c r="T773" i="4" s="1"/>
  <c r="V773" i="4" s="1"/>
  <c r="I689" i="4"/>
  <c r="O689" i="4" s="1"/>
  <c r="Q689" i="4" s="1"/>
  <c r="R689" i="4" s="1"/>
  <c r="T689" i="4" s="1"/>
  <c r="V689" i="4" s="1"/>
  <c r="Q868" i="4"/>
  <c r="R868" i="4" s="1"/>
  <c r="T868" i="4" s="1"/>
  <c r="V868" i="4" s="1"/>
  <c r="I327" i="2"/>
  <c r="O327" i="2" s="1"/>
  <c r="Q327" i="2" s="1"/>
  <c r="R327" i="2" s="1"/>
  <c r="T327" i="2" s="1"/>
  <c r="V327" i="2" s="1"/>
  <c r="K830" i="2"/>
  <c r="K350" i="4"/>
  <c r="Q80" i="4"/>
  <c r="R80" i="4" s="1"/>
  <c r="T80" i="4" s="1"/>
  <c r="V80" i="4" s="1"/>
  <c r="Q882" i="2"/>
  <c r="R882" i="2" s="1"/>
  <c r="T882" i="2" s="1"/>
  <c r="V882" i="2" s="1"/>
  <c r="K483" i="4"/>
  <c r="Q591" i="2"/>
  <c r="R591" i="2" s="1"/>
  <c r="T591" i="2" s="1"/>
  <c r="V591" i="2" s="1"/>
  <c r="Q736" i="4"/>
  <c r="R736" i="4" s="1"/>
  <c r="T736" i="4" s="1"/>
  <c r="V736" i="4" s="1"/>
  <c r="Q905" i="2"/>
  <c r="R905" i="2" s="1"/>
  <c r="T905" i="2" s="1"/>
  <c r="V905" i="2" s="1"/>
  <c r="Q386" i="4"/>
  <c r="R386" i="4" s="1"/>
  <c r="T386" i="4" s="1"/>
  <c r="V386" i="4" s="1"/>
  <c r="Q418" i="2"/>
  <c r="R418" i="2" s="1"/>
  <c r="T418" i="2" s="1"/>
  <c r="V418" i="2" s="1"/>
  <c r="K296" i="2"/>
  <c r="Q598" i="2"/>
  <c r="R598" i="2" s="1"/>
  <c r="T598" i="2" s="1"/>
  <c r="V598" i="2" s="1"/>
  <c r="Q373" i="2"/>
  <c r="R373" i="2" s="1"/>
  <c r="T373" i="2" s="1"/>
  <c r="V373" i="2" s="1"/>
  <c r="K84" i="2"/>
  <c r="K185" i="2"/>
  <c r="K455" i="2"/>
  <c r="Q830" i="2"/>
  <c r="R830" i="2" s="1"/>
  <c r="T830" i="2" s="1"/>
  <c r="V830" i="2" s="1"/>
  <c r="Q807" i="4"/>
  <c r="R807" i="4" s="1"/>
  <c r="T807" i="4" s="1"/>
  <c r="V807" i="4" s="1"/>
  <c r="Q715" i="2"/>
  <c r="R715" i="2" s="1"/>
  <c r="T715" i="2" s="1"/>
  <c r="V715" i="2" s="1"/>
  <c r="K518" i="4"/>
  <c r="K383" i="2"/>
  <c r="I255" i="2"/>
  <c r="O255" i="2" s="1"/>
  <c r="Q255" i="2" s="1"/>
  <c r="R255" i="2" s="1"/>
  <c r="T255" i="2" s="1"/>
  <c r="V255" i="2" s="1"/>
  <c r="Q834" i="2"/>
  <c r="R834" i="2" s="1"/>
  <c r="T834" i="2" s="1"/>
  <c r="V834" i="2" s="1"/>
  <c r="K834" i="2"/>
  <c r="K391" i="4"/>
  <c r="Q528" i="4"/>
  <c r="R528" i="4" s="1"/>
  <c r="T528" i="4" s="1"/>
  <c r="V528" i="4" s="1"/>
  <c r="Q908" i="4"/>
  <c r="R908" i="4" s="1"/>
  <c r="T908" i="4" s="1"/>
  <c r="V908" i="4" s="1"/>
  <c r="K57" i="4"/>
  <c r="Q675" i="2"/>
  <c r="R675" i="2" s="1"/>
  <c r="T675" i="2" s="1"/>
  <c r="V675" i="2" s="1"/>
  <c r="K106" i="4"/>
  <c r="Q169" i="2"/>
  <c r="R169" i="2" s="1"/>
  <c r="T169" i="2" s="1"/>
  <c r="V169" i="2" s="1"/>
  <c r="K450" i="4"/>
  <c r="Q965" i="2"/>
  <c r="R965" i="2" s="1"/>
  <c r="T965" i="2" s="1"/>
  <c r="V965" i="2" s="1"/>
  <c r="Q730" i="2"/>
  <c r="R730" i="2" s="1"/>
  <c r="T730" i="2" s="1"/>
  <c r="V730" i="2" s="1"/>
  <c r="Q669" i="4"/>
  <c r="R669" i="4" s="1"/>
  <c r="T669" i="4" s="1"/>
  <c r="V669" i="4" s="1"/>
  <c r="Q548" i="4"/>
  <c r="R548" i="4" s="1"/>
  <c r="T548" i="4" s="1"/>
  <c r="V548" i="4" s="1"/>
  <c r="K99" i="2"/>
  <c r="Q650" i="4"/>
  <c r="R650" i="4" s="1"/>
  <c r="T650" i="4" s="1"/>
  <c r="V650" i="4" s="1"/>
  <c r="K282" i="4"/>
  <c r="K925" i="4"/>
  <c r="K399" i="2"/>
  <c r="Q381" i="4"/>
  <c r="R381" i="4" s="1"/>
  <c r="T381" i="4" s="1"/>
  <c r="V381" i="4" s="1"/>
  <c r="Q518" i="4"/>
  <c r="R518" i="4" s="1"/>
  <c r="T518" i="4" s="1"/>
  <c r="V518" i="4" s="1"/>
  <c r="K883" i="4"/>
  <c r="Q673" i="2"/>
  <c r="R673" i="2" s="1"/>
  <c r="T673" i="2" s="1"/>
  <c r="V673" i="2" s="1"/>
  <c r="Q340" i="4"/>
  <c r="R340" i="4" s="1"/>
  <c r="T340" i="4" s="1"/>
  <c r="V340" i="4" s="1"/>
  <c r="K85" i="4"/>
  <c r="K24" i="2"/>
  <c r="Q132" i="4"/>
  <c r="R132" i="4" s="1"/>
  <c r="T132" i="4" s="1"/>
  <c r="V132" i="4" s="1"/>
  <c r="Q467" i="4"/>
  <c r="R467" i="4" s="1"/>
  <c r="T467" i="4" s="1"/>
  <c r="V467" i="4" s="1"/>
  <c r="K243" i="4"/>
  <c r="Q267" i="2"/>
  <c r="R267" i="2" s="1"/>
  <c r="T267" i="2" s="1"/>
  <c r="V267" i="2" s="1"/>
  <c r="Q140" i="2"/>
  <c r="R140" i="2" s="1"/>
  <c r="T140" i="2" s="1"/>
  <c r="V140" i="2" s="1"/>
  <c r="K444" i="2"/>
  <c r="K660" i="2"/>
  <c r="Q746" i="2"/>
  <c r="R746" i="2" s="1"/>
  <c r="T746" i="2" s="1"/>
  <c r="V746" i="2" s="1"/>
  <c r="Q20" i="2"/>
  <c r="R20" i="2" s="1"/>
  <c r="T20" i="2" s="1"/>
  <c r="V20" i="2" s="1"/>
  <c r="K445" i="4"/>
  <c r="Q164" i="2"/>
  <c r="R164" i="2" s="1"/>
  <c r="T164" i="2" s="1"/>
  <c r="V164" i="2" s="1"/>
  <c r="Q775" i="2"/>
  <c r="R775" i="2" s="1"/>
  <c r="T775" i="2" s="1"/>
  <c r="V775" i="2" s="1"/>
  <c r="I316" i="2"/>
  <c r="O316" i="2" s="1"/>
  <c r="Q316" i="2" s="1"/>
  <c r="R316" i="2" s="1"/>
  <c r="T316" i="2" s="1"/>
  <c r="V316" i="2" s="1"/>
  <c r="K19" i="2"/>
  <c r="Q531" i="2"/>
  <c r="R531" i="2" s="1"/>
  <c r="T531" i="2" s="1"/>
  <c r="V531" i="2" s="1"/>
  <c r="Q734" i="4"/>
  <c r="R734" i="4" s="1"/>
  <c r="T734" i="4" s="1"/>
  <c r="V734" i="4" s="1"/>
  <c r="Q777" i="4"/>
  <c r="R777" i="4" s="1"/>
  <c r="T777" i="4" s="1"/>
  <c r="V777" i="4" s="1"/>
  <c r="I432" i="4"/>
  <c r="O432" i="4" s="1"/>
  <c r="Q432" i="4" s="1"/>
  <c r="R432" i="4" s="1"/>
  <c r="T432" i="4" s="1"/>
  <c r="V432" i="4" s="1"/>
  <c r="Q588" i="4"/>
  <c r="R588" i="4" s="1"/>
  <c r="T588" i="4" s="1"/>
  <c r="V588" i="4" s="1"/>
  <c r="Q21" i="2"/>
  <c r="R21" i="2" s="1"/>
  <c r="T21" i="2" s="1"/>
  <c r="V21" i="2" s="1"/>
  <c r="K675" i="2"/>
  <c r="Q763" i="2"/>
  <c r="R763" i="2" s="1"/>
  <c r="T763" i="2" s="1"/>
  <c r="V763" i="2" s="1"/>
  <c r="K17" i="4"/>
  <c r="Q192" i="4"/>
  <c r="R192" i="4" s="1"/>
  <c r="T192" i="4" s="1"/>
  <c r="V192" i="4" s="1"/>
  <c r="I685" i="2"/>
  <c r="O685" i="2" s="1"/>
  <c r="Q685" i="2" s="1"/>
  <c r="R685" i="2" s="1"/>
  <c r="T685" i="2" s="1"/>
  <c r="V685" i="2" s="1"/>
  <c r="Q709" i="4"/>
  <c r="R709" i="4" s="1"/>
  <c r="T709" i="4" s="1"/>
  <c r="V709" i="4" s="1"/>
  <c r="K14" i="4"/>
  <c r="K96" i="2"/>
  <c r="K477" i="2"/>
  <c r="K197" i="4"/>
  <c r="Q462" i="4"/>
  <c r="R462" i="4" s="1"/>
  <c r="T462" i="4" s="1"/>
  <c r="V462" i="4" s="1"/>
  <c r="K669" i="4"/>
  <c r="K485" i="4"/>
  <c r="Q90" i="2"/>
  <c r="R90" i="2" s="1"/>
  <c r="T90" i="2" s="1"/>
  <c r="V90" i="2" s="1"/>
  <c r="Q257" i="2"/>
  <c r="R257" i="2" s="1"/>
  <c r="T257" i="2" s="1"/>
  <c r="V257" i="2" s="1"/>
  <c r="I372" i="2"/>
  <c r="O372" i="2" s="1"/>
  <c r="Q372" i="2" s="1"/>
  <c r="R372" i="2" s="1"/>
  <c r="T372" i="2" s="1"/>
  <c r="V372" i="2" s="1"/>
  <c r="K121" i="2"/>
  <c r="K475" i="4"/>
  <c r="Q859" i="4"/>
  <c r="R859" i="4" s="1"/>
  <c r="T859" i="4" s="1"/>
  <c r="V859" i="4" s="1"/>
  <c r="K342" i="2"/>
  <c r="Q153" i="2"/>
  <c r="R153" i="2" s="1"/>
  <c r="T153" i="2" s="1"/>
  <c r="V153" i="2" s="1"/>
  <c r="Q727" i="2"/>
  <c r="R727" i="2" s="1"/>
  <c r="T727" i="2" s="1"/>
  <c r="V727" i="2" s="1"/>
  <c r="I157" i="4"/>
  <c r="O157" i="4" s="1"/>
  <c r="Q157" i="4" s="1"/>
  <c r="R157" i="4" s="1"/>
  <c r="T157" i="4" s="1"/>
  <c r="V157" i="4" s="1"/>
  <c r="Q494" i="2"/>
  <c r="R494" i="2" s="1"/>
  <c r="T494" i="2" s="1"/>
  <c r="V494" i="2" s="1"/>
  <c r="K406" i="2"/>
  <c r="K855" i="2"/>
  <c r="K160" i="4"/>
  <c r="Q254" i="2"/>
  <c r="R254" i="2" s="1"/>
  <c r="T254" i="2" s="1"/>
  <c r="V254" i="2" s="1"/>
  <c r="Q973" i="2"/>
  <c r="R973" i="2" s="1"/>
  <c r="T973" i="2" s="1"/>
  <c r="V973" i="2" s="1"/>
  <c r="Q788" i="2"/>
  <c r="R788" i="2" s="1"/>
  <c r="T788" i="2" s="1"/>
  <c r="V788" i="2" s="1"/>
  <c r="Q186" i="4"/>
  <c r="R186" i="4" s="1"/>
  <c r="T186" i="4" s="1"/>
  <c r="V186" i="4" s="1"/>
  <c r="Q96" i="4"/>
  <c r="R96" i="4" s="1"/>
  <c r="T96" i="4" s="1"/>
  <c r="V96" i="4" s="1"/>
  <c r="K94" i="4"/>
  <c r="Q637" i="4"/>
  <c r="R637" i="4" s="1"/>
  <c r="T637" i="4" s="1"/>
  <c r="V637" i="4" s="1"/>
  <c r="Q686" i="4"/>
  <c r="R686" i="4" s="1"/>
  <c r="T686" i="4" s="1"/>
  <c r="V686" i="4" s="1"/>
  <c r="Q920" i="2"/>
  <c r="R920" i="2" s="1"/>
  <c r="T920" i="2" s="1"/>
  <c r="V920" i="2" s="1"/>
  <c r="K313" i="2"/>
  <c r="Q1002" i="4"/>
  <c r="R1002" i="4" s="1"/>
  <c r="T1002" i="4" s="1"/>
  <c r="V1002" i="4" s="1"/>
  <c r="Q990" i="4"/>
  <c r="R990" i="4" s="1"/>
  <c r="T990" i="4" s="1"/>
  <c r="V990" i="4" s="1"/>
  <c r="Q997" i="2"/>
  <c r="R997" i="2" s="1"/>
  <c r="T997" i="2" s="1"/>
  <c r="V997" i="2" s="1"/>
  <c r="K899" i="2"/>
  <c r="Q487" i="4"/>
  <c r="R487" i="4" s="1"/>
  <c r="T487" i="4" s="1"/>
  <c r="V487" i="4" s="1"/>
  <c r="Q550" i="4"/>
  <c r="R550" i="4" s="1"/>
  <c r="T550" i="4" s="1"/>
  <c r="V550" i="4" s="1"/>
  <c r="Q337" i="2"/>
  <c r="R337" i="2" s="1"/>
  <c r="T337" i="2" s="1"/>
  <c r="V337" i="2" s="1"/>
  <c r="K190" i="4"/>
  <c r="K995" i="4"/>
  <c r="Q310" i="2"/>
  <c r="R310" i="2" s="1"/>
  <c r="T310" i="2" s="1"/>
  <c r="V310" i="2" s="1"/>
  <c r="K147" i="2"/>
  <c r="Q484" i="2"/>
  <c r="R484" i="2" s="1"/>
  <c r="T484" i="2" s="1"/>
  <c r="V484" i="2" s="1"/>
  <c r="Q127" i="4"/>
  <c r="R127" i="4" s="1"/>
  <c r="T127" i="4" s="1"/>
  <c r="V127" i="4" s="1"/>
  <c r="Q465" i="4"/>
  <c r="R465" i="4" s="1"/>
  <c r="T465" i="4" s="1"/>
  <c r="V465" i="4" s="1"/>
  <c r="Q187" i="4"/>
  <c r="R187" i="4" s="1"/>
  <c r="T187" i="4" s="1"/>
  <c r="V187" i="4" s="1"/>
  <c r="Q621" i="2"/>
  <c r="R621" i="2" s="1"/>
  <c r="T621" i="2" s="1"/>
  <c r="V621" i="2" s="1"/>
  <c r="Q901" i="2"/>
  <c r="R901" i="2" s="1"/>
  <c r="T901" i="2" s="1"/>
  <c r="V901" i="2" s="1"/>
  <c r="K6" i="2"/>
  <c r="Q296" i="2"/>
  <c r="R296" i="2" s="1"/>
  <c r="T296" i="2" s="1"/>
  <c r="V296" i="2" s="1"/>
  <c r="K422" i="2"/>
  <c r="K425" i="2"/>
  <c r="K962" i="2"/>
  <c r="K693" i="4"/>
  <c r="K952" i="2"/>
  <c r="K76" i="2"/>
  <c r="K826" i="2"/>
  <c r="Q946" i="2"/>
  <c r="R946" i="2" s="1"/>
  <c r="T946" i="2" s="1"/>
  <c r="V946" i="2" s="1"/>
  <c r="Q722" i="4"/>
  <c r="R722" i="4" s="1"/>
  <c r="T722" i="4" s="1"/>
  <c r="V722" i="4" s="1"/>
  <c r="Q770" i="2"/>
  <c r="R770" i="2" s="1"/>
  <c r="T770" i="2" s="1"/>
  <c r="V770" i="2" s="1"/>
  <c r="Q563" i="4"/>
  <c r="R563" i="4" s="1"/>
  <c r="T563" i="4" s="1"/>
  <c r="V563" i="4" s="1"/>
  <c r="K189" i="2"/>
  <c r="Q221" i="2"/>
  <c r="R221" i="2" s="1"/>
  <c r="T221" i="2" s="1"/>
  <c r="V221" i="2" s="1"/>
  <c r="Q168" i="2"/>
  <c r="R168" i="2" s="1"/>
  <c r="T168" i="2" s="1"/>
  <c r="V168" i="2" s="1"/>
  <c r="Q23" i="2"/>
  <c r="R23" i="2" s="1"/>
  <c r="T23" i="2" s="1"/>
  <c r="V23" i="2" s="1"/>
  <c r="Q501" i="4"/>
  <c r="R501" i="4" s="1"/>
  <c r="T501" i="4" s="1"/>
  <c r="V501" i="4" s="1"/>
  <c r="K95" i="4"/>
  <c r="K52" i="2"/>
  <c r="Q224" i="4"/>
  <c r="R224" i="4" s="1"/>
  <c r="T224" i="4" s="1"/>
  <c r="V224" i="4" s="1"/>
  <c r="Q412" i="2"/>
  <c r="R412" i="2" s="1"/>
  <c r="T412" i="2" s="1"/>
  <c r="V412" i="2" s="1"/>
  <c r="Q941" i="2"/>
  <c r="R941" i="2" s="1"/>
  <c r="T941" i="2" s="1"/>
  <c r="V941" i="2" s="1"/>
  <c r="K79" i="2"/>
  <c r="K650" i="2"/>
  <c r="Q363" i="4"/>
  <c r="R363" i="4" s="1"/>
  <c r="T363" i="4" s="1"/>
  <c r="V363" i="4" s="1"/>
  <c r="Q420" i="2"/>
  <c r="R420" i="2" s="1"/>
  <c r="T420" i="2" s="1"/>
  <c r="V420" i="2" s="1"/>
  <c r="Q716" i="2"/>
  <c r="R716" i="2" s="1"/>
  <c r="T716" i="2" s="1"/>
  <c r="V716" i="2" s="1"/>
  <c r="K771" i="2"/>
  <c r="Q161" i="2"/>
  <c r="R161" i="2" s="1"/>
  <c r="T161" i="2" s="1"/>
  <c r="V161" i="2" s="1"/>
  <c r="K27" i="4"/>
  <c r="Q254" i="4"/>
  <c r="R254" i="4" s="1"/>
  <c r="T254" i="4" s="1"/>
  <c r="V254" i="4" s="1"/>
  <c r="Q654" i="4"/>
  <c r="R654" i="4" s="1"/>
  <c r="T654" i="4" s="1"/>
  <c r="V654" i="4" s="1"/>
  <c r="Q630" i="4"/>
  <c r="R630" i="4" s="1"/>
  <c r="T630" i="4" s="1"/>
  <c r="V630" i="4" s="1"/>
  <c r="Q411" i="4"/>
  <c r="R411" i="4" s="1"/>
  <c r="T411" i="4" s="1"/>
  <c r="V411" i="4" s="1"/>
  <c r="Q995" i="2"/>
  <c r="R995" i="2" s="1"/>
  <c r="T995" i="2" s="1"/>
  <c r="V995" i="2" s="1"/>
  <c r="K878" i="4"/>
  <c r="K44" i="2"/>
  <c r="K697" i="2"/>
  <c r="K964" i="4"/>
  <c r="Q1003" i="4"/>
  <c r="R1003" i="4" s="1"/>
  <c r="T1003" i="4" s="1"/>
  <c r="V1003" i="4" s="1"/>
  <c r="Q813" i="2"/>
  <c r="R813" i="2" s="1"/>
  <c r="T813" i="2" s="1"/>
  <c r="V813" i="2" s="1"/>
  <c r="K435" i="2"/>
  <c r="Q757" i="2"/>
  <c r="R757" i="2" s="1"/>
  <c r="T757" i="2" s="1"/>
  <c r="V757" i="2" s="1"/>
  <c r="Q692" i="4"/>
  <c r="R692" i="4" s="1"/>
  <c r="T692" i="4" s="1"/>
  <c r="V692" i="4" s="1"/>
  <c r="Q700" i="2"/>
  <c r="R700" i="2" s="1"/>
  <c r="T700" i="2" s="1"/>
  <c r="V700" i="2" s="1"/>
  <c r="K571" i="2"/>
  <c r="Q120" i="4"/>
  <c r="R120" i="4" s="1"/>
  <c r="T120" i="4" s="1"/>
  <c r="V120" i="4" s="1"/>
  <c r="K32" i="2"/>
  <c r="K352" i="4"/>
  <c r="Q206" i="2"/>
  <c r="R206" i="2" s="1"/>
  <c r="T206" i="2" s="1"/>
  <c r="V206" i="2" s="1"/>
  <c r="Q95" i="4"/>
  <c r="R95" i="4" s="1"/>
  <c r="T95" i="4" s="1"/>
  <c r="V95" i="4" s="1"/>
  <c r="Q765" i="2"/>
  <c r="R765" i="2" s="1"/>
  <c r="T765" i="2" s="1"/>
  <c r="V765" i="2" s="1"/>
  <c r="K319" i="2"/>
  <c r="K882" i="2"/>
  <c r="K369" i="4"/>
  <c r="Q899" i="2"/>
  <c r="R899" i="2" s="1"/>
  <c r="T899" i="2" s="1"/>
  <c r="V899" i="2" s="1"/>
  <c r="Q383" i="2"/>
  <c r="R383" i="2" s="1"/>
  <c r="T383" i="2" s="1"/>
  <c r="V383" i="2" s="1"/>
  <c r="K430" i="4"/>
  <c r="K564" i="4"/>
  <c r="Q943" i="2"/>
  <c r="R943" i="2" s="1"/>
  <c r="T943" i="2" s="1"/>
  <c r="V943" i="2" s="1"/>
  <c r="K910" i="2"/>
  <c r="Q349" i="4"/>
  <c r="R349" i="4" s="1"/>
  <c r="T349" i="4" s="1"/>
  <c r="V349" i="4" s="1"/>
  <c r="K632" i="4"/>
  <c r="K363" i="4"/>
  <c r="Q9" i="4"/>
  <c r="R9" i="4" s="1"/>
  <c r="T9" i="4" s="1"/>
  <c r="V9" i="4" s="1"/>
  <c r="K251" i="2"/>
  <c r="Q19" i="2"/>
  <c r="R19" i="2" s="1"/>
  <c r="T19" i="2" s="1"/>
  <c r="V19" i="2" s="1"/>
  <c r="K730" i="2"/>
  <c r="Q177" i="2"/>
  <c r="R177" i="2" s="1"/>
  <c r="T177" i="2" s="1"/>
  <c r="V177" i="2" s="1"/>
  <c r="Q739" i="2"/>
  <c r="R739" i="2" s="1"/>
  <c r="T739" i="2" s="1"/>
  <c r="V739" i="2" s="1"/>
  <c r="Q485" i="2"/>
  <c r="R485" i="2" s="1"/>
  <c r="T485" i="2" s="1"/>
  <c r="V485" i="2" s="1"/>
  <c r="K26" i="4"/>
  <c r="Q998" i="2"/>
  <c r="R998" i="2" s="1"/>
  <c r="T998" i="2" s="1"/>
  <c r="V998" i="2" s="1"/>
  <c r="Q602" i="4"/>
  <c r="R602" i="4" s="1"/>
  <c r="T602" i="4" s="1"/>
  <c r="V602" i="4" s="1"/>
  <c r="K531" i="2"/>
  <c r="Q51" i="4"/>
  <c r="R51" i="4" s="1"/>
  <c r="T51" i="4" s="1"/>
  <c r="V51" i="4" s="1"/>
  <c r="Q129" i="4"/>
  <c r="R129" i="4" s="1"/>
  <c r="T129" i="4" s="1"/>
  <c r="V129" i="4" s="1"/>
  <c r="K756" i="4"/>
  <c r="Q760" i="4"/>
  <c r="R760" i="4" s="1"/>
  <c r="T760" i="4" s="1"/>
  <c r="V760" i="4" s="1"/>
  <c r="Q358" i="4"/>
  <c r="R358" i="4" s="1"/>
  <c r="T358" i="4" s="1"/>
  <c r="V358" i="4" s="1"/>
  <c r="K667" i="4"/>
  <c r="Q564" i="4"/>
  <c r="R564" i="4" s="1"/>
  <c r="T564" i="4" s="1"/>
  <c r="V564" i="4" s="1"/>
  <c r="Q944" i="4"/>
  <c r="R944" i="4" s="1"/>
  <c r="T944" i="4" s="1"/>
  <c r="V944" i="4" s="1"/>
  <c r="K235" i="2"/>
  <c r="Q952" i="2"/>
  <c r="R952" i="2" s="1"/>
  <c r="T952" i="2" s="1"/>
  <c r="V952" i="2" s="1"/>
  <c r="Q627" i="2"/>
  <c r="R627" i="2" s="1"/>
  <c r="T627" i="2" s="1"/>
  <c r="V627" i="2" s="1"/>
  <c r="K228" i="4"/>
  <c r="Q863" i="4"/>
  <c r="R863" i="4" s="1"/>
  <c r="T863" i="4" s="1"/>
  <c r="V863" i="4" s="1"/>
  <c r="K995" i="2"/>
  <c r="K746" i="2"/>
  <c r="Q1004" i="2"/>
  <c r="R1004" i="2" s="1"/>
  <c r="T1004" i="2" s="1"/>
  <c r="V1004" i="2" s="1"/>
  <c r="Q816" i="4"/>
  <c r="R816" i="4" s="1"/>
  <c r="T816" i="4" s="1"/>
  <c r="V816" i="4" s="1"/>
  <c r="Q502" i="2"/>
  <c r="R502" i="2" s="1"/>
  <c r="T502" i="2" s="1"/>
  <c r="V502" i="2" s="1"/>
  <c r="K378" i="2"/>
  <c r="K388" i="4"/>
  <c r="Q766" i="4"/>
  <c r="R766" i="4" s="1"/>
  <c r="T766" i="4" s="1"/>
  <c r="V766" i="4" s="1"/>
  <c r="K626" i="2"/>
  <c r="K578" i="4"/>
  <c r="K889" i="2"/>
  <c r="Q173" i="2"/>
  <c r="R173" i="2" s="1"/>
  <c r="T173" i="2" s="1"/>
  <c r="V173" i="2" s="1"/>
  <c r="Q815" i="4"/>
  <c r="R815" i="4" s="1"/>
  <c r="T815" i="4" s="1"/>
  <c r="V815" i="4" s="1"/>
  <c r="K654" i="4"/>
  <c r="Q103" i="2"/>
  <c r="R103" i="2" s="1"/>
  <c r="T103" i="2" s="1"/>
  <c r="V103" i="2" s="1"/>
  <c r="Q37" i="4"/>
  <c r="R37" i="4" s="1"/>
  <c r="T37" i="4" s="1"/>
  <c r="V37" i="4" s="1"/>
  <c r="Q434" i="4"/>
  <c r="R434" i="4" s="1"/>
  <c r="T434" i="4" s="1"/>
  <c r="V434" i="4" s="1"/>
  <c r="Q119" i="4"/>
  <c r="R119" i="4" s="1"/>
  <c r="T119" i="4" s="1"/>
  <c r="V119" i="4" s="1"/>
  <c r="Q193" i="2"/>
  <c r="R193" i="2" s="1"/>
  <c r="T193" i="2" s="1"/>
  <c r="V193" i="2" s="1"/>
  <c r="K56" i="4"/>
  <c r="K434" i="2"/>
  <c r="K179" i="2"/>
  <c r="Q50" i="4"/>
  <c r="R50" i="4" s="1"/>
  <c r="T50" i="4" s="1"/>
  <c r="V50" i="4" s="1"/>
  <c r="Q268" i="2"/>
  <c r="R268" i="2" s="1"/>
  <c r="T268" i="2" s="1"/>
  <c r="V268" i="2" s="1"/>
  <c r="K207" i="4"/>
  <c r="K86" i="4"/>
  <c r="K291" i="2"/>
  <c r="Q58" i="4"/>
  <c r="R58" i="4" s="1"/>
  <c r="T58" i="4" s="1"/>
  <c r="V58" i="4" s="1"/>
  <c r="K747" i="2"/>
  <c r="I378" i="4"/>
  <c r="O378" i="4" s="1"/>
  <c r="Q378" i="4" s="1"/>
  <c r="R378" i="4" s="1"/>
  <c r="T378" i="4" s="1"/>
  <c r="V378" i="4" s="1"/>
  <c r="K925" i="2"/>
  <c r="K811" i="4"/>
  <c r="K909" i="2"/>
  <c r="K400" i="4"/>
  <c r="Q199" i="2"/>
  <c r="R199" i="2" s="1"/>
  <c r="T199" i="2" s="1"/>
  <c r="V199" i="2" s="1"/>
  <c r="K933" i="2"/>
  <c r="Q33" i="4"/>
  <c r="R33" i="4" s="1"/>
  <c r="T33" i="4" s="1"/>
  <c r="V33" i="4" s="1"/>
  <c r="K76" i="4"/>
  <c r="I787" i="2"/>
  <c r="O787" i="2" s="1"/>
  <c r="Q787" i="2" s="1"/>
  <c r="R787" i="2" s="1"/>
  <c r="T787" i="2" s="1"/>
  <c r="V787" i="2" s="1"/>
  <c r="K787" i="2"/>
  <c r="Q311" i="4"/>
  <c r="R311" i="4" s="1"/>
  <c r="T311" i="4" s="1"/>
  <c r="V311" i="4" s="1"/>
  <c r="Q592" i="2"/>
  <c r="R592" i="2" s="1"/>
  <c r="T592" i="2" s="1"/>
  <c r="V592" i="2" s="1"/>
  <c r="Q764" i="2"/>
  <c r="R764" i="2" s="1"/>
  <c r="T764" i="2" s="1"/>
  <c r="V764" i="2" s="1"/>
  <c r="Q504" i="4"/>
  <c r="R504" i="4" s="1"/>
  <c r="T504" i="4" s="1"/>
  <c r="V504" i="4" s="1"/>
  <c r="Q812" i="2"/>
  <c r="R812" i="2" s="1"/>
  <c r="T812" i="2" s="1"/>
  <c r="V812" i="2" s="1"/>
  <c r="Q312" i="2"/>
  <c r="R312" i="2" s="1"/>
  <c r="T312" i="2" s="1"/>
  <c r="V312" i="2" s="1"/>
  <c r="K221" i="2"/>
  <c r="Q629" i="4"/>
  <c r="R629" i="4" s="1"/>
  <c r="T629" i="4" s="1"/>
  <c r="V629" i="4" s="1"/>
  <c r="Q760" i="2"/>
  <c r="R760" i="2" s="1"/>
  <c r="T760" i="2" s="1"/>
  <c r="V760" i="2" s="1"/>
  <c r="K735" i="4"/>
  <c r="K475" i="2"/>
  <c r="K306" i="4"/>
  <c r="Q17" i="4"/>
  <c r="R17" i="4" s="1"/>
  <c r="T17" i="4" s="1"/>
  <c r="V17" i="4" s="1"/>
  <c r="K738" i="4"/>
  <c r="Q72" i="2"/>
  <c r="R72" i="2" s="1"/>
  <c r="T72" i="2" s="1"/>
  <c r="V72" i="2" s="1"/>
  <c r="Q978" i="4"/>
  <c r="R978" i="4" s="1"/>
  <c r="T978" i="4" s="1"/>
  <c r="V978" i="4" s="1"/>
  <c r="Q203" i="4"/>
  <c r="R203" i="4" s="1"/>
  <c r="T203" i="4" s="1"/>
  <c r="V203" i="4" s="1"/>
  <c r="K737" i="4"/>
  <c r="Q275" i="2"/>
  <c r="R275" i="2" s="1"/>
  <c r="T275" i="2" s="1"/>
  <c r="V275" i="2" s="1"/>
  <c r="I171" i="2"/>
  <c r="O171" i="2" s="1"/>
  <c r="Q171" i="2" s="1"/>
  <c r="R171" i="2" s="1"/>
  <c r="T171" i="2" s="1"/>
  <c r="V171" i="2" s="1"/>
  <c r="K171" i="2"/>
  <c r="K275" i="2"/>
  <c r="I110" i="4"/>
  <c r="O110" i="4" s="1"/>
  <c r="Q110" i="4" s="1"/>
  <c r="R110" i="4" s="1"/>
  <c r="T110" i="4" s="1"/>
  <c r="V110" i="4" s="1"/>
  <c r="K110" i="4"/>
  <c r="K550" i="4"/>
  <c r="Q442" i="2"/>
  <c r="R442" i="2" s="1"/>
  <c r="T442" i="2" s="1"/>
  <c r="V442" i="2" s="1"/>
  <c r="Q471" i="4"/>
  <c r="R471" i="4" s="1"/>
  <c r="T471" i="4" s="1"/>
  <c r="V471" i="4" s="1"/>
  <c r="I239" i="2"/>
  <c r="O239" i="2" s="1"/>
  <c r="Q239" i="2" s="1"/>
  <c r="R239" i="2" s="1"/>
  <c r="T239" i="2" s="1"/>
  <c r="V239" i="2" s="1"/>
  <c r="K239" i="2"/>
  <c r="Q232" i="2"/>
  <c r="R232" i="2" s="1"/>
  <c r="T232" i="2" s="1"/>
  <c r="V232" i="2" s="1"/>
  <c r="K262" i="4"/>
  <c r="I890" i="2"/>
  <c r="O890" i="2" s="1"/>
  <c r="Q890" i="2" s="1"/>
  <c r="R890" i="2" s="1"/>
  <c r="T890" i="2" s="1"/>
  <c r="V890" i="2" s="1"/>
  <c r="K168" i="2"/>
  <c r="Q86" i="4"/>
  <c r="R86" i="4" s="1"/>
  <c r="T86" i="4" s="1"/>
  <c r="V86" i="4" s="1"/>
  <c r="K555" i="4"/>
  <c r="I966" i="2"/>
  <c r="O966" i="2" s="1"/>
  <c r="Q966" i="2" s="1"/>
  <c r="R966" i="2" s="1"/>
  <c r="T966" i="2" s="1"/>
  <c r="V966" i="2" s="1"/>
  <c r="K966" i="2"/>
  <c r="K673" i="2"/>
  <c r="Q1001" i="2"/>
  <c r="R1001" i="2" s="1"/>
  <c r="T1001" i="2" s="1"/>
  <c r="V1001" i="2" s="1"/>
  <c r="Q429" i="2"/>
  <c r="R429" i="2" s="1"/>
  <c r="T429" i="2" s="1"/>
  <c r="V429" i="2" s="1"/>
  <c r="Q802" i="2"/>
  <c r="R802" i="2" s="1"/>
  <c r="T802" i="2" s="1"/>
  <c r="V802" i="2" s="1"/>
  <c r="Q916" i="2"/>
  <c r="R916" i="2" s="1"/>
  <c r="T916" i="2" s="1"/>
  <c r="V916" i="2" s="1"/>
  <c r="K78" i="2"/>
  <c r="K567" i="2"/>
  <c r="K666" i="2"/>
  <c r="Q141" i="2"/>
  <c r="R141" i="2" s="1"/>
  <c r="T141" i="2" s="1"/>
  <c r="V141" i="2" s="1"/>
  <c r="K513" i="2"/>
  <c r="I513" i="2"/>
  <c r="O513" i="2" s="1"/>
  <c r="Q513" i="2" s="1"/>
  <c r="R513" i="2" s="1"/>
  <c r="T513" i="2" s="1"/>
  <c r="V513" i="2" s="1"/>
  <c r="I955" i="4"/>
  <c r="O955" i="4" s="1"/>
  <c r="Q955" i="4" s="1"/>
  <c r="R955" i="4" s="1"/>
  <c r="T955" i="4" s="1"/>
  <c r="V955" i="4" s="1"/>
  <c r="K955" i="4"/>
  <c r="Q288" i="2"/>
  <c r="R288" i="2" s="1"/>
  <c r="T288" i="2" s="1"/>
  <c r="V288" i="2" s="1"/>
  <c r="Q553" i="2"/>
  <c r="R553" i="2" s="1"/>
  <c r="T553" i="2" s="1"/>
  <c r="V553" i="2" s="1"/>
  <c r="Q287" i="2"/>
  <c r="R287" i="2" s="1"/>
  <c r="T287" i="2" s="1"/>
  <c r="V287" i="2" s="1"/>
  <c r="Q230" i="2"/>
  <c r="R230" i="2" s="1"/>
  <c r="T230" i="2" s="1"/>
  <c r="V230" i="2" s="1"/>
  <c r="Q931" i="2"/>
  <c r="R931" i="2" s="1"/>
  <c r="T931" i="2" s="1"/>
  <c r="V931" i="2" s="1"/>
  <c r="Q958" i="2"/>
  <c r="R958" i="2" s="1"/>
  <c r="T958" i="2" s="1"/>
  <c r="V958" i="2" s="1"/>
  <c r="Q868" i="2"/>
  <c r="R868" i="2" s="1"/>
  <c r="T868" i="2" s="1"/>
  <c r="V868" i="2" s="1"/>
  <c r="Q512" i="4"/>
  <c r="R512" i="4" s="1"/>
  <c r="T512" i="4" s="1"/>
  <c r="V512" i="4" s="1"/>
  <c r="Q745" i="2"/>
  <c r="R745" i="2" s="1"/>
  <c r="T745" i="2" s="1"/>
  <c r="V745" i="2" s="1"/>
  <c r="K196" i="4"/>
  <c r="K932" i="4"/>
  <c r="K154" i="2"/>
  <c r="Q495" i="4"/>
  <c r="R495" i="4" s="1"/>
  <c r="T495" i="4" s="1"/>
  <c r="V495" i="4" s="1"/>
  <c r="K495" i="4"/>
  <c r="Q425" i="2"/>
  <c r="R425" i="2" s="1"/>
  <c r="T425" i="2" s="1"/>
  <c r="V425" i="2" s="1"/>
  <c r="Q738" i="4"/>
  <c r="R738" i="4" s="1"/>
  <c r="T738" i="4" s="1"/>
  <c r="V738" i="4" s="1"/>
  <c r="K715" i="2"/>
  <c r="K123" i="2"/>
  <c r="K298" i="2"/>
  <c r="Q479" i="2"/>
  <c r="R479" i="2" s="1"/>
  <c r="T479" i="2" s="1"/>
  <c r="V479" i="2" s="1"/>
  <c r="K988" i="4"/>
  <c r="I422" i="2"/>
  <c r="O422" i="2" s="1"/>
  <c r="Q422" i="2" s="1"/>
  <c r="R422" i="2" s="1"/>
  <c r="T422" i="2" s="1"/>
  <c r="V422" i="2" s="1"/>
  <c r="Q772" i="2"/>
  <c r="R772" i="2" s="1"/>
  <c r="T772" i="2" s="1"/>
  <c r="V772" i="2" s="1"/>
  <c r="K240" i="4"/>
  <c r="Q398" i="4"/>
  <c r="R398" i="4" s="1"/>
  <c r="T398" i="4" s="1"/>
  <c r="V398" i="4" s="1"/>
  <c r="Q911" i="2"/>
  <c r="R911" i="2" s="1"/>
  <c r="T911" i="2" s="1"/>
  <c r="V911" i="2" s="1"/>
  <c r="Q266" i="4"/>
  <c r="R266" i="4" s="1"/>
  <c r="T266" i="4" s="1"/>
  <c r="V266" i="4" s="1"/>
  <c r="K132" i="2"/>
  <c r="Q976" i="4"/>
  <c r="R976" i="4" s="1"/>
  <c r="T976" i="4" s="1"/>
  <c r="V976" i="4" s="1"/>
  <c r="K836" i="2"/>
  <c r="K389" i="2"/>
  <c r="Q925" i="2"/>
  <c r="R925" i="2" s="1"/>
  <c r="T925" i="2" s="1"/>
  <c r="V925" i="2" s="1"/>
  <c r="K843" i="4"/>
  <c r="Q787" i="4"/>
  <c r="R787" i="4" s="1"/>
  <c r="T787" i="4" s="1"/>
  <c r="V787" i="4" s="1"/>
  <c r="K924" i="2"/>
  <c r="K781" i="4"/>
  <c r="I781" i="4"/>
  <c r="O781" i="4" s="1"/>
  <c r="Q781" i="4" s="1"/>
  <c r="R781" i="4" s="1"/>
  <c r="T781" i="4" s="1"/>
  <c r="V781" i="4" s="1"/>
  <c r="Q972" i="4"/>
  <c r="R972" i="4" s="1"/>
  <c r="T972" i="4" s="1"/>
  <c r="V972" i="4" s="1"/>
  <c r="Q61" i="2"/>
  <c r="R61" i="2" s="1"/>
  <c r="T61" i="2" s="1"/>
  <c r="V61" i="2" s="1"/>
  <c r="K20" i="2"/>
  <c r="K148" i="4"/>
  <c r="Q569" i="2"/>
  <c r="R569" i="2" s="1"/>
  <c r="T569" i="2" s="1"/>
  <c r="V569" i="2" s="1"/>
  <c r="Q778" i="4"/>
  <c r="R778" i="4" s="1"/>
  <c r="T778" i="4" s="1"/>
  <c r="V778" i="4" s="1"/>
  <c r="Q551" i="4"/>
  <c r="R551" i="4" s="1"/>
  <c r="T551" i="4" s="1"/>
  <c r="V551" i="4" s="1"/>
  <c r="K766" i="4"/>
  <c r="K918" i="4"/>
  <c r="K681" i="2"/>
  <c r="Q681" i="2"/>
  <c r="R681" i="2" s="1"/>
  <c r="T681" i="2" s="1"/>
  <c r="V681" i="2" s="1"/>
  <c r="K398" i="4"/>
  <c r="K773" i="4"/>
  <c r="K80" i="4"/>
  <c r="Q179" i="2"/>
  <c r="R179" i="2" s="1"/>
  <c r="T179" i="2" s="1"/>
  <c r="V179" i="2" s="1"/>
  <c r="Q91" i="2"/>
  <c r="R91" i="2" s="1"/>
  <c r="T91" i="2" s="1"/>
  <c r="V91" i="2" s="1"/>
  <c r="Q928" i="2"/>
  <c r="R928" i="2" s="1"/>
  <c r="T928" i="2" s="1"/>
  <c r="V928" i="2" s="1"/>
  <c r="Q377" i="2"/>
  <c r="R377" i="2" s="1"/>
  <c r="T377" i="2" s="1"/>
  <c r="V377" i="2" s="1"/>
  <c r="K341" i="2"/>
  <c r="Q989" i="2"/>
  <c r="R989" i="2" s="1"/>
  <c r="T989" i="2" s="1"/>
  <c r="V989" i="2" s="1"/>
  <c r="Q494" i="4"/>
  <c r="R494" i="4" s="1"/>
  <c r="T494" i="4" s="1"/>
  <c r="V494" i="4" s="1"/>
  <c r="K746" i="4"/>
  <c r="Q930" i="4"/>
  <c r="R930" i="4" s="1"/>
  <c r="T930" i="4" s="1"/>
  <c r="V930" i="4" s="1"/>
  <c r="Q644" i="4"/>
  <c r="R644" i="4" s="1"/>
  <c r="T644" i="4" s="1"/>
  <c r="V644" i="4" s="1"/>
  <c r="K708" i="4"/>
  <c r="K589" i="2"/>
  <c r="Q157" i="2"/>
  <c r="R157" i="2" s="1"/>
  <c r="T157" i="2" s="1"/>
  <c r="V157" i="2" s="1"/>
  <c r="Q726" i="4"/>
  <c r="R726" i="4" s="1"/>
  <c r="T726" i="4" s="1"/>
  <c r="V726" i="4" s="1"/>
  <c r="Q170" i="4"/>
  <c r="R170" i="4" s="1"/>
  <c r="T170" i="4" s="1"/>
  <c r="V170" i="4" s="1"/>
  <c r="Q841" i="4"/>
  <c r="R841" i="4" s="1"/>
  <c r="T841" i="4" s="1"/>
  <c r="V841" i="4" s="1"/>
  <c r="K423" i="4"/>
  <c r="K996" i="4"/>
  <c r="Q47" i="2"/>
  <c r="R47" i="2" s="1"/>
  <c r="T47" i="2" s="1"/>
  <c r="V47" i="2" s="1"/>
  <c r="Q473" i="2"/>
  <c r="R473" i="2" s="1"/>
  <c r="T473" i="2" s="1"/>
  <c r="V473" i="2" s="1"/>
  <c r="Q587" i="4"/>
  <c r="R587" i="4" s="1"/>
  <c r="T587" i="4" s="1"/>
  <c r="V587" i="4" s="1"/>
  <c r="Q445" i="4"/>
  <c r="R445" i="4" s="1"/>
  <c r="T445" i="4" s="1"/>
  <c r="V445" i="4" s="1"/>
  <c r="K985" i="2"/>
  <c r="K459" i="2"/>
  <c r="Q887" i="2"/>
  <c r="R887" i="2" s="1"/>
  <c r="T887" i="2" s="1"/>
  <c r="V887" i="2" s="1"/>
  <c r="Q391" i="4"/>
  <c r="R391" i="4" s="1"/>
  <c r="T391" i="4" s="1"/>
  <c r="V391" i="4" s="1"/>
  <c r="Q587" i="2"/>
  <c r="R587" i="2" s="1"/>
  <c r="T587" i="2" s="1"/>
  <c r="V587" i="2" s="1"/>
  <c r="K170" i="4"/>
  <c r="K841" i="4"/>
  <c r="Q433" i="2"/>
  <c r="R433" i="2" s="1"/>
  <c r="T433" i="2" s="1"/>
  <c r="V433" i="2" s="1"/>
  <c r="Q851" i="2"/>
  <c r="R851" i="2" s="1"/>
  <c r="T851" i="2" s="1"/>
  <c r="V851" i="2" s="1"/>
  <c r="K845" i="4"/>
  <c r="Q208" i="2"/>
  <c r="R208" i="2" s="1"/>
  <c r="T208" i="2" s="1"/>
  <c r="V208" i="2" s="1"/>
  <c r="K525" i="4"/>
  <c r="K336" i="4"/>
  <c r="K825" i="2"/>
  <c r="K654" i="2"/>
  <c r="Q231" i="4"/>
  <c r="R231" i="4" s="1"/>
  <c r="T231" i="4" s="1"/>
  <c r="V231" i="4" s="1"/>
  <c r="Q471" i="2"/>
  <c r="R471" i="2" s="1"/>
  <c r="T471" i="2" s="1"/>
  <c r="V471" i="2" s="1"/>
  <c r="Q560" i="4"/>
  <c r="R560" i="4" s="1"/>
  <c r="T560" i="4" s="1"/>
  <c r="V560" i="4" s="1"/>
  <c r="Q969" i="4"/>
  <c r="R969" i="4" s="1"/>
  <c r="T969" i="4" s="1"/>
  <c r="V969" i="4" s="1"/>
  <c r="Q562" i="4"/>
  <c r="R562" i="4" s="1"/>
  <c r="T562" i="4" s="1"/>
  <c r="V562" i="4" s="1"/>
  <c r="K424" i="2"/>
  <c r="K89" i="4"/>
  <c r="K543" i="4"/>
  <c r="K679" i="2"/>
  <c r="K167" i="4"/>
  <c r="Q361" i="2"/>
  <c r="R361" i="2" s="1"/>
  <c r="T361" i="2" s="1"/>
  <c r="V361" i="2" s="1"/>
  <c r="Q994" i="2"/>
  <c r="R994" i="2" s="1"/>
  <c r="T994" i="2" s="1"/>
  <c r="V994" i="2" s="1"/>
  <c r="K337" i="2"/>
  <c r="K368" i="2"/>
  <c r="Q833" i="2"/>
  <c r="R833" i="2" s="1"/>
  <c r="T833" i="2" s="1"/>
  <c r="V833" i="2" s="1"/>
  <c r="Q190" i="4"/>
  <c r="R190" i="4" s="1"/>
  <c r="T190" i="4" s="1"/>
  <c r="V190" i="4" s="1"/>
  <c r="K926" i="2"/>
  <c r="Q184" i="2"/>
  <c r="R184" i="2" s="1"/>
  <c r="T184" i="2" s="1"/>
  <c r="V184" i="2" s="1"/>
  <c r="K439" i="2"/>
  <c r="K508" i="4"/>
  <c r="Q368" i="4"/>
  <c r="R368" i="4" s="1"/>
  <c r="T368" i="4" s="1"/>
  <c r="V368" i="4" s="1"/>
  <c r="K472" i="2"/>
  <c r="Q883" i="4"/>
  <c r="R883" i="4" s="1"/>
  <c r="T883" i="4" s="1"/>
  <c r="V883" i="4" s="1"/>
  <c r="Q583" i="2"/>
  <c r="R583" i="2" s="1"/>
  <c r="T583" i="2" s="1"/>
  <c r="V583" i="2" s="1"/>
  <c r="Q738" i="2"/>
  <c r="R738" i="2" s="1"/>
  <c r="T738" i="2" s="1"/>
  <c r="V738" i="2" s="1"/>
  <c r="Q428" i="2"/>
  <c r="R428" i="2" s="1"/>
  <c r="T428" i="2" s="1"/>
  <c r="V428" i="2" s="1"/>
  <c r="K359" i="2"/>
  <c r="K289" i="2"/>
  <c r="Q999" i="2"/>
  <c r="R999" i="2" s="1"/>
  <c r="T999" i="2" s="1"/>
  <c r="V999" i="2" s="1"/>
  <c r="I389" i="2"/>
  <c r="O389" i="2" s="1"/>
  <c r="Q389" i="2" s="1"/>
  <c r="R389" i="2" s="1"/>
  <c r="T389" i="2" s="1"/>
  <c r="V389" i="2" s="1"/>
  <c r="Q481" i="2"/>
  <c r="R481" i="2" s="1"/>
  <c r="T481" i="2" s="1"/>
  <c r="V481" i="2" s="1"/>
  <c r="Q32" i="4"/>
  <c r="R32" i="4" s="1"/>
  <c r="T32" i="4" s="1"/>
  <c r="V32" i="4" s="1"/>
  <c r="K87" i="4"/>
  <c r="Q430" i="4"/>
  <c r="R430" i="4" s="1"/>
  <c r="T430" i="4" s="1"/>
  <c r="V430" i="4" s="1"/>
  <c r="Q583" i="4"/>
  <c r="R583" i="4" s="1"/>
  <c r="T583" i="4" s="1"/>
  <c r="V583" i="4" s="1"/>
  <c r="K153" i="2"/>
  <c r="K9" i="4"/>
  <c r="K401" i="4"/>
  <c r="Q208" i="4"/>
  <c r="R208" i="4" s="1"/>
  <c r="T208" i="4" s="1"/>
  <c r="V208" i="4" s="1"/>
  <c r="K208" i="4"/>
  <c r="Q419" i="4"/>
  <c r="R419" i="4" s="1"/>
  <c r="T419" i="4" s="1"/>
  <c r="V419" i="4" s="1"/>
  <c r="K819" i="4"/>
  <c r="Q766" i="2"/>
  <c r="R766" i="2" s="1"/>
  <c r="T766" i="2" s="1"/>
  <c r="V766" i="2" s="1"/>
  <c r="Q359" i="2"/>
  <c r="R359" i="2" s="1"/>
  <c r="T359" i="2" s="1"/>
  <c r="V359" i="2" s="1"/>
  <c r="Q216" i="4"/>
  <c r="R216" i="4" s="1"/>
  <c r="T216" i="4" s="1"/>
  <c r="V216" i="4" s="1"/>
  <c r="Q87" i="4"/>
  <c r="R87" i="4" s="1"/>
  <c r="T87" i="4" s="1"/>
  <c r="V87" i="4" s="1"/>
  <c r="Q273" i="4"/>
  <c r="R273" i="4" s="1"/>
  <c r="T273" i="4" s="1"/>
  <c r="V273" i="4" s="1"/>
  <c r="Q615" i="4"/>
  <c r="R615" i="4" s="1"/>
  <c r="T615" i="4" s="1"/>
  <c r="V615" i="4" s="1"/>
  <c r="Q950" i="4"/>
  <c r="R950" i="4" s="1"/>
  <c r="T950" i="4" s="1"/>
  <c r="V950" i="4" s="1"/>
  <c r="Q695" i="4"/>
  <c r="R695" i="4" s="1"/>
  <c r="T695" i="4" s="1"/>
  <c r="V695" i="4" s="1"/>
  <c r="Q259" i="2"/>
  <c r="R259" i="2" s="1"/>
  <c r="T259" i="2" s="1"/>
  <c r="V259" i="2" s="1"/>
  <c r="K581" i="2"/>
  <c r="Q444" i="2"/>
  <c r="R444" i="2" s="1"/>
  <c r="T444" i="2" s="1"/>
  <c r="V444" i="2" s="1"/>
  <c r="Q988" i="4"/>
  <c r="R988" i="4" s="1"/>
  <c r="T988" i="4" s="1"/>
  <c r="V988" i="4" s="1"/>
  <c r="K1003" i="4"/>
  <c r="Q249" i="2"/>
  <c r="R249" i="2" s="1"/>
  <c r="T249" i="2" s="1"/>
  <c r="V249" i="2" s="1"/>
  <c r="Q790" i="2"/>
  <c r="R790" i="2" s="1"/>
  <c r="T790" i="2" s="1"/>
  <c r="V790" i="2" s="1"/>
  <c r="K665" i="4"/>
  <c r="Q316" i="4"/>
  <c r="R316" i="4" s="1"/>
  <c r="T316" i="4" s="1"/>
  <c r="V316" i="4" s="1"/>
  <c r="Q55" i="2"/>
  <c r="R55" i="2" s="1"/>
  <c r="T55" i="2" s="1"/>
  <c r="V55" i="2" s="1"/>
  <c r="K23" i="2"/>
  <c r="Q740" i="2"/>
  <c r="R740" i="2" s="1"/>
  <c r="T740" i="2" s="1"/>
  <c r="V740" i="2" s="1"/>
  <c r="Q557" i="2"/>
  <c r="R557" i="2" s="1"/>
  <c r="T557" i="2" s="1"/>
  <c r="V557" i="2" s="1"/>
  <c r="Q181" i="2"/>
  <c r="R181" i="2" s="1"/>
  <c r="T181" i="2" s="1"/>
  <c r="V181" i="2" s="1"/>
  <c r="Q639" i="2"/>
  <c r="R639" i="2" s="1"/>
  <c r="T639" i="2" s="1"/>
  <c r="V639" i="2" s="1"/>
  <c r="Q927" i="2"/>
  <c r="R927" i="2" s="1"/>
  <c r="T927" i="2" s="1"/>
  <c r="V927" i="2" s="1"/>
  <c r="Q740" i="4"/>
  <c r="R740" i="4" s="1"/>
  <c r="T740" i="4" s="1"/>
  <c r="V740" i="4" s="1"/>
  <c r="Q26" i="2"/>
  <c r="R26" i="2" s="1"/>
  <c r="T26" i="2" s="1"/>
  <c r="V26" i="2" s="1"/>
  <c r="Q825" i="4"/>
  <c r="R825" i="4" s="1"/>
  <c r="T825" i="4" s="1"/>
  <c r="V825" i="4" s="1"/>
  <c r="K140" i="2"/>
  <c r="K488" i="2"/>
  <c r="K310" i="4"/>
  <c r="K956" i="2"/>
  <c r="Q575" i="2"/>
  <c r="R575" i="2" s="1"/>
  <c r="T575" i="2" s="1"/>
  <c r="V575" i="2" s="1"/>
  <c r="Q479" i="4"/>
  <c r="R479" i="4" s="1"/>
  <c r="T479" i="4" s="1"/>
  <c r="V479" i="4" s="1"/>
  <c r="K1001" i="2"/>
  <c r="K242" i="4"/>
  <c r="K893" i="4"/>
  <c r="I370" i="4"/>
  <c r="O370" i="4" s="1"/>
  <c r="Q370" i="4" s="1"/>
  <c r="R370" i="4" s="1"/>
  <c r="T370" i="4" s="1"/>
  <c r="V370" i="4" s="1"/>
  <c r="K157" i="2"/>
  <c r="I301" i="4"/>
  <c r="O301" i="4" s="1"/>
  <c r="Q301" i="4" s="1"/>
  <c r="R301" i="4" s="1"/>
  <c r="T301" i="4" s="1"/>
  <c r="V301" i="4" s="1"/>
  <c r="I694" i="2"/>
  <c r="O694" i="2" s="1"/>
  <c r="Q694" i="2" s="1"/>
  <c r="R694" i="2" s="1"/>
  <c r="T694" i="2" s="1"/>
  <c r="V694" i="2" s="1"/>
  <c r="K694" i="2"/>
  <c r="Q394" i="2"/>
  <c r="R394" i="2" s="1"/>
  <c r="T394" i="2" s="1"/>
  <c r="V394" i="2" s="1"/>
  <c r="K96" i="4"/>
  <c r="Q613" i="4"/>
  <c r="R613" i="4" s="1"/>
  <c r="T613" i="4" s="1"/>
  <c r="V613" i="4" s="1"/>
  <c r="K114" i="2"/>
  <c r="K688" i="4"/>
  <c r="K132" i="4"/>
  <c r="Q793" i="2"/>
  <c r="R793" i="2" s="1"/>
  <c r="T793" i="2" s="1"/>
  <c r="V793" i="2" s="1"/>
  <c r="K372" i="4"/>
  <c r="K859" i="4"/>
  <c r="K408" i="4"/>
  <c r="Q971" i="2"/>
  <c r="R971" i="2" s="1"/>
  <c r="T971" i="2" s="1"/>
  <c r="V971" i="2" s="1"/>
  <c r="K880" i="4"/>
  <c r="Q542" i="4"/>
  <c r="R542" i="4" s="1"/>
  <c r="T542" i="4" s="1"/>
  <c r="V542" i="4" s="1"/>
  <c r="Q399" i="2"/>
  <c r="R399" i="2" s="1"/>
  <c r="T399" i="2" s="1"/>
  <c r="V399" i="2" s="1"/>
  <c r="Q110" i="2"/>
  <c r="R110" i="2" s="1"/>
  <c r="T110" i="2" s="1"/>
  <c r="V110" i="2" s="1"/>
  <c r="K941" i="4"/>
  <c r="K141" i="2"/>
  <c r="K75" i="2"/>
  <c r="Q324" i="2"/>
  <c r="R324" i="2" s="1"/>
  <c r="T324" i="2" s="1"/>
  <c r="V324" i="2" s="1"/>
  <c r="Q461" i="4"/>
  <c r="R461" i="4" s="1"/>
  <c r="T461" i="4" s="1"/>
  <c r="V461" i="4" s="1"/>
  <c r="Q175" i="4"/>
  <c r="R175" i="4" s="1"/>
  <c r="T175" i="4" s="1"/>
  <c r="V175" i="4" s="1"/>
  <c r="Q385" i="4"/>
  <c r="R385" i="4" s="1"/>
  <c r="T385" i="4" s="1"/>
  <c r="V385" i="4" s="1"/>
  <c r="K793" i="2"/>
  <c r="Q446" i="4"/>
  <c r="R446" i="4" s="1"/>
  <c r="T446" i="4" s="1"/>
  <c r="V446" i="4" s="1"/>
  <c r="Q402" i="4"/>
  <c r="R402" i="4" s="1"/>
  <c r="T402" i="4" s="1"/>
  <c r="V402" i="4" s="1"/>
  <c r="K79" i="4"/>
  <c r="Q704" i="2"/>
  <c r="R704" i="2" s="1"/>
  <c r="T704" i="2" s="1"/>
  <c r="V704" i="2" s="1"/>
  <c r="K332" i="4"/>
  <c r="Q541" i="4"/>
  <c r="R541" i="4" s="1"/>
  <c r="T541" i="4" s="1"/>
  <c r="V541" i="4" s="1"/>
  <c r="K541" i="4"/>
  <c r="Q243" i="2"/>
  <c r="R243" i="2" s="1"/>
  <c r="T243" i="2" s="1"/>
  <c r="V243" i="2" s="1"/>
  <c r="Q445" i="2"/>
  <c r="R445" i="2" s="1"/>
  <c r="T445" i="2" s="1"/>
  <c r="V445" i="2" s="1"/>
  <c r="K131" i="2"/>
  <c r="Q503" i="2"/>
  <c r="R503" i="2" s="1"/>
  <c r="T503" i="2" s="1"/>
  <c r="V503" i="2" s="1"/>
  <c r="K924" i="4"/>
  <c r="K694" i="4"/>
  <c r="Q594" i="4"/>
  <c r="R594" i="4" s="1"/>
  <c r="T594" i="4" s="1"/>
  <c r="V594" i="4" s="1"/>
  <c r="Q287" i="4"/>
  <c r="R287" i="4" s="1"/>
  <c r="T287" i="4" s="1"/>
  <c r="V287" i="4" s="1"/>
  <c r="K776" i="2"/>
  <c r="Q525" i="4"/>
  <c r="R525" i="4" s="1"/>
  <c r="T525" i="4" s="1"/>
  <c r="V525" i="4" s="1"/>
  <c r="Q776" i="4"/>
  <c r="R776" i="4" s="1"/>
  <c r="T776" i="4" s="1"/>
  <c r="V776" i="4" s="1"/>
  <c r="Q621" i="4"/>
  <c r="R621" i="4" s="1"/>
  <c r="T621" i="4" s="1"/>
  <c r="V621" i="4" s="1"/>
  <c r="K468" i="2"/>
  <c r="K560" i="2"/>
  <c r="K629" i="4"/>
  <c r="Q243" i="4"/>
  <c r="R243" i="4" s="1"/>
  <c r="T243" i="4" s="1"/>
  <c r="V243" i="4" s="1"/>
  <c r="Q833" i="4"/>
  <c r="R833" i="4" s="1"/>
  <c r="T833" i="4" s="1"/>
  <c r="V833" i="4" s="1"/>
  <c r="K621" i="4"/>
  <c r="K911" i="4"/>
  <c r="Q347" i="2"/>
  <c r="R347" i="2" s="1"/>
  <c r="T347" i="2" s="1"/>
  <c r="V347" i="2" s="1"/>
  <c r="Q522" i="2"/>
  <c r="R522" i="2" s="1"/>
  <c r="T522" i="2" s="1"/>
  <c r="V522" i="2" s="1"/>
  <c r="Q831" i="2"/>
  <c r="R831" i="2" s="1"/>
  <c r="T831" i="2" s="1"/>
  <c r="V831" i="2" s="1"/>
  <c r="Q724" i="4"/>
  <c r="R724" i="4" s="1"/>
  <c r="T724" i="4" s="1"/>
  <c r="V724" i="4" s="1"/>
  <c r="Q936" i="4"/>
  <c r="R936" i="4" s="1"/>
  <c r="T936" i="4" s="1"/>
  <c r="V936" i="4" s="1"/>
  <c r="I431" i="4"/>
  <c r="O431" i="4" s="1"/>
  <c r="Q431" i="4" s="1"/>
  <c r="R431" i="4" s="1"/>
  <c r="T431" i="4" s="1"/>
  <c r="V431" i="4" s="1"/>
  <c r="K431" i="4"/>
  <c r="K616" i="4"/>
  <c r="K500" i="4"/>
  <c r="I500" i="4"/>
  <c r="O500" i="4" s="1"/>
  <c r="Q500" i="4" s="1"/>
  <c r="R500" i="4" s="1"/>
  <c r="T500" i="4" s="1"/>
  <c r="V500" i="4" s="1"/>
  <c r="Q388" i="4"/>
  <c r="R388" i="4" s="1"/>
  <c r="T388" i="4" s="1"/>
  <c r="V388" i="4" s="1"/>
  <c r="K402" i="4"/>
  <c r="Q233" i="2"/>
  <c r="R233" i="2" s="1"/>
  <c r="T233" i="2" s="1"/>
  <c r="V233" i="2" s="1"/>
  <c r="Q153" i="4"/>
  <c r="R153" i="4" s="1"/>
  <c r="T153" i="4" s="1"/>
  <c r="V153" i="4" s="1"/>
  <c r="Q259" i="4"/>
  <c r="R259" i="4" s="1"/>
  <c r="T259" i="4" s="1"/>
  <c r="V259" i="4" s="1"/>
  <c r="Q206" i="4"/>
  <c r="R206" i="4" s="1"/>
  <c r="T206" i="4" s="1"/>
  <c r="V206" i="4" s="1"/>
  <c r="Q927" i="4"/>
  <c r="R927" i="4" s="1"/>
  <c r="T927" i="4" s="1"/>
  <c r="V927" i="4" s="1"/>
  <c r="K939" i="4"/>
  <c r="K739" i="4"/>
  <c r="K18" i="4"/>
  <c r="K501" i="2"/>
  <c r="K776" i="4"/>
  <c r="K554" i="4"/>
  <c r="Q365" i="4"/>
  <c r="R365" i="4" s="1"/>
  <c r="T365" i="4" s="1"/>
  <c r="V365" i="4" s="1"/>
  <c r="Q162" i="2"/>
  <c r="R162" i="2" s="1"/>
  <c r="T162" i="2" s="1"/>
  <c r="V162" i="2" s="1"/>
  <c r="Q951" i="2"/>
  <c r="R951" i="2" s="1"/>
  <c r="T951" i="2" s="1"/>
  <c r="V951" i="2" s="1"/>
  <c r="Q202" i="4"/>
  <c r="R202" i="4" s="1"/>
  <c r="T202" i="4" s="1"/>
  <c r="V202" i="4" s="1"/>
  <c r="I43" i="2"/>
  <c r="O43" i="2" s="1"/>
  <c r="Q43" i="2" s="1"/>
  <c r="R43" i="2" s="1"/>
  <c r="T43" i="2" s="1"/>
  <c r="V43" i="2" s="1"/>
  <c r="K43" i="2"/>
  <c r="K535" i="4"/>
  <c r="I535" i="4"/>
  <c r="O535" i="4" s="1"/>
  <c r="Q535" i="4" s="1"/>
  <c r="R535" i="4" s="1"/>
  <c r="T535" i="4" s="1"/>
  <c r="V535" i="4" s="1"/>
  <c r="K740" i="2"/>
  <c r="Q132" i="2"/>
  <c r="R132" i="2" s="1"/>
  <c r="T132" i="2" s="1"/>
  <c r="V132" i="2" s="1"/>
  <c r="K413" i="4"/>
  <c r="K896" i="2"/>
  <c r="Q195" i="2"/>
  <c r="R195" i="2" s="1"/>
  <c r="T195" i="2" s="1"/>
  <c r="V195" i="2" s="1"/>
  <c r="Q567" i="2"/>
  <c r="R567" i="2" s="1"/>
  <c r="T567" i="2" s="1"/>
  <c r="V567" i="2" s="1"/>
  <c r="Q173" i="4"/>
  <c r="R173" i="4" s="1"/>
  <c r="T173" i="4" s="1"/>
  <c r="V173" i="4" s="1"/>
  <c r="K173" i="4"/>
  <c r="Q973" i="4"/>
  <c r="R973" i="4" s="1"/>
  <c r="T973" i="4" s="1"/>
  <c r="V973" i="4" s="1"/>
  <c r="Q57" i="4"/>
  <c r="R57" i="4" s="1"/>
  <c r="T57" i="4" s="1"/>
  <c r="V57" i="4" s="1"/>
  <c r="K167" i="2"/>
  <c r="Q233" i="4"/>
  <c r="R233" i="4" s="1"/>
  <c r="T233" i="4" s="1"/>
  <c r="V233" i="4" s="1"/>
  <c r="Q653" i="2"/>
  <c r="R653" i="2" s="1"/>
  <c r="T653" i="2" s="1"/>
  <c r="V653" i="2" s="1"/>
  <c r="Q250" i="4"/>
  <c r="R250" i="4" s="1"/>
  <c r="T250" i="4" s="1"/>
  <c r="V250" i="4" s="1"/>
  <c r="K997" i="4"/>
  <c r="K875" i="4"/>
  <c r="Q959" i="4"/>
  <c r="R959" i="4" s="1"/>
  <c r="T959" i="4" s="1"/>
  <c r="V959" i="4" s="1"/>
  <c r="Q593" i="4"/>
  <c r="R593" i="4" s="1"/>
  <c r="T593" i="4" s="1"/>
  <c r="V593" i="4" s="1"/>
  <c r="K408" i="2"/>
  <c r="K98" i="4"/>
  <c r="Q98" i="4"/>
  <c r="R98" i="4" s="1"/>
  <c r="T98" i="4" s="1"/>
  <c r="V98" i="4" s="1"/>
  <c r="K996" i="2"/>
  <c r="Q371" i="4"/>
  <c r="R371" i="4" s="1"/>
  <c r="T371" i="4" s="1"/>
  <c r="V371" i="4" s="1"/>
  <c r="Q723" i="4"/>
  <c r="R723" i="4" s="1"/>
  <c r="T723" i="4" s="1"/>
  <c r="V723" i="4" s="1"/>
  <c r="Q131" i="4"/>
  <c r="R131" i="4" s="1"/>
  <c r="T131" i="4" s="1"/>
  <c r="V131" i="4" s="1"/>
  <c r="K220" i="4"/>
  <c r="Q991" i="4"/>
  <c r="R991" i="4" s="1"/>
  <c r="T991" i="4" s="1"/>
  <c r="V991" i="4" s="1"/>
  <c r="K896" i="4"/>
  <c r="Q632" i="4"/>
  <c r="R632" i="4" s="1"/>
  <c r="T632" i="4" s="1"/>
  <c r="V632" i="4" s="1"/>
  <c r="I302" i="4"/>
  <c r="O302" i="4" s="1"/>
  <c r="Q302" i="4" s="1"/>
  <c r="R302" i="4" s="1"/>
  <c r="T302" i="4" s="1"/>
  <c r="V302" i="4" s="1"/>
  <c r="K302" i="4"/>
  <c r="K114" i="4"/>
  <c r="I540" i="4"/>
  <c r="O540" i="4" s="1"/>
  <c r="Q540" i="4" s="1"/>
  <c r="R540" i="4" s="1"/>
  <c r="T540" i="4" s="1"/>
  <c r="V540" i="4" s="1"/>
  <c r="K540" i="4"/>
  <c r="Q637" i="2"/>
  <c r="R637" i="2" s="1"/>
  <c r="T637" i="2" s="1"/>
  <c r="V637" i="2" s="1"/>
  <c r="Q610" i="2"/>
  <c r="R610" i="2" s="1"/>
  <c r="T610" i="2" s="1"/>
  <c r="V610" i="2" s="1"/>
  <c r="Q83" i="4"/>
  <c r="R83" i="4" s="1"/>
  <c r="T83" i="4" s="1"/>
  <c r="V83" i="4" s="1"/>
  <c r="Q721" i="2"/>
  <c r="R721" i="2" s="1"/>
  <c r="T721" i="2" s="1"/>
  <c r="V721" i="2" s="1"/>
  <c r="Q114" i="4"/>
  <c r="R114" i="4" s="1"/>
  <c r="T114" i="4" s="1"/>
  <c r="V114" i="4" s="1"/>
  <c r="K857" i="2"/>
  <c r="Q748" i="4"/>
  <c r="R748" i="4" s="1"/>
  <c r="T748" i="4" s="1"/>
  <c r="V748" i="4" s="1"/>
  <c r="K247" i="4"/>
  <c r="K128" i="4"/>
  <c r="Q861" i="2"/>
  <c r="R861" i="2" s="1"/>
  <c r="T861" i="2" s="1"/>
  <c r="V861" i="2" s="1"/>
  <c r="Q458" i="2"/>
  <c r="R458" i="2" s="1"/>
  <c r="T458" i="2" s="1"/>
  <c r="V458" i="2" s="1"/>
  <c r="K195" i="2"/>
  <c r="Q401" i="4"/>
  <c r="R401" i="4" s="1"/>
  <c r="T401" i="4" s="1"/>
  <c r="V401" i="4" s="1"/>
  <c r="K462" i="2"/>
  <c r="K387" i="2"/>
  <c r="Q663" i="4"/>
  <c r="R663" i="4" s="1"/>
  <c r="T663" i="4" s="1"/>
  <c r="V663" i="4" s="1"/>
  <c r="K762" i="2"/>
  <c r="Q450" i="2"/>
  <c r="R450" i="2" s="1"/>
  <c r="T450" i="2" s="1"/>
  <c r="V450" i="2" s="1"/>
  <c r="Q803" i="2"/>
  <c r="R803" i="2" s="1"/>
  <c r="T803" i="2" s="1"/>
  <c r="V803" i="2" s="1"/>
  <c r="Q126" i="2"/>
  <c r="R126" i="2" s="1"/>
  <c r="T126" i="2" s="1"/>
  <c r="V126" i="2" s="1"/>
  <c r="Q289" i="2"/>
  <c r="R289" i="2" s="1"/>
  <c r="T289" i="2" s="1"/>
  <c r="V289" i="2" s="1"/>
  <c r="Q529" i="2"/>
  <c r="R529" i="2" s="1"/>
  <c r="T529" i="2" s="1"/>
  <c r="V529" i="2" s="1"/>
  <c r="Q652" i="2"/>
  <c r="R652" i="2" s="1"/>
  <c r="T652" i="2" s="1"/>
  <c r="V652" i="2" s="1"/>
  <c r="Q86" i="2"/>
  <c r="R86" i="2" s="1"/>
  <c r="T86" i="2" s="1"/>
  <c r="V86" i="2" s="1"/>
  <c r="Q417" i="4"/>
  <c r="R417" i="4" s="1"/>
  <c r="T417" i="4" s="1"/>
  <c r="V417" i="4" s="1"/>
  <c r="Q223" i="4"/>
  <c r="R223" i="4" s="1"/>
  <c r="T223" i="4" s="1"/>
  <c r="V223" i="4" s="1"/>
  <c r="Q707" i="4"/>
  <c r="R707" i="4" s="1"/>
  <c r="T707" i="4" s="1"/>
  <c r="V707" i="4" s="1"/>
  <c r="Q980" i="2"/>
  <c r="R980" i="2" s="1"/>
  <c r="T980" i="2" s="1"/>
  <c r="V980" i="2" s="1"/>
  <c r="K533" i="4"/>
  <c r="Q333" i="4"/>
  <c r="R333" i="4" s="1"/>
  <c r="T333" i="4" s="1"/>
  <c r="V333" i="4" s="1"/>
  <c r="Q628" i="4"/>
  <c r="R628" i="4" s="1"/>
  <c r="T628" i="4" s="1"/>
  <c r="V628" i="4" s="1"/>
  <c r="Q862" i="4"/>
  <c r="R862" i="4" s="1"/>
  <c r="T862" i="4" s="1"/>
  <c r="V862" i="4" s="1"/>
  <c r="Q731" i="4"/>
  <c r="R731" i="4" s="1"/>
  <c r="T731" i="4" s="1"/>
  <c r="V731" i="4" s="1"/>
  <c r="Q592" i="4"/>
  <c r="R592" i="4" s="1"/>
  <c r="T592" i="4" s="1"/>
  <c r="V592" i="4" s="1"/>
  <c r="K813" i="2"/>
  <c r="Q314" i="2"/>
  <c r="R314" i="2" s="1"/>
  <c r="T314" i="2" s="1"/>
  <c r="V314" i="2" s="1"/>
  <c r="K882" i="4"/>
  <c r="Q982" i="4"/>
  <c r="R982" i="4" s="1"/>
  <c r="T982" i="4" s="1"/>
  <c r="V982" i="4" s="1"/>
  <c r="K553" i="4"/>
  <c r="K348" i="4"/>
  <c r="Q836" i="2"/>
  <c r="R836" i="2" s="1"/>
  <c r="T836" i="2" s="1"/>
  <c r="V836" i="2" s="1"/>
  <c r="Q462" i="2"/>
  <c r="R462" i="2" s="1"/>
  <c r="T462" i="2" s="1"/>
  <c r="V462" i="2" s="1"/>
  <c r="Q366" i="2"/>
  <c r="R366" i="2" s="1"/>
  <c r="T366" i="2" s="1"/>
  <c r="V366" i="2" s="1"/>
  <c r="K726" i="4"/>
  <c r="K587" i="2"/>
  <c r="K971" i="2"/>
  <c r="Q522" i="4"/>
  <c r="R522" i="4" s="1"/>
  <c r="T522" i="4" s="1"/>
  <c r="V522" i="4" s="1"/>
  <c r="Q526" i="2"/>
  <c r="R526" i="2" s="1"/>
  <c r="T526" i="2" s="1"/>
  <c r="V526" i="2" s="1"/>
  <c r="K549" i="2"/>
  <c r="Q566" i="4"/>
  <c r="R566" i="4" s="1"/>
  <c r="T566" i="4" s="1"/>
  <c r="V566" i="4" s="1"/>
  <c r="Q577" i="4"/>
  <c r="R577" i="4" s="1"/>
  <c r="T577" i="4" s="1"/>
  <c r="V577" i="4" s="1"/>
  <c r="K858" i="4"/>
  <c r="K120" i="4"/>
  <c r="Q182" i="2"/>
  <c r="R182" i="2" s="1"/>
  <c r="T182" i="2" s="1"/>
  <c r="V182" i="2" s="1"/>
  <c r="Q723" i="2"/>
  <c r="R723" i="2" s="1"/>
  <c r="T723" i="2" s="1"/>
  <c r="V723" i="2" s="1"/>
  <c r="K301" i="2"/>
  <c r="Q414" i="2"/>
  <c r="R414" i="2" s="1"/>
  <c r="T414" i="2" s="1"/>
  <c r="V414" i="2" s="1"/>
  <c r="K994" i="2"/>
  <c r="K258" i="2"/>
  <c r="Q758" i="2"/>
  <c r="R758" i="2" s="1"/>
  <c r="T758" i="2" s="1"/>
  <c r="V758" i="2" s="1"/>
  <c r="K498" i="4"/>
  <c r="K367" i="2"/>
  <c r="Q530" i="4"/>
  <c r="R530" i="4" s="1"/>
  <c r="T530" i="4" s="1"/>
  <c r="V530" i="4" s="1"/>
  <c r="Q145" i="2"/>
  <c r="R145" i="2" s="1"/>
  <c r="T145" i="2" s="1"/>
  <c r="V145" i="2" s="1"/>
  <c r="Q946" i="4"/>
  <c r="R946" i="4" s="1"/>
  <c r="T946" i="4" s="1"/>
  <c r="V946" i="4" s="1"/>
  <c r="Q612" i="4"/>
  <c r="R612" i="4" s="1"/>
  <c r="T612" i="4" s="1"/>
  <c r="V612" i="4" s="1"/>
  <c r="K565" i="4"/>
  <c r="Q281" i="4"/>
  <c r="R281" i="4" s="1"/>
  <c r="T281" i="4" s="1"/>
  <c r="V281" i="4" s="1"/>
  <c r="Q89" i="4"/>
  <c r="R89" i="4" s="1"/>
  <c r="T89" i="4" s="1"/>
  <c r="V89" i="4" s="1"/>
  <c r="K705" i="4"/>
  <c r="Q447" i="4"/>
  <c r="R447" i="4" s="1"/>
  <c r="T447" i="4" s="1"/>
  <c r="V447" i="4" s="1"/>
  <c r="K94" i="2"/>
  <c r="Q369" i="4"/>
  <c r="R369" i="4" s="1"/>
  <c r="T369" i="4" s="1"/>
  <c r="V369" i="4" s="1"/>
  <c r="Q424" i="2"/>
  <c r="R424" i="2" s="1"/>
  <c r="T424" i="2" s="1"/>
  <c r="V424" i="2" s="1"/>
  <c r="Q185" i="2"/>
  <c r="R185" i="2" s="1"/>
  <c r="T185" i="2" s="1"/>
  <c r="V185" i="2" s="1"/>
  <c r="Q430" i="2"/>
  <c r="R430" i="2" s="1"/>
  <c r="T430" i="2" s="1"/>
  <c r="V430" i="2" s="1"/>
  <c r="K991" i="2"/>
  <c r="K488" i="4"/>
  <c r="K327" i="4"/>
  <c r="Q368" i="2"/>
  <c r="R368" i="2" s="1"/>
  <c r="T368" i="2" s="1"/>
  <c r="V368" i="2" s="1"/>
  <c r="Q403" i="2"/>
  <c r="R403" i="2" s="1"/>
  <c r="T403" i="2" s="1"/>
  <c r="V403" i="2" s="1"/>
  <c r="Q379" i="4"/>
  <c r="R379" i="4" s="1"/>
  <c r="T379" i="4" s="1"/>
  <c r="V379" i="4" s="1"/>
  <c r="Q39" i="4"/>
  <c r="R39" i="4" s="1"/>
  <c r="T39" i="4" s="1"/>
  <c r="V39" i="4" s="1"/>
  <c r="K280" i="4"/>
  <c r="Q871" i="4"/>
  <c r="R871" i="4" s="1"/>
  <c r="T871" i="4" s="1"/>
  <c r="V871" i="4" s="1"/>
  <c r="K604" i="2"/>
  <c r="K250" i="2"/>
  <c r="K872" i="4"/>
  <c r="K27" i="2"/>
  <c r="K251" i="4"/>
  <c r="Q187" i="2"/>
  <c r="R187" i="2" s="1"/>
  <c r="T187" i="2" s="1"/>
  <c r="V187" i="2" s="1"/>
  <c r="Q321" i="2"/>
  <c r="R321" i="2" s="1"/>
  <c r="T321" i="2" s="1"/>
  <c r="V321" i="2" s="1"/>
  <c r="K735" i="2"/>
  <c r="K120" i="2"/>
  <c r="K893" i="2"/>
  <c r="K334" i="2"/>
  <c r="Q725" i="2"/>
  <c r="R725" i="2" s="1"/>
  <c r="T725" i="2" s="1"/>
  <c r="V725" i="2" s="1"/>
  <c r="Q357" i="2"/>
  <c r="R357" i="2" s="1"/>
  <c r="T357" i="2" s="1"/>
  <c r="V357" i="2" s="1"/>
  <c r="Q258" i="2"/>
  <c r="R258" i="2" s="1"/>
  <c r="T258" i="2" s="1"/>
  <c r="V258" i="2" s="1"/>
  <c r="K891" i="2"/>
  <c r="Q281" i="2"/>
  <c r="R281" i="2" s="1"/>
  <c r="T281" i="2" s="1"/>
  <c r="V281" i="2" s="1"/>
  <c r="K471" i="4"/>
  <c r="Q498" i="4"/>
  <c r="R498" i="4" s="1"/>
  <c r="T498" i="4" s="1"/>
  <c r="V498" i="4" s="1"/>
  <c r="Q396" i="4"/>
  <c r="R396" i="4" s="1"/>
  <c r="T396" i="4" s="1"/>
  <c r="V396" i="4" s="1"/>
  <c r="Q983" i="2"/>
  <c r="R983" i="2" s="1"/>
  <c r="T983" i="2" s="1"/>
  <c r="V983" i="2" s="1"/>
  <c r="K891" i="4"/>
  <c r="K849" i="2"/>
  <c r="Q705" i="4"/>
  <c r="R705" i="4" s="1"/>
  <c r="T705" i="4" s="1"/>
  <c r="V705" i="4" s="1"/>
  <c r="K270" i="4"/>
  <c r="Q575" i="4"/>
  <c r="R575" i="4" s="1"/>
  <c r="T575" i="4" s="1"/>
  <c r="V575" i="4" s="1"/>
  <c r="Q282" i="4"/>
  <c r="R282" i="4" s="1"/>
  <c r="T282" i="4" s="1"/>
  <c r="V282" i="4" s="1"/>
  <c r="K66" i="2"/>
  <c r="Q532" i="2"/>
  <c r="R532" i="2" s="1"/>
  <c r="T532" i="2" s="1"/>
  <c r="V532" i="2" s="1"/>
  <c r="K562" i="2"/>
  <c r="K777" i="2"/>
  <c r="Q499" i="2"/>
  <c r="R499" i="2" s="1"/>
  <c r="T499" i="2" s="1"/>
  <c r="V499" i="2" s="1"/>
  <c r="Q555" i="4"/>
  <c r="R555" i="4" s="1"/>
  <c r="T555" i="4" s="1"/>
  <c r="V555" i="4" s="1"/>
  <c r="Q777" i="2"/>
  <c r="R777" i="2" s="1"/>
  <c r="T777" i="2" s="1"/>
  <c r="V777" i="2" s="1"/>
  <c r="Q336" i="4"/>
  <c r="R336" i="4" s="1"/>
  <c r="T336" i="4" s="1"/>
  <c r="V336" i="4" s="1"/>
  <c r="Q647" i="2"/>
  <c r="R647" i="2" s="1"/>
  <c r="T647" i="2" s="1"/>
  <c r="V647" i="2" s="1"/>
  <c r="K530" i="2"/>
  <c r="K583" i="2"/>
  <c r="Q825" i="2"/>
  <c r="R825" i="2" s="1"/>
  <c r="T825" i="2" s="1"/>
  <c r="V825" i="2" s="1"/>
  <c r="Q693" i="2"/>
  <c r="R693" i="2" s="1"/>
  <c r="T693" i="2" s="1"/>
  <c r="V693" i="2" s="1"/>
  <c r="Q864" i="2"/>
  <c r="R864" i="2" s="1"/>
  <c r="T864" i="2" s="1"/>
  <c r="V864" i="2" s="1"/>
  <c r="Q10" i="2"/>
  <c r="R10" i="2" s="1"/>
  <c r="T10" i="2" s="1"/>
  <c r="V10" i="2" s="1"/>
  <c r="Q460" i="2"/>
  <c r="R460" i="2" s="1"/>
  <c r="T460" i="2" s="1"/>
  <c r="V460" i="2" s="1"/>
  <c r="Q919" i="4"/>
  <c r="R919" i="4" s="1"/>
  <c r="T919" i="4" s="1"/>
  <c r="V919" i="4" s="1"/>
  <c r="Q427" i="4"/>
  <c r="R427" i="4" s="1"/>
  <c r="T427" i="4" s="1"/>
  <c r="V427" i="4" s="1"/>
  <c r="Q416" i="4"/>
  <c r="R416" i="4" s="1"/>
  <c r="T416" i="4" s="1"/>
  <c r="V416" i="4" s="1"/>
  <c r="Q30" i="4"/>
  <c r="R30" i="4" s="1"/>
  <c r="T30" i="4" s="1"/>
  <c r="V30" i="4" s="1"/>
  <c r="K740" i="4"/>
  <c r="Q715" i="4"/>
  <c r="R715" i="4" s="1"/>
  <c r="T715" i="4" s="1"/>
  <c r="V715" i="4" s="1"/>
  <c r="Q938" i="2"/>
  <c r="R938" i="2" s="1"/>
  <c r="T938" i="2" s="1"/>
  <c r="V938" i="2" s="1"/>
  <c r="Q76" i="4"/>
  <c r="R76" i="4" s="1"/>
  <c r="T76" i="4" s="1"/>
  <c r="V76" i="4" s="1"/>
  <c r="Q226" i="4"/>
  <c r="R226" i="4" s="1"/>
  <c r="T226" i="4" s="1"/>
  <c r="V226" i="4" s="1"/>
  <c r="Q812" i="4"/>
  <c r="R812" i="4" s="1"/>
  <c r="T812" i="4" s="1"/>
  <c r="V812" i="4" s="1"/>
  <c r="Q459" i="4"/>
  <c r="R459" i="4" s="1"/>
  <c r="T459" i="4" s="1"/>
  <c r="V459" i="4" s="1"/>
  <c r="Q945" i="4"/>
  <c r="R945" i="4" s="1"/>
  <c r="T945" i="4" s="1"/>
  <c r="V945" i="4" s="1"/>
  <c r="Q61" i="4"/>
  <c r="R61" i="4" s="1"/>
  <c r="T61" i="4" s="1"/>
  <c r="V61" i="4" s="1"/>
  <c r="Q183" i="4"/>
  <c r="R183" i="4" s="1"/>
  <c r="T183" i="4" s="1"/>
  <c r="V183" i="4" s="1"/>
  <c r="Q509" i="2"/>
  <c r="R509" i="2" s="1"/>
  <c r="T509" i="2" s="1"/>
  <c r="V509" i="2" s="1"/>
  <c r="Q792" i="4"/>
  <c r="R792" i="4" s="1"/>
  <c r="T792" i="4" s="1"/>
  <c r="V792" i="4" s="1"/>
  <c r="Q457" i="4"/>
  <c r="R457" i="4" s="1"/>
  <c r="T457" i="4" s="1"/>
  <c r="V457" i="4" s="1"/>
  <c r="Q18" i="4"/>
  <c r="R18" i="4" s="1"/>
  <c r="T18" i="4" s="1"/>
  <c r="V18" i="4" s="1"/>
  <c r="Q551" i="2"/>
  <c r="R551" i="2" s="1"/>
  <c r="T551" i="2" s="1"/>
  <c r="V551" i="2" s="1"/>
  <c r="Q786" i="4"/>
  <c r="R786" i="4" s="1"/>
  <c r="T786" i="4" s="1"/>
  <c r="V786" i="4" s="1"/>
  <c r="Q228" i="4"/>
  <c r="R228" i="4" s="1"/>
  <c r="T228" i="4" s="1"/>
  <c r="V228" i="4" s="1"/>
  <c r="Q207" i="4"/>
  <c r="R207" i="4" s="1"/>
  <c r="T207" i="4" s="1"/>
  <c r="V207" i="4" s="1"/>
  <c r="K158" i="4"/>
  <c r="K711" i="2"/>
  <c r="I27" i="2"/>
  <c r="O27" i="2" s="1"/>
  <c r="Q27" i="2" s="1"/>
  <c r="R27" i="2" s="1"/>
  <c r="T27" i="2" s="1"/>
  <c r="V27" i="2" s="1"/>
  <c r="Q556" i="2"/>
  <c r="R556" i="2" s="1"/>
  <c r="T556" i="2" s="1"/>
  <c r="V556" i="2" s="1"/>
  <c r="Q863" i="2"/>
  <c r="R863" i="2" s="1"/>
  <c r="T863" i="2" s="1"/>
  <c r="V863" i="2" s="1"/>
  <c r="K473" i="2"/>
  <c r="Q355" i="4"/>
  <c r="R355" i="4" s="1"/>
  <c r="T355" i="4" s="1"/>
  <c r="V355" i="4" s="1"/>
  <c r="K419" i="4"/>
  <c r="K808" i="2"/>
  <c r="Q805" i="2"/>
  <c r="R805" i="2" s="1"/>
  <c r="T805" i="2" s="1"/>
  <c r="V805" i="2" s="1"/>
  <c r="K539" i="4"/>
  <c r="Q811" i="2"/>
  <c r="R811" i="2" s="1"/>
  <c r="T811" i="2" s="1"/>
  <c r="V811" i="2" s="1"/>
  <c r="Q923" i="4"/>
  <c r="R923" i="4" s="1"/>
  <c r="T923" i="4" s="1"/>
  <c r="V923" i="4" s="1"/>
  <c r="Q52" i="2"/>
  <c r="R52" i="2" s="1"/>
  <c r="T52" i="2" s="1"/>
  <c r="V52" i="2" s="1"/>
  <c r="Q785" i="2"/>
  <c r="R785" i="2" s="1"/>
  <c r="T785" i="2" s="1"/>
  <c r="V785" i="2" s="1"/>
  <c r="Q827" i="2"/>
  <c r="R827" i="2" s="1"/>
  <c r="T827" i="2" s="1"/>
  <c r="V827" i="2" s="1"/>
  <c r="Q260" i="4"/>
  <c r="R260" i="4" s="1"/>
  <c r="T260" i="4" s="1"/>
  <c r="V260" i="4" s="1"/>
  <c r="K442" i="4"/>
  <c r="Q903" i="4"/>
  <c r="R903" i="4" s="1"/>
  <c r="T903" i="4" s="1"/>
  <c r="V903" i="4" s="1"/>
  <c r="Q742" i="4"/>
  <c r="R742" i="4" s="1"/>
  <c r="T742" i="4" s="1"/>
  <c r="V742" i="4" s="1"/>
  <c r="Q675" i="4"/>
  <c r="R675" i="4" s="1"/>
  <c r="T675" i="4" s="1"/>
  <c r="V675" i="4" s="1"/>
  <c r="Q970" i="4"/>
  <c r="R970" i="4" s="1"/>
  <c r="T970" i="4" s="1"/>
  <c r="V970" i="4" s="1"/>
  <c r="K612" i="2"/>
  <c r="Q896" i="2"/>
  <c r="R896" i="2" s="1"/>
  <c r="T896" i="2" s="1"/>
  <c r="V896" i="2" s="1"/>
  <c r="K377" i="4"/>
  <c r="K454" i="2"/>
  <c r="K446" i="4"/>
  <c r="Q605" i="2"/>
  <c r="R605" i="2" s="1"/>
  <c r="T605" i="2" s="1"/>
  <c r="V605" i="2" s="1"/>
  <c r="K844" i="4"/>
  <c r="Q31" i="4"/>
  <c r="R31" i="4" s="1"/>
  <c r="T31" i="4" s="1"/>
  <c r="V31" i="4" s="1"/>
  <c r="K575" i="4"/>
  <c r="Q548" i="2"/>
  <c r="R548" i="2" s="1"/>
  <c r="T548" i="2" s="1"/>
  <c r="V548" i="2" s="1"/>
  <c r="Q408" i="4"/>
  <c r="R408" i="4" s="1"/>
  <c r="T408" i="4" s="1"/>
  <c r="V408" i="4" s="1"/>
  <c r="Q768" i="2"/>
  <c r="R768" i="2" s="1"/>
  <c r="T768" i="2" s="1"/>
  <c r="V768" i="2" s="1"/>
  <c r="K863" i="2"/>
  <c r="Q353" i="2"/>
  <c r="R353" i="2" s="1"/>
  <c r="T353" i="2" s="1"/>
  <c r="V353" i="2" s="1"/>
  <c r="Q133" i="4"/>
  <c r="R133" i="4" s="1"/>
  <c r="T133" i="4" s="1"/>
  <c r="V133" i="4" s="1"/>
  <c r="Q664" i="2"/>
  <c r="R664" i="2" s="1"/>
  <c r="T664" i="2" s="1"/>
  <c r="V664" i="2" s="1"/>
  <c r="Q691" i="2"/>
  <c r="R691" i="2" s="1"/>
  <c r="T691" i="2" s="1"/>
  <c r="V691" i="2" s="1"/>
  <c r="Q929" i="2"/>
  <c r="R929" i="2" s="1"/>
  <c r="T929" i="2" s="1"/>
  <c r="V929" i="2" s="1"/>
  <c r="I795" i="2"/>
  <c r="O795" i="2" s="1"/>
  <c r="Q795" i="2" s="1"/>
  <c r="R795" i="2" s="1"/>
  <c r="T795" i="2" s="1"/>
  <c r="V795" i="2" s="1"/>
  <c r="K795" i="2"/>
  <c r="K641" i="2"/>
  <c r="Q786" i="2"/>
  <c r="R786" i="2" s="1"/>
  <c r="T786" i="2" s="1"/>
  <c r="V786" i="2" s="1"/>
  <c r="I322" i="2"/>
  <c r="O322" i="2" s="1"/>
  <c r="Q322" i="2" s="1"/>
  <c r="R322" i="2" s="1"/>
  <c r="T322" i="2" s="1"/>
  <c r="V322" i="2" s="1"/>
  <c r="K322" i="2"/>
  <c r="K366" i="2"/>
  <c r="K605" i="2"/>
  <c r="K760" i="2"/>
  <c r="Q829" i="2"/>
  <c r="R829" i="2" s="1"/>
  <c r="T829" i="2" s="1"/>
  <c r="V829" i="2" s="1"/>
  <c r="K9" i="2"/>
  <c r="K467" i="4"/>
  <c r="K159" i="4"/>
  <c r="K469" i="2"/>
  <c r="I469" i="2"/>
  <c r="O469" i="2" s="1"/>
  <c r="Q469" i="2" s="1"/>
  <c r="R469" i="2" s="1"/>
  <c r="T469" i="2" s="1"/>
  <c r="V469" i="2" s="1"/>
  <c r="Q94" i="2"/>
  <c r="R94" i="2" s="1"/>
  <c r="T94" i="2" s="1"/>
  <c r="V94" i="2" s="1"/>
  <c r="I668" i="4"/>
  <c r="O668" i="4" s="1"/>
  <c r="Q668" i="4" s="1"/>
  <c r="R668" i="4" s="1"/>
  <c r="T668" i="4" s="1"/>
  <c r="V668" i="4" s="1"/>
  <c r="K668" i="4"/>
  <c r="K663" i="4"/>
  <c r="K57" i="2"/>
  <c r="Q676" i="2"/>
  <c r="R676" i="2" s="1"/>
  <c r="T676" i="2" s="1"/>
  <c r="V676" i="2" s="1"/>
  <c r="K108" i="4"/>
  <c r="Q588" i="2"/>
  <c r="R588" i="2" s="1"/>
  <c r="T588" i="2" s="1"/>
  <c r="V588" i="2" s="1"/>
  <c r="Q362" i="4"/>
  <c r="R362" i="4" s="1"/>
  <c r="T362" i="4" s="1"/>
  <c r="V362" i="4" s="1"/>
  <c r="Q834" i="4"/>
  <c r="R834" i="4" s="1"/>
  <c r="T834" i="4" s="1"/>
  <c r="V834" i="4" s="1"/>
  <c r="Q909" i="4"/>
  <c r="R909" i="4" s="1"/>
  <c r="T909" i="4" s="1"/>
  <c r="V909" i="4" s="1"/>
  <c r="Q560" i="2"/>
  <c r="R560" i="2" s="1"/>
  <c r="T560" i="2" s="1"/>
  <c r="V560" i="2" s="1"/>
  <c r="Q552" i="2"/>
  <c r="R552" i="2" s="1"/>
  <c r="T552" i="2" s="1"/>
  <c r="V552" i="2" s="1"/>
  <c r="K691" i="2"/>
  <c r="K929" i="2"/>
  <c r="K532" i="2"/>
  <c r="Q414" i="4"/>
  <c r="R414" i="4" s="1"/>
  <c r="T414" i="4" s="1"/>
  <c r="V414" i="4" s="1"/>
  <c r="Q568" i="2"/>
  <c r="R568" i="2" s="1"/>
  <c r="T568" i="2" s="1"/>
  <c r="V568" i="2" s="1"/>
  <c r="Q922" i="4"/>
  <c r="R922" i="4" s="1"/>
  <c r="T922" i="4" s="1"/>
  <c r="V922" i="4" s="1"/>
  <c r="K470" i="2"/>
  <c r="K37" i="2"/>
  <c r="Q543" i="4"/>
  <c r="R543" i="4" s="1"/>
  <c r="T543" i="4" s="1"/>
  <c r="V543" i="4" s="1"/>
  <c r="Q876" i="2"/>
  <c r="R876" i="2" s="1"/>
  <c r="T876" i="2" s="1"/>
  <c r="V876" i="2" s="1"/>
  <c r="K264" i="2"/>
  <c r="Q511" i="2"/>
  <c r="R511" i="2" s="1"/>
  <c r="T511" i="2" s="1"/>
  <c r="V511" i="2" s="1"/>
  <c r="Q280" i="4"/>
  <c r="R280" i="4" s="1"/>
  <c r="T280" i="4" s="1"/>
  <c r="V280" i="4" s="1"/>
  <c r="K859" i="2"/>
  <c r="Q759" i="4"/>
  <c r="R759" i="4" s="1"/>
  <c r="T759" i="4" s="1"/>
  <c r="V759" i="4" s="1"/>
  <c r="Q596" i="2"/>
  <c r="R596" i="2" s="1"/>
  <c r="T596" i="2" s="1"/>
  <c r="V596" i="2" s="1"/>
  <c r="K738" i="2"/>
  <c r="K594" i="2"/>
  <c r="Q47" i="4"/>
  <c r="R47" i="4" s="1"/>
  <c r="T47" i="4" s="1"/>
  <c r="V47" i="4" s="1"/>
  <c r="Q33" i="2"/>
  <c r="R33" i="2" s="1"/>
  <c r="T33" i="2" s="1"/>
  <c r="V33" i="2" s="1"/>
  <c r="Q392" i="2"/>
  <c r="R392" i="2" s="1"/>
  <c r="T392" i="2" s="1"/>
  <c r="V392" i="2" s="1"/>
  <c r="Q761" i="4"/>
  <c r="R761" i="4" s="1"/>
  <c r="T761" i="4" s="1"/>
  <c r="V761" i="4" s="1"/>
  <c r="Q136" i="4"/>
  <c r="R136" i="4" s="1"/>
  <c r="T136" i="4" s="1"/>
  <c r="V136" i="4" s="1"/>
  <c r="Q580" i="4"/>
  <c r="R580" i="4" s="1"/>
  <c r="T580" i="4" s="1"/>
  <c r="V580" i="4" s="1"/>
  <c r="K433" i="4"/>
  <c r="Q609" i="4"/>
  <c r="R609" i="4" s="1"/>
  <c r="T609" i="4" s="1"/>
  <c r="V609" i="4" s="1"/>
  <c r="Q847" i="2"/>
  <c r="R847" i="2" s="1"/>
  <c r="T847" i="2" s="1"/>
  <c r="V847" i="2" s="1"/>
  <c r="Q464" i="4"/>
  <c r="R464" i="4" s="1"/>
  <c r="T464" i="4" s="1"/>
  <c r="V464" i="4" s="1"/>
  <c r="K317" i="2"/>
  <c r="Q991" i="2"/>
  <c r="R991" i="2" s="1"/>
  <c r="T991" i="2" s="1"/>
  <c r="V991" i="2" s="1"/>
  <c r="K541" i="2"/>
  <c r="Q346" i="4"/>
  <c r="R346" i="4" s="1"/>
  <c r="T346" i="4" s="1"/>
  <c r="V346" i="4" s="1"/>
  <c r="K614" i="4"/>
  <c r="K670" i="4"/>
  <c r="Q597" i="4"/>
  <c r="R597" i="4" s="1"/>
  <c r="T597" i="4" s="1"/>
  <c r="V597" i="4" s="1"/>
  <c r="Q633" i="4"/>
  <c r="R633" i="4" s="1"/>
  <c r="T633" i="4" s="1"/>
  <c r="V633" i="4" s="1"/>
  <c r="K591" i="4"/>
  <c r="K259" i="2"/>
  <c r="K516" i="2"/>
  <c r="Q488" i="4"/>
  <c r="R488" i="4" s="1"/>
  <c r="T488" i="4" s="1"/>
  <c r="V488" i="4" s="1"/>
  <c r="Q7" i="4"/>
  <c r="R7" i="4" s="1"/>
  <c r="T7" i="4" s="1"/>
  <c r="V7" i="4" s="1"/>
  <c r="Q397" i="2"/>
  <c r="R397" i="2" s="1"/>
  <c r="T397" i="2" s="1"/>
  <c r="V397" i="2" s="1"/>
  <c r="Q115" i="4"/>
  <c r="R115" i="4" s="1"/>
  <c r="T115" i="4" s="1"/>
  <c r="V115" i="4" s="1"/>
  <c r="K578" i="2"/>
  <c r="K756" i="2"/>
  <c r="K912" i="4"/>
  <c r="K586" i="4"/>
  <c r="K206" i="2"/>
  <c r="K476" i="2"/>
  <c r="K137" i="2"/>
  <c r="Q578" i="2"/>
  <c r="R578" i="2" s="1"/>
  <c r="T578" i="2" s="1"/>
  <c r="V578" i="2" s="1"/>
  <c r="K93" i="2"/>
  <c r="Q912" i="4"/>
  <c r="R912" i="4" s="1"/>
  <c r="T912" i="4" s="1"/>
  <c r="V912" i="4" s="1"/>
  <c r="K268" i="2"/>
  <c r="Q380" i="2"/>
  <c r="R380" i="2" s="1"/>
  <c r="T380" i="2" s="1"/>
  <c r="V380" i="2" s="1"/>
  <c r="K361" i="2"/>
  <c r="K548" i="4"/>
  <c r="K865" i="2"/>
  <c r="Q434" i="2"/>
  <c r="R434" i="2" s="1"/>
  <c r="T434" i="2" s="1"/>
  <c r="V434" i="2" s="1"/>
  <c r="K990" i="4"/>
  <c r="K714" i="4"/>
  <c r="I484" i="4"/>
  <c r="O484" i="4" s="1"/>
  <c r="Q484" i="4" s="1"/>
  <c r="R484" i="4" s="1"/>
  <c r="T484" i="4" s="1"/>
  <c r="V484" i="4" s="1"/>
  <c r="K484" i="4"/>
  <c r="K608" i="4"/>
  <c r="Q608" i="4"/>
  <c r="R608" i="4" s="1"/>
  <c r="T608" i="4" s="1"/>
  <c r="V608" i="4" s="1"/>
  <c r="Q236" i="2"/>
  <c r="R236" i="2" s="1"/>
  <c r="T236" i="2" s="1"/>
  <c r="V236" i="2" s="1"/>
  <c r="I579" i="4"/>
  <c r="O579" i="4" s="1"/>
  <c r="Q579" i="4" s="1"/>
  <c r="R579" i="4" s="1"/>
  <c r="T579" i="4" s="1"/>
  <c r="V579" i="4" s="1"/>
  <c r="K579" i="4"/>
  <c r="K751" i="4"/>
  <c r="Q751" i="4"/>
  <c r="R751" i="4" s="1"/>
  <c r="T751" i="4" s="1"/>
  <c r="V751" i="4" s="1"/>
  <c r="Q644" i="2"/>
  <c r="R644" i="2" s="1"/>
  <c r="T644" i="2" s="1"/>
  <c r="V644" i="2" s="1"/>
  <c r="K992" i="4"/>
  <c r="Q9" i="2"/>
  <c r="R9" i="2" s="1"/>
  <c r="T9" i="2" s="1"/>
  <c r="V9" i="2" s="1"/>
  <c r="Q501" i="2"/>
  <c r="R501" i="2" s="1"/>
  <c r="T501" i="2" s="1"/>
  <c r="V501" i="2" s="1"/>
  <c r="K636" i="2"/>
  <c r="Q369" i="2"/>
  <c r="R369" i="2" s="1"/>
  <c r="T369" i="2" s="1"/>
  <c r="V369" i="2" s="1"/>
  <c r="K877" i="2"/>
  <c r="K538" i="2"/>
  <c r="Q716" i="4"/>
  <c r="R716" i="4" s="1"/>
  <c r="T716" i="4" s="1"/>
  <c r="V716" i="4" s="1"/>
  <c r="K41" i="2"/>
  <c r="Q275" i="4"/>
  <c r="R275" i="4" s="1"/>
  <c r="T275" i="4" s="1"/>
  <c r="V275" i="4" s="1"/>
  <c r="K432" i="2"/>
  <c r="Q432" i="2"/>
  <c r="R432" i="2" s="1"/>
  <c r="T432" i="2" s="1"/>
  <c r="V432" i="2" s="1"/>
  <c r="Q123" i="4"/>
  <c r="R123" i="4" s="1"/>
  <c r="T123" i="4" s="1"/>
  <c r="V123" i="4" s="1"/>
  <c r="Q226" i="2"/>
  <c r="R226" i="2" s="1"/>
  <c r="T226" i="2" s="1"/>
  <c r="V226" i="2" s="1"/>
  <c r="Q732" i="2"/>
  <c r="R732" i="2" s="1"/>
  <c r="T732" i="2" s="1"/>
  <c r="V732" i="2" s="1"/>
  <c r="Q464" i="2"/>
  <c r="R464" i="2" s="1"/>
  <c r="T464" i="2" s="1"/>
  <c r="V464" i="2" s="1"/>
  <c r="Q776" i="2"/>
  <c r="R776" i="2" s="1"/>
  <c r="T776" i="2" s="1"/>
  <c r="V776" i="2" s="1"/>
  <c r="Q449" i="4"/>
  <c r="R449" i="4" s="1"/>
  <c r="T449" i="4" s="1"/>
  <c r="V449" i="4" s="1"/>
  <c r="K745" i="2"/>
  <c r="K69" i="2"/>
  <c r="Q969" i="2"/>
  <c r="R969" i="2" s="1"/>
  <c r="T969" i="2" s="1"/>
  <c r="V969" i="2" s="1"/>
  <c r="Q655" i="4"/>
  <c r="R655" i="4" s="1"/>
  <c r="T655" i="4" s="1"/>
  <c r="V655" i="4" s="1"/>
  <c r="Q529" i="4"/>
  <c r="R529" i="4" s="1"/>
  <c r="T529" i="4" s="1"/>
  <c r="V529" i="4" s="1"/>
  <c r="Q292" i="4"/>
  <c r="R292" i="4" s="1"/>
  <c r="T292" i="4" s="1"/>
  <c r="V292" i="4" s="1"/>
  <c r="Q879" i="4"/>
  <c r="R879" i="4" s="1"/>
  <c r="T879" i="4" s="1"/>
  <c r="V879" i="4" s="1"/>
  <c r="K825" i="4"/>
  <c r="Q60" i="2"/>
  <c r="R60" i="2" s="1"/>
  <c r="T60" i="2" s="1"/>
  <c r="V60" i="2" s="1"/>
  <c r="Q128" i="2"/>
  <c r="R128" i="2" s="1"/>
  <c r="T128" i="2" s="1"/>
  <c r="V128" i="2" s="1"/>
  <c r="Q405" i="2"/>
  <c r="R405" i="2" s="1"/>
  <c r="T405" i="2" s="1"/>
  <c r="V405" i="2" s="1"/>
  <c r="K142" i="2"/>
  <c r="K105" i="4"/>
  <c r="K166" i="4"/>
  <c r="Q69" i="2"/>
  <c r="R69" i="2" s="1"/>
  <c r="T69" i="2" s="1"/>
  <c r="V69" i="2" s="1"/>
  <c r="K927" i="2"/>
  <c r="K129" i="4"/>
  <c r="Q806" i="2"/>
  <c r="R806" i="2" s="1"/>
  <c r="T806" i="2" s="1"/>
  <c r="V806" i="2" s="1"/>
  <c r="Q278" i="2"/>
  <c r="R278" i="2" s="1"/>
  <c r="T278" i="2" s="1"/>
  <c r="V278" i="2" s="1"/>
  <c r="K745" i="4"/>
  <c r="Q512" i="2"/>
  <c r="R512" i="2" s="1"/>
  <c r="T512" i="2" s="1"/>
  <c r="V512" i="2" s="1"/>
  <c r="Q463" i="4"/>
  <c r="R463" i="4" s="1"/>
  <c r="T463" i="4" s="1"/>
  <c r="V463" i="4" s="1"/>
  <c r="K496" i="4"/>
  <c r="Q852" i="4"/>
  <c r="R852" i="4" s="1"/>
  <c r="T852" i="4" s="1"/>
  <c r="V852" i="4" s="1"/>
  <c r="K846" i="4"/>
  <c r="K248" i="4"/>
  <c r="K818" i="4"/>
  <c r="Q485" i="4"/>
  <c r="R485" i="4" s="1"/>
  <c r="T485" i="4" s="1"/>
  <c r="V485" i="4" s="1"/>
  <c r="K125" i="4"/>
  <c r="K696" i="2"/>
  <c r="I696" i="2"/>
  <c r="O696" i="2" s="1"/>
  <c r="Q696" i="2" s="1"/>
  <c r="R696" i="2" s="1"/>
  <c r="T696" i="2" s="1"/>
  <c r="V696" i="2" s="1"/>
  <c r="Q547" i="2"/>
  <c r="R547" i="2" s="1"/>
  <c r="T547" i="2" s="1"/>
  <c r="V547" i="2" s="1"/>
  <c r="Q324" i="4"/>
  <c r="R324" i="4" s="1"/>
  <c r="T324" i="4" s="1"/>
  <c r="V324" i="4" s="1"/>
  <c r="Q10" i="4"/>
  <c r="R10" i="4" s="1"/>
  <c r="T10" i="4" s="1"/>
  <c r="V10" i="4" s="1"/>
  <c r="Q421" i="4"/>
  <c r="R421" i="4" s="1"/>
  <c r="T421" i="4" s="1"/>
  <c r="V421" i="4" s="1"/>
  <c r="Q229" i="4"/>
  <c r="R229" i="4" s="1"/>
  <c r="T229" i="4" s="1"/>
  <c r="V229" i="4" s="1"/>
  <c r="Q780" i="4"/>
  <c r="R780" i="4" s="1"/>
  <c r="T780" i="4" s="1"/>
  <c r="V780" i="4" s="1"/>
  <c r="Q737" i="4"/>
  <c r="R737" i="4" s="1"/>
  <c r="T737" i="4" s="1"/>
  <c r="V737" i="4" s="1"/>
  <c r="Q577" i="2"/>
  <c r="R577" i="2" s="1"/>
  <c r="T577" i="2" s="1"/>
  <c r="V577" i="2" s="1"/>
  <c r="Q125" i="4"/>
  <c r="R125" i="4" s="1"/>
  <c r="T125" i="4" s="1"/>
  <c r="V125" i="4" s="1"/>
  <c r="K31" i="4"/>
  <c r="K164" i="2"/>
  <c r="K87" i="2"/>
  <c r="Q224" i="2"/>
  <c r="R224" i="2" s="1"/>
  <c r="T224" i="2" s="1"/>
  <c r="V224" i="2" s="1"/>
  <c r="Q518" i="2"/>
  <c r="R518" i="2" s="1"/>
  <c r="T518" i="2" s="1"/>
  <c r="V518" i="2" s="1"/>
  <c r="Q231" i="2"/>
  <c r="R231" i="2" s="1"/>
  <c r="T231" i="2" s="1"/>
  <c r="V231" i="2" s="1"/>
  <c r="Q30" i="2"/>
  <c r="R30" i="2" s="1"/>
  <c r="T30" i="2" s="1"/>
  <c r="V30" i="2" s="1"/>
  <c r="K303" i="2"/>
  <c r="K880" i="2"/>
  <c r="K844" i="2"/>
  <c r="Q584" i="4"/>
  <c r="R584" i="4" s="1"/>
  <c r="T584" i="4" s="1"/>
  <c r="V584" i="4" s="1"/>
  <c r="K104" i="4"/>
  <c r="Q922" i="2"/>
  <c r="R922" i="2" s="1"/>
  <c r="T922" i="2" s="1"/>
  <c r="V922" i="2" s="1"/>
  <c r="Q375" i="4"/>
  <c r="R375" i="4" s="1"/>
  <c r="T375" i="4" s="1"/>
  <c r="V375" i="4" s="1"/>
  <c r="Q239" i="4"/>
  <c r="R239" i="4" s="1"/>
  <c r="T239" i="4" s="1"/>
  <c r="V239" i="4" s="1"/>
  <c r="K560" i="4"/>
  <c r="Q987" i="4"/>
  <c r="R987" i="4" s="1"/>
  <c r="T987" i="4" s="1"/>
  <c r="V987" i="4" s="1"/>
  <c r="K65" i="4"/>
  <c r="K557" i="4"/>
  <c r="K851" i="4"/>
  <c r="Q667" i="4"/>
  <c r="R667" i="4" s="1"/>
  <c r="T667" i="4" s="1"/>
  <c r="V667" i="4" s="1"/>
  <c r="K715" i="4"/>
  <c r="Q496" i="4"/>
  <c r="R496" i="4" s="1"/>
  <c r="T496" i="4" s="1"/>
  <c r="V496" i="4" s="1"/>
  <c r="K742" i="4"/>
  <c r="K741" i="4"/>
  <c r="Q943" i="4"/>
  <c r="R943" i="4" s="1"/>
  <c r="T943" i="4" s="1"/>
  <c r="V943" i="4" s="1"/>
  <c r="Q846" i="4"/>
  <c r="R846" i="4" s="1"/>
  <c r="T846" i="4" s="1"/>
  <c r="V846" i="4" s="1"/>
  <c r="Q279" i="4"/>
  <c r="R279" i="4" s="1"/>
  <c r="T279" i="4" s="1"/>
  <c r="V279" i="4" s="1"/>
  <c r="K225" i="4"/>
  <c r="Q128" i="4"/>
  <c r="R128" i="4" s="1"/>
  <c r="T128" i="4" s="1"/>
  <c r="V128" i="4" s="1"/>
  <c r="Q708" i="4"/>
  <c r="R708" i="4" s="1"/>
  <c r="T708" i="4" s="1"/>
  <c r="V708" i="4" s="1"/>
  <c r="K143" i="4"/>
  <c r="Q78" i="2"/>
  <c r="R78" i="2" s="1"/>
  <c r="T78" i="2" s="1"/>
  <c r="V78" i="2" s="1"/>
  <c r="Q6" i="2"/>
  <c r="R6" i="2" s="1"/>
  <c r="T6" i="2" s="1"/>
  <c r="V6" i="2" s="1"/>
  <c r="K627" i="2"/>
  <c r="Q549" i="2"/>
  <c r="R549" i="2" s="1"/>
  <c r="T549" i="2" s="1"/>
  <c r="V549" i="2" s="1"/>
  <c r="Q719" i="2"/>
  <c r="R719" i="2" s="1"/>
  <c r="T719" i="2" s="1"/>
  <c r="V719" i="2" s="1"/>
  <c r="K174" i="2"/>
  <c r="Q305" i="2"/>
  <c r="R305" i="2" s="1"/>
  <c r="T305" i="2" s="1"/>
  <c r="V305" i="2" s="1"/>
  <c r="Q866" i="2"/>
  <c r="R866" i="2" s="1"/>
  <c r="T866" i="2" s="1"/>
  <c r="V866" i="2" s="1"/>
  <c r="K216" i="4"/>
  <c r="Q303" i="2"/>
  <c r="R303" i="2" s="1"/>
  <c r="T303" i="2" s="1"/>
  <c r="V303" i="2" s="1"/>
  <c r="Q783" i="2"/>
  <c r="R783" i="2" s="1"/>
  <c r="T783" i="2" s="1"/>
  <c r="V783" i="2" s="1"/>
  <c r="K279" i="2"/>
  <c r="Q251" i="4"/>
  <c r="R251" i="4" s="1"/>
  <c r="T251" i="4" s="1"/>
  <c r="V251" i="4" s="1"/>
  <c r="Q844" i="2"/>
  <c r="R844" i="2" s="1"/>
  <c r="T844" i="2" s="1"/>
  <c r="V844" i="2" s="1"/>
  <c r="Q623" i="2"/>
  <c r="R623" i="2" s="1"/>
  <c r="T623" i="2" s="1"/>
  <c r="V623" i="2" s="1"/>
  <c r="Q104" i="4"/>
  <c r="R104" i="4" s="1"/>
  <c r="T104" i="4" s="1"/>
  <c r="V104" i="4" s="1"/>
  <c r="Q313" i="4"/>
  <c r="R313" i="4" s="1"/>
  <c r="T313" i="4" s="1"/>
  <c r="V313" i="4" s="1"/>
  <c r="Q905" i="4"/>
  <c r="R905" i="4" s="1"/>
  <c r="T905" i="4" s="1"/>
  <c r="V905" i="4" s="1"/>
  <c r="K987" i="4"/>
  <c r="Q641" i="4"/>
  <c r="R641" i="4" s="1"/>
  <c r="T641" i="4" s="1"/>
  <c r="V641" i="4" s="1"/>
  <c r="Q65" i="4"/>
  <c r="R65" i="4" s="1"/>
  <c r="T65" i="4" s="1"/>
  <c r="V65" i="4" s="1"/>
  <c r="Q820" i="2"/>
  <c r="R820" i="2" s="1"/>
  <c r="T820" i="2" s="1"/>
  <c r="V820" i="2" s="1"/>
  <c r="K504" i="4"/>
  <c r="Q184" i="4"/>
  <c r="R184" i="4" s="1"/>
  <c r="T184" i="4" s="1"/>
  <c r="V184" i="4" s="1"/>
  <c r="Q237" i="2"/>
  <c r="R237" i="2" s="1"/>
  <c r="T237" i="2" s="1"/>
  <c r="V237" i="2" s="1"/>
  <c r="Q701" i="4"/>
  <c r="R701" i="4" s="1"/>
  <c r="T701" i="4" s="1"/>
  <c r="V701" i="4" s="1"/>
  <c r="Q710" i="4"/>
  <c r="R710" i="4" s="1"/>
  <c r="T710" i="4" s="1"/>
  <c r="V710" i="4" s="1"/>
  <c r="Q951" i="4"/>
  <c r="R951" i="4" s="1"/>
  <c r="T951" i="4" s="1"/>
  <c r="V951" i="4" s="1"/>
  <c r="K947" i="4"/>
  <c r="Q741" i="4"/>
  <c r="R741" i="4" s="1"/>
  <c r="T741" i="4" s="1"/>
  <c r="V741" i="4" s="1"/>
  <c r="Q439" i="2"/>
  <c r="R439" i="2" s="1"/>
  <c r="T439" i="2" s="1"/>
  <c r="V439" i="2" s="1"/>
  <c r="K911" i="2"/>
  <c r="K11" i="4"/>
  <c r="K522" i="4"/>
  <c r="Q899" i="4"/>
  <c r="R899" i="4" s="1"/>
  <c r="T899" i="4" s="1"/>
  <c r="V899" i="4" s="1"/>
  <c r="K161" i="4"/>
  <c r="Q962" i="4"/>
  <c r="R962" i="4" s="1"/>
  <c r="T962" i="4" s="1"/>
  <c r="V962" i="4" s="1"/>
  <c r="Q242" i="2"/>
  <c r="R242" i="2" s="1"/>
  <c r="T242" i="2" s="1"/>
  <c r="V242" i="2" s="1"/>
  <c r="K659" i="2"/>
  <c r="Q701" i="2"/>
  <c r="R701" i="2" s="1"/>
  <c r="T701" i="2" s="1"/>
  <c r="V701" i="2" s="1"/>
  <c r="Q708" i="2"/>
  <c r="R708" i="2" s="1"/>
  <c r="T708" i="2" s="1"/>
  <c r="V708" i="2" s="1"/>
  <c r="Q452" i="2"/>
  <c r="R452" i="2" s="1"/>
  <c r="T452" i="2" s="1"/>
  <c r="V452" i="2" s="1"/>
  <c r="Q212" i="2"/>
  <c r="R212" i="2" s="1"/>
  <c r="T212" i="2" s="1"/>
  <c r="V212" i="2" s="1"/>
  <c r="Q209" i="4"/>
  <c r="R209" i="4" s="1"/>
  <c r="T209" i="4" s="1"/>
  <c r="V209" i="4" s="1"/>
  <c r="K690" i="4"/>
  <c r="Q839" i="4"/>
  <c r="R839" i="4" s="1"/>
  <c r="T839" i="4" s="1"/>
  <c r="V839" i="4" s="1"/>
  <c r="Q746" i="4"/>
  <c r="R746" i="4" s="1"/>
  <c r="T746" i="4" s="1"/>
  <c r="V746" i="4" s="1"/>
  <c r="K638" i="4"/>
  <c r="K811" i="2"/>
  <c r="Q296" i="4"/>
  <c r="R296" i="4" s="1"/>
  <c r="T296" i="4" s="1"/>
  <c r="V296" i="4" s="1"/>
  <c r="K499" i="2"/>
  <c r="K259" i="4"/>
  <c r="Q263" i="4"/>
  <c r="R263" i="4" s="1"/>
  <c r="T263" i="4" s="1"/>
  <c r="V263" i="4" s="1"/>
  <c r="Q864" i="4"/>
  <c r="R864" i="4" s="1"/>
  <c r="T864" i="4" s="1"/>
  <c r="V864" i="4" s="1"/>
  <c r="Q638" i="4"/>
  <c r="R638" i="4" s="1"/>
  <c r="T638" i="4" s="1"/>
  <c r="V638" i="4" s="1"/>
  <c r="Q907" i="4"/>
  <c r="R907" i="4" s="1"/>
  <c r="T907" i="4" s="1"/>
  <c r="V907" i="4" s="1"/>
  <c r="Q601" i="4"/>
  <c r="R601" i="4" s="1"/>
  <c r="T601" i="4" s="1"/>
  <c r="V601" i="4" s="1"/>
  <c r="K894" i="2"/>
  <c r="K597" i="2"/>
  <c r="K458" i="2"/>
  <c r="K786" i="4"/>
  <c r="Q659" i="2"/>
  <c r="R659" i="2" s="1"/>
  <c r="T659" i="2" s="1"/>
  <c r="V659" i="2" s="1"/>
  <c r="I571" i="2"/>
  <c r="O571" i="2" s="1"/>
  <c r="Q571" i="2" s="1"/>
  <c r="R571" i="2" s="1"/>
  <c r="T571" i="2" s="1"/>
  <c r="V571" i="2" s="1"/>
  <c r="K356" i="2"/>
  <c r="Q263" i="2"/>
  <c r="R263" i="2" s="1"/>
  <c r="T263" i="2" s="1"/>
  <c r="V263" i="2" s="1"/>
  <c r="Q396" i="2"/>
  <c r="R396" i="2" s="1"/>
  <c r="T396" i="2" s="1"/>
  <c r="V396" i="2" s="1"/>
  <c r="Q449" i="2"/>
  <c r="R449" i="2" s="1"/>
  <c r="T449" i="2" s="1"/>
  <c r="V449" i="2" s="1"/>
  <c r="Q80" i="2"/>
  <c r="R80" i="2" s="1"/>
  <c r="T80" i="2" s="1"/>
  <c r="V80" i="2" s="1"/>
  <c r="K750" i="2"/>
  <c r="K192" i="2"/>
  <c r="K485" i="2"/>
  <c r="K782" i="2"/>
  <c r="K839" i="4"/>
  <c r="K437" i="4"/>
  <c r="Q730" i="4"/>
  <c r="R730" i="4" s="1"/>
  <c r="T730" i="4" s="1"/>
  <c r="V730" i="4" s="1"/>
  <c r="K183" i="4"/>
  <c r="Q539" i="2"/>
  <c r="R539" i="2" s="1"/>
  <c r="T539" i="2" s="1"/>
  <c r="V539" i="2" s="1"/>
  <c r="Q227" i="4"/>
  <c r="R227" i="4" s="1"/>
  <c r="T227" i="4" s="1"/>
  <c r="V227" i="4" s="1"/>
  <c r="K593" i="4"/>
  <c r="Q807" i="2"/>
  <c r="R807" i="2" s="1"/>
  <c r="T807" i="2" s="1"/>
  <c r="V807" i="2" s="1"/>
  <c r="K166" i="2"/>
  <c r="K1000" i="2"/>
  <c r="K649" i="2"/>
  <c r="Q500" i="2"/>
  <c r="R500" i="2" s="1"/>
  <c r="T500" i="2" s="1"/>
  <c r="V500" i="2" s="1"/>
  <c r="K97" i="2"/>
  <c r="Q51" i="2"/>
  <c r="R51" i="2" s="1"/>
  <c r="T51" i="2" s="1"/>
  <c r="V51" i="2" s="1"/>
  <c r="K803" i="4"/>
  <c r="Q447" i="2"/>
  <c r="R447" i="2" s="1"/>
  <c r="T447" i="2" s="1"/>
  <c r="V447" i="2" s="1"/>
  <c r="K249" i="2"/>
  <c r="Q968" i="2"/>
  <c r="R968" i="2" s="1"/>
  <c r="T968" i="2" s="1"/>
  <c r="V968" i="2" s="1"/>
  <c r="K82" i="2"/>
  <c r="K423" i="2"/>
  <c r="Q315" i="4"/>
  <c r="R315" i="4" s="1"/>
  <c r="T315" i="4" s="1"/>
  <c r="V315" i="4" s="1"/>
  <c r="K864" i="2"/>
  <c r="Q750" i="2"/>
  <c r="R750" i="2" s="1"/>
  <c r="T750" i="2" s="1"/>
  <c r="V750" i="2" s="1"/>
  <c r="Q192" i="2"/>
  <c r="R192" i="2" s="1"/>
  <c r="T192" i="2" s="1"/>
  <c r="V192" i="2" s="1"/>
  <c r="K668" i="2"/>
  <c r="K13" i="2"/>
  <c r="K359" i="4"/>
  <c r="Q765" i="4"/>
  <c r="R765" i="4" s="1"/>
  <c r="T765" i="4" s="1"/>
  <c r="V765" i="4" s="1"/>
  <c r="Q300" i="4"/>
  <c r="R300" i="4" s="1"/>
  <c r="T300" i="4" s="1"/>
  <c r="V300" i="4" s="1"/>
  <c r="Q164" i="4"/>
  <c r="R164" i="4" s="1"/>
  <c r="T164" i="4" s="1"/>
  <c r="V164" i="4" s="1"/>
  <c r="Q453" i="4"/>
  <c r="R453" i="4" s="1"/>
  <c r="T453" i="4" s="1"/>
  <c r="V453" i="4" s="1"/>
  <c r="Q885" i="4"/>
  <c r="R885" i="4" s="1"/>
  <c r="T885" i="4" s="1"/>
  <c r="V885" i="4" s="1"/>
  <c r="K779" i="4"/>
  <c r="Q545" i="4"/>
  <c r="R545" i="4" s="1"/>
  <c r="T545" i="4" s="1"/>
  <c r="V545" i="4" s="1"/>
  <c r="K530" i="4"/>
  <c r="K822" i="2"/>
  <c r="Q509" i="4"/>
  <c r="R509" i="4" s="1"/>
  <c r="T509" i="4" s="1"/>
  <c r="V509" i="4" s="1"/>
  <c r="Q458" i="4"/>
  <c r="R458" i="4" s="1"/>
  <c r="T458" i="4" s="1"/>
  <c r="V458" i="4" s="1"/>
  <c r="Q699" i="4"/>
  <c r="R699" i="4" s="1"/>
  <c r="T699" i="4" s="1"/>
  <c r="V699" i="4" s="1"/>
  <c r="Q804" i="4"/>
  <c r="R804" i="4" s="1"/>
  <c r="T804" i="4" s="1"/>
  <c r="V804" i="4" s="1"/>
  <c r="Q849" i="2"/>
  <c r="R849" i="2" s="1"/>
  <c r="T849" i="2" s="1"/>
  <c r="V849" i="2" s="1"/>
  <c r="Q965" i="4"/>
  <c r="R965" i="4" s="1"/>
  <c r="T965" i="4" s="1"/>
  <c r="V965" i="4" s="1"/>
  <c r="Q49" i="2"/>
  <c r="R49" i="2" s="1"/>
  <c r="T49" i="2" s="1"/>
  <c r="V49" i="2" s="1"/>
  <c r="K26" i="2"/>
  <c r="K126" i="4"/>
  <c r="K19" i="4"/>
  <c r="Q913" i="4"/>
  <c r="R913" i="4" s="1"/>
  <c r="T913" i="4" s="1"/>
  <c r="V913" i="4" s="1"/>
  <c r="Q166" i="2"/>
  <c r="R166" i="2" s="1"/>
  <c r="T166" i="2" s="1"/>
  <c r="V166" i="2" s="1"/>
  <c r="K951" i="2"/>
  <c r="K846" i="2"/>
  <c r="Q848" i="2"/>
  <c r="R848" i="2" s="1"/>
  <c r="T848" i="2" s="1"/>
  <c r="V848" i="2" s="1"/>
  <c r="Q470" i="2"/>
  <c r="R470" i="2" s="1"/>
  <c r="T470" i="2" s="1"/>
  <c r="V470" i="2" s="1"/>
  <c r="Q102" i="2"/>
  <c r="R102" i="2" s="1"/>
  <c r="T102" i="2" s="1"/>
  <c r="V102" i="2" s="1"/>
  <c r="K343" i="4"/>
  <c r="Q979" i="4"/>
  <c r="R979" i="4" s="1"/>
  <c r="T979" i="4" s="1"/>
  <c r="V979" i="4" s="1"/>
  <c r="K303" i="4"/>
  <c r="Q329" i="4"/>
  <c r="R329" i="4" s="1"/>
  <c r="T329" i="4" s="1"/>
  <c r="V329" i="4" s="1"/>
  <c r="K970" i="4"/>
  <c r="K858" i="2"/>
  <c r="Q126" i="4"/>
  <c r="R126" i="4" s="1"/>
  <c r="T126" i="4" s="1"/>
  <c r="V126" i="4" s="1"/>
  <c r="K720" i="2"/>
  <c r="K102" i="2"/>
  <c r="Q491" i="2"/>
  <c r="R491" i="2" s="1"/>
  <c r="T491" i="2" s="1"/>
  <c r="V491" i="2" s="1"/>
  <c r="K127" i="2"/>
  <c r="Q841" i="2"/>
  <c r="R841" i="2" s="1"/>
  <c r="T841" i="2" s="1"/>
  <c r="V841" i="2" s="1"/>
  <c r="Q176" i="4"/>
  <c r="R176" i="4" s="1"/>
  <c r="T176" i="4" s="1"/>
  <c r="V176" i="4" s="1"/>
  <c r="Q346" i="2"/>
  <c r="R346" i="2" s="1"/>
  <c r="T346" i="2" s="1"/>
  <c r="V346" i="2" s="1"/>
  <c r="Q280" i="2"/>
  <c r="R280" i="2" s="1"/>
  <c r="T280" i="2" s="1"/>
  <c r="V280" i="2" s="1"/>
  <c r="K559" i="4"/>
  <c r="Q465" i="2"/>
  <c r="R465" i="2" s="1"/>
  <c r="T465" i="2" s="1"/>
  <c r="V465" i="2" s="1"/>
  <c r="Q906" i="4"/>
  <c r="R906" i="4" s="1"/>
  <c r="T906" i="4" s="1"/>
  <c r="V906" i="4" s="1"/>
  <c r="Q66" i="2"/>
  <c r="R66" i="2" s="1"/>
  <c r="T66" i="2" s="1"/>
  <c r="V66" i="2" s="1"/>
  <c r="K677" i="2"/>
  <c r="K158" i="2"/>
  <c r="K180" i="2"/>
  <c r="K724" i="2"/>
  <c r="Q491" i="4"/>
  <c r="R491" i="4" s="1"/>
  <c r="T491" i="4" s="1"/>
  <c r="V491" i="4" s="1"/>
  <c r="K569" i="2"/>
  <c r="K176" i="4"/>
  <c r="Q284" i="2"/>
  <c r="R284" i="2" s="1"/>
  <c r="T284" i="2" s="1"/>
  <c r="V284" i="2" s="1"/>
  <c r="K802" i="4"/>
  <c r="Q972" i="2"/>
  <c r="R972" i="2" s="1"/>
  <c r="T972" i="2" s="1"/>
  <c r="V972" i="2" s="1"/>
  <c r="K469" i="4"/>
  <c r="K335" i="4"/>
  <c r="Q189" i="2"/>
  <c r="R189" i="2" s="1"/>
  <c r="T189" i="2" s="1"/>
  <c r="V189" i="2" s="1"/>
  <c r="Q843" i="2"/>
  <c r="R843" i="2" s="1"/>
  <c r="T843" i="2" s="1"/>
  <c r="V843" i="2" s="1"/>
  <c r="K389" i="4"/>
  <c r="K175" i="4"/>
  <c r="K551" i="2"/>
  <c r="K502" i="2"/>
  <c r="K387" i="4"/>
  <c r="Q1001" i="4"/>
  <c r="R1001" i="4" s="1"/>
  <c r="T1001" i="4" s="1"/>
  <c r="V1001" i="4" s="1"/>
  <c r="Q767" i="2"/>
  <c r="R767" i="2" s="1"/>
  <c r="T767" i="2" s="1"/>
  <c r="V767" i="2" s="1"/>
  <c r="Q1000" i="2"/>
  <c r="R1000" i="2" s="1"/>
  <c r="T1000" i="2" s="1"/>
  <c r="V1000" i="2" s="1"/>
  <c r="K430" i="2"/>
  <c r="Q451" i="2"/>
  <c r="R451" i="2" s="1"/>
  <c r="T451" i="2" s="1"/>
  <c r="V451" i="2" s="1"/>
  <c r="Q299" i="2"/>
  <c r="R299" i="2" s="1"/>
  <c r="T299" i="2" s="1"/>
  <c r="V299" i="2" s="1"/>
  <c r="K12" i="2"/>
  <c r="Q127" i="2"/>
  <c r="R127" i="2" s="1"/>
  <c r="T127" i="2" s="1"/>
  <c r="V127" i="2" s="1"/>
  <c r="Q638" i="2"/>
  <c r="R638" i="2" s="1"/>
  <c r="T638" i="2" s="1"/>
  <c r="V638" i="2" s="1"/>
  <c r="K127" i="4"/>
  <c r="K56" i="2"/>
  <c r="Q779" i="2"/>
  <c r="R779" i="2" s="1"/>
  <c r="T779" i="2" s="1"/>
  <c r="V779" i="2" s="1"/>
  <c r="Q411" i="2"/>
  <c r="R411" i="2" s="1"/>
  <c r="T411" i="2" s="1"/>
  <c r="V411" i="2" s="1"/>
  <c r="Q174" i="4"/>
  <c r="R174" i="4" s="1"/>
  <c r="T174" i="4" s="1"/>
  <c r="V174" i="4" s="1"/>
  <c r="Q584" i="2"/>
  <c r="R584" i="2" s="1"/>
  <c r="T584" i="2" s="1"/>
  <c r="V584" i="2" s="1"/>
  <c r="Q632" i="2"/>
  <c r="R632" i="2" s="1"/>
  <c r="T632" i="2" s="1"/>
  <c r="V632" i="2" s="1"/>
  <c r="Q534" i="2"/>
  <c r="R534" i="2" s="1"/>
  <c r="T534" i="2" s="1"/>
  <c r="V534" i="2" s="1"/>
  <c r="K121" i="4"/>
  <c r="Q506" i="4"/>
  <c r="R506" i="4" s="1"/>
  <c r="T506" i="4" s="1"/>
  <c r="V506" i="4" s="1"/>
  <c r="Q802" i="4"/>
  <c r="R802" i="4" s="1"/>
  <c r="T802" i="4" s="1"/>
  <c r="V802" i="4" s="1"/>
  <c r="K473" i="4"/>
  <c r="K656" i="4"/>
  <c r="Q806" i="4"/>
  <c r="R806" i="4" s="1"/>
  <c r="T806" i="4" s="1"/>
  <c r="V806" i="4" s="1"/>
  <c r="Q862" i="2"/>
  <c r="R862" i="2" s="1"/>
  <c r="T862" i="2" s="1"/>
  <c r="V862" i="2" s="1"/>
  <c r="Q749" i="4"/>
  <c r="R749" i="4" s="1"/>
  <c r="T749" i="4" s="1"/>
  <c r="V749" i="4" s="1"/>
  <c r="K711" i="4"/>
  <c r="Q405" i="4"/>
  <c r="R405" i="4" s="1"/>
  <c r="T405" i="4" s="1"/>
  <c r="V405" i="4" s="1"/>
  <c r="Q14" i="2"/>
  <c r="R14" i="2" s="1"/>
  <c r="T14" i="2" s="1"/>
  <c r="V14" i="2" s="1"/>
  <c r="Q325" i="4"/>
  <c r="R325" i="4" s="1"/>
  <c r="T325" i="4" s="1"/>
  <c r="V325" i="4" s="1"/>
  <c r="Q335" i="4"/>
  <c r="R335" i="4" s="1"/>
  <c r="T335" i="4" s="1"/>
  <c r="V335" i="4" s="1"/>
  <c r="Q736" i="2"/>
  <c r="R736" i="2" s="1"/>
  <c r="T736" i="2" s="1"/>
  <c r="V736" i="2" s="1"/>
  <c r="Q980" i="4"/>
  <c r="R980" i="4" s="1"/>
  <c r="T980" i="4" s="1"/>
  <c r="V980" i="4" s="1"/>
  <c r="Q916" i="4"/>
  <c r="R916" i="4" s="1"/>
  <c r="T916" i="4" s="1"/>
  <c r="V916" i="4" s="1"/>
  <c r="Q885" i="2"/>
  <c r="R885" i="2" s="1"/>
  <c r="T885" i="2" s="1"/>
  <c r="V885" i="2" s="1"/>
  <c r="Q546" i="4"/>
  <c r="R546" i="4" s="1"/>
  <c r="T546" i="4" s="1"/>
  <c r="V546" i="4" s="1"/>
  <c r="Q735" i="2"/>
  <c r="R735" i="2" s="1"/>
  <c r="T735" i="2" s="1"/>
  <c r="V735" i="2" s="1"/>
  <c r="K861" i="2"/>
  <c r="Q641" i="2"/>
  <c r="R641" i="2" s="1"/>
  <c r="T641" i="2" s="1"/>
  <c r="V641" i="2" s="1"/>
  <c r="K767" i="2"/>
  <c r="Q348" i="4"/>
  <c r="R348" i="4" s="1"/>
  <c r="T348" i="4" s="1"/>
  <c r="V348" i="4" s="1"/>
  <c r="K208" i="2"/>
  <c r="Q158" i="2"/>
  <c r="R158" i="2" s="1"/>
  <c r="T158" i="2" s="1"/>
  <c r="V158" i="2" s="1"/>
  <c r="Q762" i="2"/>
  <c r="R762" i="2" s="1"/>
  <c r="T762" i="2" s="1"/>
  <c r="V762" i="2" s="1"/>
  <c r="K404" i="4"/>
  <c r="K236" i="2"/>
  <c r="K853" i="2"/>
  <c r="Q385" i="2"/>
  <c r="R385" i="2" s="1"/>
  <c r="T385" i="2" s="1"/>
  <c r="V385" i="2" s="1"/>
  <c r="K223" i="4"/>
  <c r="K10" i="4"/>
  <c r="Q165" i="4"/>
  <c r="R165" i="4" s="1"/>
  <c r="T165" i="4" s="1"/>
  <c r="V165" i="4" s="1"/>
  <c r="Q29" i="4"/>
  <c r="R29" i="4" s="1"/>
  <c r="T29" i="4" s="1"/>
  <c r="V29" i="4" s="1"/>
  <c r="K145" i="2"/>
  <c r="Q952" i="4"/>
  <c r="R952" i="4" s="1"/>
  <c r="T952" i="4" s="1"/>
  <c r="V952" i="4" s="1"/>
  <c r="Q768" i="4"/>
  <c r="R768" i="4" s="1"/>
  <c r="T768" i="4" s="1"/>
  <c r="V768" i="4" s="1"/>
  <c r="Q213" i="2"/>
  <c r="R213" i="2" s="1"/>
  <c r="T213" i="2" s="1"/>
  <c r="V213" i="2" s="1"/>
  <c r="Q163" i="4"/>
  <c r="R163" i="4" s="1"/>
  <c r="T163" i="4" s="1"/>
  <c r="V163" i="4" s="1"/>
  <c r="Q100" i="4"/>
  <c r="R100" i="4" s="1"/>
  <c r="T100" i="4" s="1"/>
  <c r="V100" i="4" s="1"/>
  <c r="K370" i="2"/>
  <c r="K835" i="2"/>
  <c r="Q751" i="2"/>
  <c r="R751" i="2" s="1"/>
  <c r="T751" i="2" s="1"/>
  <c r="V751" i="2" s="1"/>
  <c r="Q853" i="2"/>
  <c r="R853" i="2" s="1"/>
  <c r="T853" i="2" s="1"/>
  <c r="V853" i="2" s="1"/>
  <c r="K973" i="2"/>
  <c r="Q734" i="2"/>
  <c r="R734" i="2" s="1"/>
  <c r="T734" i="2" s="1"/>
  <c r="V734" i="2" s="1"/>
  <c r="Q22" i="4"/>
  <c r="R22" i="4" s="1"/>
  <c r="T22" i="4" s="1"/>
  <c r="V22" i="4" s="1"/>
  <c r="Q800" i="2"/>
  <c r="R800" i="2" s="1"/>
  <c r="T800" i="2" s="1"/>
  <c r="V800" i="2" s="1"/>
  <c r="Q482" i="4"/>
  <c r="R482" i="4" s="1"/>
  <c r="T482" i="4" s="1"/>
  <c r="V482" i="4" s="1"/>
  <c r="K250" i="4"/>
  <c r="Q469" i="4"/>
  <c r="R469" i="4" s="1"/>
  <c r="T469" i="4" s="1"/>
  <c r="V469" i="4" s="1"/>
  <c r="K29" i="4"/>
  <c r="Q620" i="4"/>
  <c r="R620" i="4" s="1"/>
  <c r="T620" i="4" s="1"/>
  <c r="V620" i="4" s="1"/>
  <c r="Q533" i="4"/>
  <c r="R533" i="4" s="1"/>
  <c r="T533" i="4" s="1"/>
  <c r="V533" i="4" s="1"/>
  <c r="I896" i="4"/>
  <c r="O896" i="4" s="1"/>
  <c r="Q896" i="4" s="1"/>
  <c r="R896" i="4" s="1"/>
  <c r="T896" i="4" s="1"/>
  <c r="V896" i="4" s="1"/>
  <c r="Q321" i="4"/>
  <c r="R321" i="4" s="1"/>
  <c r="T321" i="4" s="1"/>
  <c r="V321" i="4" s="1"/>
  <c r="K559" i="2"/>
  <c r="K279" i="4"/>
  <c r="K692" i="4"/>
  <c r="K163" i="4"/>
  <c r="K100" i="4"/>
  <c r="K1001" i="4"/>
  <c r="Q162" i="4"/>
  <c r="R162" i="4" s="1"/>
  <c r="T162" i="4" s="1"/>
  <c r="V162" i="4" s="1"/>
  <c r="Q436" i="4"/>
  <c r="R436" i="4" s="1"/>
  <c r="T436" i="4" s="1"/>
  <c r="V436" i="4" s="1"/>
  <c r="Q696" i="4"/>
  <c r="R696" i="4" s="1"/>
  <c r="T696" i="4" s="1"/>
  <c r="V696" i="4" s="1"/>
  <c r="K667" i="2"/>
  <c r="K976" i="4"/>
  <c r="K878" i="2"/>
  <c r="K546" i="4"/>
  <c r="K328" i="4"/>
  <c r="I600" i="4"/>
  <c r="O600" i="4" s="1"/>
  <c r="Q600" i="4" s="1"/>
  <c r="R600" i="4" s="1"/>
  <c r="T600" i="4" s="1"/>
  <c r="V600" i="4" s="1"/>
  <c r="K600" i="4"/>
  <c r="Q784" i="4"/>
  <c r="R784" i="4" s="1"/>
  <c r="T784" i="4" s="1"/>
  <c r="V784" i="4" s="1"/>
  <c r="K321" i="2"/>
  <c r="K103" i="2"/>
  <c r="Q893" i="2"/>
  <c r="R893" i="2" s="1"/>
  <c r="T893" i="2" s="1"/>
  <c r="V893" i="2" s="1"/>
  <c r="Q15" i="2"/>
  <c r="R15" i="2" s="1"/>
  <c r="T15" i="2" s="1"/>
  <c r="V15" i="2" s="1"/>
  <c r="Q282" i="2"/>
  <c r="R282" i="2" s="1"/>
  <c r="T282" i="2" s="1"/>
  <c r="V282" i="2" s="1"/>
  <c r="Q771" i="2"/>
  <c r="R771" i="2" s="1"/>
  <c r="T771" i="2" s="1"/>
  <c r="V771" i="2" s="1"/>
  <c r="Q210" i="4"/>
  <c r="R210" i="4" s="1"/>
  <c r="T210" i="4" s="1"/>
  <c r="V210" i="4" s="1"/>
  <c r="Q283" i="2"/>
  <c r="R283" i="2" s="1"/>
  <c r="T283" i="2" s="1"/>
  <c r="V283" i="2" s="1"/>
  <c r="K232" i="4"/>
  <c r="Q453" i="2"/>
  <c r="R453" i="2" s="1"/>
  <c r="T453" i="2" s="1"/>
  <c r="V453" i="2" s="1"/>
  <c r="Q613" i="2"/>
  <c r="R613" i="2" s="1"/>
  <c r="T613" i="2" s="1"/>
  <c r="V613" i="2" s="1"/>
  <c r="Q902" i="2"/>
  <c r="R902" i="2" s="1"/>
  <c r="T902" i="2" s="1"/>
  <c r="V902" i="2" s="1"/>
  <c r="Q212" i="4"/>
  <c r="R212" i="4" s="1"/>
  <c r="T212" i="4" s="1"/>
  <c r="V212" i="4" s="1"/>
  <c r="K375" i="2"/>
  <c r="K525" i="2"/>
  <c r="K273" i="4"/>
  <c r="Q73" i="4"/>
  <c r="R73" i="4" s="1"/>
  <c r="T73" i="4" s="1"/>
  <c r="V73" i="4" s="1"/>
  <c r="Q700" i="4"/>
  <c r="R700" i="4" s="1"/>
  <c r="T700" i="4" s="1"/>
  <c r="V700" i="4" s="1"/>
  <c r="Q315" i="2"/>
  <c r="R315" i="2" s="1"/>
  <c r="T315" i="2" s="1"/>
  <c r="V315" i="2" s="1"/>
  <c r="Q897" i="2"/>
  <c r="R897" i="2" s="1"/>
  <c r="T897" i="2" s="1"/>
  <c r="V897" i="2" s="1"/>
  <c r="K791" i="4"/>
  <c r="K949" i="2"/>
  <c r="Q547" i="4"/>
  <c r="R547" i="4" s="1"/>
  <c r="T547" i="4" s="1"/>
  <c r="V547" i="4" s="1"/>
  <c r="K820" i="2"/>
  <c r="Q627" i="4"/>
  <c r="R627" i="4" s="1"/>
  <c r="T627" i="4" s="1"/>
  <c r="V627" i="4" s="1"/>
  <c r="Q747" i="4"/>
  <c r="R747" i="4" s="1"/>
  <c r="T747" i="4" s="1"/>
  <c r="V747" i="4" s="1"/>
  <c r="Q342" i="4"/>
  <c r="R342" i="4" s="1"/>
  <c r="T342" i="4" s="1"/>
  <c r="V342" i="4" s="1"/>
  <c r="Q935" i="4"/>
  <c r="R935" i="4" s="1"/>
  <c r="T935" i="4" s="1"/>
  <c r="V935" i="4" s="1"/>
  <c r="Q809" i="4"/>
  <c r="R809" i="4" s="1"/>
  <c r="T809" i="4" s="1"/>
  <c r="V809" i="4" s="1"/>
  <c r="K571" i="4"/>
  <c r="Q820" i="4"/>
  <c r="R820" i="4" s="1"/>
  <c r="T820" i="4" s="1"/>
  <c r="V820" i="4" s="1"/>
  <c r="K583" i="4"/>
  <c r="K352" i="2"/>
  <c r="K447" i="4"/>
  <c r="K349" i="4"/>
  <c r="K784" i="4"/>
  <c r="Q106" i="2"/>
  <c r="R106" i="2" s="1"/>
  <c r="T106" i="2" s="1"/>
  <c r="V106" i="2" s="1"/>
  <c r="Q581" i="2"/>
  <c r="R581" i="2" s="1"/>
  <c r="T581" i="2" s="1"/>
  <c r="V581" i="2" s="1"/>
  <c r="K253" i="4"/>
  <c r="I253" i="4"/>
  <c r="O253" i="4" s="1"/>
  <c r="Q253" i="4" s="1"/>
  <c r="R253" i="4" s="1"/>
  <c r="T253" i="4" s="1"/>
  <c r="V253" i="4" s="1"/>
  <c r="Q835" i="2"/>
  <c r="R835" i="2" s="1"/>
  <c r="T835" i="2" s="1"/>
  <c r="V835" i="2" s="1"/>
  <c r="Q769" i="4"/>
  <c r="R769" i="4" s="1"/>
  <c r="T769" i="4" s="1"/>
  <c r="V769" i="4" s="1"/>
  <c r="K986" i="4"/>
  <c r="Q538" i="4"/>
  <c r="R538" i="4" s="1"/>
  <c r="T538" i="4" s="1"/>
  <c r="V538" i="4" s="1"/>
  <c r="Q343" i="2"/>
  <c r="R343" i="2" s="1"/>
  <c r="T343" i="2" s="1"/>
  <c r="V343" i="2" s="1"/>
  <c r="Q361" i="4"/>
  <c r="R361" i="4" s="1"/>
  <c r="T361" i="4" s="1"/>
  <c r="V361" i="4" s="1"/>
  <c r="Q252" i="4"/>
  <c r="R252" i="4" s="1"/>
  <c r="T252" i="4" s="1"/>
  <c r="V252" i="4" s="1"/>
  <c r="K325" i="4"/>
  <c r="K399" i="4"/>
  <c r="K965" i="4"/>
  <c r="K40" i="2"/>
  <c r="K871" i="2"/>
  <c r="K343" i="2"/>
  <c r="K68" i="2"/>
  <c r="K649" i="4"/>
  <c r="K539" i="2"/>
  <c r="Q235" i="2"/>
  <c r="R235" i="2" s="1"/>
  <c r="T235" i="2" s="1"/>
  <c r="V235" i="2" s="1"/>
  <c r="Q561" i="2"/>
  <c r="R561" i="2" s="1"/>
  <c r="T561" i="2" s="1"/>
  <c r="V561" i="2" s="1"/>
  <c r="K49" i="2"/>
  <c r="Q635" i="2"/>
  <c r="R635" i="2" s="1"/>
  <c r="T635" i="2" s="1"/>
  <c r="V635" i="2" s="1"/>
  <c r="K672" i="2"/>
  <c r="K843" i="2"/>
  <c r="K561" i="2"/>
  <c r="Q404" i="4"/>
  <c r="R404" i="4" s="1"/>
  <c r="T404" i="4" s="1"/>
  <c r="V404" i="4" s="1"/>
  <c r="I407" i="2"/>
  <c r="O407" i="2" s="1"/>
  <c r="Q407" i="2" s="1"/>
  <c r="R407" i="2" s="1"/>
  <c r="T407" i="2" s="1"/>
  <c r="V407" i="2" s="1"/>
  <c r="K407" i="2"/>
  <c r="K100" i="2"/>
  <c r="K200" i="2"/>
  <c r="Q55" i="4"/>
  <c r="R55" i="4" s="1"/>
  <c r="T55" i="4" s="1"/>
  <c r="V55" i="4" s="1"/>
  <c r="Q323" i="4"/>
  <c r="R323" i="4" s="1"/>
  <c r="T323" i="4" s="1"/>
  <c r="V323" i="4" s="1"/>
  <c r="Q687" i="4"/>
  <c r="R687" i="4" s="1"/>
  <c r="T687" i="4" s="1"/>
  <c r="V687" i="4" s="1"/>
  <c r="Q917" i="4"/>
  <c r="R917" i="4" s="1"/>
  <c r="T917" i="4" s="1"/>
  <c r="V917" i="4" s="1"/>
  <c r="Q247" i="4"/>
  <c r="R247" i="4" s="1"/>
  <c r="T247" i="4" s="1"/>
  <c r="V247" i="4" s="1"/>
  <c r="Q883" i="2"/>
  <c r="R883" i="2" s="1"/>
  <c r="T883" i="2" s="1"/>
  <c r="V883" i="2" s="1"/>
  <c r="K989" i="2"/>
  <c r="Q358" i="2"/>
  <c r="R358" i="2" s="1"/>
  <c r="T358" i="2" s="1"/>
  <c r="V358" i="2" s="1"/>
  <c r="K838" i="2"/>
  <c r="Q517" i="4"/>
  <c r="R517" i="4" s="1"/>
  <c r="T517" i="4" s="1"/>
  <c r="V517" i="4" s="1"/>
  <c r="Q793" i="4"/>
  <c r="R793" i="4" s="1"/>
  <c r="T793" i="4" s="1"/>
  <c r="V793" i="4" s="1"/>
  <c r="Q304" i="4"/>
  <c r="R304" i="4" s="1"/>
  <c r="T304" i="4" s="1"/>
  <c r="V304" i="4" s="1"/>
  <c r="Q898" i="4"/>
  <c r="R898" i="4" s="1"/>
  <c r="T898" i="4" s="1"/>
  <c r="V898" i="4" s="1"/>
  <c r="Q516" i="2"/>
  <c r="R516" i="2" s="1"/>
  <c r="T516" i="2" s="1"/>
  <c r="V516" i="2" s="1"/>
  <c r="Q426" i="4"/>
  <c r="R426" i="4" s="1"/>
  <c r="T426" i="4" s="1"/>
  <c r="V426" i="4" s="1"/>
  <c r="K533" i="2"/>
  <c r="Q204" i="4"/>
  <c r="R204" i="4" s="1"/>
  <c r="T204" i="4" s="1"/>
  <c r="V204" i="4" s="1"/>
  <c r="Q878" i="2"/>
  <c r="R878" i="2" s="1"/>
  <c r="T878" i="2" s="1"/>
  <c r="V878" i="2" s="1"/>
  <c r="Q328" i="4"/>
  <c r="R328" i="4" s="1"/>
  <c r="T328" i="4" s="1"/>
  <c r="V328" i="4" s="1"/>
  <c r="K90" i="2"/>
  <c r="Q114" i="2"/>
  <c r="R114" i="2" s="1"/>
  <c r="T114" i="2" s="1"/>
  <c r="V114" i="2" s="1"/>
  <c r="Q143" i="4"/>
  <c r="R143" i="4" s="1"/>
  <c r="T143" i="4" s="1"/>
  <c r="V143" i="4" s="1"/>
  <c r="Q56" i="2"/>
  <c r="R56" i="2" s="1"/>
  <c r="T56" i="2" s="1"/>
  <c r="V56" i="2" s="1"/>
  <c r="K573" i="2"/>
  <c r="Q544" i="2"/>
  <c r="R544" i="2" s="1"/>
  <c r="T544" i="2" s="1"/>
  <c r="V544" i="2" s="1"/>
  <c r="K613" i="2"/>
  <c r="Q375" i="2"/>
  <c r="R375" i="2" s="1"/>
  <c r="T375" i="2" s="1"/>
  <c r="V375" i="2" s="1"/>
  <c r="K566" i="2"/>
  <c r="K610" i="2"/>
  <c r="K421" i="2"/>
  <c r="Q202" i="2"/>
  <c r="R202" i="2" s="1"/>
  <c r="T202" i="2" s="1"/>
  <c r="V202" i="2" s="1"/>
  <c r="K58" i="4"/>
  <c r="Q214" i="4"/>
  <c r="R214" i="4" s="1"/>
  <c r="T214" i="4" s="1"/>
  <c r="V214" i="4" s="1"/>
  <c r="K660" i="4"/>
  <c r="K239" i="4"/>
  <c r="Q857" i="4"/>
  <c r="R857" i="4" s="1"/>
  <c r="T857" i="4" s="1"/>
  <c r="V857" i="4" s="1"/>
  <c r="Q743" i="2"/>
  <c r="R743" i="2" s="1"/>
  <c r="T743" i="2" s="1"/>
  <c r="V743" i="2" s="1"/>
  <c r="K820" i="4"/>
  <c r="K503" i="4"/>
  <c r="I503" i="4"/>
  <c r="O503" i="4" s="1"/>
  <c r="Q503" i="4" s="1"/>
  <c r="R503" i="4" s="1"/>
  <c r="T503" i="4" s="1"/>
  <c r="V503" i="4" s="1"/>
  <c r="Q352" i="2"/>
  <c r="R352" i="2" s="1"/>
  <c r="T352" i="2" s="1"/>
  <c r="V352" i="2" s="1"/>
  <c r="Q855" i="2"/>
  <c r="R855" i="2" s="1"/>
  <c r="T855" i="2" s="1"/>
  <c r="V855" i="2" s="1"/>
  <c r="Q636" i="2"/>
  <c r="R636" i="2" s="1"/>
  <c r="T636" i="2" s="1"/>
  <c r="V636" i="2" s="1"/>
  <c r="Q850" i="2"/>
  <c r="R850" i="2" s="1"/>
  <c r="T850" i="2" s="1"/>
  <c r="V850" i="2" s="1"/>
  <c r="Q163" i="2"/>
  <c r="R163" i="2" s="1"/>
  <c r="T163" i="2" s="1"/>
  <c r="V163" i="2" s="1"/>
  <c r="Q344" i="2"/>
  <c r="R344" i="2" s="1"/>
  <c r="T344" i="2" s="1"/>
  <c r="V344" i="2" s="1"/>
  <c r="K803" i="2"/>
  <c r="Q810" i="2"/>
  <c r="R810" i="2" s="1"/>
  <c r="T810" i="2" s="1"/>
  <c r="V810" i="2" s="1"/>
  <c r="Q285" i="2"/>
  <c r="R285" i="2" s="1"/>
  <c r="T285" i="2" s="1"/>
  <c r="V285" i="2" s="1"/>
  <c r="Q616" i="2"/>
  <c r="R616" i="2" s="1"/>
  <c r="T616" i="2" s="1"/>
  <c r="V616" i="2" s="1"/>
  <c r="Q421" i="2"/>
  <c r="R421" i="2" s="1"/>
  <c r="T421" i="2" s="1"/>
  <c r="V421" i="2" s="1"/>
  <c r="K212" i="2"/>
  <c r="Q211" i="4"/>
  <c r="R211" i="4" s="1"/>
  <c r="T211" i="4" s="1"/>
  <c r="V211" i="4" s="1"/>
  <c r="Q541" i="2"/>
  <c r="R541" i="2" s="1"/>
  <c r="T541" i="2" s="1"/>
  <c r="V541" i="2" s="1"/>
  <c r="Q689" i="2"/>
  <c r="R689" i="2" s="1"/>
  <c r="T689" i="2" s="1"/>
  <c r="V689" i="2" s="1"/>
  <c r="Q493" i="4"/>
  <c r="R493" i="4" s="1"/>
  <c r="T493" i="4" s="1"/>
  <c r="V493" i="4" s="1"/>
  <c r="K214" i="4"/>
  <c r="Q724" i="2"/>
  <c r="R724" i="2" s="1"/>
  <c r="T724" i="2" s="1"/>
  <c r="V724" i="2" s="1"/>
  <c r="K606" i="2"/>
  <c r="Q364" i="2"/>
  <c r="R364" i="2" s="1"/>
  <c r="T364" i="2" s="1"/>
  <c r="V364" i="2" s="1"/>
  <c r="Q989" i="4"/>
  <c r="R989" i="4" s="1"/>
  <c r="T989" i="4" s="1"/>
  <c r="V989" i="4" s="1"/>
  <c r="Q850" i="4"/>
  <c r="R850" i="4" s="1"/>
  <c r="T850" i="4" s="1"/>
  <c r="V850" i="4" s="1"/>
  <c r="K682" i="4"/>
  <c r="Q823" i="4"/>
  <c r="R823" i="4" s="1"/>
  <c r="T823" i="4" s="1"/>
  <c r="V823" i="4" s="1"/>
  <c r="Q536" i="4"/>
  <c r="R536" i="4" s="1"/>
  <c r="T536" i="4" s="1"/>
  <c r="V536" i="4" s="1"/>
  <c r="K870" i="4"/>
  <c r="Q597" i="2"/>
  <c r="R597" i="2" s="1"/>
  <c r="T597" i="2" s="1"/>
  <c r="V597" i="2" s="1"/>
  <c r="I731" i="2"/>
  <c r="O731" i="2" s="1"/>
  <c r="Q731" i="2" s="1"/>
  <c r="R731" i="2" s="1"/>
  <c r="T731" i="2" s="1"/>
  <c r="V731" i="2" s="1"/>
  <c r="K731" i="2"/>
  <c r="K708" i="2"/>
  <c r="K610" i="4"/>
  <c r="Q40" i="2"/>
  <c r="R40" i="2" s="1"/>
  <c r="T40" i="2" s="1"/>
  <c r="V40" i="2" s="1"/>
  <c r="Q559" i="2"/>
  <c r="R559" i="2" s="1"/>
  <c r="T559" i="2" s="1"/>
  <c r="V559" i="2" s="1"/>
  <c r="K763" i="2"/>
  <c r="K224" i="2"/>
  <c r="K698" i="2"/>
  <c r="K632" i="2"/>
  <c r="K14" i="2"/>
  <c r="Q963" i="4"/>
  <c r="R963" i="4" s="1"/>
  <c r="T963" i="4" s="1"/>
  <c r="V963" i="4" s="1"/>
  <c r="Q649" i="4"/>
  <c r="R649" i="4" s="1"/>
  <c r="T649" i="4" s="1"/>
  <c r="V649" i="4" s="1"/>
  <c r="K151" i="2"/>
  <c r="K119" i="2"/>
  <c r="K723" i="4"/>
  <c r="Q53" i="2"/>
  <c r="R53" i="2" s="1"/>
  <c r="T53" i="2" s="1"/>
  <c r="V53" i="2" s="1"/>
  <c r="Q818" i="2"/>
  <c r="R818" i="2" s="1"/>
  <c r="T818" i="2" s="1"/>
  <c r="V818" i="2" s="1"/>
  <c r="K637" i="4"/>
  <c r="K219" i="4"/>
  <c r="Q894" i="2"/>
  <c r="R894" i="2" s="1"/>
  <c r="T894" i="2" s="1"/>
  <c r="V894" i="2" s="1"/>
  <c r="K391" i="2"/>
  <c r="K42" i="4"/>
  <c r="Q680" i="2"/>
  <c r="R680" i="2" s="1"/>
  <c r="T680" i="2" s="1"/>
  <c r="V680" i="2" s="1"/>
  <c r="K403" i="2"/>
  <c r="Q785" i="4"/>
  <c r="R785" i="4" s="1"/>
  <c r="T785" i="4" s="1"/>
  <c r="V785" i="4" s="1"/>
  <c r="K890" i="4"/>
  <c r="K885" i="2"/>
  <c r="Q389" i="4"/>
  <c r="R389" i="4" s="1"/>
  <c r="T389" i="4" s="1"/>
  <c r="V389" i="4" s="1"/>
  <c r="K227" i="4"/>
  <c r="Q393" i="2"/>
  <c r="R393" i="2" s="1"/>
  <c r="T393" i="2" s="1"/>
  <c r="V393" i="2" s="1"/>
  <c r="K181" i="2"/>
  <c r="Q197" i="2"/>
  <c r="R197" i="2" s="1"/>
  <c r="T197" i="2" s="1"/>
  <c r="V197" i="2" s="1"/>
  <c r="K51" i="4"/>
  <c r="K753" i="4"/>
  <c r="K623" i="4"/>
  <c r="K791" i="2"/>
  <c r="Q454" i="2"/>
  <c r="R454" i="2" s="1"/>
  <c r="T454" i="2" s="1"/>
  <c r="V454" i="2" s="1"/>
  <c r="K312" i="2"/>
  <c r="K91" i="2"/>
  <c r="Q238" i="4"/>
  <c r="R238" i="4" s="1"/>
  <c r="T238" i="4" s="1"/>
  <c r="V238" i="4" s="1"/>
  <c r="K712" i="4"/>
  <c r="K257" i="2"/>
  <c r="K883" i="2"/>
  <c r="Q837" i="2"/>
  <c r="R837" i="2" s="1"/>
  <c r="T837" i="2" s="1"/>
  <c r="V837" i="2" s="1"/>
  <c r="Q415" i="2"/>
  <c r="R415" i="2" s="1"/>
  <c r="T415" i="2" s="1"/>
  <c r="V415" i="2" s="1"/>
  <c r="K358" i="2"/>
  <c r="K957" i="2"/>
  <c r="I957" i="2"/>
  <c r="O957" i="2" s="1"/>
  <c r="Q957" i="2" s="1"/>
  <c r="R957" i="2" s="1"/>
  <c r="T957" i="2" s="1"/>
  <c r="V957" i="2" s="1"/>
  <c r="Q869" i="2"/>
  <c r="R869" i="2" s="1"/>
  <c r="T869" i="2" s="1"/>
  <c r="V869" i="2" s="1"/>
  <c r="K85" i="2"/>
  <c r="I85" i="2"/>
  <c r="O85" i="2" s="1"/>
  <c r="Q85" i="2" s="1"/>
  <c r="R85" i="2" s="1"/>
  <c r="T85" i="2" s="1"/>
  <c r="V85" i="2" s="1"/>
  <c r="K260" i="2"/>
  <c r="K182" i="2"/>
  <c r="Q798" i="2"/>
  <c r="R798" i="2" s="1"/>
  <c r="T798" i="2" s="1"/>
  <c r="V798" i="2" s="1"/>
  <c r="Q799" i="2"/>
  <c r="R799" i="2" s="1"/>
  <c r="T799" i="2" s="1"/>
  <c r="V799" i="2" s="1"/>
  <c r="K215" i="4"/>
  <c r="K842" i="2"/>
  <c r="Q919" i="2"/>
  <c r="R919" i="2" s="1"/>
  <c r="T919" i="2" s="1"/>
  <c r="V919" i="2" s="1"/>
  <c r="Q246" i="4"/>
  <c r="R246" i="4" s="1"/>
  <c r="T246" i="4" s="1"/>
  <c r="V246" i="4" s="1"/>
  <c r="K703" i="2"/>
  <c r="Q62" i="4"/>
  <c r="R62" i="4" s="1"/>
  <c r="T62" i="4" s="1"/>
  <c r="V62" i="4" s="1"/>
  <c r="K833" i="4"/>
  <c r="Q682" i="4"/>
  <c r="R682" i="4" s="1"/>
  <c r="T682" i="4" s="1"/>
  <c r="V682" i="4" s="1"/>
  <c r="K865" i="4"/>
  <c r="K780" i="4"/>
  <c r="Q144" i="4"/>
  <c r="R144" i="4" s="1"/>
  <c r="T144" i="4" s="1"/>
  <c r="V144" i="4" s="1"/>
  <c r="K486" i="2"/>
  <c r="I486" i="2"/>
  <c r="O486" i="2" s="1"/>
  <c r="Q486" i="2" s="1"/>
  <c r="R486" i="2" s="1"/>
  <c r="T486" i="2" s="1"/>
  <c r="V486" i="2" s="1"/>
  <c r="I383" i="4"/>
  <c r="O383" i="4" s="1"/>
  <c r="Q383" i="4" s="1"/>
  <c r="R383" i="4" s="1"/>
  <c r="T383" i="4" s="1"/>
  <c r="V383" i="4" s="1"/>
  <c r="K383" i="4"/>
  <c r="K981" i="4"/>
  <c r="Q395" i="2"/>
  <c r="R395" i="2" s="1"/>
  <c r="T395" i="2" s="1"/>
  <c r="V395" i="2" s="1"/>
  <c r="Q108" i="2"/>
  <c r="R108" i="2" s="1"/>
  <c r="T108" i="2" s="1"/>
  <c r="V108" i="2" s="1"/>
  <c r="K174" i="4"/>
  <c r="Q71" i="4"/>
  <c r="R71" i="4" s="1"/>
  <c r="T71" i="4" s="1"/>
  <c r="V71" i="4" s="1"/>
  <c r="Q246" i="2"/>
  <c r="R246" i="2" s="1"/>
  <c r="T246" i="2" s="1"/>
  <c r="V246" i="2" s="1"/>
  <c r="K449" i="2"/>
  <c r="Q274" i="4"/>
  <c r="R274" i="4" s="1"/>
  <c r="T274" i="4" s="1"/>
  <c r="V274" i="4" s="1"/>
  <c r="Q59" i="4"/>
  <c r="R59" i="4" s="1"/>
  <c r="T59" i="4" s="1"/>
  <c r="V59" i="4" s="1"/>
  <c r="K506" i="4"/>
  <c r="Q363" i="2"/>
  <c r="R363" i="2" s="1"/>
  <c r="T363" i="2" s="1"/>
  <c r="V363" i="2" s="1"/>
  <c r="Q664" i="4"/>
  <c r="R664" i="4" s="1"/>
  <c r="T664" i="4" s="1"/>
  <c r="V664" i="4" s="1"/>
  <c r="Q745" i="4"/>
  <c r="R745" i="4" s="1"/>
  <c r="T745" i="4" s="1"/>
  <c r="V745" i="4" s="1"/>
  <c r="K386" i="4"/>
  <c r="K353" i="4"/>
  <c r="Q563" i="2"/>
  <c r="R563" i="2" s="1"/>
  <c r="T563" i="2" s="1"/>
  <c r="V563" i="2" s="1"/>
  <c r="Q557" i="4"/>
  <c r="R557" i="4" s="1"/>
  <c r="T557" i="4" s="1"/>
  <c r="V557" i="4" s="1"/>
  <c r="Q770" i="4"/>
  <c r="R770" i="4" s="1"/>
  <c r="T770" i="4" s="1"/>
  <c r="V770" i="4" s="1"/>
  <c r="K462" i="4"/>
  <c r="Q910" i="4"/>
  <c r="R910" i="4" s="1"/>
  <c r="T910" i="4" s="1"/>
  <c r="V910" i="4" s="1"/>
  <c r="Q653" i="4"/>
  <c r="R653" i="4" s="1"/>
  <c r="T653" i="4" s="1"/>
  <c r="V653" i="4" s="1"/>
  <c r="K458" i="4"/>
  <c r="Q865" i="4"/>
  <c r="R865" i="4" s="1"/>
  <c r="T865" i="4" s="1"/>
  <c r="V865" i="4" s="1"/>
  <c r="K650" i="4"/>
  <c r="Q999" i="4"/>
  <c r="R999" i="4" s="1"/>
  <c r="T999" i="4" s="1"/>
  <c r="V999" i="4" s="1"/>
  <c r="Q924" i="4"/>
  <c r="R924" i="4" s="1"/>
  <c r="T924" i="4" s="1"/>
  <c r="V924" i="4" s="1"/>
  <c r="Q849" i="4"/>
  <c r="R849" i="4" s="1"/>
  <c r="T849" i="4" s="1"/>
  <c r="V849" i="4" s="1"/>
  <c r="K550" i="2"/>
  <c r="K812" i="2"/>
  <c r="Q320" i="4"/>
  <c r="R320" i="4" s="1"/>
  <c r="T320" i="4" s="1"/>
  <c r="V320" i="4" s="1"/>
  <c r="Q291" i="4"/>
  <c r="R291" i="4" s="1"/>
  <c r="T291" i="4" s="1"/>
  <c r="V291" i="4" s="1"/>
  <c r="Q219" i="4"/>
  <c r="R219" i="4" s="1"/>
  <c r="T219" i="4" s="1"/>
  <c r="V219" i="4" s="1"/>
  <c r="Q789" i="4"/>
  <c r="R789" i="4" s="1"/>
  <c r="T789" i="4" s="1"/>
  <c r="V789" i="4" s="1"/>
  <c r="K175" i="2"/>
  <c r="Q190" i="2"/>
  <c r="R190" i="2" s="1"/>
  <c r="T190" i="2" s="1"/>
  <c r="V190" i="2" s="1"/>
  <c r="K912" i="2"/>
  <c r="Q292" i="2"/>
  <c r="R292" i="2" s="1"/>
  <c r="T292" i="2" s="1"/>
  <c r="V292" i="2" s="1"/>
  <c r="Q25" i="2"/>
  <c r="R25" i="2" s="1"/>
  <c r="T25" i="2" s="1"/>
  <c r="V25" i="2" s="1"/>
  <c r="K960" i="2"/>
  <c r="Q285" i="4"/>
  <c r="R285" i="4" s="1"/>
  <c r="T285" i="4" s="1"/>
  <c r="V285" i="4" s="1"/>
  <c r="K762" i="4"/>
  <c r="K53" i="4"/>
  <c r="Q676" i="4"/>
  <c r="R676" i="4" s="1"/>
  <c r="T676" i="4" s="1"/>
  <c r="V676" i="4" s="1"/>
  <c r="K786" i="2"/>
  <c r="K789" i="4"/>
  <c r="Q774" i="2"/>
  <c r="R774" i="2" s="1"/>
  <c r="T774" i="2" s="1"/>
  <c r="V774" i="2" s="1"/>
  <c r="K190" i="2"/>
  <c r="Q360" i="2"/>
  <c r="R360" i="2" s="1"/>
  <c r="T360" i="2" s="1"/>
  <c r="V360" i="2" s="1"/>
  <c r="Q670" i="2"/>
  <c r="R670" i="2" s="1"/>
  <c r="T670" i="2" s="1"/>
  <c r="V670" i="2" s="1"/>
  <c r="K511" i="2"/>
  <c r="K394" i="2"/>
  <c r="Q858" i="2"/>
  <c r="R858" i="2" s="1"/>
  <c r="T858" i="2" s="1"/>
  <c r="V858" i="2" s="1"/>
  <c r="K783" i="2"/>
  <c r="Q879" i="2"/>
  <c r="R879" i="2" s="1"/>
  <c r="T879" i="2" s="1"/>
  <c r="V879" i="2" s="1"/>
  <c r="Q74" i="4"/>
  <c r="R74" i="4" s="1"/>
  <c r="T74" i="4" s="1"/>
  <c r="V74" i="4" s="1"/>
  <c r="K937" i="4"/>
  <c r="Q295" i="4"/>
  <c r="R295" i="4" s="1"/>
  <c r="T295" i="4" s="1"/>
  <c r="V295" i="4" s="1"/>
  <c r="Q360" i="4"/>
  <c r="R360" i="4" s="1"/>
  <c r="T360" i="4" s="1"/>
  <c r="V360" i="4" s="1"/>
  <c r="Q552" i="4"/>
  <c r="R552" i="4" s="1"/>
  <c r="T552" i="4" s="1"/>
  <c r="V552" i="4" s="1"/>
  <c r="K411" i="4"/>
  <c r="K759" i="4"/>
  <c r="K552" i="2"/>
  <c r="K320" i="4"/>
  <c r="K807" i="2"/>
  <c r="Q684" i="4"/>
  <c r="R684" i="4" s="1"/>
  <c r="T684" i="4" s="1"/>
  <c r="V684" i="4" s="1"/>
  <c r="K943" i="2"/>
  <c r="Q910" i="2"/>
  <c r="R910" i="2" s="1"/>
  <c r="T910" i="2" s="1"/>
  <c r="V910" i="2" s="1"/>
  <c r="K213" i="2"/>
  <c r="Q803" i="4"/>
  <c r="R803" i="4" s="1"/>
  <c r="T803" i="4" s="1"/>
  <c r="V803" i="4" s="1"/>
  <c r="K347" i="2"/>
  <c r="K332" i="2"/>
  <c r="Q135" i="2"/>
  <c r="R135" i="2" s="1"/>
  <c r="T135" i="2" s="1"/>
  <c r="V135" i="2" s="1"/>
  <c r="Q196" i="2"/>
  <c r="R196" i="2" s="1"/>
  <c r="T196" i="2" s="1"/>
  <c r="V196" i="2" s="1"/>
  <c r="Q496" i="2"/>
  <c r="R496" i="2" s="1"/>
  <c r="T496" i="2" s="1"/>
  <c r="V496" i="2" s="1"/>
  <c r="K150" i="2"/>
  <c r="Q105" i="4"/>
  <c r="R105" i="4" s="1"/>
  <c r="T105" i="4" s="1"/>
  <c r="V105" i="4" s="1"/>
  <c r="Q431" i="2"/>
  <c r="R431" i="2" s="1"/>
  <c r="T431" i="2" s="1"/>
  <c r="V431" i="2" s="1"/>
  <c r="Q149" i="4"/>
  <c r="R149" i="4" s="1"/>
  <c r="T149" i="4" s="1"/>
  <c r="V149" i="4" s="1"/>
  <c r="Q678" i="2"/>
  <c r="R678" i="2" s="1"/>
  <c r="T678" i="2" s="1"/>
  <c r="V678" i="2" s="1"/>
  <c r="Q948" i="2"/>
  <c r="R948" i="2" s="1"/>
  <c r="T948" i="2" s="1"/>
  <c r="V948" i="2" s="1"/>
  <c r="Q892" i="2"/>
  <c r="R892" i="2" s="1"/>
  <c r="T892" i="2" s="1"/>
  <c r="V892" i="2" s="1"/>
  <c r="K404" i="2"/>
  <c r="K919" i="2"/>
  <c r="Q877" i="2"/>
  <c r="R877" i="2" s="1"/>
  <c r="T877" i="2" s="1"/>
  <c r="V877" i="2" s="1"/>
  <c r="Q658" i="2"/>
  <c r="R658" i="2" s="1"/>
  <c r="T658" i="2" s="1"/>
  <c r="V658" i="2" s="1"/>
  <c r="Q222" i="2"/>
  <c r="R222" i="2" s="1"/>
  <c r="T222" i="2" s="1"/>
  <c r="V222" i="2" s="1"/>
  <c r="Q473" i="4"/>
  <c r="R473" i="4" s="1"/>
  <c r="T473" i="4" s="1"/>
  <c r="V473" i="4" s="1"/>
  <c r="Q656" i="4"/>
  <c r="R656" i="4" s="1"/>
  <c r="T656" i="4" s="1"/>
  <c r="V656" i="4" s="1"/>
  <c r="K572" i="4"/>
  <c r="K857" i="4"/>
  <c r="K905" i="4"/>
  <c r="Q502" i="4"/>
  <c r="R502" i="4" s="1"/>
  <c r="T502" i="4" s="1"/>
  <c r="V502" i="4" s="1"/>
  <c r="K832" i="4"/>
  <c r="K980" i="2"/>
  <c r="Q198" i="4"/>
  <c r="R198" i="4" s="1"/>
  <c r="T198" i="4" s="1"/>
  <c r="V198" i="4" s="1"/>
  <c r="K20" i="4"/>
  <c r="K523" i="4"/>
  <c r="Q70" i="2"/>
  <c r="R70" i="2" s="1"/>
  <c r="T70" i="2" s="1"/>
  <c r="V70" i="2" s="1"/>
  <c r="Q598" i="4"/>
  <c r="R598" i="4" s="1"/>
  <c r="T598" i="4" s="1"/>
  <c r="V598" i="4" s="1"/>
  <c r="Q645" i="4"/>
  <c r="R645" i="4" s="1"/>
  <c r="T645" i="4" s="1"/>
  <c r="V645" i="4" s="1"/>
  <c r="Q407" i="4"/>
  <c r="R407" i="4" s="1"/>
  <c r="T407" i="4" s="1"/>
  <c r="V407" i="4" s="1"/>
  <c r="Q394" i="4"/>
  <c r="R394" i="4" s="1"/>
  <c r="T394" i="4" s="1"/>
  <c r="V394" i="4" s="1"/>
  <c r="K551" i="4"/>
  <c r="Q549" i="4"/>
  <c r="R549" i="4" s="1"/>
  <c r="T549" i="4" s="1"/>
  <c r="V549" i="4" s="1"/>
  <c r="K245" i="4"/>
  <c r="K684" i="4"/>
  <c r="Q679" i="4"/>
  <c r="R679" i="4" s="1"/>
  <c r="T679" i="4" s="1"/>
  <c r="V679" i="4" s="1"/>
  <c r="K464" i="4"/>
  <c r="Q576" i="4"/>
  <c r="R576" i="4" s="1"/>
  <c r="T576" i="4" s="1"/>
  <c r="V576" i="4" s="1"/>
  <c r="K936" i="4"/>
  <c r="Q692" i="2"/>
  <c r="R692" i="2" s="1"/>
  <c r="T692" i="2" s="1"/>
  <c r="V692" i="2" s="1"/>
  <c r="K288" i="4"/>
  <c r="Q442" i="4"/>
  <c r="R442" i="4" s="1"/>
  <c r="T442" i="4" s="1"/>
  <c r="V442" i="4" s="1"/>
  <c r="K52" i="4"/>
  <c r="K913" i="4"/>
  <c r="K287" i="4"/>
  <c r="K380" i="2"/>
  <c r="Q408" i="2"/>
  <c r="R408" i="2" s="1"/>
  <c r="T408" i="2" s="1"/>
  <c r="V408" i="2" s="1"/>
  <c r="Q585" i="4"/>
  <c r="R585" i="4" s="1"/>
  <c r="T585" i="4" s="1"/>
  <c r="V585" i="4" s="1"/>
  <c r="Q600" i="2"/>
  <c r="R600" i="2" s="1"/>
  <c r="T600" i="2" s="1"/>
  <c r="V600" i="2" s="1"/>
  <c r="K692" i="2"/>
  <c r="K106" i="2"/>
  <c r="Q309" i="2"/>
  <c r="R309" i="2" s="1"/>
  <c r="T309" i="2" s="1"/>
  <c r="V309" i="2" s="1"/>
  <c r="Q332" i="2"/>
  <c r="R332" i="2" s="1"/>
  <c r="T332" i="2" s="1"/>
  <c r="V332" i="2" s="1"/>
  <c r="K165" i="2"/>
  <c r="Q201" i="4"/>
  <c r="R201" i="4" s="1"/>
  <c r="T201" i="4" s="1"/>
  <c r="V201" i="4" s="1"/>
  <c r="K655" i="2"/>
  <c r="Q906" i="2"/>
  <c r="R906" i="2" s="1"/>
  <c r="T906" i="2" s="1"/>
  <c r="V906" i="2" s="1"/>
  <c r="Q495" i="2"/>
  <c r="R495" i="2" s="1"/>
  <c r="T495" i="2" s="1"/>
  <c r="V495" i="2" s="1"/>
  <c r="K401" i="2"/>
  <c r="K585" i="2"/>
  <c r="K333" i="2"/>
  <c r="K948" i="2"/>
  <c r="K937" i="2"/>
  <c r="Q269" i="4"/>
  <c r="R269" i="4" s="1"/>
  <c r="T269" i="4" s="1"/>
  <c r="V269" i="4" s="1"/>
  <c r="Q271" i="2"/>
  <c r="R271" i="2" s="1"/>
  <c r="T271" i="2" s="1"/>
  <c r="V271" i="2" s="1"/>
  <c r="Q643" i="4"/>
  <c r="R643" i="4" s="1"/>
  <c r="T643" i="4" s="1"/>
  <c r="V643" i="4" s="1"/>
  <c r="K643" i="4"/>
  <c r="Q393" i="4"/>
  <c r="R393" i="4" s="1"/>
  <c r="T393" i="4" s="1"/>
  <c r="V393" i="4" s="1"/>
  <c r="Q914" i="4"/>
  <c r="R914" i="4" s="1"/>
  <c r="T914" i="4" s="1"/>
  <c r="V914" i="4" s="1"/>
  <c r="Q832" i="4"/>
  <c r="R832" i="4" s="1"/>
  <c r="T832" i="4" s="1"/>
  <c r="V832" i="4" s="1"/>
  <c r="K777" i="4"/>
  <c r="Q711" i="4"/>
  <c r="R711" i="4" s="1"/>
  <c r="T711" i="4" s="1"/>
  <c r="V711" i="4" s="1"/>
  <c r="Q949" i="4"/>
  <c r="R949" i="4" s="1"/>
  <c r="T949" i="4" s="1"/>
  <c r="V949" i="4" s="1"/>
  <c r="K775" i="4"/>
  <c r="K587" i="4"/>
  <c r="K1004" i="4"/>
  <c r="Q934" i="4"/>
  <c r="R934" i="4" s="1"/>
  <c r="T934" i="4" s="1"/>
  <c r="V934" i="4" s="1"/>
  <c r="Q889" i="4"/>
  <c r="R889" i="4" s="1"/>
  <c r="T889" i="4" s="1"/>
  <c r="V889" i="4" s="1"/>
  <c r="K448" i="4"/>
  <c r="Q454" i="4"/>
  <c r="R454" i="4" s="1"/>
  <c r="T454" i="4" s="1"/>
  <c r="V454" i="4" s="1"/>
  <c r="K275" i="4"/>
  <c r="K51" i="2"/>
  <c r="Q19" i="4"/>
  <c r="R19" i="4" s="1"/>
  <c r="T19" i="4" s="1"/>
  <c r="V19" i="4" s="1"/>
  <c r="K909" i="4"/>
  <c r="K1002" i="4"/>
  <c r="Q514" i="2"/>
  <c r="R514" i="2" s="1"/>
  <c r="T514" i="2" s="1"/>
  <c r="V514" i="2" s="1"/>
  <c r="K942" i="2"/>
  <c r="K64" i="2"/>
  <c r="Q884" i="2"/>
  <c r="R884" i="2" s="1"/>
  <c r="T884" i="2" s="1"/>
  <c r="V884" i="2" s="1"/>
  <c r="K819" i="2"/>
  <c r="Q28" i="2"/>
  <c r="R28" i="2" s="1"/>
  <c r="T28" i="2" s="1"/>
  <c r="V28" i="2" s="1"/>
  <c r="K661" i="4"/>
  <c r="Q460" i="4"/>
  <c r="R460" i="4" s="1"/>
  <c r="T460" i="4" s="1"/>
  <c r="V460" i="4" s="1"/>
  <c r="Q582" i="2"/>
  <c r="R582" i="2" s="1"/>
  <c r="T582" i="2" s="1"/>
  <c r="V582" i="2" s="1"/>
  <c r="Q729" i="2"/>
  <c r="R729" i="2" s="1"/>
  <c r="T729" i="2" s="1"/>
  <c r="V729" i="2" s="1"/>
  <c r="K984" i="4"/>
  <c r="Q954" i="4"/>
  <c r="R954" i="4" s="1"/>
  <c r="T954" i="4" s="1"/>
  <c r="V954" i="4" s="1"/>
  <c r="K962" i="4"/>
  <c r="Q929" i="4"/>
  <c r="R929" i="4" s="1"/>
  <c r="T929" i="4" s="1"/>
  <c r="V929" i="4" s="1"/>
  <c r="K577" i="2"/>
  <c r="Q612" i="2"/>
  <c r="R612" i="2" s="1"/>
  <c r="T612" i="2" s="1"/>
  <c r="V612" i="2" s="1"/>
  <c r="K188" i="4"/>
  <c r="I188" i="4"/>
  <c r="O188" i="4" s="1"/>
  <c r="Q188" i="4" s="1"/>
  <c r="R188" i="4" s="1"/>
  <c r="T188" i="4" s="1"/>
  <c r="V188" i="4" s="1"/>
  <c r="Q288" i="4"/>
  <c r="R288" i="4" s="1"/>
  <c r="T288" i="4" s="1"/>
  <c r="V288" i="4" s="1"/>
  <c r="Q178" i="2"/>
  <c r="R178" i="2" s="1"/>
  <c r="T178" i="2" s="1"/>
  <c r="V178" i="2" s="1"/>
  <c r="K223" i="2"/>
  <c r="Q41" i="2"/>
  <c r="R41" i="2" s="1"/>
  <c r="T41" i="2" s="1"/>
  <c r="V41" i="2" s="1"/>
  <c r="Q476" i="2"/>
  <c r="R476" i="2" s="1"/>
  <c r="T476" i="2" s="1"/>
  <c r="V476" i="2" s="1"/>
  <c r="Q466" i="2"/>
  <c r="R466" i="2" s="1"/>
  <c r="T466" i="2" s="1"/>
  <c r="V466" i="2" s="1"/>
  <c r="K201" i="4"/>
  <c r="K514" i="2"/>
  <c r="Q142" i="2"/>
  <c r="R142" i="2" s="1"/>
  <c r="T142" i="2" s="1"/>
  <c r="V142" i="2" s="1"/>
  <c r="Q755" i="2"/>
  <c r="R755" i="2" s="1"/>
  <c r="T755" i="2" s="1"/>
  <c r="V755" i="2" s="1"/>
  <c r="Q695" i="2"/>
  <c r="R695" i="2" s="1"/>
  <c r="T695" i="2" s="1"/>
  <c r="V695" i="2" s="1"/>
  <c r="Q537" i="4"/>
  <c r="R537" i="4" s="1"/>
  <c r="T537" i="4" s="1"/>
  <c r="V537" i="4" s="1"/>
  <c r="K701" i="2"/>
  <c r="Q942" i="2"/>
  <c r="R942" i="2" s="1"/>
  <c r="T942" i="2" s="1"/>
  <c r="V942" i="2" s="1"/>
  <c r="Q122" i="4"/>
  <c r="R122" i="4" s="1"/>
  <c r="T122" i="4" s="1"/>
  <c r="V122" i="4" s="1"/>
  <c r="K529" i="2"/>
  <c r="Q480" i="2"/>
  <c r="R480" i="2" s="1"/>
  <c r="T480" i="2" s="1"/>
  <c r="V480" i="2" s="1"/>
  <c r="K80" i="2"/>
  <c r="Q351" i="2"/>
  <c r="R351" i="2" s="1"/>
  <c r="T351" i="2" s="1"/>
  <c r="V351" i="2" s="1"/>
  <c r="Q880" i="2"/>
  <c r="R880" i="2" s="1"/>
  <c r="T880" i="2" s="1"/>
  <c r="V880" i="2" s="1"/>
  <c r="K118" i="4"/>
  <c r="Q102" i="4"/>
  <c r="R102" i="4" s="1"/>
  <c r="T102" i="4" s="1"/>
  <c r="V102" i="4" s="1"/>
  <c r="K269" i="4"/>
  <c r="K481" i="2"/>
  <c r="Q778" i="2"/>
  <c r="R778" i="2" s="1"/>
  <c r="T778" i="2" s="1"/>
  <c r="V778" i="2" s="1"/>
  <c r="Q189" i="4"/>
  <c r="R189" i="4" s="1"/>
  <c r="T189" i="4" s="1"/>
  <c r="V189" i="4" s="1"/>
  <c r="Q272" i="2"/>
  <c r="R272" i="2" s="1"/>
  <c r="T272" i="2" s="1"/>
  <c r="V272" i="2" s="1"/>
  <c r="Q372" i="4"/>
  <c r="R372" i="4" s="1"/>
  <c r="T372" i="4" s="1"/>
  <c r="V372" i="4" s="1"/>
  <c r="Q365" i="2"/>
  <c r="R365" i="2" s="1"/>
  <c r="T365" i="2" s="1"/>
  <c r="V365" i="2" s="1"/>
  <c r="Q409" i="2"/>
  <c r="R409" i="2" s="1"/>
  <c r="T409" i="2" s="1"/>
  <c r="V409" i="2" s="1"/>
  <c r="K916" i="2"/>
  <c r="K707" i="4"/>
  <c r="Q483" i="2"/>
  <c r="R483" i="2" s="1"/>
  <c r="T483" i="2" s="1"/>
  <c r="V483" i="2" s="1"/>
  <c r="K351" i="4"/>
  <c r="K729" i="4"/>
  <c r="Q490" i="4"/>
  <c r="R490" i="4" s="1"/>
  <c r="T490" i="4" s="1"/>
  <c r="V490" i="4" s="1"/>
  <c r="K556" i="4"/>
  <c r="K793" i="4"/>
  <c r="K522" i="2"/>
  <c r="K847" i="4"/>
  <c r="Q444" i="4"/>
  <c r="R444" i="4" s="1"/>
  <c r="T444" i="4" s="1"/>
  <c r="V444" i="4" s="1"/>
  <c r="Q1004" i="4"/>
  <c r="R1004" i="4" s="1"/>
  <c r="T1004" i="4" s="1"/>
  <c r="V1004" i="4" s="1"/>
  <c r="Q531" i="4"/>
  <c r="R531" i="4" s="1"/>
  <c r="T531" i="4" s="1"/>
  <c r="V531" i="4" s="1"/>
  <c r="Q933" i="4"/>
  <c r="R933" i="4" s="1"/>
  <c r="T933" i="4" s="1"/>
  <c r="V933" i="4" s="1"/>
  <c r="K804" i="4"/>
  <c r="Q982" i="2"/>
  <c r="R982" i="2" s="1"/>
  <c r="T982" i="2" s="1"/>
  <c r="V982" i="2" s="1"/>
  <c r="Q992" i="4"/>
  <c r="R992" i="4" s="1"/>
  <c r="T992" i="4" s="1"/>
  <c r="V992" i="4" s="1"/>
  <c r="K193" i="2"/>
  <c r="K929" i="4"/>
  <c r="K281" i="4"/>
  <c r="Q858" i="4"/>
  <c r="R858" i="4" s="1"/>
  <c r="T858" i="4" s="1"/>
  <c r="V858" i="4" s="1"/>
  <c r="Q248" i="4"/>
  <c r="R248" i="4" s="1"/>
  <c r="T248" i="4" s="1"/>
  <c r="V248" i="4" s="1"/>
  <c r="K621" i="2"/>
  <c r="Q387" i="4"/>
  <c r="R387" i="4" s="1"/>
  <c r="T387" i="4" s="1"/>
  <c r="V387" i="4" s="1"/>
  <c r="Q616" i="4"/>
  <c r="R616" i="4" s="1"/>
  <c r="T616" i="4" s="1"/>
  <c r="V616" i="4" s="1"/>
  <c r="Q11" i="4"/>
  <c r="R11" i="4" s="1"/>
  <c r="T11" i="4" s="1"/>
  <c r="V11" i="4" s="1"/>
  <c r="Q720" i="2"/>
  <c r="R720" i="2" s="1"/>
  <c r="T720" i="2" s="1"/>
  <c r="V720" i="2" s="1"/>
  <c r="Q125" i="2"/>
  <c r="R125" i="2" s="1"/>
  <c r="T125" i="2" s="1"/>
  <c r="V125" i="2" s="1"/>
  <c r="Q480" i="4"/>
  <c r="R480" i="4" s="1"/>
  <c r="T480" i="4" s="1"/>
  <c r="V480" i="4" s="1"/>
  <c r="K364" i="2"/>
  <c r="K50" i="4"/>
  <c r="Q262" i="2"/>
  <c r="R262" i="2" s="1"/>
  <c r="T262" i="2" s="1"/>
  <c r="V262" i="2" s="1"/>
  <c r="Q143" i="2"/>
  <c r="R143" i="2" s="1"/>
  <c r="T143" i="2" s="1"/>
  <c r="V143" i="2" s="1"/>
  <c r="Q68" i="4"/>
  <c r="R68" i="4" s="1"/>
  <c r="T68" i="4" s="1"/>
  <c r="V68" i="4" s="1"/>
  <c r="K165" i="4"/>
  <c r="K324" i="4"/>
  <c r="K72" i="4"/>
  <c r="K63" i="4"/>
  <c r="Q967" i="2"/>
  <c r="R967" i="2" s="1"/>
  <c r="T967" i="2" s="1"/>
  <c r="V967" i="2" s="1"/>
  <c r="Q697" i="4"/>
  <c r="R697" i="4" s="1"/>
  <c r="T697" i="4" s="1"/>
  <c r="V697" i="4" s="1"/>
  <c r="K677" i="4"/>
  <c r="K749" i="4"/>
  <c r="Q367" i="2"/>
  <c r="R367" i="2" s="1"/>
  <c r="T367" i="2" s="1"/>
  <c r="V367" i="2" s="1"/>
  <c r="K293" i="4"/>
  <c r="Q829" i="4"/>
  <c r="R829" i="4" s="1"/>
  <c r="T829" i="4" s="1"/>
  <c r="V829" i="4" s="1"/>
  <c r="K884" i="4"/>
  <c r="K894" i="4"/>
  <c r="Q835" i="4"/>
  <c r="R835" i="4" s="1"/>
  <c r="T835" i="4" s="1"/>
  <c r="V835" i="4" s="1"/>
  <c r="Q81" i="4"/>
  <c r="R81" i="4" s="1"/>
  <c r="T81" i="4" s="1"/>
  <c r="V81" i="4" s="1"/>
  <c r="K224" i="4"/>
  <c r="K173" i="2"/>
  <c r="Q985" i="2"/>
  <c r="R985" i="2" s="1"/>
  <c r="T985" i="2" s="1"/>
  <c r="V985" i="2" s="1"/>
  <c r="K296" i="4"/>
  <c r="K804" i="2"/>
  <c r="K204" i="2"/>
  <c r="Q112" i="2"/>
  <c r="R112" i="2" s="1"/>
  <c r="T112" i="2" s="1"/>
  <c r="V112" i="2" s="1"/>
  <c r="Q565" i="2"/>
  <c r="R565" i="2" s="1"/>
  <c r="T565" i="2" s="1"/>
  <c r="V565" i="2" s="1"/>
  <c r="K111" i="2"/>
  <c r="K133" i="2"/>
  <c r="Q270" i="2"/>
  <c r="R270" i="2" s="1"/>
  <c r="T270" i="2" s="1"/>
  <c r="V270" i="2" s="1"/>
  <c r="Q326" i="2"/>
  <c r="R326" i="2" s="1"/>
  <c r="T326" i="2" s="1"/>
  <c r="V326" i="2" s="1"/>
  <c r="Q245" i="2"/>
  <c r="R245" i="2" s="1"/>
  <c r="T245" i="2" s="1"/>
  <c r="V245" i="2" s="1"/>
  <c r="K558" i="2"/>
  <c r="K442" i="2"/>
  <c r="Q166" i="4"/>
  <c r="R166" i="4" s="1"/>
  <c r="T166" i="4" s="1"/>
  <c r="V166" i="4" s="1"/>
  <c r="Q490" i="2"/>
  <c r="R490" i="2" s="1"/>
  <c r="T490" i="2" s="1"/>
  <c r="V490" i="2" s="1"/>
  <c r="Q82" i="2"/>
  <c r="R82" i="2" s="1"/>
  <c r="T82" i="2" s="1"/>
  <c r="V82" i="2" s="1"/>
  <c r="Q46" i="2"/>
  <c r="R46" i="2" s="1"/>
  <c r="T46" i="2" s="1"/>
  <c r="V46" i="2" s="1"/>
  <c r="Q570" i="2"/>
  <c r="R570" i="2" s="1"/>
  <c r="T570" i="2" s="1"/>
  <c r="V570" i="2" s="1"/>
  <c r="K137" i="4"/>
  <c r="K814" i="2"/>
  <c r="Q210" i="2"/>
  <c r="R210" i="2" s="1"/>
  <c r="T210" i="2" s="1"/>
  <c r="V210" i="2" s="1"/>
  <c r="Q543" i="2"/>
  <c r="R543" i="2" s="1"/>
  <c r="T543" i="2" s="1"/>
  <c r="V543" i="2" s="1"/>
  <c r="K876" i="2"/>
  <c r="Q72" i="4"/>
  <c r="R72" i="4" s="1"/>
  <c r="T72" i="4" s="1"/>
  <c r="V72" i="4" s="1"/>
  <c r="K131" i="4"/>
  <c r="Q31" i="2"/>
  <c r="R31" i="2" s="1"/>
  <c r="T31" i="2" s="1"/>
  <c r="V31" i="2" s="1"/>
  <c r="Q13" i="2"/>
  <c r="R13" i="2" s="1"/>
  <c r="T13" i="2" s="1"/>
  <c r="V13" i="2" s="1"/>
  <c r="Q359" i="4"/>
  <c r="R359" i="4" s="1"/>
  <c r="T359" i="4" s="1"/>
  <c r="V359" i="4" s="1"/>
  <c r="Q640" i="2"/>
  <c r="R640" i="2" s="1"/>
  <c r="T640" i="2" s="1"/>
  <c r="V640" i="2" s="1"/>
  <c r="Q651" i="4"/>
  <c r="R651" i="4" s="1"/>
  <c r="T651" i="4" s="1"/>
  <c r="V651" i="4" s="1"/>
  <c r="Q656" i="2"/>
  <c r="R656" i="2" s="1"/>
  <c r="T656" i="2" s="1"/>
  <c r="V656" i="2" s="1"/>
  <c r="K30" i="4"/>
  <c r="Q179" i="4"/>
  <c r="R179" i="4" s="1"/>
  <c r="T179" i="4" s="1"/>
  <c r="V179" i="4" s="1"/>
  <c r="Q498" i="2"/>
  <c r="R498" i="2" s="1"/>
  <c r="T498" i="2" s="1"/>
  <c r="V498" i="2" s="1"/>
  <c r="Q704" i="4"/>
  <c r="R704" i="4" s="1"/>
  <c r="T704" i="4" s="1"/>
  <c r="V704" i="4" s="1"/>
  <c r="K226" i="4"/>
  <c r="Q506" i="2"/>
  <c r="R506" i="2" s="1"/>
  <c r="T506" i="2" s="1"/>
  <c r="V506" i="2" s="1"/>
  <c r="K829" i="4"/>
  <c r="K566" i="4"/>
  <c r="Q339" i="4"/>
  <c r="R339" i="4" s="1"/>
  <c r="T339" i="4" s="1"/>
  <c r="V339" i="4" s="1"/>
  <c r="K960" i="4"/>
  <c r="Q867" i="4"/>
  <c r="R867" i="4" s="1"/>
  <c r="T867" i="4" s="1"/>
  <c r="V867" i="4" s="1"/>
  <c r="K980" i="4"/>
  <c r="K931" i="4"/>
  <c r="K81" i="4"/>
  <c r="Q477" i="4"/>
  <c r="R477" i="4" s="1"/>
  <c r="T477" i="4" s="1"/>
  <c r="V477" i="4" s="1"/>
  <c r="Q277" i="2"/>
  <c r="R277" i="2" s="1"/>
  <c r="T277" i="2" s="1"/>
  <c r="V277" i="2" s="1"/>
  <c r="K920" i="2"/>
  <c r="K900" i="2"/>
  <c r="K267" i="2"/>
  <c r="K187" i="4"/>
  <c r="Q893" i="4"/>
  <c r="R893" i="4" s="1"/>
  <c r="T893" i="4" s="1"/>
  <c r="V893" i="4" s="1"/>
  <c r="Q378" i="2"/>
  <c r="R378" i="2" s="1"/>
  <c r="T378" i="2" s="1"/>
  <c r="V378" i="2" s="1"/>
  <c r="Q882" i="4"/>
  <c r="R882" i="4" s="1"/>
  <c r="T882" i="4" s="1"/>
  <c r="V882" i="4" s="1"/>
  <c r="K982" i="4"/>
  <c r="Q514" i="4"/>
  <c r="R514" i="4" s="1"/>
  <c r="T514" i="4" s="1"/>
  <c r="V514" i="4" s="1"/>
  <c r="K201" i="2"/>
  <c r="Q794" i="2"/>
  <c r="R794" i="2" s="1"/>
  <c r="T794" i="2" s="1"/>
  <c r="V794" i="2" s="1"/>
  <c r="K350" i="2"/>
  <c r="Q82" i="4"/>
  <c r="R82" i="4" s="1"/>
  <c r="T82" i="4" s="1"/>
  <c r="V82" i="4" s="1"/>
  <c r="Q886" i="2"/>
  <c r="R886" i="2" s="1"/>
  <c r="T886" i="2" s="1"/>
  <c r="V886" i="2" s="1"/>
  <c r="K148" i="2"/>
  <c r="K46" i="2"/>
  <c r="Q964" i="2"/>
  <c r="R964" i="2" s="1"/>
  <c r="T964" i="2" s="1"/>
  <c r="V964" i="2" s="1"/>
  <c r="Q546" i="2"/>
  <c r="R546" i="2" s="1"/>
  <c r="T546" i="2" s="1"/>
  <c r="V546" i="2" s="1"/>
  <c r="K210" i="2"/>
  <c r="Q687" i="2"/>
  <c r="R687" i="2" s="1"/>
  <c r="T687" i="2" s="1"/>
  <c r="V687" i="2" s="1"/>
  <c r="Q286" i="4"/>
  <c r="R286" i="4" s="1"/>
  <c r="T286" i="4" s="1"/>
  <c r="V286" i="4" s="1"/>
  <c r="Q686" i="2"/>
  <c r="R686" i="2" s="1"/>
  <c r="T686" i="2" s="1"/>
  <c r="V686" i="2" s="1"/>
  <c r="K406" i="4"/>
  <c r="Q666" i="4"/>
  <c r="R666" i="4" s="1"/>
  <c r="T666" i="4" s="1"/>
  <c r="V666" i="4" s="1"/>
  <c r="Q702" i="4"/>
  <c r="R702" i="4" s="1"/>
  <c r="T702" i="4" s="1"/>
  <c r="V702" i="4" s="1"/>
  <c r="K362" i="4"/>
  <c r="K688" i="2"/>
  <c r="Q161" i="4"/>
  <c r="R161" i="4" s="1"/>
  <c r="T161" i="4" s="1"/>
  <c r="V161" i="4" s="1"/>
  <c r="K179" i="4"/>
  <c r="K345" i="4"/>
  <c r="K906" i="4"/>
  <c r="Q960" i="4"/>
  <c r="R960" i="4" s="1"/>
  <c r="T960" i="4" s="1"/>
  <c r="V960" i="4" s="1"/>
  <c r="K709" i="2"/>
  <c r="Q725" i="4"/>
  <c r="R725" i="4" s="1"/>
  <c r="T725" i="4" s="1"/>
  <c r="V725" i="4" s="1"/>
  <c r="K889" i="4"/>
  <c r="K457" i="4"/>
  <c r="K869" i="2"/>
  <c r="K435" i="4"/>
  <c r="K172" i="2"/>
  <c r="I172" i="2"/>
  <c r="O172" i="2" s="1"/>
  <c r="Q172" i="2" s="1"/>
  <c r="R172" i="2" s="1"/>
  <c r="T172" i="2" s="1"/>
  <c r="V172" i="2" s="1"/>
  <c r="Q313" i="2"/>
  <c r="R313" i="2" s="1"/>
  <c r="T313" i="2" s="1"/>
  <c r="V313" i="2" s="1"/>
  <c r="Q553" i="4"/>
  <c r="R553" i="4" s="1"/>
  <c r="T553" i="4" s="1"/>
  <c r="V553" i="4" s="1"/>
  <c r="K112" i="2"/>
  <c r="Q201" i="2"/>
  <c r="R201" i="2" s="1"/>
  <c r="T201" i="2" s="1"/>
  <c r="V201" i="2" s="1"/>
  <c r="K794" i="2"/>
  <c r="Q134" i="2"/>
  <c r="R134" i="2" s="1"/>
  <c r="T134" i="2" s="1"/>
  <c r="V134" i="2" s="1"/>
  <c r="Q45" i="2"/>
  <c r="R45" i="2" s="1"/>
  <c r="T45" i="2" s="1"/>
  <c r="V45" i="2" s="1"/>
  <c r="Q569" i="4"/>
  <c r="R569" i="4" s="1"/>
  <c r="T569" i="4" s="1"/>
  <c r="V569" i="4" s="1"/>
  <c r="K123" i="4"/>
  <c r="K118" i="2"/>
  <c r="K546" i="2"/>
  <c r="Q769" i="2"/>
  <c r="R769" i="2" s="1"/>
  <c r="T769" i="2" s="1"/>
  <c r="V769" i="2" s="1"/>
  <c r="K764" i="2"/>
  <c r="K182" i="4"/>
  <c r="K904" i="2"/>
  <c r="K736" i="4"/>
  <c r="Q504" i="2"/>
  <c r="R504" i="2" s="1"/>
  <c r="T504" i="2" s="1"/>
  <c r="V504" i="2" s="1"/>
  <c r="Q988" i="2"/>
  <c r="R988" i="2" s="1"/>
  <c r="T988" i="2" s="1"/>
  <c r="V988" i="2" s="1"/>
  <c r="Q844" i="4"/>
  <c r="R844" i="4" s="1"/>
  <c r="T844" i="4" s="1"/>
  <c r="V844" i="4" s="1"/>
  <c r="Q64" i="4"/>
  <c r="R64" i="4" s="1"/>
  <c r="T64" i="4" s="1"/>
  <c r="V64" i="4" s="1"/>
  <c r="Q258" i="4"/>
  <c r="R258" i="4" s="1"/>
  <c r="T258" i="4" s="1"/>
  <c r="V258" i="4" s="1"/>
  <c r="K989" i="4"/>
  <c r="K704" i="2"/>
  <c r="K614" i="2"/>
  <c r="K799" i="2"/>
  <c r="Q171" i="4"/>
  <c r="R171" i="4" s="1"/>
  <c r="T171" i="4" s="1"/>
  <c r="V171" i="4" s="1"/>
  <c r="Q709" i="2"/>
  <c r="R709" i="2" s="1"/>
  <c r="T709" i="2" s="1"/>
  <c r="V709" i="2" s="1"/>
  <c r="Q437" i="2"/>
  <c r="R437" i="2" s="1"/>
  <c r="T437" i="2" s="1"/>
  <c r="V437" i="2" s="1"/>
  <c r="Q926" i="4"/>
  <c r="R926" i="4" s="1"/>
  <c r="T926" i="4" s="1"/>
  <c r="V926" i="4" s="1"/>
  <c r="Q435" i="4"/>
  <c r="R435" i="4" s="1"/>
  <c r="T435" i="4" s="1"/>
  <c r="V435" i="4" s="1"/>
  <c r="Q399" i="4"/>
  <c r="R399" i="4" s="1"/>
  <c r="T399" i="4" s="1"/>
  <c r="V399" i="4" s="1"/>
  <c r="K815" i="4"/>
  <c r="Q97" i="2"/>
  <c r="R97" i="2" s="1"/>
  <c r="T97" i="2" s="1"/>
  <c r="V97" i="2" s="1"/>
  <c r="Q865" i="2"/>
  <c r="R865" i="2" s="1"/>
  <c r="T865" i="2" s="1"/>
  <c r="V865" i="2" s="1"/>
  <c r="Q819" i="4"/>
  <c r="R819" i="4" s="1"/>
  <c r="T819" i="4" s="1"/>
  <c r="V819" i="4" s="1"/>
  <c r="K514" i="4"/>
  <c r="K923" i="4"/>
  <c r="Q38" i="2"/>
  <c r="R38" i="2" s="1"/>
  <c r="T38" i="2" s="1"/>
  <c r="V38" i="2" s="1"/>
  <c r="Q70" i="4"/>
  <c r="R70" i="4" s="1"/>
  <c r="T70" i="4" s="1"/>
  <c r="V70" i="4" s="1"/>
  <c r="Q237" i="4"/>
  <c r="R237" i="4" s="1"/>
  <c r="T237" i="4" s="1"/>
  <c r="V237" i="4" s="1"/>
  <c r="K194" i="2"/>
  <c r="K162" i="2"/>
  <c r="K338" i="2"/>
  <c r="Q628" i="2"/>
  <c r="R628" i="2" s="1"/>
  <c r="T628" i="2" s="1"/>
  <c r="V628" i="2" s="1"/>
  <c r="Q215" i="2"/>
  <c r="R215" i="2" s="1"/>
  <c r="T215" i="2" s="1"/>
  <c r="V215" i="2" s="1"/>
  <c r="K619" i="2"/>
  <c r="K188" i="2"/>
  <c r="Q624" i="2"/>
  <c r="R624" i="2" s="1"/>
  <c r="T624" i="2" s="1"/>
  <c r="V624" i="2" s="1"/>
  <c r="K270" i="2"/>
  <c r="K850" i="2"/>
  <c r="Q276" i="2"/>
  <c r="R276" i="2" s="1"/>
  <c r="T276" i="2" s="1"/>
  <c r="V276" i="2" s="1"/>
  <c r="K285" i="2"/>
  <c r="K261" i="4"/>
  <c r="K999" i="2"/>
  <c r="K320" i="2"/>
  <c r="K718" i="2"/>
  <c r="K161" i="2"/>
  <c r="Q642" i="2"/>
  <c r="R642" i="2" s="1"/>
  <c r="T642" i="2" s="1"/>
  <c r="V642" i="2" s="1"/>
  <c r="K397" i="2"/>
  <c r="Q90" i="4"/>
  <c r="R90" i="4" s="1"/>
  <c r="T90" i="4" s="1"/>
  <c r="V90" i="4" s="1"/>
  <c r="K28" i="2"/>
  <c r="K200" i="4"/>
  <c r="K315" i="2"/>
  <c r="K237" i="4"/>
  <c r="K364" i="4"/>
  <c r="K348" i="2"/>
  <c r="Q877" i="4"/>
  <c r="R877" i="4" s="1"/>
  <c r="T877" i="4" s="1"/>
  <c r="V877" i="4" s="1"/>
  <c r="K955" i="2"/>
  <c r="K198" i="4"/>
  <c r="K665" i="2"/>
  <c r="Q8" i="2"/>
  <c r="R8" i="2" s="1"/>
  <c r="T8" i="2" s="1"/>
  <c r="V8" i="2" s="1"/>
  <c r="Q65" i="2"/>
  <c r="R65" i="2" s="1"/>
  <c r="T65" i="2" s="1"/>
  <c r="V65" i="2" s="1"/>
  <c r="Q558" i="4"/>
  <c r="R558" i="4" s="1"/>
  <c r="T558" i="4" s="1"/>
  <c r="V558" i="4" s="1"/>
  <c r="K455" i="4"/>
  <c r="Q831" i="4"/>
  <c r="R831" i="4" s="1"/>
  <c r="T831" i="4" s="1"/>
  <c r="V831" i="4" s="1"/>
  <c r="K927" i="4"/>
  <c r="Q881" i="4"/>
  <c r="R881" i="4" s="1"/>
  <c r="T881" i="4" s="1"/>
  <c r="V881" i="4" s="1"/>
  <c r="K600" i="2"/>
  <c r="Q194" i="2"/>
  <c r="R194" i="2" s="1"/>
  <c r="T194" i="2" s="1"/>
  <c r="V194" i="2" s="1"/>
  <c r="K647" i="2"/>
  <c r="Q804" i="2"/>
  <c r="R804" i="2" s="1"/>
  <c r="T804" i="2" s="1"/>
  <c r="V804" i="2" s="1"/>
  <c r="K215" i="2"/>
  <c r="Q619" i="2"/>
  <c r="R619" i="2" s="1"/>
  <c r="T619" i="2" s="1"/>
  <c r="V619" i="2" s="1"/>
  <c r="K775" i="2"/>
  <c r="K565" i="2"/>
  <c r="Q111" i="2"/>
  <c r="R111" i="2" s="1"/>
  <c r="T111" i="2" s="1"/>
  <c r="V111" i="2" s="1"/>
  <c r="Q100" i="2"/>
  <c r="R100" i="2" s="1"/>
  <c r="T100" i="2" s="1"/>
  <c r="V100" i="2" s="1"/>
  <c r="Q188" i="2"/>
  <c r="R188" i="2" s="1"/>
  <c r="T188" i="2" s="1"/>
  <c r="V188" i="2" s="1"/>
  <c r="K624" i="2"/>
  <c r="Q150" i="2"/>
  <c r="R150" i="2" s="1"/>
  <c r="T150" i="2" s="1"/>
  <c r="V150" i="2" s="1"/>
  <c r="K670" i="2"/>
  <c r="Q416" i="2"/>
  <c r="R416" i="2" s="1"/>
  <c r="T416" i="2" s="1"/>
  <c r="V416" i="2" s="1"/>
  <c r="Q648" i="2"/>
  <c r="R648" i="2" s="1"/>
  <c r="T648" i="2" s="1"/>
  <c r="V648" i="2" s="1"/>
  <c r="K276" i="2"/>
  <c r="Q954" i="2"/>
  <c r="R954" i="2" s="1"/>
  <c r="T954" i="2" s="1"/>
  <c r="V954" i="2" s="1"/>
  <c r="Q607" i="2"/>
  <c r="R607" i="2" s="1"/>
  <c r="T607" i="2" s="1"/>
  <c r="V607" i="2" s="1"/>
  <c r="K887" i="2"/>
  <c r="Q119" i="2"/>
  <c r="R119" i="2" s="1"/>
  <c r="T119" i="2" s="1"/>
  <c r="V119" i="2" s="1"/>
  <c r="K500" i="2"/>
  <c r="Q718" i="2"/>
  <c r="R718" i="2" s="1"/>
  <c r="T718" i="2" s="1"/>
  <c r="V718" i="2" s="1"/>
  <c r="Q814" i="2"/>
  <c r="R814" i="2" s="1"/>
  <c r="T814" i="2" s="1"/>
  <c r="V814" i="2" s="1"/>
  <c r="Q912" i="2"/>
  <c r="R912" i="2" s="1"/>
  <c r="T912" i="2" s="1"/>
  <c r="V912" i="2" s="1"/>
  <c r="Q16" i="2"/>
  <c r="R16" i="2" s="1"/>
  <c r="T16" i="2" s="1"/>
  <c r="V16" i="2" s="1"/>
  <c r="K680" i="2"/>
  <c r="K90" i="4"/>
  <c r="K613" i="4"/>
  <c r="K972" i="2"/>
  <c r="K517" i="4"/>
  <c r="Q364" i="4"/>
  <c r="R364" i="4" s="1"/>
  <c r="T364" i="4" s="1"/>
  <c r="V364" i="4" s="1"/>
  <c r="K482" i="4"/>
  <c r="K676" i="4"/>
  <c r="Q380" i="4"/>
  <c r="R380" i="4" s="1"/>
  <c r="T380" i="4" s="1"/>
  <c r="V380" i="4" s="1"/>
  <c r="Q539" i="4"/>
  <c r="R539" i="4" s="1"/>
  <c r="T539" i="4" s="1"/>
  <c r="V539" i="4" s="1"/>
  <c r="K558" i="4"/>
  <c r="K770" i="4"/>
  <c r="K702" i="2"/>
  <c r="K599" i="4"/>
  <c r="Q667" i="2"/>
  <c r="R667" i="2" s="1"/>
  <c r="T667" i="2" s="1"/>
  <c r="V667" i="2" s="1"/>
  <c r="Q303" i="4"/>
  <c r="R303" i="4" s="1"/>
  <c r="T303" i="4" s="1"/>
  <c r="V303" i="4" s="1"/>
  <c r="K321" i="4"/>
  <c r="K881" i="4"/>
  <c r="K968" i="2"/>
  <c r="K607" i="2"/>
  <c r="K229" i="4"/>
  <c r="K598" i="4"/>
  <c r="K594" i="4"/>
  <c r="Q174" i="2"/>
  <c r="R174" i="2" s="1"/>
  <c r="T174" i="2" s="1"/>
  <c r="V174" i="2" s="1"/>
  <c r="Q478" i="2"/>
  <c r="R478" i="2" s="1"/>
  <c r="T478" i="2" s="1"/>
  <c r="V478" i="2" s="1"/>
  <c r="K272" i="2"/>
  <c r="K353" i="2"/>
  <c r="K295" i="4"/>
  <c r="Q599" i="4"/>
  <c r="R599" i="4" s="1"/>
  <c r="T599" i="4" s="1"/>
  <c r="V599" i="4" s="1"/>
  <c r="K263" i="2"/>
  <c r="K970" i="2"/>
  <c r="Q727" i="4"/>
  <c r="R727" i="4" s="1"/>
  <c r="T727" i="4" s="1"/>
  <c r="V727" i="4" s="1"/>
  <c r="Q672" i="4"/>
  <c r="R672" i="4" s="1"/>
  <c r="T672" i="4" s="1"/>
  <c r="V672" i="4" s="1"/>
  <c r="K196" i="2"/>
  <c r="K412" i="2"/>
  <c r="Q77" i="2"/>
  <c r="R77" i="2" s="1"/>
  <c r="T77" i="2" s="1"/>
  <c r="V77" i="2" s="1"/>
  <c r="K593" i="2"/>
  <c r="Q279" i="2"/>
  <c r="R279" i="2" s="1"/>
  <c r="T279" i="2" s="1"/>
  <c r="V279" i="2" s="1"/>
  <c r="K479" i="2"/>
  <c r="Q330" i="2"/>
  <c r="R330" i="2" s="1"/>
  <c r="T330" i="2" s="1"/>
  <c r="V330" i="2" s="1"/>
  <c r="Q515" i="2"/>
  <c r="R515" i="2" s="1"/>
  <c r="T515" i="2" s="1"/>
  <c r="V515" i="2" s="1"/>
  <c r="Q155" i="2"/>
  <c r="R155" i="2" s="1"/>
  <c r="T155" i="2" s="1"/>
  <c r="V155" i="2" s="1"/>
  <c r="K246" i="4"/>
  <c r="Q758" i="4"/>
  <c r="R758" i="4" s="1"/>
  <c r="T758" i="4" s="1"/>
  <c r="V758" i="4" s="1"/>
  <c r="Q937" i="4"/>
  <c r="R937" i="4" s="1"/>
  <c r="T937" i="4" s="1"/>
  <c r="V937" i="4" s="1"/>
  <c r="K938" i="4"/>
  <c r="Q20" i="4"/>
  <c r="R20" i="4" s="1"/>
  <c r="T20" i="4" s="1"/>
  <c r="V20" i="4" s="1"/>
  <c r="K449" i="4"/>
  <c r="Q956" i="4"/>
  <c r="R956" i="4" s="1"/>
  <c r="T956" i="4" s="1"/>
  <c r="V956" i="4" s="1"/>
  <c r="K509" i="2"/>
  <c r="K675" i="4"/>
  <c r="Q947" i="4"/>
  <c r="R947" i="4" s="1"/>
  <c r="T947" i="4" s="1"/>
  <c r="V947" i="4" s="1"/>
  <c r="Q998" i="4"/>
  <c r="R998" i="4" s="1"/>
  <c r="T998" i="4" s="1"/>
  <c r="V998" i="4" s="1"/>
  <c r="Q252" i="2"/>
  <c r="R252" i="2" s="1"/>
  <c r="T252" i="2" s="1"/>
  <c r="V252" i="2" s="1"/>
  <c r="K309" i="2"/>
  <c r="Q244" i="2"/>
  <c r="R244" i="2" s="1"/>
  <c r="T244" i="2" s="1"/>
  <c r="V244" i="2" s="1"/>
  <c r="K395" i="2"/>
  <c r="Q42" i="2"/>
  <c r="R42" i="2" s="1"/>
  <c r="T42" i="2" s="1"/>
  <c r="V42" i="2" s="1"/>
  <c r="K125" i="2"/>
  <c r="K447" i="2"/>
  <c r="K393" i="2"/>
  <c r="Q711" i="2"/>
  <c r="R711" i="2" s="1"/>
  <c r="T711" i="2" s="1"/>
  <c r="V711" i="2" s="1"/>
  <c r="Q12" i="2"/>
  <c r="R12" i="2" s="1"/>
  <c r="T12" i="2" s="1"/>
  <c r="V12" i="2" s="1"/>
  <c r="Q26" i="4"/>
  <c r="R26" i="4" s="1"/>
  <c r="T26" i="4" s="1"/>
  <c r="V26" i="4" s="1"/>
  <c r="Q302" i="2"/>
  <c r="R302" i="2" s="1"/>
  <c r="T302" i="2" s="1"/>
  <c r="V302" i="2" s="1"/>
  <c r="Q308" i="2"/>
  <c r="R308" i="2" s="1"/>
  <c r="T308" i="2" s="1"/>
  <c r="V308" i="2" s="1"/>
  <c r="K210" i="4"/>
  <c r="Q956" i="2"/>
  <c r="R956" i="2" s="1"/>
  <c r="T956" i="2" s="1"/>
  <c r="V956" i="2" s="1"/>
  <c r="K785" i="2"/>
  <c r="Q333" i="2"/>
  <c r="R333" i="2" s="1"/>
  <c r="T333" i="2" s="1"/>
  <c r="V333" i="2" s="1"/>
  <c r="K357" i="2"/>
  <c r="K291" i="4"/>
  <c r="K115" i="4"/>
  <c r="Q371" i="2"/>
  <c r="R371" i="2" s="1"/>
  <c r="T371" i="2" s="1"/>
  <c r="V371" i="2" s="1"/>
  <c r="Q180" i="4"/>
  <c r="R180" i="4" s="1"/>
  <c r="T180" i="4" s="1"/>
  <c r="V180" i="4" s="1"/>
  <c r="K788" i="2"/>
  <c r="K797" i="4"/>
  <c r="K504" i="2"/>
  <c r="K748" i="2"/>
  <c r="Q661" i="4"/>
  <c r="R661" i="4" s="1"/>
  <c r="T661" i="4" s="1"/>
  <c r="V661" i="4" s="1"/>
  <c r="Q636" i="4"/>
  <c r="R636" i="4" s="1"/>
  <c r="T636" i="4" s="1"/>
  <c r="V636" i="4" s="1"/>
  <c r="Q305" i="4"/>
  <c r="R305" i="4" s="1"/>
  <c r="T305" i="4" s="1"/>
  <c r="V305" i="4" s="1"/>
  <c r="K758" i="4"/>
  <c r="K434" i="4"/>
  <c r="K704" i="4"/>
  <c r="K713" i="4"/>
  <c r="K545" i="2"/>
  <c r="Q194" i="4"/>
  <c r="R194" i="4" s="1"/>
  <c r="T194" i="4" s="1"/>
  <c r="V194" i="4" s="1"/>
  <c r="Q775" i="4"/>
  <c r="R775" i="4" s="1"/>
  <c r="T775" i="4" s="1"/>
  <c r="V775" i="4" s="1"/>
  <c r="Q433" i="4"/>
  <c r="R433" i="4" s="1"/>
  <c r="T433" i="4" s="1"/>
  <c r="V433" i="4" s="1"/>
  <c r="Q938" i="4"/>
  <c r="R938" i="4" s="1"/>
  <c r="T938" i="4" s="1"/>
  <c r="V938" i="4" s="1"/>
  <c r="Q830" i="4"/>
  <c r="R830" i="4" s="1"/>
  <c r="T830" i="4" s="1"/>
  <c r="V830" i="4" s="1"/>
  <c r="K768" i="4"/>
  <c r="K956" i="4"/>
  <c r="Q939" i="4"/>
  <c r="R939" i="4" s="1"/>
  <c r="T939" i="4" s="1"/>
  <c r="V939" i="4" s="1"/>
  <c r="Q350" i="2"/>
  <c r="R350" i="2" s="1"/>
  <c r="T350" i="2" s="1"/>
  <c r="V350" i="2" s="1"/>
  <c r="K783" i="4"/>
  <c r="K252" i="2"/>
  <c r="K451" i="2"/>
  <c r="K199" i="2"/>
  <c r="K244" i="2"/>
  <c r="Q223" i="2"/>
  <c r="R223" i="2" s="1"/>
  <c r="T223" i="2" s="1"/>
  <c r="V223" i="2" s="1"/>
  <c r="K42" i="2"/>
  <c r="K62" i="2"/>
  <c r="K288" i="2"/>
  <c r="K591" i="2"/>
  <c r="Q172" i="4"/>
  <c r="R172" i="4" s="1"/>
  <c r="T172" i="4" s="1"/>
  <c r="V172" i="4" s="1"/>
  <c r="K59" i="4"/>
  <c r="K308" i="2"/>
  <c r="K495" i="2"/>
  <c r="K197" i="2"/>
  <c r="K737" i="2"/>
  <c r="K143" i="2"/>
  <c r="Q218" i="4"/>
  <c r="R218" i="4" s="1"/>
  <c r="T218" i="4" s="1"/>
  <c r="V218" i="4" s="1"/>
  <c r="Q62" i="2"/>
  <c r="R62" i="2" s="1"/>
  <c r="T62" i="2" s="1"/>
  <c r="V62" i="2" s="1"/>
  <c r="Q797" i="4"/>
  <c r="R797" i="4" s="1"/>
  <c r="T797" i="4" s="1"/>
  <c r="V797" i="4" s="1"/>
  <c r="K976" i="2"/>
  <c r="K284" i="2"/>
  <c r="K363" i="2"/>
  <c r="K636" i="4"/>
  <c r="K305" i="4"/>
  <c r="K12" i="4"/>
  <c r="Q657" i="4"/>
  <c r="R657" i="4" s="1"/>
  <c r="T657" i="4" s="1"/>
  <c r="V657" i="4" s="1"/>
  <c r="K194" i="4"/>
  <c r="Q526" i="4"/>
  <c r="R526" i="4" s="1"/>
  <c r="T526" i="4" s="1"/>
  <c r="V526" i="4" s="1"/>
  <c r="K717" i="4"/>
  <c r="Q948" i="4"/>
  <c r="R948" i="4" s="1"/>
  <c r="T948" i="4" s="1"/>
  <c r="V948" i="4" s="1"/>
  <c r="K847" i="2"/>
  <c r="K358" i="4"/>
  <c r="K830" i="4"/>
  <c r="Q798" i="4"/>
  <c r="R798" i="4" s="1"/>
  <c r="T798" i="4" s="1"/>
  <c r="V798" i="4" s="1"/>
  <c r="Q783" i="4"/>
  <c r="R783" i="4" s="1"/>
  <c r="T783" i="4" s="1"/>
  <c r="V783" i="4" s="1"/>
  <c r="K648" i="2"/>
  <c r="K954" i="2"/>
  <c r="K885" i="4"/>
  <c r="K140" i="4"/>
  <c r="Q486" i="4"/>
  <c r="R486" i="4" s="1"/>
  <c r="T486" i="4" s="1"/>
  <c r="V486" i="4" s="1"/>
  <c r="K701" i="4"/>
  <c r="Q440" i="4"/>
  <c r="R440" i="4" s="1"/>
  <c r="T440" i="4" s="1"/>
  <c r="V440" i="4" s="1"/>
  <c r="K672" i="4"/>
  <c r="Q898" i="2"/>
  <c r="R898" i="2" s="1"/>
  <c r="T898" i="2" s="1"/>
  <c r="V898" i="2" s="1"/>
  <c r="K964" i="2"/>
  <c r="K86" i="2"/>
  <c r="Q209" i="2"/>
  <c r="R209" i="2" s="1"/>
  <c r="T209" i="2" s="1"/>
  <c r="V209" i="2" s="1"/>
  <c r="K824" i="4"/>
  <c r="K299" i="2"/>
  <c r="Q183" i="2"/>
  <c r="R183" i="2" s="1"/>
  <c r="T183" i="2" s="1"/>
  <c r="V183" i="2" s="1"/>
  <c r="K82" i="4"/>
  <c r="Q76" i="2"/>
  <c r="R76" i="2" s="1"/>
  <c r="T76" i="2" s="1"/>
  <c r="V76" i="2" s="1"/>
  <c r="K774" i="2"/>
  <c r="K269" i="2"/>
  <c r="K907" i="2"/>
  <c r="K15" i="2"/>
  <c r="K172" i="4"/>
  <c r="Q391" i="2"/>
  <c r="R391" i="2" s="1"/>
  <c r="T391" i="2" s="1"/>
  <c r="V391" i="2" s="1"/>
  <c r="K639" i="2"/>
  <c r="K751" i="2"/>
  <c r="K110" i="2"/>
  <c r="Q382" i="4"/>
  <c r="R382" i="4" s="1"/>
  <c r="T382" i="4" s="1"/>
  <c r="V382" i="4" s="1"/>
  <c r="K445" i="2"/>
  <c r="K687" i="2"/>
  <c r="Q737" i="2"/>
  <c r="R737" i="2" s="1"/>
  <c r="T737" i="2" s="1"/>
  <c r="V737" i="2" s="1"/>
  <c r="K969" i="2"/>
  <c r="K238" i="4"/>
  <c r="K177" i="2"/>
  <c r="K103" i="4"/>
  <c r="K421" i="4"/>
  <c r="Q410" i="4"/>
  <c r="R410" i="4" s="1"/>
  <c r="T410" i="4" s="1"/>
  <c r="V410" i="4" s="1"/>
  <c r="K641" i="4"/>
  <c r="K464" i="2"/>
  <c r="Q12" i="4"/>
  <c r="R12" i="4" s="1"/>
  <c r="T12" i="4" s="1"/>
  <c r="V12" i="4" s="1"/>
  <c r="Q326" i="4"/>
  <c r="R326" i="4" s="1"/>
  <c r="T326" i="4" s="1"/>
  <c r="V326" i="4" s="1"/>
  <c r="K657" i="4"/>
  <c r="Q753" i="4"/>
  <c r="R753" i="4" s="1"/>
  <c r="T753" i="4" s="1"/>
  <c r="V753" i="4" s="1"/>
  <c r="K526" i="4"/>
  <c r="Q717" i="4"/>
  <c r="R717" i="4" s="1"/>
  <c r="T717" i="4" s="1"/>
  <c r="V717" i="4" s="1"/>
  <c r="K612" i="4"/>
  <c r="K204" i="4"/>
  <c r="K991" i="4"/>
  <c r="K835" i="4"/>
  <c r="K933" i="4"/>
  <c r="K798" i="4"/>
  <c r="K664" i="2"/>
  <c r="Q712" i="4"/>
  <c r="R712" i="4" s="1"/>
  <c r="T712" i="4" s="1"/>
  <c r="V712" i="4" s="1"/>
  <c r="K477" i="4"/>
  <c r="K596" i="2"/>
  <c r="Q116" i="4"/>
  <c r="R116" i="4" s="1"/>
  <c r="T116" i="4" s="1"/>
  <c r="V116" i="4" s="1"/>
  <c r="K405" i="4"/>
  <c r="K642" i="2"/>
  <c r="K211" i="4"/>
  <c r="K117" i="4"/>
  <c r="K839" i="2"/>
  <c r="Q492" i="2"/>
  <c r="R492" i="2" s="1"/>
  <c r="T492" i="2" s="1"/>
  <c r="V492" i="2" s="1"/>
  <c r="K719" i="2"/>
  <c r="K81" i="2"/>
  <c r="K417" i="4"/>
  <c r="K875" i="2"/>
  <c r="K627" i="4"/>
  <c r="K998" i="4"/>
  <c r="K823" i="2"/>
  <c r="K254" i="2"/>
  <c r="K758" i="2"/>
  <c r="Q457" i="2"/>
  <c r="R457" i="2" s="1"/>
  <c r="T457" i="2" s="1"/>
  <c r="V457" i="2" s="1"/>
  <c r="Q651" i="2"/>
  <c r="R651" i="2" s="1"/>
  <c r="T651" i="2" s="1"/>
  <c r="V651" i="2" s="1"/>
  <c r="K637" i="2"/>
  <c r="K644" i="2"/>
  <c r="K183" i="2"/>
  <c r="Q73" i="2"/>
  <c r="R73" i="2" s="1"/>
  <c r="T73" i="2" s="1"/>
  <c r="V73" i="2" s="1"/>
  <c r="K466" i="2"/>
  <c r="K153" i="4"/>
  <c r="K939" i="2"/>
  <c r="K831" i="2"/>
  <c r="K755" i="2"/>
  <c r="Q992" i="2"/>
  <c r="R992" i="2" s="1"/>
  <c r="T992" i="2" s="1"/>
  <c r="V992" i="2" s="1"/>
  <c r="Q558" i="2"/>
  <c r="R558" i="2" s="1"/>
  <c r="T558" i="2" s="1"/>
  <c r="V558" i="2" s="1"/>
  <c r="K36" i="2"/>
  <c r="K33" i="2"/>
  <c r="K282" i="2"/>
  <c r="K570" i="2"/>
  <c r="K676" i="2"/>
  <c r="Q714" i="2"/>
  <c r="R714" i="2" s="1"/>
  <c r="T714" i="2" s="1"/>
  <c r="V714" i="2" s="1"/>
  <c r="K832" i="2"/>
  <c r="K931" i="2"/>
  <c r="K543" i="2"/>
  <c r="K892" i="2"/>
  <c r="K977" i="2"/>
  <c r="K116" i="2"/>
  <c r="Q554" i="2"/>
  <c r="R554" i="2" s="1"/>
  <c r="T554" i="2" s="1"/>
  <c r="V554" i="2" s="1"/>
  <c r="Q940" i="2"/>
  <c r="R940" i="2" s="1"/>
  <c r="T940" i="2" s="1"/>
  <c r="V940" i="2" s="1"/>
  <c r="K622" i="4"/>
  <c r="Q195" i="4"/>
  <c r="R195" i="4" s="1"/>
  <c r="T195" i="4" s="1"/>
  <c r="V195" i="4" s="1"/>
  <c r="K868" i="2"/>
  <c r="K318" i="2"/>
  <c r="K409" i="2"/>
  <c r="Q619" i="4"/>
  <c r="R619" i="4" s="1"/>
  <c r="T619" i="4" s="1"/>
  <c r="V619" i="4" s="1"/>
  <c r="K162" i="4"/>
  <c r="Q323" i="2"/>
  <c r="R323" i="2" s="1"/>
  <c r="T323" i="2" s="1"/>
  <c r="V323" i="2" s="1"/>
  <c r="K914" i="4"/>
  <c r="K284" i="4"/>
  <c r="Q53" i="4"/>
  <c r="R53" i="4" s="1"/>
  <c r="T53" i="4" s="1"/>
  <c r="V53" i="4" s="1"/>
  <c r="Q614" i="2"/>
  <c r="R614" i="2" s="1"/>
  <c r="T614" i="2" s="1"/>
  <c r="V614" i="2" s="1"/>
  <c r="Q476" i="4"/>
  <c r="R476" i="4" s="1"/>
  <c r="T476" i="4" s="1"/>
  <c r="V476" i="4" s="1"/>
  <c r="K588" i="4"/>
  <c r="K862" i="4"/>
  <c r="K349" i="2"/>
  <c r="K142" i="4"/>
  <c r="K426" i="4"/>
  <c r="Q986" i="2"/>
  <c r="R986" i="2" s="1"/>
  <c r="T986" i="2" s="1"/>
  <c r="V986" i="2" s="1"/>
  <c r="Q35" i="4"/>
  <c r="R35" i="4" s="1"/>
  <c r="T35" i="4" s="1"/>
  <c r="V35" i="4" s="1"/>
  <c r="K326" i="2"/>
  <c r="K222" i="4"/>
  <c r="Q665" i="2"/>
  <c r="R665" i="2" s="1"/>
  <c r="T665" i="2" s="1"/>
  <c r="V665" i="2" s="1"/>
  <c r="K465" i="4"/>
  <c r="K433" i="2"/>
  <c r="Q663" i="2"/>
  <c r="R663" i="2" s="1"/>
  <c r="T663" i="2" s="1"/>
  <c r="V663" i="2" s="1"/>
  <c r="K420" i="2"/>
  <c r="K339" i="2"/>
  <c r="K725" i="2"/>
  <c r="K780" i="2"/>
  <c r="Q117" i="4"/>
  <c r="R117" i="4" s="1"/>
  <c r="T117" i="4" s="1"/>
  <c r="V117" i="4" s="1"/>
  <c r="Q415" i="4"/>
  <c r="R415" i="4" s="1"/>
  <c r="T415" i="4" s="1"/>
  <c r="V415" i="4" s="1"/>
  <c r="Q823" i="2"/>
  <c r="R823" i="2" s="1"/>
  <c r="T823" i="2" s="1"/>
  <c r="V823" i="2" s="1"/>
  <c r="Q48" i="2"/>
  <c r="R48" i="2" s="1"/>
  <c r="T48" i="2" s="1"/>
  <c r="V48" i="2" s="1"/>
  <c r="Q593" i="2"/>
  <c r="R593" i="2" s="1"/>
  <c r="T593" i="2" s="1"/>
  <c r="V593" i="2" s="1"/>
  <c r="Q410" i="2"/>
  <c r="R410" i="2" s="1"/>
  <c r="T410" i="2" s="1"/>
  <c r="V410" i="2" s="1"/>
  <c r="K502" i="4"/>
  <c r="K727" i="4"/>
  <c r="K463" i="4"/>
  <c r="Q356" i="2"/>
  <c r="R356" i="2" s="1"/>
  <c r="T356" i="2" s="1"/>
  <c r="V356" i="2" s="1"/>
  <c r="K428" i="2"/>
  <c r="Q611" i="2"/>
  <c r="R611" i="2" s="1"/>
  <c r="T611" i="2" s="1"/>
  <c r="V611" i="2" s="1"/>
  <c r="K73" i="2"/>
  <c r="K61" i="2"/>
  <c r="Q115" i="2"/>
  <c r="R115" i="2" s="1"/>
  <c r="T115" i="2" s="1"/>
  <c r="V115" i="2" s="1"/>
  <c r="Q741" i="2"/>
  <c r="R741" i="2" s="1"/>
  <c r="T741" i="2" s="1"/>
  <c r="V741" i="2" s="1"/>
  <c r="K272" i="4"/>
  <c r="Q36" i="2"/>
  <c r="R36" i="2" s="1"/>
  <c r="T36" i="2" s="1"/>
  <c r="V36" i="2" s="1"/>
  <c r="K998" i="2"/>
  <c r="K548" i="2"/>
  <c r="K265" i="4"/>
  <c r="Q264" i="2"/>
  <c r="R264" i="2" s="1"/>
  <c r="T264" i="2" s="1"/>
  <c r="V264" i="2" s="1"/>
  <c r="Q977" i="2"/>
  <c r="R977" i="2" s="1"/>
  <c r="T977" i="2" s="1"/>
  <c r="V977" i="2" s="1"/>
  <c r="Q116" i="2"/>
  <c r="R116" i="2" s="1"/>
  <c r="T116" i="2" s="1"/>
  <c r="V116" i="2" s="1"/>
  <c r="K554" i="2"/>
  <c r="K415" i="2"/>
  <c r="Q540" i="2"/>
  <c r="R540" i="2" s="1"/>
  <c r="T540" i="2" s="1"/>
  <c r="V540" i="2" s="1"/>
  <c r="K940" i="2"/>
  <c r="Q622" i="4"/>
  <c r="R622" i="4" s="1"/>
  <c r="T622" i="4" s="1"/>
  <c r="V622" i="4" s="1"/>
  <c r="Q318" i="2"/>
  <c r="R318" i="2" s="1"/>
  <c r="T318" i="2" s="1"/>
  <c r="V318" i="2" s="1"/>
  <c r="K619" i="4"/>
  <c r="K659" i="4"/>
  <c r="K860" i="2"/>
  <c r="Q861" i="4"/>
  <c r="R861" i="4" s="1"/>
  <c r="T861" i="4" s="1"/>
  <c r="V861" i="4" s="1"/>
  <c r="K724" i="4"/>
  <c r="K22" i="2"/>
  <c r="K323" i="2"/>
  <c r="K109" i="2"/>
  <c r="Q441" i="4"/>
  <c r="R441" i="4" s="1"/>
  <c r="T441" i="4" s="1"/>
  <c r="V441" i="4" s="1"/>
  <c r="Q591" i="4"/>
  <c r="R591" i="4" s="1"/>
  <c r="T591" i="4" s="1"/>
  <c r="V591" i="4" s="1"/>
  <c r="K70" i="2"/>
  <c r="K563" i="4"/>
  <c r="K747" i="4"/>
  <c r="K958" i="4"/>
  <c r="Q571" i="4"/>
  <c r="R571" i="4" s="1"/>
  <c r="T571" i="4" s="1"/>
  <c r="V571" i="4" s="1"/>
  <c r="K969" i="4"/>
  <c r="Q890" i="4"/>
  <c r="R890" i="4" s="1"/>
  <c r="T890" i="4" s="1"/>
  <c r="V890" i="4" s="1"/>
  <c r="K982" i="2"/>
  <c r="K178" i="2"/>
  <c r="K478" i="2"/>
  <c r="K897" i="2"/>
  <c r="K304" i="4"/>
  <c r="K778" i="4"/>
  <c r="Q349" i="2"/>
  <c r="R349" i="2" s="1"/>
  <c r="T349" i="2" s="1"/>
  <c r="V349" i="2" s="1"/>
  <c r="K122" i="2"/>
  <c r="Q121" i="4"/>
  <c r="R121" i="4" s="1"/>
  <c r="T121" i="4" s="1"/>
  <c r="V121" i="4" s="1"/>
  <c r="K653" i="2"/>
  <c r="Q756" i="2"/>
  <c r="R756" i="2" s="1"/>
  <c r="T756" i="2" s="1"/>
  <c r="V756" i="2" s="1"/>
  <c r="K245" i="2"/>
  <c r="K431" i="2"/>
  <c r="Q345" i="4"/>
  <c r="R345" i="4" s="1"/>
  <c r="T345" i="4" s="1"/>
  <c r="V345" i="4" s="1"/>
  <c r="K898" i="2"/>
  <c r="K72" i="2"/>
  <c r="K260" i="4"/>
  <c r="Q842" i="2"/>
  <c r="R842" i="2" s="1"/>
  <c r="T842" i="2" s="1"/>
  <c r="V842" i="2" s="1"/>
  <c r="K302" i="2"/>
  <c r="K128" i="2"/>
  <c r="Q845" i="2"/>
  <c r="R845" i="2" s="1"/>
  <c r="T845" i="2" s="1"/>
  <c r="V845" i="2" s="1"/>
  <c r="K935" i="2"/>
  <c r="Q493" i="2"/>
  <c r="R493" i="2" s="1"/>
  <c r="T493" i="2" s="1"/>
  <c r="V493" i="2" s="1"/>
  <c r="Q867" i="2"/>
  <c r="R867" i="2" s="1"/>
  <c r="T867" i="2" s="1"/>
  <c r="V867" i="2" s="1"/>
  <c r="Q60" i="4"/>
  <c r="R60" i="4" s="1"/>
  <c r="T60" i="4" s="1"/>
  <c r="V60" i="4" s="1"/>
  <c r="K841" i="2"/>
  <c r="Q533" i="2"/>
  <c r="R533" i="2" s="1"/>
  <c r="T533" i="2" s="1"/>
  <c r="V533" i="2" s="1"/>
  <c r="Q88" i="4"/>
  <c r="R88" i="4" s="1"/>
  <c r="T88" i="4" s="1"/>
  <c r="V88" i="4" s="1"/>
  <c r="Q691" i="4"/>
  <c r="R691" i="4" s="1"/>
  <c r="T691" i="4" s="1"/>
  <c r="V691" i="4" s="1"/>
  <c r="K821" i="4"/>
  <c r="K427" i="4"/>
  <c r="K305" i="2"/>
  <c r="Q142" i="4"/>
  <c r="R142" i="4" s="1"/>
  <c r="T142" i="4" s="1"/>
  <c r="V142" i="4" s="1"/>
  <c r="Q37" i="2"/>
  <c r="R37" i="2" s="1"/>
  <c r="T37" i="2" s="1"/>
  <c r="V37" i="2" s="1"/>
  <c r="Q401" i="2"/>
  <c r="R401" i="2" s="1"/>
  <c r="T401" i="2" s="1"/>
  <c r="V401" i="2" s="1"/>
  <c r="Q603" i="2"/>
  <c r="R603" i="2" s="1"/>
  <c r="T603" i="2" s="1"/>
  <c r="V603" i="2" s="1"/>
  <c r="K285" i="4"/>
  <c r="K209" i="2"/>
  <c r="Q222" i="4"/>
  <c r="R222" i="4" s="1"/>
  <c r="T222" i="4" s="1"/>
  <c r="V222" i="4" s="1"/>
  <c r="K244" i="4"/>
  <c r="K944" i="4"/>
  <c r="Q875" i="2"/>
  <c r="R875" i="2" s="1"/>
  <c r="T875" i="2" s="1"/>
  <c r="V875" i="2" s="1"/>
  <c r="K695" i="4"/>
  <c r="K952" i="4"/>
  <c r="K310" i="2"/>
  <c r="K867" i="2"/>
  <c r="Q257" i="4"/>
  <c r="R257" i="4" s="1"/>
  <c r="T257" i="4" s="1"/>
  <c r="V257" i="4" s="1"/>
  <c r="K414" i="2"/>
  <c r="Q585" i="2"/>
  <c r="R585" i="2" s="1"/>
  <c r="T585" i="2" s="1"/>
  <c r="V585" i="2" s="1"/>
  <c r="Q88" i="2"/>
  <c r="R88" i="2" s="1"/>
  <c r="T88" i="2" s="1"/>
  <c r="V88" i="2" s="1"/>
  <c r="K411" i="2"/>
  <c r="K480" i="4"/>
  <c r="K115" i="2"/>
  <c r="Q436" i="2"/>
  <c r="R436" i="2" s="1"/>
  <c r="T436" i="2" s="1"/>
  <c r="V436" i="2" s="1"/>
  <c r="Q655" i="2"/>
  <c r="R655" i="2" s="1"/>
  <c r="T655" i="2" s="1"/>
  <c r="V655" i="2" s="1"/>
  <c r="Q935" i="2"/>
  <c r="R935" i="2" s="1"/>
  <c r="T935" i="2" s="1"/>
  <c r="V935" i="2" s="1"/>
  <c r="K741" i="2"/>
  <c r="K493" i="2"/>
  <c r="Q950" i="2"/>
  <c r="R950" i="2" s="1"/>
  <c r="T950" i="2" s="1"/>
  <c r="V950" i="2" s="1"/>
  <c r="K480" i="2"/>
  <c r="K248" i="2"/>
  <c r="Q630" i="2"/>
  <c r="R630" i="2" s="1"/>
  <c r="T630" i="2" s="1"/>
  <c r="V630" i="2" s="1"/>
  <c r="Q112" i="4"/>
  <c r="R112" i="4" s="1"/>
  <c r="T112" i="4" s="1"/>
  <c r="V112" i="4" s="1"/>
  <c r="K798" i="2"/>
  <c r="K17" i="2"/>
  <c r="Q510" i="2"/>
  <c r="R510" i="2" s="1"/>
  <c r="T510" i="2" s="1"/>
  <c r="V510" i="2" s="1"/>
  <c r="K769" i="2"/>
  <c r="K60" i="4"/>
  <c r="Q937" i="2"/>
  <c r="R937" i="2" s="1"/>
  <c r="T937" i="2" s="1"/>
  <c r="V937" i="2" s="1"/>
  <c r="Q915" i="2"/>
  <c r="R915" i="2" s="1"/>
  <c r="T915" i="2" s="1"/>
  <c r="V915" i="2" s="1"/>
  <c r="K540" i="2"/>
  <c r="Q642" i="4"/>
  <c r="R642" i="4" s="1"/>
  <c r="T642" i="4" s="1"/>
  <c r="V642" i="4" s="1"/>
  <c r="K861" i="4"/>
  <c r="Q49" i="4"/>
  <c r="R49" i="4" s="1"/>
  <c r="T49" i="4" s="1"/>
  <c r="V49" i="4" s="1"/>
  <c r="K899" i="4"/>
  <c r="Q472" i="4"/>
  <c r="R472" i="4" s="1"/>
  <c r="T472" i="4" s="1"/>
  <c r="V472" i="4" s="1"/>
  <c r="Q395" i="4"/>
  <c r="R395" i="4" s="1"/>
  <c r="T395" i="4" s="1"/>
  <c r="V395" i="4" s="1"/>
  <c r="K967" i="4"/>
  <c r="K972" i="4"/>
  <c r="Q958" i="4"/>
  <c r="R958" i="4" s="1"/>
  <c r="T958" i="4" s="1"/>
  <c r="V958" i="4" s="1"/>
  <c r="Q990" i="2"/>
  <c r="R990" i="2" s="1"/>
  <c r="T990" i="2" s="1"/>
  <c r="V990" i="2" s="1"/>
  <c r="Q931" i="4"/>
  <c r="R931" i="4" s="1"/>
  <c r="T931" i="4" s="1"/>
  <c r="V931" i="4" s="1"/>
  <c r="Q845" i="4"/>
  <c r="R845" i="4" s="1"/>
  <c r="T845" i="4" s="1"/>
  <c r="V845" i="4" s="1"/>
  <c r="Q413" i="2"/>
  <c r="R413" i="2" s="1"/>
  <c r="T413" i="2" s="1"/>
  <c r="V413" i="2" s="1"/>
  <c r="Q535" i="2"/>
  <c r="R535" i="2" s="1"/>
  <c r="T535" i="2" s="1"/>
  <c r="V535" i="2" s="1"/>
  <c r="K252" i="4"/>
  <c r="K440" i="4"/>
  <c r="Q438" i="2"/>
  <c r="R438" i="2" s="1"/>
  <c r="T438" i="2" s="1"/>
  <c r="V438" i="2" s="1"/>
  <c r="K1004" i="2"/>
  <c r="Q840" i="2"/>
  <c r="R840" i="2" s="1"/>
  <c r="T840" i="2" s="1"/>
  <c r="V840" i="2" s="1"/>
  <c r="K986" i="2"/>
  <c r="K805" i="2"/>
  <c r="K492" i="2"/>
  <c r="K917" i="2"/>
  <c r="K48" i="2"/>
  <c r="K60" i="2"/>
  <c r="K574" i="2"/>
  <c r="K494" i="2"/>
  <c r="K88" i="2"/>
  <c r="K436" i="2"/>
  <c r="K810" i="2"/>
  <c r="K231" i="2"/>
  <c r="Q974" i="2"/>
  <c r="R974" i="2" s="1"/>
  <c r="T974" i="2" s="1"/>
  <c r="V974" i="2" s="1"/>
  <c r="Q852" i="2"/>
  <c r="R852" i="2" s="1"/>
  <c r="T852" i="2" s="1"/>
  <c r="V852" i="2" s="1"/>
  <c r="Q5" i="4"/>
  <c r="R5" i="4" s="1"/>
  <c r="T5" i="4" s="1"/>
  <c r="V5" i="4" s="1"/>
  <c r="Q580" i="2"/>
  <c r="R580" i="2" s="1"/>
  <c r="T580" i="2" s="1"/>
  <c r="V580" i="2" s="1"/>
  <c r="Q248" i="2"/>
  <c r="R248" i="2" s="1"/>
  <c r="T248" i="2" s="1"/>
  <c r="V248" i="2" s="1"/>
  <c r="Q17" i="2"/>
  <c r="R17" i="2" s="1"/>
  <c r="T17" i="2" s="1"/>
  <c r="V17" i="2" s="1"/>
  <c r="K510" i="2"/>
  <c r="K453" i="2"/>
  <c r="K112" i="4"/>
  <c r="K961" i="2"/>
  <c r="Q108" i="4"/>
  <c r="R108" i="4" s="1"/>
  <c r="T108" i="4" s="1"/>
  <c r="V108" i="4" s="1"/>
  <c r="Q5" i="2"/>
  <c r="R5" i="2" s="1"/>
  <c r="T5" i="2" s="1"/>
  <c r="V5" i="2" s="1"/>
  <c r="K915" i="2"/>
  <c r="K365" i="2"/>
  <c r="K779" i="2"/>
  <c r="K64" i="4"/>
  <c r="K615" i="4"/>
  <c r="K651" i="4"/>
  <c r="Q670" i="4"/>
  <c r="R670" i="4" s="1"/>
  <c r="T670" i="4" s="1"/>
  <c r="V670" i="4" s="1"/>
  <c r="Q828" i="4"/>
  <c r="R828" i="4" s="1"/>
  <c r="T828" i="4" s="1"/>
  <c r="V828" i="4" s="1"/>
  <c r="K49" i="4"/>
  <c r="K705" i="2"/>
  <c r="K851" i="2"/>
  <c r="K472" i="4"/>
  <c r="Q451" i="4"/>
  <c r="R451" i="4" s="1"/>
  <c r="T451" i="4" s="1"/>
  <c r="V451" i="4" s="1"/>
  <c r="K990" i="2"/>
  <c r="K935" i="4"/>
  <c r="Q774" i="4"/>
  <c r="R774" i="4" s="1"/>
  <c r="T774" i="4" s="1"/>
  <c r="V774" i="4" s="1"/>
  <c r="K922" i="4"/>
  <c r="K515" i="4"/>
  <c r="Q468" i="4"/>
  <c r="R468" i="4" s="1"/>
  <c r="T468" i="4" s="1"/>
  <c r="V468" i="4" s="1"/>
  <c r="K354" i="2"/>
  <c r="K496" i="2"/>
  <c r="Q84" i="4"/>
  <c r="R84" i="4" s="1"/>
  <c r="T84" i="4" s="1"/>
  <c r="V84" i="4" s="1"/>
  <c r="Q87" i="2"/>
  <c r="R87" i="2" s="1"/>
  <c r="T87" i="2" s="1"/>
  <c r="V87" i="2" s="1"/>
  <c r="Q808" i="2"/>
  <c r="R808" i="2" s="1"/>
  <c r="T808" i="2" s="1"/>
  <c r="V808" i="2" s="1"/>
  <c r="K902" i="2"/>
  <c r="K202" i="4"/>
  <c r="K418" i="4"/>
  <c r="Q894" i="4"/>
  <c r="R894" i="4" s="1"/>
  <c r="T894" i="4" s="1"/>
  <c r="V894" i="4" s="1"/>
  <c r="K870" i="2"/>
  <c r="K867" i="4"/>
  <c r="K774" i="4"/>
  <c r="K603" i="2"/>
  <c r="Q331" i="2"/>
  <c r="R331" i="2" s="1"/>
  <c r="T331" i="2" s="1"/>
  <c r="V331" i="2" s="1"/>
  <c r="K491" i="2"/>
  <c r="K628" i="2"/>
  <c r="Q574" i="2"/>
  <c r="R574" i="2" s="1"/>
  <c r="T574" i="2" s="1"/>
  <c r="V574" i="2" s="1"/>
  <c r="Q354" i="2"/>
  <c r="R354" i="2" s="1"/>
  <c r="T354" i="2" s="1"/>
  <c r="V354" i="2" s="1"/>
  <c r="K135" i="2"/>
  <c r="K405" i="2"/>
  <c r="K226" i="2"/>
  <c r="K450" i="2"/>
  <c r="Q594" i="2"/>
  <c r="R594" i="2" s="1"/>
  <c r="T594" i="2" s="1"/>
  <c r="V594" i="2" s="1"/>
  <c r="K355" i="2"/>
  <c r="K895" i="2"/>
  <c r="Q573" i="2"/>
  <c r="R573" i="2" s="1"/>
  <c r="T573" i="2" s="1"/>
  <c r="V573" i="2" s="1"/>
  <c r="Q261" i="4"/>
  <c r="R261" i="4" s="1"/>
  <c r="T261" i="4" s="1"/>
  <c r="V261" i="4" s="1"/>
  <c r="K217" i="2"/>
  <c r="Q789" i="2"/>
  <c r="R789" i="2" s="1"/>
  <c r="T789" i="2" s="1"/>
  <c r="V789" i="2" s="1"/>
  <c r="K580" i="2"/>
  <c r="Q320" i="2"/>
  <c r="R320" i="2" s="1"/>
  <c r="T320" i="2" s="1"/>
  <c r="V320" i="2" s="1"/>
  <c r="K452" i="2"/>
  <c r="K238" i="2"/>
  <c r="K84" i="4"/>
  <c r="K941" i="2"/>
  <c r="K351" i="2"/>
  <c r="Q107" i="4"/>
  <c r="R107" i="4" s="1"/>
  <c r="T107" i="4" s="1"/>
  <c r="V107" i="4" s="1"/>
  <c r="Q99" i="4"/>
  <c r="R99" i="4" s="1"/>
  <c r="T99" i="4" s="1"/>
  <c r="V99" i="4" s="1"/>
  <c r="K975" i="2"/>
  <c r="K68" i="4"/>
  <c r="K13" i="4"/>
  <c r="K410" i="2"/>
  <c r="K757" i="2"/>
  <c r="K271" i="2"/>
  <c r="K53" i="2"/>
  <c r="Q976" i="2"/>
  <c r="R976" i="2" s="1"/>
  <c r="T976" i="2" s="1"/>
  <c r="V976" i="2" s="1"/>
  <c r="K231" i="4"/>
  <c r="Q200" i="4"/>
  <c r="R200" i="4" s="1"/>
  <c r="T200" i="4" s="1"/>
  <c r="V200" i="4" s="1"/>
  <c r="K700" i="4"/>
  <c r="Q838" i="2"/>
  <c r="R838" i="2" s="1"/>
  <c r="T838" i="2" s="1"/>
  <c r="V838" i="2" s="1"/>
  <c r="K877" i="4"/>
  <c r="K828" i="4"/>
  <c r="K845" i="2"/>
  <c r="K663" i="2"/>
  <c r="K292" i="4"/>
  <c r="Q705" i="2"/>
  <c r="R705" i="2" s="1"/>
  <c r="T705" i="2" s="1"/>
  <c r="V705" i="2" s="1"/>
  <c r="K545" i="4"/>
  <c r="Q384" i="4"/>
  <c r="R384" i="4" s="1"/>
  <c r="T384" i="4" s="1"/>
  <c r="V384" i="4" s="1"/>
  <c r="Q418" i="4"/>
  <c r="R418" i="4" s="1"/>
  <c r="T418" i="4" s="1"/>
  <c r="V418" i="4" s="1"/>
  <c r="K590" i="4"/>
  <c r="K444" i="4"/>
  <c r="K696" i="4"/>
  <c r="Q870" i="2"/>
  <c r="R870" i="2" s="1"/>
  <c r="T870" i="2" s="1"/>
  <c r="V870" i="2" s="1"/>
  <c r="Q631" i="4"/>
  <c r="R631" i="4" s="1"/>
  <c r="T631" i="4" s="1"/>
  <c r="V631" i="4" s="1"/>
  <c r="Q455" i="4"/>
  <c r="R455" i="4" s="1"/>
  <c r="T455" i="4" s="1"/>
  <c r="V455" i="4" s="1"/>
  <c r="K331" i="2"/>
  <c r="Q791" i="2"/>
  <c r="R791" i="2" s="1"/>
  <c r="T791" i="2" s="1"/>
  <c r="V791" i="2" s="1"/>
  <c r="K77" i="2"/>
  <c r="K416" i="2"/>
  <c r="Q165" i="2"/>
  <c r="R165" i="2" s="1"/>
  <c r="T165" i="2" s="1"/>
  <c r="V165" i="2" s="1"/>
  <c r="Q370" i="2"/>
  <c r="R370" i="2" s="1"/>
  <c r="T370" i="2" s="1"/>
  <c r="V370" i="2" s="1"/>
  <c r="Q939" i="2"/>
  <c r="R939" i="2" s="1"/>
  <c r="T939" i="2" s="1"/>
  <c r="V939" i="2" s="1"/>
  <c r="K930" i="2"/>
  <c r="K71" i="4"/>
  <c r="Q608" i="2"/>
  <c r="R608" i="2" s="1"/>
  <c r="T608" i="2" s="1"/>
  <c r="V608" i="2" s="1"/>
  <c r="Q355" i="2"/>
  <c r="R355" i="2" s="1"/>
  <c r="T355" i="2" s="1"/>
  <c r="V355" i="2" s="1"/>
  <c r="K645" i="2"/>
  <c r="K553" i="2"/>
  <c r="K126" i="2"/>
  <c r="K866" i="2"/>
  <c r="Q617" i="2"/>
  <c r="R617" i="2" s="1"/>
  <c r="T617" i="2" s="1"/>
  <c r="V617" i="2" s="1"/>
  <c r="K544" i="2"/>
  <c r="Q217" i="2"/>
  <c r="R217" i="2" s="1"/>
  <c r="T217" i="2" s="1"/>
  <c r="V217" i="2" s="1"/>
  <c r="K888" i="2"/>
  <c r="K30" i="2"/>
  <c r="K232" i="2"/>
  <c r="K392" i="2"/>
  <c r="Q118" i="2"/>
  <c r="R118" i="2" s="1"/>
  <c r="T118" i="2" s="1"/>
  <c r="V118" i="2" s="1"/>
  <c r="K149" i="4"/>
  <c r="K602" i="4"/>
  <c r="K202" i="2"/>
  <c r="Q11" i="2"/>
  <c r="R11" i="2" s="1"/>
  <c r="T11" i="2" s="1"/>
  <c r="V11" i="2" s="1"/>
  <c r="Q22" i="2"/>
  <c r="R22" i="2" s="1"/>
  <c r="T22" i="2" s="1"/>
  <c r="V22" i="2" s="1"/>
  <c r="Q388" i="2"/>
  <c r="R388" i="2" s="1"/>
  <c r="T388" i="2" s="1"/>
  <c r="V388" i="2" s="1"/>
  <c r="Q975" i="2"/>
  <c r="R975" i="2" s="1"/>
  <c r="T975" i="2" s="1"/>
  <c r="V975" i="2" s="1"/>
  <c r="K959" i="2"/>
  <c r="K218" i="4"/>
  <c r="K385" i="2"/>
  <c r="K761" i="2"/>
  <c r="K8" i="4"/>
  <c r="K493" i="4"/>
  <c r="K778" i="2"/>
  <c r="K5" i="2"/>
  <c r="Q374" i="4"/>
  <c r="R374" i="4" s="1"/>
  <c r="T374" i="4" s="1"/>
  <c r="V374" i="4" s="1"/>
  <c r="K37" i="4"/>
  <c r="Q819" i="2"/>
  <c r="R819" i="2" s="1"/>
  <c r="T819" i="2" s="1"/>
  <c r="V819" i="2" s="1"/>
  <c r="Q131" i="2"/>
  <c r="R131" i="2" s="1"/>
  <c r="T131" i="2" s="1"/>
  <c r="V131" i="2" s="1"/>
  <c r="K733" i="2"/>
  <c r="K346" i="4"/>
  <c r="K155" i="2"/>
  <c r="Q917" i="2"/>
  <c r="R917" i="2" s="1"/>
  <c r="T917" i="2" s="1"/>
  <c r="V917" i="2" s="1"/>
  <c r="K657" i="2"/>
  <c r="K655" i="4"/>
  <c r="K806" i="4"/>
  <c r="Q572" i="4"/>
  <c r="R572" i="4" s="1"/>
  <c r="T572" i="4" s="1"/>
  <c r="V572" i="4" s="1"/>
  <c r="K34" i="2"/>
  <c r="Q217" i="4"/>
  <c r="R217" i="4" s="1"/>
  <c r="T217" i="4" s="1"/>
  <c r="V217" i="4" s="1"/>
  <c r="Q559" i="4"/>
  <c r="R559" i="4" s="1"/>
  <c r="T559" i="4" s="1"/>
  <c r="V559" i="4" s="1"/>
  <c r="K787" i="4"/>
  <c r="Q71" i="2"/>
  <c r="R71" i="2" s="1"/>
  <c r="T71" i="2" s="1"/>
  <c r="V71" i="2" s="1"/>
  <c r="Q437" i="4"/>
  <c r="R437" i="4" s="1"/>
  <c r="T437" i="4" s="1"/>
  <c r="V437" i="4" s="1"/>
  <c r="K547" i="4"/>
  <c r="K563" i="2"/>
  <c r="K326" i="4"/>
  <c r="K702" i="4"/>
  <c r="K596" i="4"/>
  <c r="K950" i="4"/>
  <c r="Q141" i="4"/>
  <c r="R141" i="4" s="1"/>
  <c r="T141" i="4" s="1"/>
  <c r="V141" i="4" s="1"/>
  <c r="Q635" i="4"/>
  <c r="R635" i="4" s="1"/>
  <c r="T635" i="4" s="1"/>
  <c r="V635" i="4" s="1"/>
  <c r="Q595" i="4"/>
  <c r="R595" i="4" s="1"/>
  <c r="T595" i="4" s="1"/>
  <c r="V595" i="4" s="1"/>
  <c r="K237" i="2"/>
  <c r="Q93" i="2"/>
  <c r="R93" i="2" s="1"/>
  <c r="T93" i="2" s="1"/>
  <c r="V93" i="2" s="1"/>
  <c r="Q967" i="4"/>
  <c r="R967" i="4" s="1"/>
  <c r="T967" i="4" s="1"/>
  <c r="V967" i="4" s="1"/>
  <c r="K344" i="4"/>
  <c r="K630" i="4"/>
  <c r="Q984" i="4"/>
  <c r="R984" i="4" s="1"/>
  <c r="T984" i="4" s="1"/>
  <c r="V984" i="4" s="1"/>
  <c r="Q159" i="4"/>
  <c r="R159" i="4" s="1"/>
  <c r="T159" i="4" s="1"/>
  <c r="V159" i="4" s="1"/>
  <c r="K977" i="4"/>
  <c r="K748" i="4"/>
  <c r="K290" i="4"/>
  <c r="K257" i="4"/>
  <c r="K809" i="4"/>
  <c r="K823" i="4"/>
  <c r="K816" i="4"/>
  <c r="K954" i="4"/>
  <c r="K601" i="4"/>
  <c r="Q930" i="2"/>
  <c r="R930" i="2" s="1"/>
  <c r="T930" i="2" s="1"/>
  <c r="V930" i="2" s="1"/>
  <c r="K163" i="2"/>
  <c r="K608" i="2"/>
  <c r="K695" i="2"/>
  <c r="K520" i="2"/>
  <c r="K829" i="2"/>
  <c r="K617" i="2"/>
  <c r="Q152" i="2"/>
  <c r="R152" i="2" s="1"/>
  <c r="T152" i="2" s="1"/>
  <c r="V152" i="2" s="1"/>
  <c r="K371" i="4"/>
  <c r="K569" i="4"/>
  <c r="K23" i="4"/>
  <c r="Q340" i="2"/>
  <c r="R340" i="2" s="1"/>
  <c r="T340" i="2" s="1"/>
  <c r="V340" i="2" s="1"/>
  <c r="K70" i="4"/>
  <c r="K443" i="2"/>
  <c r="K827" i="2"/>
  <c r="K11" i="2"/>
  <c r="K557" i="2"/>
  <c r="K107" i="4"/>
  <c r="K388" i="2"/>
  <c r="K689" i="2"/>
  <c r="K739" i="2"/>
  <c r="Q874" i="2"/>
  <c r="R874" i="2" s="1"/>
  <c r="T874" i="2" s="1"/>
  <c r="V874" i="2" s="1"/>
  <c r="Q761" i="2"/>
  <c r="R761" i="2" s="1"/>
  <c r="T761" i="2" s="1"/>
  <c r="V761" i="2" s="1"/>
  <c r="Q8" i="4"/>
  <c r="R8" i="4" s="1"/>
  <c r="T8" i="4" s="1"/>
  <c r="V8" i="4" s="1"/>
  <c r="K32" i="4"/>
  <c r="K286" i="4"/>
  <c r="K436" i="4"/>
  <c r="K374" i="4"/>
  <c r="K186" i="4"/>
  <c r="K734" i="2"/>
  <c r="K1002" i="2"/>
  <c r="Q625" i="2"/>
  <c r="R625" i="2" s="1"/>
  <c r="T625" i="2" s="1"/>
  <c r="V625" i="2" s="1"/>
  <c r="K266" i="4"/>
  <c r="Q733" i="2"/>
  <c r="R733" i="2" s="1"/>
  <c r="T733" i="2" s="1"/>
  <c r="V733" i="2" s="1"/>
  <c r="K922" i="2"/>
  <c r="K222" i="2"/>
  <c r="K375" i="4"/>
  <c r="K471" i="2"/>
  <c r="K848" i="4"/>
  <c r="K718" i="4"/>
  <c r="K217" i="4"/>
  <c r="K71" i="2"/>
  <c r="K570" i="4"/>
  <c r="K850" i="4"/>
  <c r="K524" i="4"/>
  <c r="K801" i="4"/>
  <c r="K66" i="4"/>
  <c r="K938" i="2"/>
  <c r="K360" i="4"/>
  <c r="K184" i="4"/>
  <c r="K595" i="4"/>
  <c r="Q312" i="4"/>
  <c r="R312" i="4" s="1"/>
  <c r="T312" i="4" s="1"/>
  <c r="V312" i="4" s="1"/>
  <c r="Q977" i="4"/>
  <c r="R977" i="4" s="1"/>
  <c r="T977" i="4" s="1"/>
  <c r="V977" i="4" s="1"/>
  <c r="K61" i="4"/>
  <c r="Q290" i="4"/>
  <c r="R290" i="4" s="1"/>
  <c r="T290" i="4" s="1"/>
  <c r="V290" i="4" s="1"/>
  <c r="K589" i="4"/>
  <c r="Q589" i="4"/>
  <c r="R589" i="4" s="1"/>
  <c r="T589" i="4" s="1"/>
  <c r="V589" i="4" s="1"/>
  <c r="K119" i="4"/>
  <c r="K916" i="4"/>
  <c r="K521" i="2"/>
  <c r="K518" i="2"/>
  <c r="K592" i="2"/>
  <c r="K634" i="2"/>
  <c r="Q345" i="2"/>
  <c r="R345" i="2" s="1"/>
  <c r="T345" i="2" s="1"/>
  <c r="V345" i="2" s="1"/>
  <c r="Q702" i="2"/>
  <c r="R702" i="2" s="1"/>
  <c r="T702" i="2" s="1"/>
  <c r="V702" i="2" s="1"/>
  <c r="K74" i="4"/>
  <c r="Q156" i="2"/>
  <c r="R156" i="2" s="1"/>
  <c r="T156" i="2" s="1"/>
  <c r="V156" i="2" s="1"/>
  <c r="Q662" i="4"/>
  <c r="R662" i="4" s="1"/>
  <c r="T662" i="4" s="1"/>
  <c r="V662" i="4" s="1"/>
  <c r="Q606" i="2"/>
  <c r="R606" i="2" s="1"/>
  <c r="T606" i="2" s="1"/>
  <c r="V606" i="2" s="1"/>
  <c r="K542" i="4"/>
  <c r="Q523" i="4"/>
  <c r="R523" i="4" s="1"/>
  <c r="T523" i="4" s="1"/>
  <c r="V523" i="4" s="1"/>
  <c r="K721" i="2"/>
  <c r="K62" i="4"/>
  <c r="K141" i="4"/>
  <c r="K635" i="4"/>
  <c r="Q561" i="4"/>
  <c r="R561" i="4" s="1"/>
  <c r="T561" i="4" s="1"/>
  <c r="V561" i="4" s="1"/>
  <c r="Q752" i="4"/>
  <c r="R752" i="4" s="1"/>
  <c r="T752" i="4" s="1"/>
  <c r="V752" i="4" s="1"/>
  <c r="K586" i="2"/>
  <c r="Q205" i="4"/>
  <c r="R205" i="4" s="1"/>
  <c r="T205" i="4" s="1"/>
  <c r="V205" i="4" s="1"/>
  <c r="Q344" i="4"/>
  <c r="R344" i="4" s="1"/>
  <c r="T344" i="4" s="1"/>
  <c r="V344" i="4" s="1"/>
  <c r="K25" i="4"/>
  <c r="Q703" i="4"/>
  <c r="R703" i="4" s="1"/>
  <c r="T703" i="4" s="1"/>
  <c r="V703" i="4" s="1"/>
  <c r="K468" i="4"/>
  <c r="K934" i="4"/>
  <c r="K203" i="4"/>
  <c r="K618" i="4"/>
  <c r="K979" i="4"/>
  <c r="K134" i="2"/>
  <c r="K233" i="4"/>
  <c r="Q269" i="2"/>
  <c r="R269" i="2" s="1"/>
  <c r="T269" i="2" s="1"/>
  <c r="V269" i="2" s="1"/>
  <c r="K906" i="2"/>
  <c r="K768" i="2"/>
  <c r="K579" i="2"/>
  <c r="K396" i="2"/>
  <c r="Q521" i="2"/>
  <c r="R521" i="2" s="1"/>
  <c r="T521" i="2" s="1"/>
  <c r="V521" i="2" s="1"/>
  <c r="K287" i="2"/>
  <c r="K230" i="2"/>
  <c r="K274" i="4"/>
  <c r="K152" i="2"/>
  <c r="Q634" i="2"/>
  <c r="R634" i="2" s="1"/>
  <c r="T634" i="2" s="1"/>
  <c r="V634" i="2" s="1"/>
  <c r="K928" i="2"/>
  <c r="K25" i="2"/>
  <c r="Q109" i="2"/>
  <c r="R109" i="2" s="1"/>
  <c r="T109" i="2" s="1"/>
  <c r="V109" i="2" s="1"/>
  <c r="K330" i="2"/>
  <c r="Q23" i="4"/>
  <c r="R23" i="4" s="1"/>
  <c r="T23" i="4" s="1"/>
  <c r="V23" i="4" s="1"/>
  <c r="K616" i="2"/>
  <c r="K340" i="2"/>
  <c r="K584" i="2"/>
  <c r="K243" i="2"/>
  <c r="Q443" i="2"/>
  <c r="R443" i="2" s="1"/>
  <c r="T443" i="2" s="1"/>
  <c r="V443" i="2" s="1"/>
  <c r="K714" i="2"/>
  <c r="K534" i="2"/>
  <c r="Q118" i="4"/>
  <c r="R118" i="4" s="1"/>
  <c r="T118" i="4" s="1"/>
  <c r="V118" i="4" s="1"/>
  <c r="K16" i="2"/>
  <c r="K547" i="2"/>
  <c r="K486" i="4"/>
  <c r="K874" i="2"/>
  <c r="K212" i="4"/>
  <c r="K246" i="2"/>
  <c r="Q525" i="2"/>
  <c r="R525" i="2" s="1"/>
  <c r="T525" i="2" s="1"/>
  <c r="V525" i="2" s="1"/>
  <c r="Q1002" i="2"/>
  <c r="R1002" i="2" s="1"/>
  <c r="T1002" i="2" s="1"/>
  <c r="V1002" i="2" s="1"/>
  <c r="K494" i="4"/>
  <c r="Q839" i="2"/>
  <c r="R839" i="2" s="1"/>
  <c r="T839" i="2" s="1"/>
  <c r="V839" i="2" s="1"/>
  <c r="K625" i="2"/>
  <c r="K116" i="4"/>
  <c r="Q443" i="4"/>
  <c r="R443" i="4" s="1"/>
  <c r="T443" i="4" s="1"/>
  <c r="V443" i="4" s="1"/>
  <c r="Q175" i="2"/>
  <c r="R175" i="2" s="1"/>
  <c r="T175" i="2" s="1"/>
  <c r="V175" i="2" s="1"/>
  <c r="K22" i="4"/>
  <c r="K195" i="4"/>
  <c r="K206" i="4"/>
  <c r="K483" i="2"/>
  <c r="K642" i="4"/>
  <c r="K662" i="4"/>
  <c r="K461" i="4"/>
  <c r="Q718" i="4"/>
  <c r="R718" i="4" s="1"/>
  <c r="T718" i="4" s="1"/>
  <c r="V718" i="4" s="1"/>
  <c r="K575" i="2"/>
  <c r="Q729" i="4"/>
  <c r="R729" i="4" s="1"/>
  <c r="T729" i="4" s="1"/>
  <c r="V729" i="4" s="1"/>
  <c r="Q284" i="4"/>
  <c r="R284" i="4" s="1"/>
  <c r="T284" i="4" s="1"/>
  <c r="V284" i="4" s="1"/>
  <c r="Q353" i="4"/>
  <c r="R353" i="4" s="1"/>
  <c r="T353" i="4" s="1"/>
  <c r="V353" i="4" s="1"/>
  <c r="K529" i="4"/>
  <c r="Q703" i="2"/>
  <c r="R703" i="2" s="1"/>
  <c r="T703" i="2" s="1"/>
  <c r="V703" i="2" s="1"/>
  <c r="K568" i="2"/>
  <c r="Q524" i="4"/>
  <c r="R524" i="4" s="1"/>
  <c r="T524" i="4" s="1"/>
  <c r="V524" i="4" s="1"/>
  <c r="K441" i="4"/>
  <c r="K585" i="4"/>
  <c r="K760" i="4"/>
  <c r="Q610" i="4"/>
  <c r="R610" i="4" s="1"/>
  <c r="T610" i="4" s="1"/>
  <c r="V610" i="4" s="1"/>
  <c r="K864" i="4"/>
  <c r="K8" i="2"/>
  <c r="K83" i="4"/>
  <c r="Q847" i="4"/>
  <c r="R847" i="4" s="1"/>
  <c r="T847" i="4" s="1"/>
  <c r="V847" i="4" s="1"/>
  <c r="K698" i="4"/>
  <c r="K312" i="4"/>
  <c r="K476" i="4"/>
  <c r="K384" i="4"/>
  <c r="K752" i="4"/>
  <c r="Q586" i="2"/>
  <c r="R586" i="2" s="1"/>
  <c r="T586" i="2" s="1"/>
  <c r="V586" i="2" s="1"/>
  <c r="K769" i="4"/>
  <c r="K772" i="4"/>
  <c r="K365" i="4"/>
  <c r="K342" i="4"/>
  <c r="Q985" i="4"/>
  <c r="R985" i="4" s="1"/>
  <c r="T985" i="4" s="1"/>
  <c r="V985" i="4" s="1"/>
  <c r="K686" i="4"/>
  <c r="Q25" i="4"/>
  <c r="R25" i="4" s="1"/>
  <c r="T25" i="4" s="1"/>
  <c r="V25" i="4" s="1"/>
  <c r="K459" i="4"/>
  <c r="K703" i="4"/>
  <c r="K945" i="4"/>
  <c r="K549" i="4"/>
  <c r="Q618" i="4"/>
  <c r="R618" i="4" s="1"/>
  <c r="T618" i="4" s="1"/>
  <c r="V618" i="4" s="1"/>
  <c r="K644" i="4"/>
  <c r="K831" i="4"/>
  <c r="K999" i="4"/>
  <c r="K144" i="4"/>
  <c r="K904" i="4"/>
  <c r="K345" i="2"/>
  <c r="K187" i="2"/>
  <c r="K457" i="2"/>
  <c r="K651" i="2"/>
  <c r="K611" i="2"/>
  <c r="K74" i="2"/>
  <c r="Q81" i="2"/>
  <c r="R81" i="2" s="1"/>
  <c r="T81" i="2" s="1"/>
  <c r="V81" i="2" s="1"/>
  <c r="Q200" i="2"/>
  <c r="R200" i="2" s="1"/>
  <c r="T200" i="2" s="1"/>
  <c r="V200" i="2" s="1"/>
  <c r="Q339" i="2"/>
  <c r="R339" i="2" s="1"/>
  <c r="T339" i="2" s="1"/>
  <c r="V339" i="2" s="1"/>
  <c r="K369" i="2"/>
  <c r="K438" i="2"/>
  <c r="K886" i="2"/>
  <c r="K484" i="2"/>
  <c r="K360" i="2"/>
  <c r="K45" i="2"/>
  <c r="Q895" i="2"/>
  <c r="R895" i="2" s="1"/>
  <c r="T895" i="2" s="1"/>
  <c r="V895" i="2" s="1"/>
  <c r="Q871" i="2"/>
  <c r="R871" i="2" s="1"/>
  <c r="T871" i="2" s="1"/>
  <c r="V871" i="2" s="1"/>
  <c r="K537" i="4"/>
  <c r="K789" i="2"/>
  <c r="K974" i="2"/>
  <c r="K852" i="2"/>
  <c r="K490" i="2"/>
  <c r="K761" i="4"/>
  <c r="K638" i="2"/>
  <c r="Q232" i="4"/>
  <c r="R232" i="4" s="1"/>
  <c r="T232" i="4" s="1"/>
  <c r="V232" i="4" s="1"/>
  <c r="Q64" i="2"/>
  <c r="R64" i="2" s="1"/>
  <c r="T64" i="2" s="1"/>
  <c r="V64" i="2" s="1"/>
  <c r="K55" i="4"/>
  <c r="K169" i="4"/>
  <c r="K262" i="2"/>
  <c r="K772" i="2"/>
  <c r="K371" i="2"/>
  <c r="K884" i="2"/>
  <c r="Q182" i="4"/>
  <c r="R182" i="4" s="1"/>
  <c r="T182" i="4" s="1"/>
  <c r="V182" i="4" s="1"/>
  <c r="K515" i="2"/>
  <c r="K535" i="2"/>
  <c r="Q668" i="2"/>
  <c r="R668" i="2" s="1"/>
  <c r="T668" i="2" s="1"/>
  <c r="V668" i="2" s="1"/>
  <c r="K491" i="4"/>
  <c r="Q68" i="2"/>
  <c r="R68" i="2" s="1"/>
  <c r="T68" i="2" s="1"/>
  <c r="V68" i="2" s="1"/>
  <c r="Q960" i="2"/>
  <c r="R960" i="2" s="1"/>
  <c r="T960" i="2" s="1"/>
  <c r="V960" i="2" s="1"/>
  <c r="K209" i="4"/>
  <c r="K686" i="2"/>
  <c r="Q230" i="4"/>
  <c r="R230" i="4" s="1"/>
  <c r="T230" i="4" s="1"/>
  <c r="V230" i="4" s="1"/>
  <c r="K189" i="4"/>
  <c r="K379" i="4"/>
  <c r="K664" i="4"/>
  <c r="Q860" i="2"/>
  <c r="R860" i="2" s="1"/>
  <c r="T860" i="2" s="1"/>
  <c r="V860" i="2" s="1"/>
  <c r="Q660" i="4"/>
  <c r="R660" i="4" s="1"/>
  <c r="T660" i="4" s="1"/>
  <c r="V660" i="4" s="1"/>
  <c r="K280" i="2"/>
  <c r="K410" i="4"/>
  <c r="Q791" i="4"/>
  <c r="R791" i="4" s="1"/>
  <c r="T791" i="4" s="1"/>
  <c r="V791" i="4" s="1"/>
  <c r="K862" i="2"/>
  <c r="K479" i="4"/>
  <c r="K785" i="4"/>
  <c r="K258" i="4"/>
  <c r="K730" i="4"/>
  <c r="K490" i="4"/>
  <c r="Q193" i="4"/>
  <c r="R193" i="4" s="1"/>
  <c r="T193" i="4" s="1"/>
  <c r="V193" i="4" s="1"/>
  <c r="Q813" i="4"/>
  <c r="R813" i="4" s="1"/>
  <c r="T813" i="4" s="1"/>
  <c r="V813" i="4" s="1"/>
  <c r="K380" i="4"/>
  <c r="Q810" i="4"/>
  <c r="R810" i="4" s="1"/>
  <c r="T810" i="4" s="1"/>
  <c r="V810" i="4" s="1"/>
  <c r="K33" i="4"/>
  <c r="K465" i="2"/>
  <c r="K582" i="2"/>
  <c r="K645" i="4"/>
  <c r="Q994" i="4"/>
  <c r="R994" i="4" s="1"/>
  <c r="T994" i="4" s="1"/>
  <c r="V994" i="4" s="1"/>
  <c r="K507" i="4"/>
  <c r="K620" i="4"/>
  <c r="K903" i="4"/>
  <c r="K506" i="2"/>
  <c r="K609" i="4"/>
  <c r="K339" i="4"/>
  <c r="K963" i="4"/>
  <c r="K451" i="4"/>
  <c r="K710" i="4"/>
  <c r="Q519" i="4"/>
  <c r="R519" i="4" s="1"/>
  <c r="T519" i="4" s="1"/>
  <c r="V519" i="4" s="1"/>
  <c r="Q875" i="4"/>
  <c r="R875" i="4" s="1"/>
  <c r="T875" i="4" s="1"/>
  <c r="V875" i="4" s="1"/>
  <c r="K725" i="4"/>
  <c r="Q674" i="4"/>
  <c r="R674" i="4" s="1"/>
  <c r="T674" i="4" s="1"/>
  <c r="V674" i="4" s="1"/>
  <c r="Q859" i="2"/>
  <c r="R859" i="2" s="1"/>
  <c r="T859" i="2" s="1"/>
  <c r="V859" i="2" s="1"/>
  <c r="K536" i="4"/>
  <c r="K562" i="4"/>
  <c r="Q870" i="4"/>
  <c r="R870" i="4" s="1"/>
  <c r="T870" i="4" s="1"/>
  <c r="V870" i="4" s="1"/>
  <c r="K731" i="4"/>
  <c r="K31" i="2"/>
  <c r="K958" i="2"/>
  <c r="K216" i="2"/>
  <c r="K905" i="2"/>
  <c r="K800" i="2"/>
  <c r="K156" i="2"/>
  <c r="K230" i="4"/>
  <c r="Q633" i="2"/>
  <c r="R633" i="2" s="1"/>
  <c r="T633" i="2" s="1"/>
  <c r="V633" i="2" s="1"/>
  <c r="K393" i="4"/>
  <c r="K385" i="4"/>
  <c r="K678" i="4"/>
  <c r="K597" i="4"/>
  <c r="K396" i="4"/>
  <c r="Q466" i="4"/>
  <c r="R466" i="4" s="1"/>
  <c r="T466" i="4" s="1"/>
  <c r="V466" i="4" s="1"/>
  <c r="K193" i="4"/>
  <c r="K813" i="4"/>
  <c r="K810" i="4"/>
  <c r="K994" i="4"/>
  <c r="K65" i="2"/>
  <c r="Q507" i="4"/>
  <c r="R507" i="4" s="1"/>
  <c r="T507" i="4" s="1"/>
  <c r="V507" i="4" s="1"/>
  <c r="K827" i="4"/>
  <c r="K205" i="4"/>
  <c r="K394" i="4"/>
  <c r="K930" i="4"/>
  <c r="K985" i="4"/>
  <c r="K519" i="4"/>
  <c r="K907" i="4"/>
  <c r="K951" i="4"/>
  <c r="Q289" i="4"/>
  <c r="R289" i="4" s="1"/>
  <c r="T289" i="4" s="1"/>
  <c r="V289" i="4" s="1"/>
  <c r="K674" i="4"/>
  <c r="K679" i="4"/>
  <c r="K852" i="4"/>
  <c r="K949" i="4"/>
  <c r="K617" i="4"/>
  <c r="K552" i="4"/>
  <c r="K978" i="4"/>
  <c r="Q940" i="4"/>
  <c r="R940" i="4" s="1"/>
  <c r="T940" i="4" s="1"/>
  <c r="V940" i="4" s="1"/>
  <c r="K289" i="4"/>
  <c r="K959" i="4"/>
  <c r="K329" i="4"/>
  <c r="K926" i="4"/>
  <c r="K361" i="4"/>
  <c r="K732" i="2"/>
  <c r="K294" i="2"/>
  <c r="Q780" i="2"/>
  <c r="R780" i="2" s="1"/>
  <c r="T780" i="2" s="1"/>
  <c r="V780" i="2" s="1"/>
  <c r="K88" i="4"/>
  <c r="Q216" i="2"/>
  <c r="R216" i="2" s="1"/>
  <c r="T216" i="2" s="1"/>
  <c r="V216" i="2" s="1"/>
  <c r="K658" i="2"/>
  <c r="K443" i="4"/>
  <c r="K988" i="2"/>
  <c r="K313" i="4"/>
  <c r="K346" i="2"/>
  <c r="K73" i="4"/>
  <c r="K414" i="4"/>
  <c r="K633" i="2"/>
  <c r="K722" i="4"/>
  <c r="Q497" i="4"/>
  <c r="R497" i="4" s="1"/>
  <c r="T497" i="4" s="1"/>
  <c r="V497" i="4" s="1"/>
  <c r="K512" i="2"/>
  <c r="K503" i="2"/>
  <c r="Q474" i="4"/>
  <c r="R474" i="4" s="1"/>
  <c r="T474" i="4" s="1"/>
  <c r="V474" i="4" s="1"/>
  <c r="Q348" i="2"/>
  <c r="R348" i="2" s="1"/>
  <c r="T348" i="2" s="1"/>
  <c r="V348" i="2" s="1"/>
  <c r="K263" i="4"/>
  <c r="K633" i="4"/>
  <c r="Q678" i="4"/>
  <c r="R678" i="4" s="1"/>
  <c r="T678" i="4" s="1"/>
  <c r="V678" i="4" s="1"/>
  <c r="K466" i="4"/>
  <c r="K957" i="4"/>
  <c r="K656" i="2"/>
  <c r="K164" i="4"/>
  <c r="K453" i="4"/>
  <c r="Q713" i="4"/>
  <c r="R713" i="4" s="1"/>
  <c r="T713" i="4" s="1"/>
  <c r="V713" i="4" s="1"/>
  <c r="K460" i="4"/>
  <c r="K133" i="4"/>
  <c r="Q827" i="4"/>
  <c r="R827" i="4" s="1"/>
  <c r="T827" i="4" s="1"/>
  <c r="V827" i="4" s="1"/>
  <c r="K509" i="4"/>
  <c r="Q590" i="4"/>
  <c r="R590" i="4" s="1"/>
  <c r="T590" i="4" s="1"/>
  <c r="V590" i="4" s="1"/>
  <c r="K812" i="4"/>
  <c r="K879" i="4"/>
  <c r="K454" i="4"/>
  <c r="Q265" i="4"/>
  <c r="R265" i="4" s="1"/>
  <c r="T265" i="4" s="1"/>
  <c r="V265" i="4" s="1"/>
  <c r="K584" i="4"/>
  <c r="K497" i="4"/>
  <c r="Q103" i="4"/>
  <c r="R103" i="4" s="1"/>
  <c r="T103" i="4" s="1"/>
  <c r="V103" i="4" s="1"/>
  <c r="K474" i="4"/>
  <c r="K919" i="4"/>
  <c r="Q283" i="4"/>
  <c r="R283" i="4" s="1"/>
  <c r="T283" i="4" s="1"/>
  <c r="V283" i="4" s="1"/>
  <c r="Q470" i="4"/>
  <c r="R470" i="4" s="1"/>
  <c r="T470" i="4" s="1"/>
  <c r="V470" i="4" s="1"/>
  <c r="Q821" i="4"/>
  <c r="R821" i="4" s="1"/>
  <c r="T821" i="4" s="1"/>
  <c r="V821" i="4" s="1"/>
  <c r="K39" i="4"/>
  <c r="Q955" i="2"/>
  <c r="R955" i="2" s="1"/>
  <c r="T955" i="2" s="1"/>
  <c r="V955" i="2" s="1"/>
  <c r="Q538" i="2"/>
  <c r="R538" i="2" s="1"/>
  <c r="T538" i="2" s="1"/>
  <c r="V538" i="2" s="1"/>
  <c r="Q300" i="2"/>
  <c r="R300" i="2" s="1"/>
  <c r="T300" i="2" s="1"/>
  <c r="V300" i="2" s="1"/>
  <c r="K498" i="2"/>
  <c r="K729" i="2"/>
  <c r="Q648" i="4"/>
  <c r="R648" i="4" s="1"/>
  <c r="T648" i="4" s="1"/>
  <c r="V648" i="4" s="1"/>
  <c r="K652" i="4"/>
  <c r="K946" i="4"/>
  <c r="K755" i="4"/>
  <c r="K171" i="4"/>
  <c r="K917" i="4"/>
  <c r="Q623" i="4"/>
  <c r="R623" i="4" s="1"/>
  <c r="T623" i="4" s="1"/>
  <c r="V623" i="4" s="1"/>
  <c r="K628" i="4"/>
  <c r="K653" i="4"/>
  <c r="K184" i="2"/>
  <c r="K437" i="2"/>
  <c r="K743" i="2"/>
  <c r="K849" i="4"/>
  <c r="K512" i="4"/>
  <c r="K592" i="4"/>
  <c r="K35" i="4"/>
  <c r="K723" i="2"/>
  <c r="K766" i="2"/>
  <c r="Q907" i="2"/>
  <c r="R907" i="2" s="1"/>
  <c r="T907" i="2" s="1"/>
  <c r="V907" i="2" s="1"/>
  <c r="K556" i="2"/>
  <c r="K992" i="2"/>
  <c r="K413" i="2"/>
  <c r="Q713" i="2"/>
  <c r="R713" i="2" s="1"/>
  <c r="T713" i="2" s="1"/>
  <c r="V713" i="2" s="1"/>
  <c r="K5" i="4"/>
  <c r="K283" i="2"/>
  <c r="K382" i="4"/>
  <c r="Q137" i="4"/>
  <c r="R137" i="4" s="1"/>
  <c r="T137" i="4" s="1"/>
  <c r="V137" i="4" s="1"/>
  <c r="K652" i="2"/>
  <c r="Q961" i="2"/>
  <c r="R961" i="2" s="1"/>
  <c r="T961" i="2" s="1"/>
  <c r="V961" i="2" s="1"/>
  <c r="K99" i="4"/>
  <c r="Q66" i="4"/>
  <c r="R66" i="4" s="1"/>
  <c r="T66" i="4" s="1"/>
  <c r="V66" i="4" s="1"/>
  <c r="K879" i="2"/>
  <c r="K355" i="4"/>
  <c r="K136" i="4"/>
  <c r="Q13" i="4"/>
  <c r="R13" i="4" s="1"/>
  <c r="T13" i="4" s="1"/>
  <c r="V13" i="4" s="1"/>
  <c r="K180" i="4"/>
  <c r="K588" i="2"/>
  <c r="K623" i="2"/>
  <c r="K734" i="4"/>
  <c r="K281" i="2"/>
  <c r="Q249" i="4"/>
  <c r="R249" i="4" s="1"/>
  <c r="T249" i="4" s="1"/>
  <c r="V249" i="4" s="1"/>
  <c r="Q203" i="2"/>
  <c r="R203" i="2" s="1"/>
  <c r="T203" i="2" s="1"/>
  <c r="V203" i="2" s="1"/>
  <c r="K806" i="2"/>
  <c r="K818" i="2"/>
  <c r="Q963" i="2"/>
  <c r="R963" i="2" s="1"/>
  <c r="T963" i="2" s="1"/>
  <c r="V963" i="2" s="1"/>
  <c r="K967" i="2"/>
  <c r="K278" i="2"/>
  <c r="Q690" i="4"/>
  <c r="R690" i="4" s="1"/>
  <c r="T690" i="4" s="1"/>
  <c r="V690" i="4" s="1"/>
  <c r="K47" i="4"/>
  <c r="K422" i="4"/>
  <c r="K603" i="4"/>
  <c r="K794" i="4"/>
  <c r="K283" i="4"/>
  <c r="Q677" i="4"/>
  <c r="R677" i="4" s="1"/>
  <c r="T677" i="4" s="1"/>
  <c r="V677" i="4" s="1"/>
  <c r="Q40" i="4"/>
  <c r="R40" i="4" s="1"/>
  <c r="T40" i="4" s="1"/>
  <c r="V40" i="4" s="1"/>
  <c r="Q762" i="4"/>
  <c r="R762" i="4" s="1"/>
  <c r="T762" i="4" s="1"/>
  <c r="V762" i="4" s="1"/>
  <c r="Q556" i="4"/>
  <c r="R556" i="4" s="1"/>
  <c r="T556" i="4" s="1"/>
  <c r="V556" i="4" s="1"/>
  <c r="Q957" i="4"/>
  <c r="R957" i="4" s="1"/>
  <c r="T957" i="4" s="1"/>
  <c r="V957" i="4" s="1"/>
  <c r="K416" i="4"/>
  <c r="K300" i="2"/>
  <c r="Q534" i="4"/>
  <c r="R534" i="4" s="1"/>
  <c r="T534" i="4" s="1"/>
  <c r="V534" i="4" s="1"/>
  <c r="Q412" i="4"/>
  <c r="R412" i="4" s="1"/>
  <c r="T412" i="4" s="1"/>
  <c r="V412" i="4" s="1"/>
  <c r="K323" i="4"/>
  <c r="K716" i="4"/>
  <c r="K648" i="4"/>
  <c r="Q241" i="4"/>
  <c r="R241" i="4" s="1"/>
  <c r="T241" i="4" s="1"/>
  <c r="V241" i="4" s="1"/>
  <c r="Q652" i="4"/>
  <c r="R652" i="4" s="1"/>
  <c r="T652" i="4" s="1"/>
  <c r="V652" i="4" s="1"/>
  <c r="Q140" i="4"/>
  <c r="R140" i="4" s="1"/>
  <c r="T140" i="4" s="1"/>
  <c r="V140" i="4" s="1"/>
  <c r="K948" i="4"/>
  <c r="K687" i="4"/>
  <c r="Q409" i="4"/>
  <c r="R409" i="4" s="1"/>
  <c r="T409" i="4" s="1"/>
  <c r="V409" i="4" s="1"/>
  <c r="K315" i="4"/>
  <c r="Q271" i="4"/>
  <c r="R271" i="4" s="1"/>
  <c r="T271" i="4" s="1"/>
  <c r="V271" i="4" s="1"/>
  <c r="K631" i="4"/>
  <c r="K888" i="4"/>
  <c r="K815" i="2"/>
  <c r="K538" i="4"/>
  <c r="K264" i="4"/>
  <c r="K699" i="4"/>
  <c r="K113" i="2"/>
  <c r="K940" i="4"/>
  <c r="K943" i="4"/>
  <c r="Q338" i="2"/>
  <c r="R338" i="2" s="1"/>
  <c r="T338" i="2" s="1"/>
  <c r="V338" i="2" s="1"/>
  <c r="K38" i="2"/>
  <c r="Q120" i="2"/>
  <c r="R120" i="2" s="1"/>
  <c r="T120" i="2" s="1"/>
  <c r="V120" i="2" s="1"/>
  <c r="Q148" i="2"/>
  <c r="R148" i="2" s="1"/>
  <c r="T148" i="2" s="1"/>
  <c r="V148" i="2" s="1"/>
  <c r="K716" i="2"/>
  <c r="K344" i="2"/>
  <c r="K242" i="2"/>
  <c r="K635" i="2"/>
  <c r="K950" i="2"/>
  <c r="Q698" i="2"/>
  <c r="R698" i="2" s="1"/>
  <c r="T698" i="2" s="1"/>
  <c r="V698" i="2" s="1"/>
  <c r="K713" i="2"/>
  <c r="K122" i="4"/>
  <c r="K292" i="2"/>
  <c r="Q238" i="2"/>
  <c r="R238" i="2" s="1"/>
  <c r="T238" i="2" s="1"/>
  <c r="V238" i="2" s="1"/>
  <c r="K630" i="2"/>
  <c r="Q423" i="2"/>
  <c r="R423" i="2" s="1"/>
  <c r="T423" i="2" s="1"/>
  <c r="V423" i="2" s="1"/>
  <c r="K377" i="2"/>
  <c r="Q826" i="2"/>
  <c r="R826" i="2" s="1"/>
  <c r="T826" i="2" s="1"/>
  <c r="V826" i="2" s="1"/>
  <c r="K693" i="2"/>
  <c r="K7" i="4"/>
  <c r="K802" i="2"/>
  <c r="K837" i="2"/>
  <c r="K102" i="4"/>
  <c r="K993" i="2"/>
  <c r="K580" i="4"/>
  <c r="K138" i="4"/>
  <c r="K366" i="4"/>
  <c r="Q782" i="2"/>
  <c r="R782" i="2" s="1"/>
  <c r="T782" i="2" s="1"/>
  <c r="V782" i="2" s="1"/>
  <c r="K249" i="4"/>
  <c r="K10" i="2"/>
  <c r="K946" i="2"/>
  <c r="Q748" i="2"/>
  <c r="R748" i="2" s="1"/>
  <c r="T748" i="2" s="1"/>
  <c r="V748" i="2" s="1"/>
  <c r="K415" i="4"/>
  <c r="K203" i="2"/>
  <c r="K963" i="2"/>
  <c r="K460" i="2"/>
  <c r="K93" i="4"/>
  <c r="Q351" i="4"/>
  <c r="R351" i="4" s="1"/>
  <c r="T351" i="4" s="1"/>
  <c r="V351" i="4" s="1"/>
  <c r="K765" i="4"/>
  <c r="K640" i="2"/>
  <c r="Q422" i="4"/>
  <c r="R422" i="4" s="1"/>
  <c r="T422" i="4" s="1"/>
  <c r="V422" i="4" s="1"/>
  <c r="Q603" i="4"/>
  <c r="R603" i="4" s="1"/>
  <c r="T603" i="4" s="1"/>
  <c r="V603" i="4" s="1"/>
  <c r="Q794" i="4"/>
  <c r="R794" i="4" s="1"/>
  <c r="T794" i="4" s="1"/>
  <c r="V794" i="4" s="1"/>
  <c r="K470" i="4"/>
  <c r="K697" i="4"/>
  <c r="Q970" i="2"/>
  <c r="R970" i="2" s="1"/>
  <c r="T970" i="2" s="1"/>
  <c r="V970" i="2" s="1"/>
  <c r="K40" i="4"/>
  <c r="K300" i="4"/>
  <c r="K691" i="4"/>
  <c r="K770" i="2"/>
  <c r="K666" i="4"/>
  <c r="Q688" i="2"/>
  <c r="R688" i="2" s="1"/>
  <c r="T688" i="2" s="1"/>
  <c r="V688" i="2" s="1"/>
  <c r="K983" i="2"/>
  <c r="K534" i="4"/>
  <c r="K412" i="4"/>
  <c r="Q545" i="2"/>
  <c r="R545" i="2" s="1"/>
  <c r="T545" i="2" s="1"/>
  <c r="V545" i="2" s="1"/>
  <c r="K892" i="4"/>
  <c r="K241" i="4"/>
  <c r="Q851" i="4"/>
  <c r="R851" i="4" s="1"/>
  <c r="T851" i="4" s="1"/>
  <c r="V851" i="4" s="1"/>
  <c r="K395" i="4"/>
  <c r="K333" i="4"/>
  <c r="K407" i="4"/>
  <c r="K834" i="4"/>
  <c r="K736" i="2"/>
  <c r="K531" i="4"/>
  <c r="K409" i="4"/>
  <c r="K271" i="4"/>
  <c r="K21" i="2"/>
  <c r="Q997" i="4"/>
  <c r="R997" i="4" s="1"/>
  <c r="T997" i="4" s="1"/>
  <c r="V997" i="4" s="1"/>
  <c r="K898" i="4"/>
  <c r="Q986" i="4"/>
  <c r="R986" i="4" s="1"/>
  <c r="T986" i="4" s="1"/>
  <c r="V986" i="4" s="1"/>
  <c r="K561" i="4"/>
  <c r="K576" i="4"/>
  <c r="K792" i="4"/>
  <c r="K681" i="4"/>
  <c r="Q113" i="2"/>
  <c r="R113" i="2" s="1"/>
  <c r="T113" i="2" s="1"/>
  <c r="V113" i="2" s="1"/>
  <c r="F12" i="1" l="1"/>
  <c r="F7" i="1"/>
  <c r="F13" i="1"/>
  <c r="F5" i="1"/>
  <c r="F11" i="1"/>
  <c r="F6" i="1"/>
  <c r="F4" i="1"/>
  <c r="F10" i="1"/>
  <c r="F9" i="1"/>
  <c r="F8" i="1"/>
  <c r="F27" i="1"/>
  <c r="F28" i="1"/>
  <c r="F25" i="1"/>
  <c r="F26" i="1"/>
</calcChain>
</file>

<file path=xl/sharedStrings.xml><?xml version="1.0" encoding="utf-8"?>
<sst xmlns="http://schemas.openxmlformats.org/spreadsheetml/2006/main" count="203" uniqueCount="152">
  <si>
    <t>GB/T 8175-2025 圆筒单层绝热表面温度法计算表</t>
  </si>
  <si>
    <t>输入参数</t>
  </si>
  <si>
    <t>结果（从“迭代计算”提取）</t>
  </si>
  <si>
    <t>D0 绝热层内径 / 管道外径</t>
  </si>
  <si>
    <t>m</t>
  </si>
  <si>
    <t>推荐保温层厚度 δ</t>
  </si>
  <si>
    <t>mm</t>
  </si>
  <si>
    <t>T0 设备/管道外表面温度</t>
  </si>
  <si>
    <t>℃</t>
  </si>
  <si>
    <t>对应外径 D1</t>
  </si>
  <si>
    <t>Ta 环境温度</t>
  </si>
  <si>
    <t>αr 辐射换热系数</t>
  </si>
  <si>
    <t>W/(m²·K)</t>
  </si>
  <si>
    <t>Ts 目标绝热层外表面温度</t>
  </si>
  <si>
    <t>αc 对流换热系数</t>
  </si>
  <si>
    <t>λ 绝热材料导热系数</t>
  </si>
  <si>
    <t>W/(m·K)</t>
  </si>
  <si>
    <t>αs 综合换热系数</t>
  </si>
  <si>
    <t>ε 外表面发射率</t>
  </si>
  <si>
    <t>-</t>
  </si>
  <si>
    <t>Nu 努赛尔数</t>
  </si>
  <si>
    <t>H 立式圆筒特征高度</t>
  </si>
  <si>
    <t>Gr 格拉晓夫数</t>
  </si>
  <si>
    <t>ω 风速（强制对流）</t>
  </si>
  <si>
    <t>m/s</t>
  </si>
  <si>
    <t>Pr 普朗特数</t>
  </si>
  <si>
    <t>cp 空气比热容</t>
  </si>
  <si>
    <t>J/(kg·K)</t>
  </si>
  <si>
    <t>Re 雷诺数</t>
  </si>
  <si>
    <t>对流类型</t>
  </si>
  <si>
    <t>自然对流</t>
  </si>
  <si>
    <t>自然对流/强制对流</t>
  </si>
  <si>
    <t>最小残差</t>
  </si>
  <si>
    <t>圆筒姿态</t>
  </si>
  <si>
    <t>立式圆筒</t>
  </si>
  <si>
    <t>立式圆筒/卧式圆筒</t>
  </si>
  <si>
    <t>标准主公式：D1·LN(D1/D0)=2·λ·(T0-Ts)/(αs·(Ts-Ta))。</t>
  </si>
  <si>
    <t>αs=αr+αc；αr、αc 按 GB/T 8175-2025 附录A计算。</t>
  </si>
  <si>
    <t>由于 D1 同时出现在左右两边，本表采用厚度扫描 + 残差最小法求解。</t>
  </si>
  <si>
    <t>表中已包含 αr、αc、Nu、Gr、Pr、Re、空气物性参数的完整计算。</t>
  </si>
  <si>
    <t>新增：允许最大散热损失法</t>
  </si>
  <si>
    <t>新增结果（允许最大散热损失法）</t>
  </si>
  <si>
    <t>计算模式</t>
  </si>
  <si>
    <t>按单位面积散热损失 qp</t>
  </si>
  <si>
    <t>按单位面积散热损失 qp / 按单位长度散热损失 ql</t>
  </si>
  <si>
    <t>qp 允许最大散热损失量</t>
  </si>
  <si>
    <t>W/m²</t>
  </si>
  <si>
    <t>ql 允许最大散热损失量</t>
  </si>
  <si>
    <t>W/m</t>
  </si>
  <si>
    <t>新增方法采用 GB/T 8175-2025 的允许最大散热（冷）损失量法。</t>
  </si>
  <si>
    <t>按单位面积：D1·LN(D1/D0)=2πλ[(T0-Ta)/qp-1/αs]。</t>
  </si>
  <si>
    <t>按单位长度：LN(D1/D0)=2πλ[(T0-Ta)/ql-1/(πD1αs)]。</t>
  </si>
  <si>
    <t>本方法同样采用厚度扫描 + 残差最小法求解。</t>
  </si>
  <si>
    <t>δ(mm)</t>
  </si>
  <si>
    <t>D1(m)</t>
  </si>
  <si>
    <t>Ts(K)</t>
  </si>
  <si>
    <t>Ta(K)</t>
  </si>
  <si>
    <t>T0(K)</t>
  </si>
  <si>
    <t>ΔT(K)</t>
  </si>
  <si>
    <t>T̄(K)</t>
  </si>
  <si>
    <t>vf(m²/s)</t>
  </si>
  <si>
    <t>Gr</t>
  </si>
  <si>
    <t>ρf(kg/m³)</t>
  </si>
  <si>
    <t>Pr</t>
  </si>
  <si>
    <t>αr</t>
  </si>
  <si>
    <t>l(m)</t>
  </si>
  <si>
    <t>Re</t>
  </si>
  <si>
    <t>Nu</t>
  </si>
  <si>
    <t>λf(W/(m·K))</t>
  </si>
  <si>
    <t>αc</t>
  </si>
  <si>
    <t>αs</t>
  </si>
  <si>
    <t>左侧</t>
  </si>
  <si>
    <t>右侧</t>
  </si>
  <si>
    <t>说明</t>
  </si>
  <si>
    <t>残差</t>
  </si>
  <si>
    <t>公式说明（GB/T 8175-2025）</t>
  </si>
  <si>
    <t>序号</t>
  </si>
  <si>
    <t>项目</t>
  </si>
  <si>
    <t>公式</t>
  </si>
  <si>
    <t>来源</t>
  </si>
  <si>
    <t>备注</t>
  </si>
  <si>
    <t>1</t>
  </si>
  <si>
    <t>圆筒单层绝热表面温度法</t>
  </si>
  <si>
    <t>D1*LN(D1/D0)=2*λ*(T0-Ts)/(αs*(Ts-Ta))</t>
  </si>
  <si>
    <t>标准7.3.3</t>
  </si>
  <si>
    <t>用于求 D1</t>
  </si>
  <si>
    <t>2</t>
  </si>
  <si>
    <t>厚度换算</t>
  </si>
  <si>
    <t>δ=(D1-D0)/2</t>
  </si>
  <si>
    <t>标准7.3.1/7.3.3</t>
  </si>
  <si>
    <t>输出厚度</t>
  </si>
  <si>
    <t>3</t>
  </si>
  <si>
    <t>综合换热系数</t>
  </si>
  <si>
    <t>αs=αr+αc</t>
  </si>
  <si>
    <t>附录A.1</t>
  </si>
  <si>
    <t>综合</t>
  </si>
  <si>
    <t>4</t>
  </si>
  <si>
    <t>辐射换热系数</t>
  </si>
  <si>
    <t>αr=ε*σ*(Ts^4-Ta^4)/(Ts-Ta)</t>
  </si>
  <si>
    <t>附录A.2</t>
  </si>
  <si>
    <t>σ=5.67E-8</t>
  </si>
  <si>
    <t>5</t>
  </si>
  <si>
    <t>对流换热系数</t>
  </si>
  <si>
    <t>αc=Nu*λf/l</t>
  </si>
  <si>
    <t>附录A.3</t>
  </si>
  <si>
    <t>l 为特征尺寸</t>
  </si>
  <si>
    <t>6</t>
  </si>
  <si>
    <t>格拉晓夫数</t>
  </si>
  <si>
    <t>Gr=g*l^3*ΔT/(vf^2*T̄)</t>
  </si>
  <si>
    <t>附录A.4.2</t>
  </si>
  <si>
    <t>7</t>
  </si>
  <si>
    <t>空气运动黏度</t>
  </si>
  <si>
    <t>vf=4.2113E-9*T̄^2.5/(112+T̄)</t>
  </si>
  <si>
    <t>8</t>
  </si>
  <si>
    <t>空气密度</t>
  </si>
  <si>
    <t>ρf=348.35/T̄</t>
  </si>
  <si>
    <t>附录A.4.3</t>
  </si>
  <si>
    <t>9</t>
  </si>
  <si>
    <t>空气导热系数</t>
  </si>
  <si>
    <t>λf=0.0243+7.8421E-5*(T̄-273)-2.0755E-8*(T̄-273)^2</t>
  </si>
  <si>
    <t>103K&lt;T&lt;1273K</t>
  </si>
  <si>
    <t>10</t>
  </si>
  <si>
    <t>普朗特数</t>
  </si>
  <si>
    <t>Pr=ρf*vf*cpf/λf</t>
  </si>
  <si>
    <t>11</t>
  </si>
  <si>
    <t>雷诺数</t>
  </si>
  <si>
    <t>Re=ω*l/vf</t>
  </si>
  <si>
    <t>附录A.4.4</t>
  </si>
  <si>
    <t>强制对流</t>
  </si>
  <si>
    <t>12</t>
  </si>
  <si>
    <t>立式圆筒自然对流 Nu</t>
  </si>
  <si>
    <t>Nu=(0.825+0.3063*Gr^(1/6))^2+0.87*(l/D1)</t>
  </si>
  <si>
    <t>表A.1</t>
  </si>
  <si>
    <t>13</t>
  </si>
  <si>
    <t>卧式圆筒自然对流 Nu</t>
  </si>
  <si>
    <t>Nu=(0.752+0.303*Gr^(1/6))^2</t>
  </si>
  <si>
    <t>14</t>
  </si>
  <si>
    <t>圆筒强制对流 Nu</t>
  </si>
  <si>
    <t>Nu=0.3+SQRT((0.592*Re^(1/2))^2+(0.0262*Re^0.8/(1-0.5/Re^0.1))^2)</t>
  </si>
  <si>
    <t>15</t>
  </si>
  <si>
    <t>按单位面积允许最大散热损失量</t>
  </si>
  <si>
    <t>D1*LN(D1/D0)=2*PI()*λ*((T0-Ta)/qp-1/αs)</t>
  </si>
  <si>
    <t>标准7.3.2</t>
  </si>
  <si>
    <t>qp 单位 W/m²</t>
  </si>
  <si>
    <t>16</t>
  </si>
  <si>
    <t>按单位长度允许最大散热损失量</t>
  </si>
  <si>
    <t>LN(D1/D0)=2*PI()*λ*((T0-Ta)/ql-1/(PI()*D1*αs))</t>
  </si>
  <si>
    <t>ql 单位 W/m</t>
  </si>
  <si>
    <t>来自首页</t>
  </si>
  <si>
    <t>当前模式</t>
  </si>
  <si>
    <t>qp</t>
  </si>
  <si>
    <t>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</si>
</sst>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000"/>
    <numFmt numFmtId="178" formatCode="0.000E+0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3F3F3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176" fontId="0" fillId="4" borderId="1" xfId="0" applyNumberForma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177" fontId="0" fillId="5" borderId="1" xfId="0" applyNumberFormat="1" applyFill="1" applyBorder="1" applyAlignment="1">
      <alignment horizontal="left" vertical="center" wrapText="1"/>
    </xf>
    <xf numFmtId="177" fontId="0" fillId="0" borderId="0" xfId="0" applyNumberFormat="1"/>
    <xf numFmtId="178" fontId="0" fillId="0" borderId="0" xfId="0" applyNumberFormat="1"/>
    <xf numFmtId="0" fontId="0" fillId="0" borderId="1" xfId="0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pane ySplit="3" topLeftCell="A4" activePane="bottomLeft" state="frozen"/>
      <selection pane="bottomLeft" activeCell="B9" sqref="B9"/>
    </sheetView>
  </sheetViews>
  <sheetFormatPr defaultRowHeight="13.5" x14ac:dyDescent="0.15"/>
  <cols>
    <col min="1" max="1" width="28" customWidth="1"/>
    <col min="2" max="2" width="20" customWidth="1"/>
    <col min="3" max="4" width="16" customWidth="1"/>
    <col min="5" max="5" width="26" customWidth="1"/>
    <col min="6" max="6" width="24" customWidth="1"/>
    <col min="7" max="10" width="16" customWidth="1"/>
    <col min="11" max="11" width="14" customWidth="1"/>
    <col min="12" max="13" width="16" customWidth="1"/>
    <col min="14" max="14" width="14" customWidth="1"/>
    <col min="15" max="15" width="16" customWidth="1"/>
    <col min="16" max="16" width="18" customWidth="1"/>
    <col min="17" max="18" width="16" customWidth="1"/>
    <col min="19" max="21" width="18" customWidth="1"/>
    <col min="22" max="22" width="14" customWidth="1"/>
  </cols>
  <sheetData>
    <row r="1" spans="1:8" x14ac:dyDescent="0.15">
      <c r="A1" s="12" t="s">
        <v>0</v>
      </c>
      <c r="B1" s="10"/>
      <c r="C1" s="10"/>
      <c r="D1" s="10"/>
      <c r="E1" s="10"/>
      <c r="F1" s="10"/>
      <c r="G1" s="10"/>
      <c r="H1" s="11"/>
    </row>
    <row r="3" spans="1:8" ht="27" x14ac:dyDescent="0.15">
      <c r="A3" s="1" t="s">
        <v>1</v>
      </c>
      <c r="B3" s="1"/>
      <c r="C3" s="1"/>
      <c r="E3" s="1" t="s">
        <v>2</v>
      </c>
      <c r="F3" s="1"/>
      <c r="G3" s="1"/>
    </row>
    <row r="4" spans="1:8" x14ac:dyDescent="0.15">
      <c r="A4" s="2" t="s">
        <v>3</v>
      </c>
      <c r="B4" s="3">
        <v>0.12</v>
      </c>
      <c r="C4" s="2" t="s">
        <v>4</v>
      </c>
      <c r="E4" s="4" t="s">
        <v>5</v>
      </c>
      <c r="F4" s="5">
        <f>INDEX(迭代计算!$A$5:$A$1004, MATCH(MIN(迭代计算!$V$5:$V$1004), 迭代计算!$V$5:$V$1004, 0))</f>
        <v>29</v>
      </c>
      <c r="G4" s="4" t="s">
        <v>6</v>
      </c>
    </row>
    <row r="5" spans="1:8" x14ac:dyDescent="0.15">
      <c r="A5" s="2" t="s">
        <v>7</v>
      </c>
      <c r="B5" s="3">
        <v>1100</v>
      </c>
      <c r="C5" s="2" t="s">
        <v>8</v>
      </c>
      <c r="E5" s="4" t="s">
        <v>9</v>
      </c>
      <c r="F5" s="5">
        <f>INDEX(迭代计算!$B$5:$B$1004, MATCH(MIN(迭代计算!$V$5:$V$1004), 迭代计算!$V$5:$V$1004, 0))</f>
        <v>0.17799999999999999</v>
      </c>
      <c r="G5" s="4" t="s">
        <v>4</v>
      </c>
    </row>
    <row r="6" spans="1:8" x14ac:dyDescent="0.15">
      <c r="A6" s="2" t="s">
        <v>10</v>
      </c>
      <c r="B6" s="3">
        <v>20</v>
      </c>
      <c r="C6" s="2" t="s">
        <v>8</v>
      </c>
      <c r="E6" s="4" t="s">
        <v>11</v>
      </c>
      <c r="F6" s="5">
        <f>INDEX(迭代计算!$L$5:$L$1004, MATCH(MIN(迭代计算!$V$5:$V$1004), 迭代计算!$V$5:$V$1004, 0))</f>
        <v>7.7687338005019564</v>
      </c>
      <c r="G6" s="4" t="s">
        <v>12</v>
      </c>
    </row>
    <row r="7" spans="1:8" x14ac:dyDescent="0.15">
      <c r="A7" s="2" t="s">
        <v>13</v>
      </c>
      <c r="B7" s="3">
        <v>115</v>
      </c>
      <c r="C7" s="2" t="s">
        <v>8</v>
      </c>
      <c r="E7" s="4" t="s">
        <v>14</v>
      </c>
      <c r="F7" s="5">
        <f>INDEX(迭代计算!$Q$5:$Q$1004, MATCH(MIN(迭代计算!$V$5:$V$1004), 迭代计算!$V$5:$V$1004, 0))</f>
        <v>5.5005534544678385</v>
      </c>
      <c r="G7" s="4" t="s">
        <v>12</v>
      </c>
    </row>
    <row r="8" spans="1:8" x14ac:dyDescent="0.15">
      <c r="A8" s="2" t="s">
        <v>15</v>
      </c>
      <c r="B8" s="3">
        <v>4.4999999999999998E-2</v>
      </c>
      <c r="C8" s="2" t="s">
        <v>16</v>
      </c>
      <c r="E8" s="4" t="s">
        <v>17</v>
      </c>
      <c r="F8" s="5">
        <f>INDEX(迭代计算!$R$5:$R$1004, MATCH(MIN(迭代计算!$V$5:$V$1004), 迭代计算!$V$5:$V$1004, 0))</f>
        <v>13.269287254969795</v>
      </c>
      <c r="G8" s="4" t="s">
        <v>12</v>
      </c>
    </row>
    <row r="9" spans="1:8" x14ac:dyDescent="0.15">
      <c r="A9" s="2" t="s">
        <v>18</v>
      </c>
      <c r="B9" s="3">
        <v>0.85</v>
      </c>
      <c r="C9" s="2" t="s">
        <v>19</v>
      </c>
      <c r="E9" s="4" t="s">
        <v>20</v>
      </c>
      <c r="F9" s="5">
        <f>INDEX(迭代计算!$O$5:$O$1004, MATCH(MIN(迭代计算!$V$5:$V$1004), 迭代计算!$V$5:$V$1004, 0))</f>
        <v>10289.005255743888</v>
      </c>
      <c r="G9" s="4" t="s">
        <v>19</v>
      </c>
    </row>
    <row r="10" spans="1:8" x14ac:dyDescent="0.15">
      <c r="A10" s="2" t="s">
        <v>21</v>
      </c>
      <c r="B10" s="3">
        <v>55.2</v>
      </c>
      <c r="C10" s="2" t="s">
        <v>4</v>
      </c>
      <c r="E10" s="4" t="s">
        <v>22</v>
      </c>
      <c r="F10" s="5">
        <f>INDEX(迭代计算!$I$5:$I$1004, MATCH(MIN(迭代计算!$V$5:$V$1004), 迭代计算!$V$5:$V$1004, 0))</f>
        <v>1158916576932337.8</v>
      </c>
      <c r="G10" s="4" t="s">
        <v>19</v>
      </c>
    </row>
    <row r="11" spans="1:8" x14ac:dyDescent="0.15">
      <c r="A11" s="2" t="s">
        <v>23</v>
      </c>
      <c r="B11" s="3">
        <v>0</v>
      </c>
      <c r="C11" s="2" t="s">
        <v>24</v>
      </c>
      <c r="E11" s="4" t="s">
        <v>25</v>
      </c>
      <c r="F11" s="5">
        <f>INDEX(迭代计算!$K$5:$K$1004, MATCH(MIN(迭代计算!$V$5:$V$1004), 迭代计算!$V$5:$V$1004, 0))</f>
        <v>0.69532757496605813</v>
      </c>
      <c r="G11" s="4" t="s">
        <v>19</v>
      </c>
    </row>
    <row r="12" spans="1:8" x14ac:dyDescent="0.15">
      <c r="A12" s="2" t="s">
        <v>26</v>
      </c>
      <c r="B12" s="3">
        <v>1007</v>
      </c>
      <c r="C12" s="2" t="s">
        <v>27</v>
      </c>
      <c r="E12" s="4" t="s">
        <v>28</v>
      </c>
      <c r="F12" s="5">
        <f>INDEX(迭代计算!$N$5:$N$1004, MATCH(MIN(迭代计算!$V$5:$V$1004), 迭代计算!$V$5:$V$1004, 0))</f>
        <v>0</v>
      </c>
      <c r="G12" s="4" t="s">
        <v>19</v>
      </c>
    </row>
    <row r="13" spans="1:8" ht="27" x14ac:dyDescent="0.15">
      <c r="A13" s="2" t="s">
        <v>29</v>
      </c>
      <c r="B13" s="2" t="s">
        <v>30</v>
      </c>
      <c r="C13" s="2" t="s">
        <v>31</v>
      </c>
      <c r="E13" s="4" t="s">
        <v>32</v>
      </c>
      <c r="F13" s="5">
        <f>MIN(迭代计算!$V$5:$V$1004)</f>
        <v>1.4070169026245138E-4</v>
      </c>
      <c r="G13" s="4" t="s">
        <v>19</v>
      </c>
    </row>
    <row r="14" spans="1:8" ht="27" x14ac:dyDescent="0.15">
      <c r="A14" s="2" t="s">
        <v>33</v>
      </c>
      <c r="B14" s="2" t="s">
        <v>34</v>
      </c>
      <c r="C14" s="2" t="s">
        <v>35</v>
      </c>
    </row>
    <row r="16" spans="1:8" x14ac:dyDescent="0.15">
      <c r="A16" s="9" t="s">
        <v>36</v>
      </c>
      <c r="B16" s="10"/>
      <c r="C16" s="10"/>
      <c r="D16" s="10"/>
      <c r="E16" s="10"/>
      <c r="F16" s="10"/>
      <c r="G16" s="10"/>
      <c r="H16" s="11"/>
    </row>
    <row r="17" spans="1:8" x14ac:dyDescent="0.15">
      <c r="A17" s="9" t="s">
        <v>37</v>
      </c>
      <c r="B17" s="10"/>
      <c r="C17" s="10"/>
      <c r="D17" s="10"/>
      <c r="E17" s="10"/>
      <c r="F17" s="10"/>
      <c r="G17" s="10"/>
      <c r="H17" s="11"/>
    </row>
    <row r="18" spans="1:8" x14ac:dyDescent="0.15">
      <c r="A18" s="9" t="s">
        <v>38</v>
      </c>
      <c r="B18" s="10"/>
      <c r="C18" s="10"/>
      <c r="D18" s="10"/>
      <c r="E18" s="10"/>
      <c r="F18" s="10"/>
      <c r="G18" s="10"/>
      <c r="H18" s="11"/>
    </row>
    <row r="19" spans="1:8" x14ac:dyDescent="0.15">
      <c r="A19" s="9" t="s">
        <v>39</v>
      </c>
      <c r="B19" s="10"/>
      <c r="C19" s="10"/>
      <c r="D19" s="10"/>
      <c r="E19" s="10"/>
      <c r="F19" s="10"/>
      <c r="G19" s="10"/>
      <c r="H19" s="11"/>
    </row>
    <row r="23" spans="1:8" x14ac:dyDescent="0.15">
      <c r="A23" s="13" t="s">
        <v>40</v>
      </c>
      <c r="B23" s="10"/>
      <c r="C23" s="11"/>
      <c r="E23" s="13" t="s">
        <v>41</v>
      </c>
      <c r="F23" s="10"/>
      <c r="G23" s="11"/>
    </row>
    <row r="24" spans="1:8" ht="40.5" x14ac:dyDescent="0.15">
      <c r="A24" s="2" t="s">
        <v>42</v>
      </c>
      <c r="B24" s="3" t="s">
        <v>43</v>
      </c>
      <c r="C24" s="2" t="s">
        <v>44</v>
      </c>
      <c r="E24" s="4" t="s">
        <v>42</v>
      </c>
      <c r="F24" s="4" t="str">
        <f>允许散热损失法!$Y$2</f>
        <v>按单位面积散热损失 qp</v>
      </c>
      <c r="G24" s="4" t="s">
        <v>19</v>
      </c>
    </row>
    <row r="25" spans="1:8" x14ac:dyDescent="0.15">
      <c r="A25" s="2" t="s">
        <v>45</v>
      </c>
      <c r="B25" s="3">
        <f>102000/(PI()*B4*B10)</f>
        <v>4901.5109285547478</v>
      </c>
      <c r="C25" s="2" t="s">
        <v>46</v>
      </c>
      <c r="E25" s="4" t="s">
        <v>5</v>
      </c>
      <c r="F25" s="5">
        <f>INDEX(允许散热损失法!$A$5:$A$1004, MATCH(MIN(允许散热损失法!$V$5:$V$1004), 允许散热损失法!$V$5:$V$1004, 0))</f>
        <v>18</v>
      </c>
      <c r="G25" s="4" t="s">
        <v>6</v>
      </c>
    </row>
    <row r="26" spans="1:8" x14ac:dyDescent="0.15">
      <c r="A26" s="2" t="s">
        <v>47</v>
      </c>
      <c r="B26" s="3">
        <f>102000/(PI()*B4*B10)</f>
        <v>4901.5109285547478</v>
      </c>
      <c r="C26" s="2" t="s">
        <v>48</v>
      </c>
      <c r="E26" s="4" t="s">
        <v>9</v>
      </c>
      <c r="F26" s="5">
        <f>INDEX(允许散热损失法!$B$5:$B$1004, MATCH(MIN(允许散热损失法!$V$5:$V$1004), 允许散热损失法!$V$5:$V$1004, 0))</f>
        <v>0.156</v>
      </c>
      <c r="G26" s="4" t="s">
        <v>4</v>
      </c>
    </row>
    <row r="27" spans="1:8" x14ac:dyDescent="0.15">
      <c r="E27" s="4" t="s">
        <v>17</v>
      </c>
      <c r="F27" s="5">
        <f>INDEX(允许散热损失法!$R$5:$R$1004, MATCH(MIN(允许散热损失法!$V$5:$V$1004), 允许散热损失法!$V$5:$V$1004, 0))</f>
        <v>13.289628119665643</v>
      </c>
      <c r="G27" s="4" t="s">
        <v>12</v>
      </c>
    </row>
    <row r="28" spans="1:8" x14ac:dyDescent="0.15">
      <c r="E28" s="4" t="s">
        <v>32</v>
      </c>
      <c r="F28" s="5">
        <f>MIN(允许散热损失法!$V$5:$V$1004)</f>
        <v>9.5415287919266289E-5</v>
      </c>
      <c r="G28" s="4" t="s">
        <v>19</v>
      </c>
    </row>
    <row r="30" spans="1:8" x14ac:dyDescent="0.15">
      <c r="A30" s="9" t="s">
        <v>49</v>
      </c>
      <c r="B30" s="10"/>
      <c r="C30" s="10"/>
      <c r="D30" s="10"/>
      <c r="E30" s="10"/>
      <c r="F30" s="10"/>
      <c r="G30" s="10"/>
      <c r="H30" s="11"/>
    </row>
    <row r="31" spans="1:8" x14ac:dyDescent="0.15">
      <c r="A31" s="9" t="s">
        <v>50</v>
      </c>
      <c r="B31" s="10"/>
      <c r="C31" s="10"/>
      <c r="D31" s="10"/>
      <c r="E31" s="10"/>
      <c r="F31" s="10"/>
      <c r="G31" s="10"/>
      <c r="H31" s="11"/>
    </row>
    <row r="32" spans="1:8" x14ac:dyDescent="0.15">
      <c r="A32" s="9" t="s">
        <v>51</v>
      </c>
      <c r="B32" s="10"/>
      <c r="C32" s="10"/>
      <c r="D32" s="10"/>
      <c r="E32" s="10"/>
      <c r="F32" s="10"/>
      <c r="G32" s="10"/>
      <c r="H32" s="11"/>
    </row>
    <row r="33" spans="1:8" x14ac:dyDescent="0.15">
      <c r="A33" s="9" t="s">
        <v>52</v>
      </c>
      <c r="B33" s="10"/>
      <c r="C33" s="10"/>
      <c r="D33" s="10"/>
      <c r="E33" s="10"/>
      <c r="F33" s="10"/>
      <c r="G33" s="10"/>
      <c r="H33" s="11"/>
    </row>
  </sheetData>
  <mergeCells count="11">
    <mergeCell ref="A33:H33"/>
    <mergeCell ref="A1:H1"/>
    <mergeCell ref="A32:H32"/>
    <mergeCell ref="A31:H31"/>
    <mergeCell ref="A17:H17"/>
    <mergeCell ref="A18:H18"/>
    <mergeCell ref="A30:H30"/>
    <mergeCell ref="A23:C23"/>
    <mergeCell ref="E23:G23"/>
    <mergeCell ref="A16:H16"/>
    <mergeCell ref="A19:H19"/>
  </mergeCells>
  <phoneticPr fontId="2" type="noConversion"/>
  <dataValidations count="3">
    <dataValidation type="list" sqref="B13" xr:uid="{00000000-0002-0000-0000-000000000000}">
      <formula1>"自然对流,强制对流"</formula1>
    </dataValidation>
    <dataValidation type="list" sqref="B14" xr:uid="{00000000-0002-0000-0000-000001000000}">
      <formula1>"立式圆筒,卧式圆筒"</formula1>
    </dataValidation>
    <dataValidation type="list" sqref="B24" xr:uid="{00000000-0002-0000-0000-000002000000}">
      <formula1>"按单位面积散热损失 qp,按单位长度散热损失 ql"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V1004"/>
  <sheetViews>
    <sheetView workbookViewId="0">
      <pane ySplit="4" topLeftCell="A5" activePane="bottomLeft" state="frozen"/>
      <selection pane="bottomLeft"/>
    </sheetView>
  </sheetViews>
  <sheetFormatPr defaultRowHeight="13.5" x14ac:dyDescent="0.15"/>
  <cols>
    <col min="1" max="1" width="28" customWidth="1"/>
    <col min="2" max="2" width="20" customWidth="1"/>
    <col min="3" max="4" width="16" customWidth="1"/>
    <col min="5" max="5" width="26" customWidth="1"/>
    <col min="6" max="6" width="24" customWidth="1"/>
    <col min="7" max="10" width="16" customWidth="1"/>
    <col min="11" max="11" width="14" customWidth="1"/>
    <col min="12" max="13" width="16" customWidth="1"/>
    <col min="14" max="14" width="14" customWidth="1"/>
    <col min="15" max="15" width="16" customWidth="1"/>
    <col min="16" max="16" width="18" customWidth="1"/>
    <col min="17" max="18" width="16" customWidth="1"/>
    <col min="19" max="21" width="18" customWidth="1"/>
    <col min="22" max="22" width="14" customWidth="1"/>
  </cols>
  <sheetData>
    <row r="4" spans="1:22" x14ac:dyDescent="0.15">
      <c r="A4" s="1" t="s">
        <v>53</v>
      </c>
      <c r="B4" s="1" t="s">
        <v>54</v>
      </c>
      <c r="C4" s="1" t="s">
        <v>55</v>
      </c>
      <c r="D4" s="1" t="s">
        <v>56</v>
      </c>
      <c r="E4" s="1" t="s">
        <v>57</v>
      </c>
      <c r="F4" s="1" t="s">
        <v>58</v>
      </c>
      <c r="G4" s="1" t="s">
        <v>59</v>
      </c>
      <c r="H4" s="1" t="s">
        <v>60</v>
      </c>
      <c r="I4" s="1" t="s">
        <v>61</v>
      </c>
      <c r="J4" s="1" t="s">
        <v>62</v>
      </c>
      <c r="K4" s="1" t="s">
        <v>63</v>
      </c>
      <c r="L4" s="1" t="s">
        <v>64</v>
      </c>
      <c r="M4" s="1" t="s">
        <v>65</v>
      </c>
      <c r="N4" s="1" t="s">
        <v>66</v>
      </c>
      <c r="O4" s="1" t="s">
        <v>67</v>
      </c>
      <c r="P4" s="1" t="s">
        <v>68</v>
      </c>
      <c r="Q4" s="1" t="s">
        <v>69</v>
      </c>
      <c r="R4" s="1" t="s">
        <v>70</v>
      </c>
      <c r="S4" s="1" t="s">
        <v>71</v>
      </c>
      <c r="T4" s="1" t="s">
        <v>72</v>
      </c>
      <c r="U4" s="1" t="s">
        <v>73</v>
      </c>
      <c r="V4" s="1" t="s">
        <v>74</v>
      </c>
    </row>
    <row r="5" spans="1:22" x14ac:dyDescent="0.15">
      <c r="A5">
        <v>0</v>
      </c>
      <c r="B5" s="6">
        <f>首页!$B$4+2*A5/1000</f>
        <v>0.12</v>
      </c>
      <c r="C5" s="6">
        <f>首页!$B$7+273.15</f>
        <v>388.15</v>
      </c>
      <c r="D5" s="6">
        <f>首页!$B$6+273.15</f>
        <v>293.14999999999998</v>
      </c>
      <c r="E5" s="6">
        <f>首页!$B$5+273.15</f>
        <v>1373.15</v>
      </c>
      <c r="F5" s="6">
        <f t="shared" ref="F5:F68" si="0">C5-D5</f>
        <v>95</v>
      </c>
      <c r="G5" s="6">
        <f t="shared" ref="G5:G68" si="1">(C5+D5)/2</f>
        <v>340.65</v>
      </c>
      <c r="H5" s="6">
        <f t="shared" ref="H5:H68" si="2">0.0000000042113*G5^2.5/(112+G5)</f>
        <v>1.9926207055139041E-5</v>
      </c>
      <c r="I5" s="7">
        <f t="shared" ref="I5:I68" si="3">9.81*M5^3*F5/(H5^2*G5)</f>
        <v>1158916576932337.8</v>
      </c>
      <c r="J5" s="6">
        <f t="shared" ref="J5:J68" si="4">348.35/G5</f>
        <v>1.0226038455893147</v>
      </c>
      <c r="K5" s="7">
        <f>J5*H5*首页!$B$12/P5</f>
        <v>0.69532757496605813</v>
      </c>
      <c r="L5" s="6">
        <f>首页!$B$9*0.0000000567*((C5^4-D5^4)/(C5-D5))</f>
        <v>7.7687338005019564</v>
      </c>
      <c r="M5" s="6">
        <f>IF(首页!$B$13="自然对流",IF(首页!$B$14="立式圆筒",首页!$B$10,PI()*B5/2),PI()*B5/2)</f>
        <v>55.2</v>
      </c>
      <c r="N5" s="7">
        <f>IF(首页!$B$13="强制对流",首页!$B$11*M5/H5,0)</f>
        <v>0</v>
      </c>
      <c r="O5" s="6">
        <f>IF(首页!$B$13="自然对流",IF(首页!$B$14="立式圆筒",(0.825+0.3063*I5^(1/6))^2+0.87*(M5/B5),(0.752+0.303*I5^(1/6))^2),0.3+SQRT((0.592*N5^0.5)^2+(0.0262*N5^0.8/(1-0.5/N5^0.1))^2))</f>
        <v>10419.407502934901</v>
      </c>
      <c r="P5" s="6">
        <f t="shared" ref="P5:P68" si="5">0.0243+0.000078421*(G5-273)-0.000000020755*(G5-273)^2</f>
        <v>2.9510194925512497E-2</v>
      </c>
      <c r="Q5" s="6">
        <f t="shared" ref="Q5:Q68" si="6">O5*P5/M5</f>
        <v>5.5702671452890637</v>
      </c>
      <c r="R5" s="6">
        <f t="shared" ref="R5:R68" si="7">L5+Q5</f>
        <v>13.339000945791021</v>
      </c>
      <c r="S5" s="6">
        <f>B5*LN(B5/首页!$B$4)</f>
        <v>0</v>
      </c>
      <c r="T5" s="6">
        <f>2*首页!$B$8*(E5-C5)/(R5*(C5-D5))</f>
        <v>6.995710537311943E-2</v>
      </c>
      <c r="U5" t="str">
        <f>IF(首页!$B$13="自然对流","按自然对流公式", "按强制对流公式")</f>
        <v>按自然对流公式</v>
      </c>
      <c r="V5" s="6">
        <f t="shared" ref="V5:V68" si="8">ABS(S5-T5)</f>
        <v>6.995710537311943E-2</v>
      </c>
    </row>
    <row r="6" spans="1:22" x14ac:dyDescent="0.15">
      <c r="A6">
        <v>1</v>
      </c>
      <c r="B6" s="6">
        <f>首页!$B$4+2*A6/1000</f>
        <v>0.122</v>
      </c>
      <c r="C6" s="6">
        <f>首页!$B$7+273.15</f>
        <v>388.15</v>
      </c>
      <c r="D6" s="6">
        <f>首页!$B$6+273.15</f>
        <v>293.14999999999998</v>
      </c>
      <c r="E6" s="6">
        <f>首页!$B$5+273.15</f>
        <v>1373.15</v>
      </c>
      <c r="F6" s="6">
        <f t="shared" si="0"/>
        <v>95</v>
      </c>
      <c r="G6" s="6">
        <f t="shared" si="1"/>
        <v>340.65</v>
      </c>
      <c r="H6" s="6">
        <f t="shared" si="2"/>
        <v>1.9926207055139041E-5</v>
      </c>
      <c r="I6" s="7">
        <f t="shared" si="3"/>
        <v>1158916576932337.8</v>
      </c>
      <c r="J6" s="6">
        <f t="shared" si="4"/>
        <v>1.0226038455893147</v>
      </c>
      <c r="K6" s="7">
        <f>J6*H6*首页!$B$12/P6</f>
        <v>0.69532757496605813</v>
      </c>
      <c r="L6" s="6">
        <f>首页!$B$9*0.0000000567*((C6^4-D6^4)/(C6-D6))</f>
        <v>7.7687338005019564</v>
      </c>
      <c r="M6" s="6">
        <f>IF(首页!$B$13="自然对流",IF(首页!$B$14="立式圆筒",首页!$B$10,PI()*B6/2),PI()*B6/2)</f>
        <v>55.2</v>
      </c>
      <c r="N6" s="7">
        <f>IF(首页!$B$13="强制对流",首页!$B$11*M6/H6,0)</f>
        <v>0</v>
      </c>
      <c r="O6" s="6">
        <f>IF(首页!$B$13="自然对流",IF(首页!$B$14="立式圆筒",(0.825+0.3063*I6^(1/6))^2+0.87*(M6/B6),(0.752+0.303*I6^(1/6))^2),0.3+SQRT((0.592*N6^0.5)^2+(0.0262*N6^0.8/(1-0.5/N6^0.1))^2))</f>
        <v>10412.846847197196</v>
      </c>
      <c r="P6" s="6">
        <f t="shared" si="5"/>
        <v>2.9510194925512497E-2</v>
      </c>
      <c r="Q6" s="6">
        <f t="shared" si="6"/>
        <v>5.5667597860561129</v>
      </c>
      <c r="R6" s="6">
        <f t="shared" si="7"/>
        <v>13.335493586558069</v>
      </c>
      <c r="S6" s="6">
        <f>B6*LN(B6/首页!$B$4)</f>
        <v>2.0165748380476817E-3</v>
      </c>
      <c r="T6" s="6">
        <f>2*首页!$B$8*(E6-C6)/(R6*(C6-D6))</f>
        <v>6.997550474452989E-2</v>
      </c>
      <c r="U6" t="str">
        <f>IF(首页!$B$13="自然对流","按自然对流公式", "按强制对流公式")</f>
        <v>按自然对流公式</v>
      </c>
      <c r="V6" s="6">
        <f t="shared" si="8"/>
        <v>6.795892990648221E-2</v>
      </c>
    </row>
    <row r="7" spans="1:22" x14ac:dyDescent="0.15">
      <c r="A7">
        <v>2</v>
      </c>
      <c r="B7" s="6">
        <f>首页!$B$4+2*A7/1000</f>
        <v>0.124</v>
      </c>
      <c r="C7" s="6">
        <f>首页!$B$7+273.15</f>
        <v>388.15</v>
      </c>
      <c r="D7" s="6">
        <f>首页!$B$6+273.15</f>
        <v>293.14999999999998</v>
      </c>
      <c r="E7" s="6">
        <f>首页!$B$5+273.15</f>
        <v>1373.15</v>
      </c>
      <c r="F7" s="6">
        <f t="shared" si="0"/>
        <v>95</v>
      </c>
      <c r="G7" s="6">
        <f t="shared" si="1"/>
        <v>340.65</v>
      </c>
      <c r="H7" s="6">
        <f t="shared" si="2"/>
        <v>1.9926207055139041E-5</v>
      </c>
      <c r="I7" s="7">
        <f t="shared" si="3"/>
        <v>1158916576932337.8</v>
      </c>
      <c r="J7" s="6">
        <f t="shared" si="4"/>
        <v>1.0226038455893147</v>
      </c>
      <c r="K7" s="7">
        <f>J7*H7*首页!$B$12/P7</f>
        <v>0.69532757496605813</v>
      </c>
      <c r="L7" s="6">
        <f>首页!$B$9*0.0000000567*((C7^4-D7^4)/(C7-D7))</f>
        <v>7.7687338005019564</v>
      </c>
      <c r="M7" s="6">
        <f>IF(首页!$B$13="自然对流",IF(首页!$B$14="立式圆筒",首页!$B$10,PI()*B7/2),PI()*B7/2)</f>
        <v>55.2</v>
      </c>
      <c r="N7" s="7">
        <f>IF(首页!$B$13="强制对流",首页!$B$11*M7/H7,0)</f>
        <v>0</v>
      </c>
      <c r="O7" s="6">
        <f>IF(首页!$B$13="自然对流",IF(首页!$B$14="立式圆筒",(0.825+0.3063*I7^(1/6))^2+0.87*(M7/B7),(0.752+0.303*I7^(1/6))^2),0.3+SQRT((0.592*N7^0.5)^2+(0.0262*N7^0.8/(1-0.5/N7^0.1))^2))</f>
        <v>10406.497825515546</v>
      </c>
      <c r="P7" s="6">
        <f t="shared" si="5"/>
        <v>2.9510194925512497E-2</v>
      </c>
      <c r="Q7" s="6">
        <f t="shared" si="6"/>
        <v>5.5633655674435811</v>
      </c>
      <c r="R7" s="6">
        <f t="shared" si="7"/>
        <v>13.332099367945538</v>
      </c>
      <c r="S7" s="6">
        <f>B7*LN(B7/首页!$B$4)</f>
        <v>4.06593803005088E-3</v>
      </c>
      <c r="T7" s="6">
        <f>2*首页!$B$8*(E7-C7)/(R7*(C7-D7))</f>
        <v>6.9993319805314411E-2</v>
      </c>
      <c r="U7" t="str">
        <f>IF(首页!$B$13="自然对流","按自然对流公式", "按强制对流公式")</f>
        <v>按自然对流公式</v>
      </c>
      <c r="V7" s="6">
        <f t="shared" si="8"/>
        <v>6.5927381775263527E-2</v>
      </c>
    </row>
    <row r="8" spans="1:22" x14ac:dyDescent="0.15">
      <c r="A8">
        <v>3</v>
      </c>
      <c r="B8" s="6">
        <f>首页!$B$4+2*A8/1000</f>
        <v>0.126</v>
      </c>
      <c r="C8" s="6">
        <f>首页!$B$7+273.15</f>
        <v>388.15</v>
      </c>
      <c r="D8" s="6">
        <f>首页!$B$6+273.15</f>
        <v>293.14999999999998</v>
      </c>
      <c r="E8" s="6">
        <f>首页!$B$5+273.15</f>
        <v>1373.15</v>
      </c>
      <c r="F8" s="6">
        <f t="shared" si="0"/>
        <v>95</v>
      </c>
      <c r="G8" s="6">
        <f t="shared" si="1"/>
        <v>340.65</v>
      </c>
      <c r="H8" s="6">
        <f t="shared" si="2"/>
        <v>1.9926207055139041E-5</v>
      </c>
      <c r="I8" s="7">
        <f t="shared" si="3"/>
        <v>1158916576932337.8</v>
      </c>
      <c r="J8" s="6">
        <f t="shared" si="4"/>
        <v>1.0226038455893147</v>
      </c>
      <c r="K8" s="7">
        <f>J8*H8*首页!$B$12/P8</f>
        <v>0.69532757496605813</v>
      </c>
      <c r="L8" s="6">
        <f>首页!$B$9*0.0000000567*((C8^4-D8^4)/(C8-D8))</f>
        <v>7.7687338005019564</v>
      </c>
      <c r="M8" s="6">
        <f>IF(首页!$B$13="自然对流",IF(首页!$B$14="立式圆筒",首页!$B$10,PI()*B8/2),PI()*B8/2)</f>
        <v>55.2</v>
      </c>
      <c r="N8" s="7">
        <f>IF(首页!$B$13="强制对流",首页!$B$11*M8/H8,0)</f>
        <v>0</v>
      </c>
      <c r="O8" s="6">
        <f>IF(首页!$B$13="自然对流",IF(首页!$B$14="立式圆筒",(0.825+0.3063*I8^(1/6))^2+0.87*(M8/B8),(0.752+0.303*I8^(1/6))^2),0.3+SQRT((0.592*N8^0.5)^2+(0.0262*N8^0.8/(1-0.5/N8^0.1))^2))</f>
        <v>10400.350360077757</v>
      </c>
      <c r="P8" s="6">
        <f t="shared" si="5"/>
        <v>2.9510194925512497E-2</v>
      </c>
      <c r="Q8" s="6">
        <f t="shared" si="6"/>
        <v>5.5600791018028746</v>
      </c>
      <c r="R8" s="6">
        <f t="shared" si="7"/>
        <v>13.328812902304831</v>
      </c>
      <c r="S8" s="6">
        <f>B8*LN(B8/首页!$B$4)</f>
        <v>6.1475606853484384E-3</v>
      </c>
      <c r="T8" s="6">
        <f>2*首页!$B$8*(E8-C8)/(R8*(C8-D8))</f>
        <v>7.0010577954431302E-2</v>
      </c>
      <c r="U8" t="str">
        <f>IF(首页!$B$13="自然对流","按自然对流公式", "按强制对流公式")</f>
        <v>按自然对流公式</v>
      </c>
      <c r="V8" s="6">
        <f t="shared" si="8"/>
        <v>6.3863017269082861E-2</v>
      </c>
    </row>
    <row r="9" spans="1:22" x14ac:dyDescent="0.15">
      <c r="A9">
        <v>4</v>
      </c>
      <c r="B9" s="6">
        <f>首页!$B$4+2*A9/1000</f>
        <v>0.128</v>
      </c>
      <c r="C9" s="6">
        <f>首页!$B$7+273.15</f>
        <v>388.15</v>
      </c>
      <c r="D9" s="6">
        <f>首页!$B$6+273.15</f>
        <v>293.14999999999998</v>
      </c>
      <c r="E9" s="6">
        <f>首页!$B$5+273.15</f>
        <v>1373.15</v>
      </c>
      <c r="F9" s="6">
        <f t="shared" si="0"/>
        <v>95</v>
      </c>
      <c r="G9" s="6">
        <f t="shared" si="1"/>
        <v>340.65</v>
      </c>
      <c r="H9" s="6">
        <f t="shared" si="2"/>
        <v>1.9926207055139041E-5</v>
      </c>
      <c r="I9" s="7">
        <f t="shared" si="3"/>
        <v>1158916576932337.8</v>
      </c>
      <c r="J9" s="6">
        <f t="shared" si="4"/>
        <v>1.0226038455893147</v>
      </c>
      <c r="K9" s="7">
        <f>J9*H9*首页!$B$12/P9</f>
        <v>0.69532757496605813</v>
      </c>
      <c r="L9" s="6">
        <f>首页!$B$9*0.0000000567*((C9^4-D9^4)/(C9-D9))</f>
        <v>7.7687338005019564</v>
      </c>
      <c r="M9" s="6">
        <f>IF(首页!$B$13="自然对流",IF(首页!$B$14="立式圆筒",首页!$B$10,PI()*B9/2),PI()*B9/2)</f>
        <v>55.2</v>
      </c>
      <c r="N9" s="7">
        <f>IF(首页!$B$13="强制对流",首页!$B$11*M9/H9,0)</f>
        <v>0</v>
      </c>
      <c r="O9" s="6">
        <f>IF(首页!$B$13="自然对流",IF(首页!$B$14="立式圆筒",(0.825+0.3063*I9^(1/6))^2+0.87*(M9/B9),(0.752+0.303*I9^(1/6))^2),0.3+SQRT((0.592*N9^0.5)^2+(0.0262*N9^0.8/(1-0.5/N9^0.1))^2))</f>
        <v>10394.3950029349</v>
      </c>
      <c r="P9" s="6">
        <f t="shared" si="5"/>
        <v>2.9510194925512497E-2</v>
      </c>
      <c r="Q9" s="6">
        <f t="shared" si="6"/>
        <v>5.5568953382134403</v>
      </c>
      <c r="R9" s="6">
        <f t="shared" si="7"/>
        <v>13.325629138715396</v>
      </c>
      <c r="S9" s="6">
        <f>B9*LN(B9/首页!$B$4)</f>
        <v>8.260930705609109E-3</v>
      </c>
      <c r="T9" s="6">
        <f>2*首页!$B$8*(E9-C9)/(R9*(C9-D9))</f>
        <v>7.0027304904179521E-2</v>
      </c>
      <c r="U9" t="str">
        <f>IF(首页!$B$13="自然对流","按自然对流公式", "按强制对流公式")</f>
        <v>按自然对流公式</v>
      </c>
      <c r="V9" s="6">
        <f t="shared" si="8"/>
        <v>6.1766374198570409E-2</v>
      </c>
    </row>
    <row r="10" spans="1:22" x14ac:dyDescent="0.15">
      <c r="A10">
        <v>5</v>
      </c>
      <c r="B10" s="6">
        <f>首页!$B$4+2*A10/1000</f>
        <v>0.13</v>
      </c>
      <c r="C10" s="6">
        <f>首页!$B$7+273.15</f>
        <v>388.15</v>
      </c>
      <c r="D10" s="6">
        <f>首页!$B$6+273.15</f>
        <v>293.14999999999998</v>
      </c>
      <c r="E10" s="6">
        <f>首页!$B$5+273.15</f>
        <v>1373.15</v>
      </c>
      <c r="F10" s="6">
        <f t="shared" si="0"/>
        <v>95</v>
      </c>
      <c r="G10" s="6">
        <f t="shared" si="1"/>
        <v>340.65</v>
      </c>
      <c r="H10" s="6">
        <f t="shared" si="2"/>
        <v>1.9926207055139041E-5</v>
      </c>
      <c r="I10" s="7">
        <f t="shared" si="3"/>
        <v>1158916576932337.8</v>
      </c>
      <c r="J10" s="6">
        <f t="shared" si="4"/>
        <v>1.0226038455893147</v>
      </c>
      <c r="K10" s="7">
        <f>J10*H10*首页!$B$12/P10</f>
        <v>0.69532757496605813</v>
      </c>
      <c r="L10" s="6">
        <f>首页!$B$9*0.0000000567*((C10^4-D10^4)/(C10-D10))</f>
        <v>7.7687338005019564</v>
      </c>
      <c r="M10" s="6">
        <f>IF(首页!$B$13="自然对流",IF(首页!$B$14="立式圆筒",首页!$B$10,PI()*B10/2),PI()*B10/2)</f>
        <v>55.2</v>
      </c>
      <c r="N10" s="7">
        <f>IF(首页!$B$13="强制对流",首页!$B$11*M10/H10,0)</f>
        <v>0</v>
      </c>
      <c r="O10" s="6">
        <f>IF(首页!$B$13="自然对流",IF(首页!$B$14="立式圆筒",(0.825+0.3063*I10^(1/6))^2+0.87*(M10/B10),(0.752+0.303*I10^(1/6))^2),0.3+SQRT((0.592*N10^0.5)^2+(0.0262*N10^0.8/(1-0.5/N10^0.1))^2))</f>
        <v>10388.622887550284</v>
      </c>
      <c r="P10" s="6">
        <f t="shared" si="5"/>
        <v>2.9510194925512497E-2</v>
      </c>
      <c r="Q10" s="6">
        <f t="shared" si="6"/>
        <v>5.5538095365806042</v>
      </c>
      <c r="R10" s="6">
        <f t="shared" si="7"/>
        <v>13.322543337082561</v>
      </c>
      <c r="S10" s="6">
        <f>B10*LN(B10/首页!$B$4)</f>
        <v>1.0405551997559754E-2</v>
      </c>
      <c r="T10" s="6">
        <f>2*首页!$B$8*(E10-C10)/(R10*(C10-D10))</f>
        <v>7.004352480801837E-2</v>
      </c>
      <c r="U10" t="str">
        <f>IF(首页!$B$13="自然对流","按自然对流公式", "按强制对流公式")</f>
        <v>按自然对流公式</v>
      </c>
      <c r="V10" s="6">
        <f t="shared" si="8"/>
        <v>5.9637972810458614E-2</v>
      </c>
    </row>
    <row r="11" spans="1:22" x14ac:dyDescent="0.15">
      <c r="A11">
        <v>6</v>
      </c>
      <c r="B11" s="6">
        <f>首页!$B$4+2*A11/1000</f>
        <v>0.13200000000000001</v>
      </c>
      <c r="C11" s="6">
        <f>首页!$B$7+273.15</f>
        <v>388.15</v>
      </c>
      <c r="D11" s="6">
        <f>首页!$B$6+273.15</f>
        <v>293.14999999999998</v>
      </c>
      <c r="E11" s="6">
        <f>首页!$B$5+273.15</f>
        <v>1373.15</v>
      </c>
      <c r="F11" s="6">
        <f t="shared" si="0"/>
        <v>95</v>
      </c>
      <c r="G11" s="6">
        <f t="shared" si="1"/>
        <v>340.65</v>
      </c>
      <c r="H11" s="6">
        <f t="shared" si="2"/>
        <v>1.9926207055139041E-5</v>
      </c>
      <c r="I11" s="7">
        <f t="shared" si="3"/>
        <v>1158916576932337.8</v>
      </c>
      <c r="J11" s="6">
        <f t="shared" si="4"/>
        <v>1.0226038455893147</v>
      </c>
      <c r="K11" s="7">
        <f>J11*H11*首页!$B$12/P11</f>
        <v>0.69532757496605813</v>
      </c>
      <c r="L11" s="6">
        <f>首页!$B$9*0.0000000567*((C11^4-D11^4)/(C11-D11))</f>
        <v>7.7687338005019564</v>
      </c>
      <c r="M11" s="6">
        <f>IF(首页!$B$13="自然对流",IF(首页!$B$14="立式圆筒",首页!$B$10,PI()*B11/2),PI()*B11/2)</f>
        <v>55.2</v>
      </c>
      <c r="N11" s="7">
        <f>IF(首页!$B$13="强制对流",首页!$B$11*M11/H11,0)</f>
        <v>0</v>
      </c>
      <c r="O11" s="6">
        <f>IF(首页!$B$13="自然对流",IF(首页!$B$14="立式圆筒",(0.825+0.3063*I11^(1/6))^2+0.87*(M11/B11),(0.752+0.303*I11^(1/6))^2),0.3+SQRT((0.592*N11^0.5)^2+(0.0262*N11^0.8/(1-0.5/N11^0.1))^2))</f>
        <v>10383.025684753082</v>
      </c>
      <c r="P11" s="6">
        <f t="shared" si="5"/>
        <v>2.9510194925512497E-2</v>
      </c>
      <c r="Q11" s="6">
        <f t="shared" si="6"/>
        <v>5.550817244088158</v>
      </c>
      <c r="R11" s="6">
        <f t="shared" si="7"/>
        <v>13.319551044590114</v>
      </c>
      <c r="S11" s="6">
        <f>B11*LN(B11/首页!$B$4)</f>
        <v>1.2580943734170891E-2</v>
      </c>
      <c r="T11" s="6">
        <f>2*首页!$B$8*(E11-C11)/(R11*(C11-D11))</f>
        <v>7.0059260376937008E-2</v>
      </c>
      <c r="U11" t="str">
        <f>IF(首页!$B$13="自然对流","按自然对流公式", "按强制对流公式")</f>
        <v>按自然对流公式</v>
      </c>
      <c r="V11" s="6">
        <f t="shared" si="8"/>
        <v>5.747831664276612E-2</v>
      </c>
    </row>
    <row r="12" spans="1:22" x14ac:dyDescent="0.15">
      <c r="A12">
        <v>7</v>
      </c>
      <c r="B12" s="6">
        <f>首页!$B$4+2*A12/1000</f>
        <v>0.13400000000000001</v>
      </c>
      <c r="C12" s="6">
        <f>首页!$B$7+273.15</f>
        <v>388.15</v>
      </c>
      <c r="D12" s="6">
        <f>首页!$B$6+273.15</f>
        <v>293.14999999999998</v>
      </c>
      <c r="E12" s="6">
        <f>首页!$B$5+273.15</f>
        <v>1373.15</v>
      </c>
      <c r="F12" s="6">
        <f t="shared" si="0"/>
        <v>95</v>
      </c>
      <c r="G12" s="6">
        <f t="shared" si="1"/>
        <v>340.65</v>
      </c>
      <c r="H12" s="6">
        <f t="shared" si="2"/>
        <v>1.9926207055139041E-5</v>
      </c>
      <c r="I12" s="7">
        <f t="shared" si="3"/>
        <v>1158916576932337.8</v>
      </c>
      <c r="J12" s="6">
        <f t="shared" si="4"/>
        <v>1.0226038455893147</v>
      </c>
      <c r="K12" s="7">
        <f>J12*H12*首页!$B$12/P12</f>
        <v>0.69532757496605813</v>
      </c>
      <c r="L12" s="6">
        <f>首页!$B$9*0.0000000567*((C12^4-D12^4)/(C12-D12))</f>
        <v>7.7687338005019564</v>
      </c>
      <c r="M12" s="6">
        <f>IF(首页!$B$13="自然对流",IF(首页!$B$14="立式圆筒",首页!$B$10,PI()*B12/2),PI()*B12/2)</f>
        <v>55.2</v>
      </c>
      <c r="N12" s="7">
        <f>IF(首页!$B$13="强制对流",首页!$B$11*M12/H12,0)</f>
        <v>0</v>
      </c>
      <c r="O12" s="6">
        <f>IF(首页!$B$13="自然对流",IF(首页!$B$14="立式圆筒",(0.825+0.3063*I12^(1/6))^2+0.87*(M12/B12),(0.752+0.303*I12^(1/6))^2),0.3+SQRT((0.592*N12^0.5)^2+(0.0262*N12^0.8/(1-0.5/N12^0.1))^2))</f>
        <v>10377.595562636392</v>
      </c>
      <c r="P12" s="6">
        <f t="shared" si="5"/>
        <v>2.9510194925512497E-2</v>
      </c>
      <c r="Q12" s="6">
        <f t="shared" si="6"/>
        <v>5.5479142737596634</v>
      </c>
      <c r="R12" s="6">
        <f t="shared" si="7"/>
        <v>13.31664807426162</v>
      </c>
      <c r="S12" s="6">
        <f>B12*LN(B12/首页!$B$4)</f>
        <v>1.4786639660627966E-2</v>
      </c>
      <c r="T12" s="6">
        <f>2*首页!$B$8*(E12-C12)/(R12*(C12-D12))</f>
        <v>7.0074532985552662E-2</v>
      </c>
      <c r="U12" t="str">
        <f>IF(首页!$B$13="自然对流","按自然对流公式", "按强制对流公式")</f>
        <v>按自然对流公式</v>
      </c>
      <c r="V12" s="6">
        <f t="shared" si="8"/>
        <v>5.5287893324924696E-2</v>
      </c>
    </row>
    <row r="13" spans="1:22" x14ac:dyDescent="0.15">
      <c r="A13">
        <v>8</v>
      </c>
      <c r="B13" s="6">
        <f>首页!$B$4+2*A13/1000</f>
        <v>0.13600000000000001</v>
      </c>
      <c r="C13" s="6">
        <f>首页!$B$7+273.15</f>
        <v>388.15</v>
      </c>
      <c r="D13" s="6">
        <f>首页!$B$6+273.15</f>
        <v>293.14999999999998</v>
      </c>
      <c r="E13" s="6">
        <f>首页!$B$5+273.15</f>
        <v>1373.15</v>
      </c>
      <c r="F13" s="6">
        <f t="shared" si="0"/>
        <v>95</v>
      </c>
      <c r="G13" s="6">
        <f t="shared" si="1"/>
        <v>340.65</v>
      </c>
      <c r="H13" s="6">
        <f t="shared" si="2"/>
        <v>1.9926207055139041E-5</v>
      </c>
      <c r="I13" s="7">
        <f t="shared" si="3"/>
        <v>1158916576932337.8</v>
      </c>
      <c r="J13" s="6">
        <f t="shared" si="4"/>
        <v>1.0226038455893147</v>
      </c>
      <c r="K13" s="7">
        <f>J13*H13*首页!$B$12/P13</f>
        <v>0.69532757496605813</v>
      </c>
      <c r="L13" s="6">
        <f>首页!$B$9*0.0000000567*((C13^4-D13^4)/(C13-D13))</f>
        <v>7.7687338005019564</v>
      </c>
      <c r="M13" s="6">
        <f>IF(首页!$B$13="自然对流",IF(首页!$B$14="立式圆筒",首页!$B$10,PI()*B13/2),PI()*B13/2)</f>
        <v>55.2</v>
      </c>
      <c r="N13" s="7">
        <f>IF(首页!$B$13="强制对流",首页!$B$11*M13/H13,0)</f>
        <v>0</v>
      </c>
      <c r="O13" s="6">
        <f>IF(首页!$B$13="自然对流",IF(首页!$B$14="立式圆筒",(0.825+0.3063*I13^(1/6))^2+0.87*(M13/B13),(0.752+0.303*I13^(1/6))^2),0.3+SQRT((0.592*N13^0.5)^2+(0.0262*N13^0.8/(1-0.5/N13^0.1))^2))</f>
        <v>10372.325149993723</v>
      </c>
      <c r="P13" s="6">
        <f t="shared" si="5"/>
        <v>2.9510194925512497E-2</v>
      </c>
      <c r="Q13" s="6">
        <f t="shared" si="6"/>
        <v>5.5450966849114209</v>
      </c>
      <c r="R13" s="6">
        <f t="shared" si="7"/>
        <v>13.313830485413376</v>
      </c>
      <c r="S13" s="6">
        <f>B13*LN(B13/首页!$B$4)</f>
        <v>1.7022187441744843E-2</v>
      </c>
      <c r="T13" s="6">
        <f>2*首页!$B$8*(E13-C13)/(R13*(C13-D13))</f>
        <v>7.008936276897991E-2</v>
      </c>
      <c r="U13" t="str">
        <f>IF(首页!$B$13="自然对流","按自然对流公式", "按强制对流公式")</f>
        <v>按自然对流公式</v>
      </c>
      <c r="V13" s="6">
        <f t="shared" si="8"/>
        <v>5.3067175327235067E-2</v>
      </c>
    </row>
    <row r="14" spans="1:22" x14ac:dyDescent="0.15">
      <c r="A14">
        <v>9</v>
      </c>
      <c r="B14" s="6">
        <f>首页!$B$4+2*A14/1000</f>
        <v>0.13799999999999998</v>
      </c>
      <c r="C14" s="6">
        <f>首页!$B$7+273.15</f>
        <v>388.15</v>
      </c>
      <c r="D14" s="6">
        <f>首页!$B$6+273.15</f>
        <v>293.14999999999998</v>
      </c>
      <c r="E14" s="6">
        <f>首页!$B$5+273.15</f>
        <v>1373.15</v>
      </c>
      <c r="F14" s="6">
        <f t="shared" si="0"/>
        <v>95</v>
      </c>
      <c r="G14" s="6">
        <f t="shared" si="1"/>
        <v>340.65</v>
      </c>
      <c r="H14" s="6">
        <f t="shared" si="2"/>
        <v>1.9926207055139041E-5</v>
      </c>
      <c r="I14" s="7">
        <f t="shared" si="3"/>
        <v>1158916576932337.8</v>
      </c>
      <c r="J14" s="6">
        <f t="shared" si="4"/>
        <v>1.0226038455893147</v>
      </c>
      <c r="K14" s="7">
        <f>J14*H14*首页!$B$12/P14</f>
        <v>0.69532757496605813</v>
      </c>
      <c r="L14" s="6">
        <f>首页!$B$9*0.0000000567*((C14^4-D14^4)/(C14-D14))</f>
        <v>7.7687338005019564</v>
      </c>
      <c r="M14" s="6">
        <f>IF(首页!$B$13="自然对流",IF(首页!$B$14="立式圆筒",首页!$B$10,PI()*B14/2),PI()*B14/2)</f>
        <v>55.2</v>
      </c>
      <c r="N14" s="7">
        <f>IF(首页!$B$13="强制对流",首页!$B$11*M14/H14,0)</f>
        <v>0</v>
      </c>
      <c r="O14" s="6">
        <f>IF(首页!$B$13="自然对流",IF(首页!$B$14="立式圆筒",(0.825+0.3063*I14^(1/6))^2+0.87*(M14/B14),(0.752+0.303*I14^(1/6))^2),0.3+SQRT((0.592*N14^0.5)^2+(0.0262*N14^0.8/(1-0.5/N14^0.1))^2))</f>
        <v>10367.2075029349</v>
      </c>
      <c r="P14" s="6">
        <f t="shared" si="5"/>
        <v>2.9510194925512497E-2</v>
      </c>
      <c r="Q14" s="6">
        <f t="shared" si="6"/>
        <v>5.5423607653051548</v>
      </c>
      <c r="R14" s="6">
        <f t="shared" si="7"/>
        <v>13.31109456580711</v>
      </c>
      <c r="S14" s="6">
        <f>B14*LN(B14/首页!$B$4)</f>
        <v>1.9287148047771888E-2</v>
      </c>
      <c r="T14" s="6">
        <f>2*首页!$B$8*(E14-C14)/(R14*(C14-D14))</f>
        <v>7.0103768711394523E-2</v>
      </c>
      <c r="U14" t="str">
        <f>IF(首页!$B$13="自然对流","按自然对流公式", "按强制对流公式")</f>
        <v>按自然对流公式</v>
      </c>
      <c r="V14" s="6">
        <f t="shared" si="8"/>
        <v>5.0816620663622636E-2</v>
      </c>
    </row>
    <row r="15" spans="1:22" x14ac:dyDescent="0.15">
      <c r="A15">
        <v>10</v>
      </c>
      <c r="B15" s="6">
        <f>首页!$B$4+2*A15/1000</f>
        <v>0.13999999999999999</v>
      </c>
      <c r="C15" s="6">
        <f>首页!$B$7+273.15</f>
        <v>388.15</v>
      </c>
      <c r="D15" s="6">
        <f>首页!$B$6+273.15</f>
        <v>293.14999999999998</v>
      </c>
      <c r="E15" s="6">
        <f>首页!$B$5+273.15</f>
        <v>1373.15</v>
      </c>
      <c r="F15" s="6">
        <f t="shared" si="0"/>
        <v>95</v>
      </c>
      <c r="G15" s="6">
        <f t="shared" si="1"/>
        <v>340.65</v>
      </c>
      <c r="H15" s="6">
        <f t="shared" si="2"/>
        <v>1.9926207055139041E-5</v>
      </c>
      <c r="I15" s="7">
        <f t="shared" si="3"/>
        <v>1158916576932337.8</v>
      </c>
      <c r="J15" s="6">
        <f t="shared" si="4"/>
        <v>1.0226038455893147</v>
      </c>
      <c r="K15" s="7">
        <f>J15*H15*首页!$B$12/P15</f>
        <v>0.69532757496605813</v>
      </c>
      <c r="L15" s="6">
        <f>首页!$B$9*0.0000000567*((C15^4-D15^4)/(C15-D15))</f>
        <v>7.7687338005019564</v>
      </c>
      <c r="M15" s="6">
        <f>IF(首页!$B$13="自然对流",IF(首页!$B$14="立式圆筒",首页!$B$10,PI()*B15/2),PI()*B15/2)</f>
        <v>55.2</v>
      </c>
      <c r="N15" s="7">
        <f>IF(首页!$B$13="强制对流",首页!$B$11*M15/H15,0)</f>
        <v>0</v>
      </c>
      <c r="O15" s="6">
        <f>IF(首页!$B$13="自然对流",IF(首页!$B$14="立式圆筒",(0.825+0.3063*I15^(1/6))^2+0.87*(M15/B15),(0.752+0.303*I15^(1/6))^2),0.3+SQRT((0.592*N15^0.5)^2+(0.0262*N15^0.8/(1-0.5/N15^0.1))^2))</f>
        <v>10362.236074363471</v>
      </c>
      <c r="P15" s="6">
        <f t="shared" si="5"/>
        <v>2.9510194925512497E-2</v>
      </c>
      <c r="Q15" s="6">
        <f t="shared" si="6"/>
        <v>5.5397030148304962</v>
      </c>
      <c r="R15" s="6">
        <f t="shared" si="7"/>
        <v>13.308436815332453</v>
      </c>
      <c r="S15" s="6">
        <f>B15*LN(B15/首页!$B$4)</f>
        <v>2.1581095175816141E-2</v>
      </c>
      <c r="T15" s="6">
        <f>2*首页!$B$8*(E15-C15)/(R15*(C15-D15))</f>
        <v>7.0117768727110369E-2</v>
      </c>
      <c r="U15" t="str">
        <f>IF(首页!$B$13="自然对流","按自然对流公式", "按强制对流公式")</f>
        <v>按自然对流公式</v>
      </c>
      <c r="V15" s="6">
        <f t="shared" si="8"/>
        <v>4.8536673551294228E-2</v>
      </c>
    </row>
    <row r="16" spans="1:22" x14ac:dyDescent="0.15">
      <c r="A16">
        <v>11</v>
      </c>
      <c r="B16" s="6">
        <f>首页!$B$4+2*A16/1000</f>
        <v>0.14199999999999999</v>
      </c>
      <c r="C16" s="6">
        <f>首页!$B$7+273.15</f>
        <v>388.15</v>
      </c>
      <c r="D16" s="6">
        <f>首页!$B$6+273.15</f>
        <v>293.14999999999998</v>
      </c>
      <c r="E16" s="6">
        <f>首页!$B$5+273.15</f>
        <v>1373.15</v>
      </c>
      <c r="F16" s="6">
        <f t="shared" si="0"/>
        <v>95</v>
      </c>
      <c r="G16" s="6">
        <f t="shared" si="1"/>
        <v>340.65</v>
      </c>
      <c r="H16" s="6">
        <f t="shared" si="2"/>
        <v>1.9926207055139041E-5</v>
      </c>
      <c r="I16" s="7">
        <f t="shared" si="3"/>
        <v>1158916576932337.8</v>
      </c>
      <c r="J16" s="6">
        <f t="shared" si="4"/>
        <v>1.0226038455893147</v>
      </c>
      <c r="K16" s="7">
        <f>J16*H16*首页!$B$12/P16</f>
        <v>0.69532757496605813</v>
      </c>
      <c r="L16" s="6">
        <f>首页!$B$9*0.0000000567*((C16^4-D16^4)/(C16-D16))</f>
        <v>7.7687338005019564</v>
      </c>
      <c r="M16" s="6">
        <f>IF(首页!$B$13="自然对流",IF(首页!$B$14="立式圆筒",首页!$B$10,PI()*B16/2),PI()*B16/2)</f>
        <v>55.2</v>
      </c>
      <c r="N16" s="7">
        <f>IF(首页!$B$13="强制对流",首页!$B$11*M16/H16,0)</f>
        <v>0</v>
      </c>
      <c r="O16" s="6">
        <f>IF(首页!$B$13="自然对流",IF(首页!$B$14="立式圆筒",(0.825+0.3063*I16^(1/6))^2+0.87*(M16/B16),(0.752+0.303*I16^(1/6))^2),0.3+SQRT((0.592*N16^0.5)^2+(0.0262*N16^0.8/(1-0.5/N16^0.1))^2))</f>
        <v>10357.404686033491</v>
      </c>
      <c r="P16" s="6">
        <f t="shared" si="5"/>
        <v>2.9510194925512497E-2</v>
      </c>
      <c r="Q16" s="6">
        <f t="shared" si="6"/>
        <v>5.5371201305663931</v>
      </c>
      <c r="R16" s="6">
        <f t="shared" si="7"/>
        <v>13.305853931068349</v>
      </c>
      <c r="S16" s="6">
        <f>B16*LN(B16/首页!$B$4)</f>
        <v>2.3903614704328491E-2</v>
      </c>
      <c r="T16" s="6">
        <f>2*首页!$B$8*(E16-C16)/(R16*(C16-D16))</f>
        <v>7.0131379734898192E-2</v>
      </c>
      <c r="U16" t="str">
        <f>IF(首页!$B$13="自然对流","按自然对流公式", "按强制对流公式")</f>
        <v>按自然对流公式</v>
      </c>
      <c r="V16" s="6">
        <f t="shared" si="8"/>
        <v>4.6227765030569704E-2</v>
      </c>
    </row>
    <row r="17" spans="1:22" x14ac:dyDescent="0.15">
      <c r="A17">
        <v>12</v>
      </c>
      <c r="B17" s="6">
        <f>首页!$B$4+2*A17/1000</f>
        <v>0.14399999999999999</v>
      </c>
      <c r="C17" s="6">
        <f>首页!$B$7+273.15</f>
        <v>388.15</v>
      </c>
      <c r="D17" s="6">
        <f>首页!$B$6+273.15</f>
        <v>293.14999999999998</v>
      </c>
      <c r="E17" s="6">
        <f>首页!$B$5+273.15</f>
        <v>1373.15</v>
      </c>
      <c r="F17" s="6">
        <f t="shared" si="0"/>
        <v>95</v>
      </c>
      <c r="G17" s="6">
        <f t="shared" si="1"/>
        <v>340.65</v>
      </c>
      <c r="H17" s="6">
        <f t="shared" si="2"/>
        <v>1.9926207055139041E-5</v>
      </c>
      <c r="I17" s="7">
        <f t="shared" si="3"/>
        <v>1158916576932337.8</v>
      </c>
      <c r="J17" s="6">
        <f t="shared" si="4"/>
        <v>1.0226038455893147</v>
      </c>
      <c r="K17" s="7">
        <f>J17*H17*首页!$B$12/P17</f>
        <v>0.69532757496605813</v>
      </c>
      <c r="L17" s="6">
        <f>首页!$B$9*0.0000000567*((C17^4-D17^4)/(C17-D17))</f>
        <v>7.7687338005019564</v>
      </c>
      <c r="M17" s="6">
        <f>IF(首页!$B$13="自然对流",IF(首页!$B$14="立式圆筒",首页!$B$10,PI()*B17/2),PI()*B17/2)</f>
        <v>55.2</v>
      </c>
      <c r="N17" s="7">
        <f>IF(首页!$B$13="强制对流",首页!$B$11*M17/H17,0)</f>
        <v>0</v>
      </c>
      <c r="O17" s="6">
        <f>IF(首页!$B$13="自然对流",IF(首页!$B$14="立式圆筒",(0.825+0.3063*I17^(1/6))^2+0.87*(M17/B17),(0.752+0.303*I17^(1/6))^2),0.3+SQRT((0.592*N17^0.5)^2+(0.0262*N17^0.8/(1-0.5/N17^0.1))^2))</f>
        <v>10352.7075029349</v>
      </c>
      <c r="P17" s="6">
        <f t="shared" si="5"/>
        <v>2.9510194925512497E-2</v>
      </c>
      <c r="Q17" s="6">
        <f t="shared" si="6"/>
        <v>5.534608993087403</v>
      </c>
      <c r="R17" s="6">
        <f t="shared" si="7"/>
        <v>13.303342793589358</v>
      </c>
      <c r="S17" s="6">
        <f>B17*LN(B17/首页!$B$4)</f>
        <v>2.6254304178329458E-2</v>
      </c>
      <c r="T17" s="6">
        <f>2*首页!$B$8*(E17-C17)/(R17*(C17-D17))</f>
        <v>7.0144617726193917E-2</v>
      </c>
      <c r="U17" t="str">
        <f>IF(首页!$B$13="自然对流","按自然对流公式", "按强制对流公式")</f>
        <v>按自然对流公式</v>
      </c>
      <c r="V17" s="6">
        <f t="shared" si="8"/>
        <v>4.3890313547864462E-2</v>
      </c>
    </row>
    <row r="18" spans="1:22" x14ac:dyDescent="0.15">
      <c r="A18">
        <v>13</v>
      </c>
      <c r="B18" s="6">
        <f>首页!$B$4+2*A18/1000</f>
        <v>0.14599999999999999</v>
      </c>
      <c r="C18" s="6">
        <f>首页!$B$7+273.15</f>
        <v>388.15</v>
      </c>
      <c r="D18" s="6">
        <f>首页!$B$6+273.15</f>
        <v>293.14999999999998</v>
      </c>
      <c r="E18" s="6">
        <f>首页!$B$5+273.15</f>
        <v>1373.15</v>
      </c>
      <c r="F18" s="6">
        <f t="shared" si="0"/>
        <v>95</v>
      </c>
      <c r="G18" s="6">
        <f t="shared" si="1"/>
        <v>340.65</v>
      </c>
      <c r="H18" s="6">
        <f t="shared" si="2"/>
        <v>1.9926207055139041E-5</v>
      </c>
      <c r="I18" s="7">
        <f t="shared" si="3"/>
        <v>1158916576932337.8</v>
      </c>
      <c r="J18" s="6">
        <f t="shared" si="4"/>
        <v>1.0226038455893147</v>
      </c>
      <c r="K18" s="7">
        <f>J18*H18*首页!$B$12/P18</f>
        <v>0.69532757496605813</v>
      </c>
      <c r="L18" s="6">
        <f>首页!$B$9*0.0000000567*((C18^4-D18^4)/(C18-D18))</f>
        <v>7.7687338005019564</v>
      </c>
      <c r="M18" s="6">
        <f>IF(首页!$B$13="自然对流",IF(首页!$B$14="立式圆筒",首页!$B$10,PI()*B18/2),PI()*B18/2)</f>
        <v>55.2</v>
      </c>
      <c r="N18" s="7">
        <f>IF(首页!$B$13="强制对流",首页!$B$11*M18/H18,0)</f>
        <v>0</v>
      </c>
      <c r="O18" s="6">
        <f>IF(首页!$B$13="自然对流",IF(首页!$B$14="立式圆筒",(0.825+0.3063*I18^(1/6))^2+0.87*(M18/B18),(0.752+0.303*I18^(1/6))^2),0.3+SQRT((0.592*N18^0.5)^2+(0.0262*N18^0.8/(1-0.5/N18^0.1))^2))</f>
        <v>10348.139009784214</v>
      </c>
      <c r="P18" s="6">
        <f t="shared" si="5"/>
        <v>2.9510194925512497E-2</v>
      </c>
      <c r="Q18" s="6">
        <f t="shared" si="6"/>
        <v>5.5321666538955077</v>
      </c>
      <c r="R18" s="6">
        <f t="shared" si="7"/>
        <v>13.300900454397464</v>
      </c>
      <c r="S18" s="6">
        <f>B18*LN(B18/首页!$B$4)</f>
        <v>2.8632772323238392E-2</v>
      </c>
      <c r="T18" s="6">
        <f>2*首页!$B$8*(E18-C18)/(R18*(C18-D18))</f>
        <v>7.0157497827775042E-2</v>
      </c>
      <c r="U18" t="str">
        <f>IF(首页!$B$13="自然对流","按自然对流公式", "按强制对流公式")</f>
        <v>按自然对流公式</v>
      </c>
      <c r="V18" s="6">
        <f t="shared" si="8"/>
        <v>4.1524725504536647E-2</v>
      </c>
    </row>
    <row r="19" spans="1:22" x14ac:dyDescent="0.15">
      <c r="A19">
        <v>14</v>
      </c>
      <c r="B19" s="6">
        <f>首页!$B$4+2*A19/1000</f>
        <v>0.14799999999999999</v>
      </c>
      <c r="C19" s="6">
        <f>首页!$B$7+273.15</f>
        <v>388.15</v>
      </c>
      <c r="D19" s="6">
        <f>首页!$B$6+273.15</f>
        <v>293.14999999999998</v>
      </c>
      <c r="E19" s="6">
        <f>首页!$B$5+273.15</f>
        <v>1373.15</v>
      </c>
      <c r="F19" s="6">
        <f t="shared" si="0"/>
        <v>95</v>
      </c>
      <c r="G19" s="6">
        <f t="shared" si="1"/>
        <v>340.65</v>
      </c>
      <c r="H19" s="6">
        <f t="shared" si="2"/>
        <v>1.9926207055139041E-5</v>
      </c>
      <c r="I19" s="7">
        <f t="shared" si="3"/>
        <v>1158916576932337.8</v>
      </c>
      <c r="J19" s="6">
        <f t="shared" si="4"/>
        <v>1.0226038455893147</v>
      </c>
      <c r="K19" s="7">
        <f>J19*H19*首页!$B$12/P19</f>
        <v>0.69532757496605813</v>
      </c>
      <c r="L19" s="6">
        <f>首页!$B$9*0.0000000567*((C19^4-D19^4)/(C19-D19))</f>
        <v>7.7687338005019564</v>
      </c>
      <c r="M19" s="6">
        <f>IF(首页!$B$13="自然对流",IF(首页!$B$14="立式圆筒",首页!$B$10,PI()*B19/2),PI()*B19/2)</f>
        <v>55.2</v>
      </c>
      <c r="N19" s="7">
        <f>IF(首页!$B$13="强制对流",首页!$B$11*M19/H19,0)</f>
        <v>0</v>
      </c>
      <c r="O19" s="6">
        <f>IF(首页!$B$13="自然对流",IF(首页!$B$14="立式圆筒",(0.825+0.3063*I19^(1/6))^2+0.87*(M19/B19),(0.752+0.303*I19^(1/6))^2),0.3+SQRT((0.592*N19^0.5)^2+(0.0262*N19^0.8/(1-0.5/N19^0.1))^2))</f>
        <v>10343.693989421387</v>
      </c>
      <c r="P19" s="6">
        <f t="shared" si="5"/>
        <v>2.9510194925512497E-2</v>
      </c>
      <c r="Q19" s="6">
        <f t="shared" si="6"/>
        <v>5.5297903238709614</v>
      </c>
      <c r="R19" s="6">
        <f t="shared" si="7"/>
        <v>13.298524124372918</v>
      </c>
      <c r="S19" s="6">
        <f>B19*LN(B19/首页!$B$4)</f>
        <v>3.1038638585346227E-2</v>
      </c>
      <c r="T19" s="6">
        <f>2*首页!$B$8*(E19-C19)/(R19*(C19-D19))</f>
        <v>7.0170034359421415E-2</v>
      </c>
      <c r="U19" t="str">
        <f>IF(首页!$B$13="自然对流","按自然对流公式", "按强制对流公式")</f>
        <v>按自然对流公式</v>
      </c>
      <c r="V19" s="6">
        <f t="shared" si="8"/>
        <v>3.9131395774075192E-2</v>
      </c>
    </row>
    <row r="20" spans="1:22" x14ac:dyDescent="0.15">
      <c r="A20">
        <v>15</v>
      </c>
      <c r="B20" s="6">
        <f>首页!$B$4+2*A20/1000</f>
        <v>0.15</v>
      </c>
      <c r="C20" s="6">
        <f>首页!$B$7+273.15</f>
        <v>388.15</v>
      </c>
      <c r="D20" s="6">
        <f>首页!$B$6+273.15</f>
        <v>293.14999999999998</v>
      </c>
      <c r="E20" s="6">
        <f>首页!$B$5+273.15</f>
        <v>1373.15</v>
      </c>
      <c r="F20" s="6">
        <f t="shared" si="0"/>
        <v>95</v>
      </c>
      <c r="G20" s="6">
        <f t="shared" si="1"/>
        <v>340.65</v>
      </c>
      <c r="H20" s="6">
        <f t="shared" si="2"/>
        <v>1.9926207055139041E-5</v>
      </c>
      <c r="I20" s="7">
        <f t="shared" si="3"/>
        <v>1158916576932337.8</v>
      </c>
      <c r="J20" s="6">
        <f t="shared" si="4"/>
        <v>1.0226038455893147</v>
      </c>
      <c r="K20" s="7">
        <f>J20*H20*首页!$B$12/P20</f>
        <v>0.69532757496605813</v>
      </c>
      <c r="L20" s="6">
        <f>首页!$B$9*0.0000000567*((C20^4-D20^4)/(C20-D20))</f>
        <v>7.7687338005019564</v>
      </c>
      <c r="M20" s="6">
        <f>IF(首页!$B$13="自然对流",IF(首页!$B$14="立式圆筒",首页!$B$10,PI()*B20/2),PI()*B20/2)</f>
        <v>55.2</v>
      </c>
      <c r="N20" s="7">
        <f>IF(首页!$B$13="强制对流",首页!$B$11*M20/H20,0)</f>
        <v>0</v>
      </c>
      <c r="O20" s="6">
        <f>IF(首页!$B$13="自然对流",IF(首页!$B$14="立式圆筒",(0.825+0.3063*I20^(1/6))^2+0.87*(M20/B20),(0.752+0.303*I20^(1/6))^2),0.3+SQRT((0.592*N20^0.5)^2+(0.0262*N20^0.8/(1-0.5/N20^0.1))^2))</f>
        <v>10339.3675029349</v>
      </c>
      <c r="P20" s="6">
        <f t="shared" si="5"/>
        <v>2.9510194925512497E-2</v>
      </c>
      <c r="Q20" s="6">
        <f t="shared" si="6"/>
        <v>5.5274773626470699</v>
      </c>
      <c r="R20" s="6">
        <f t="shared" si="7"/>
        <v>13.296211163149026</v>
      </c>
      <c r="S20" s="6">
        <f>B20*LN(B20/首页!$B$4)</f>
        <v>3.3471532697131462E-2</v>
      </c>
      <c r="T20" s="6">
        <f>2*首页!$B$8*(E20-C20)/(R20*(C20-D20))</f>
        <v>7.0182240887022476E-2</v>
      </c>
      <c r="U20" t="str">
        <f>IF(首页!$B$13="自然对流","按自然对流公式", "按强制对流公式")</f>
        <v>按自然对流公式</v>
      </c>
      <c r="V20" s="6">
        <f t="shared" si="8"/>
        <v>3.6710708189891014E-2</v>
      </c>
    </row>
    <row r="21" spans="1:22" x14ac:dyDescent="0.15">
      <c r="A21">
        <v>16</v>
      </c>
      <c r="B21" s="6">
        <f>首页!$B$4+2*A21/1000</f>
        <v>0.152</v>
      </c>
      <c r="C21" s="6">
        <f>首页!$B$7+273.15</f>
        <v>388.15</v>
      </c>
      <c r="D21" s="6">
        <f>首页!$B$6+273.15</f>
        <v>293.14999999999998</v>
      </c>
      <c r="E21" s="6">
        <f>首页!$B$5+273.15</f>
        <v>1373.15</v>
      </c>
      <c r="F21" s="6">
        <f t="shared" si="0"/>
        <v>95</v>
      </c>
      <c r="G21" s="6">
        <f t="shared" si="1"/>
        <v>340.65</v>
      </c>
      <c r="H21" s="6">
        <f t="shared" si="2"/>
        <v>1.9926207055139041E-5</v>
      </c>
      <c r="I21" s="7">
        <f t="shared" si="3"/>
        <v>1158916576932337.8</v>
      </c>
      <c r="J21" s="6">
        <f t="shared" si="4"/>
        <v>1.0226038455893147</v>
      </c>
      <c r="K21" s="7">
        <f>J21*H21*首页!$B$12/P21</f>
        <v>0.69532757496605813</v>
      </c>
      <c r="L21" s="6">
        <f>首页!$B$9*0.0000000567*((C21^4-D21^4)/(C21-D21))</f>
        <v>7.7687338005019564</v>
      </c>
      <c r="M21" s="6">
        <f>IF(首页!$B$13="自然对流",IF(首页!$B$14="立式圆筒",首页!$B$10,PI()*B21/2),PI()*B21/2)</f>
        <v>55.2</v>
      </c>
      <c r="N21" s="7">
        <f>IF(首页!$B$13="强制对流",首页!$B$11*M21/H21,0)</f>
        <v>0</v>
      </c>
      <c r="O21" s="6">
        <f>IF(首页!$B$13="自然对流",IF(首页!$B$14="立式圆筒",(0.825+0.3063*I21^(1/6))^2+0.87*(M21/B21),(0.752+0.303*I21^(1/6))^2),0.3+SQRT((0.592*N21^0.5)^2+(0.0262*N21^0.8/(1-0.5/N21^0.1))^2))</f>
        <v>10335.154871355953</v>
      </c>
      <c r="P21" s="6">
        <f t="shared" si="5"/>
        <v>2.9510194925512497E-2</v>
      </c>
      <c r="Q21" s="6">
        <f t="shared" si="6"/>
        <v>5.5252252688238084</v>
      </c>
      <c r="R21" s="6">
        <f t="shared" si="7"/>
        <v>13.293959069325766</v>
      </c>
      <c r="S21" s="6">
        <f>B21*LN(B21/首页!$B$4)</f>
        <v>3.5931094265763013E-2</v>
      </c>
      <c r="T21" s="6">
        <f>2*首页!$B$8*(E21-C21)/(R21*(C21-D21))</f>
        <v>7.0194130271545169E-2</v>
      </c>
      <c r="U21" t="str">
        <f>IF(首页!$B$13="自然对流","按自然对流公式", "按强制对流公式")</f>
        <v>按自然对流公式</v>
      </c>
      <c r="V21" s="6">
        <f t="shared" si="8"/>
        <v>3.4263036005782156E-2</v>
      </c>
    </row>
    <row r="22" spans="1:22" x14ac:dyDescent="0.15">
      <c r="A22">
        <v>17</v>
      </c>
      <c r="B22" s="6">
        <f>首页!$B$4+2*A22/1000</f>
        <v>0.154</v>
      </c>
      <c r="C22" s="6">
        <f>首页!$B$7+273.15</f>
        <v>388.15</v>
      </c>
      <c r="D22" s="6">
        <f>首页!$B$6+273.15</f>
        <v>293.14999999999998</v>
      </c>
      <c r="E22" s="6">
        <f>首页!$B$5+273.15</f>
        <v>1373.15</v>
      </c>
      <c r="F22" s="6">
        <f t="shared" si="0"/>
        <v>95</v>
      </c>
      <c r="G22" s="6">
        <f t="shared" si="1"/>
        <v>340.65</v>
      </c>
      <c r="H22" s="6">
        <f t="shared" si="2"/>
        <v>1.9926207055139041E-5</v>
      </c>
      <c r="I22" s="7">
        <f t="shared" si="3"/>
        <v>1158916576932337.8</v>
      </c>
      <c r="J22" s="6">
        <f t="shared" si="4"/>
        <v>1.0226038455893147</v>
      </c>
      <c r="K22" s="7">
        <f>J22*H22*首页!$B$12/P22</f>
        <v>0.69532757496605813</v>
      </c>
      <c r="L22" s="6">
        <f>首页!$B$9*0.0000000567*((C22^4-D22^4)/(C22-D22))</f>
        <v>7.7687338005019564</v>
      </c>
      <c r="M22" s="6">
        <f>IF(首页!$B$13="自然对流",IF(首页!$B$14="立式圆筒",首页!$B$10,PI()*B22/2),PI()*B22/2)</f>
        <v>55.2</v>
      </c>
      <c r="N22" s="7">
        <f>IF(首页!$B$13="强制对流",首页!$B$11*M22/H22,0)</f>
        <v>0</v>
      </c>
      <c r="O22" s="6">
        <f>IF(首页!$B$13="自然对流",IF(首页!$B$14="立式圆筒",(0.825+0.3063*I22^(1/6))^2+0.87*(M22/B22),(0.752+0.303*I22^(1/6))^2),0.3+SQRT((0.592*N22^0.5)^2+(0.0262*N22^0.8/(1-0.5/N22^0.1))^2))</f>
        <v>10331.051658779055</v>
      </c>
      <c r="P22" s="6">
        <f t="shared" si="5"/>
        <v>2.9510194925512497E-2</v>
      </c>
      <c r="Q22" s="6">
        <f t="shared" si="6"/>
        <v>5.5230316709440066</v>
      </c>
      <c r="R22" s="6">
        <f t="shared" si="7"/>
        <v>13.291765471445963</v>
      </c>
      <c r="S22" s="6">
        <f>B22*LN(B22/首页!$B$4)</f>
        <v>3.8416972383263817E-2</v>
      </c>
      <c r="T22" s="6">
        <f>2*首页!$B$8*(E22-C22)/(R22*(C22-D22))</f>
        <v>7.0205714714234077E-2</v>
      </c>
      <c r="U22" t="str">
        <f>IF(首页!$B$13="自然对流","按自然对流公式", "按强制对流公式")</f>
        <v>按自然对流公式</v>
      </c>
      <c r="V22" s="6">
        <f t="shared" si="8"/>
        <v>3.178874233097026E-2</v>
      </c>
    </row>
    <row r="23" spans="1:22" x14ac:dyDescent="0.15">
      <c r="A23">
        <v>18</v>
      </c>
      <c r="B23" s="6">
        <f>首页!$B$4+2*A23/1000</f>
        <v>0.156</v>
      </c>
      <c r="C23" s="6">
        <f>首页!$B$7+273.15</f>
        <v>388.15</v>
      </c>
      <c r="D23" s="6">
        <f>首页!$B$6+273.15</f>
        <v>293.14999999999998</v>
      </c>
      <c r="E23" s="6">
        <f>首页!$B$5+273.15</f>
        <v>1373.15</v>
      </c>
      <c r="F23" s="6">
        <f t="shared" si="0"/>
        <v>95</v>
      </c>
      <c r="G23" s="6">
        <f t="shared" si="1"/>
        <v>340.65</v>
      </c>
      <c r="H23" s="6">
        <f t="shared" si="2"/>
        <v>1.9926207055139041E-5</v>
      </c>
      <c r="I23" s="7">
        <f t="shared" si="3"/>
        <v>1158916576932337.8</v>
      </c>
      <c r="J23" s="6">
        <f t="shared" si="4"/>
        <v>1.0226038455893147</v>
      </c>
      <c r="K23" s="7">
        <f>J23*H23*首页!$B$12/P23</f>
        <v>0.69532757496605813</v>
      </c>
      <c r="L23" s="6">
        <f>首页!$B$9*0.0000000567*((C23^4-D23^4)/(C23-D23))</f>
        <v>7.7687338005019564</v>
      </c>
      <c r="M23" s="6">
        <f>IF(首页!$B$13="自然对流",IF(首页!$B$14="立式圆筒",首页!$B$10,PI()*B23/2),PI()*B23/2)</f>
        <v>55.2</v>
      </c>
      <c r="N23" s="7">
        <f>IF(首页!$B$13="强制对流",首页!$B$11*M23/H23,0)</f>
        <v>0</v>
      </c>
      <c r="O23" s="6">
        <f>IF(首页!$B$13="自然对流",IF(首页!$B$14="立式圆筒",(0.825+0.3063*I23^(1/6))^2+0.87*(M23/B23),(0.752+0.303*I23^(1/6))^2),0.3+SQRT((0.592*N23^0.5)^2+(0.0262*N23^0.8/(1-0.5/N23^0.1))^2))</f>
        <v>10327.053656781054</v>
      </c>
      <c r="P23" s="6">
        <f t="shared" si="5"/>
        <v>2.9510194925512497E-2</v>
      </c>
      <c r="Q23" s="6">
        <f t="shared" si="6"/>
        <v>5.5208943191636868</v>
      </c>
      <c r="R23" s="6">
        <f t="shared" si="7"/>
        <v>13.289628119665643</v>
      </c>
      <c r="S23" s="6">
        <f>B23*LN(B23/首页!$B$4)</f>
        <v>4.0928825256928605E-2</v>
      </c>
      <c r="T23" s="6">
        <f>2*首页!$B$8*(E23-C23)/(R23*(C23-D23))</f>
        <v>7.0217005798377419E-2</v>
      </c>
      <c r="U23" t="str">
        <f>IF(首页!$B$13="自然对流","按自然对流公式", "按强制对流公式")</f>
        <v>按自然对流公式</v>
      </c>
      <c r="V23" s="6">
        <f t="shared" si="8"/>
        <v>2.9288180541448813E-2</v>
      </c>
    </row>
    <row r="24" spans="1:22" x14ac:dyDescent="0.15">
      <c r="A24">
        <v>19</v>
      </c>
      <c r="B24" s="6">
        <f>首页!$B$4+2*A24/1000</f>
        <v>0.158</v>
      </c>
      <c r="C24" s="6">
        <f>首页!$B$7+273.15</f>
        <v>388.15</v>
      </c>
      <c r="D24" s="6">
        <f>首页!$B$6+273.15</f>
        <v>293.14999999999998</v>
      </c>
      <c r="E24" s="6">
        <f>首页!$B$5+273.15</f>
        <v>1373.15</v>
      </c>
      <c r="F24" s="6">
        <f t="shared" si="0"/>
        <v>95</v>
      </c>
      <c r="G24" s="6">
        <f t="shared" si="1"/>
        <v>340.65</v>
      </c>
      <c r="H24" s="6">
        <f t="shared" si="2"/>
        <v>1.9926207055139041E-5</v>
      </c>
      <c r="I24" s="7">
        <f t="shared" si="3"/>
        <v>1158916576932337.8</v>
      </c>
      <c r="J24" s="6">
        <f t="shared" si="4"/>
        <v>1.0226038455893147</v>
      </c>
      <c r="K24" s="7">
        <f>J24*H24*首页!$B$12/P24</f>
        <v>0.69532757496605813</v>
      </c>
      <c r="L24" s="6">
        <f>首页!$B$9*0.0000000567*((C24^4-D24^4)/(C24-D24))</f>
        <v>7.7687338005019564</v>
      </c>
      <c r="M24" s="6">
        <f>IF(首页!$B$13="自然对流",IF(首页!$B$14="立式圆筒",首页!$B$10,PI()*B24/2),PI()*B24/2)</f>
        <v>55.2</v>
      </c>
      <c r="N24" s="7">
        <f>IF(首页!$B$13="强制对流",首页!$B$11*M24/H24,0)</f>
        <v>0</v>
      </c>
      <c r="O24" s="6">
        <f>IF(首页!$B$13="自然对流",IF(首页!$B$14="立式圆筒",(0.825+0.3063*I24^(1/6))^2+0.87*(M24/B24),(0.752+0.303*I24^(1/6))^2),0.3+SQRT((0.592*N24^0.5)^2+(0.0262*N24^0.8/(1-0.5/N24^0.1))^2))</f>
        <v>10323.156870023508</v>
      </c>
      <c r="P24" s="6">
        <f t="shared" si="5"/>
        <v>2.9510194925512497E-2</v>
      </c>
      <c r="Q24" s="6">
        <f t="shared" si="6"/>
        <v>5.5188110775550205</v>
      </c>
      <c r="R24" s="6">
        <f t="shared" si="7"/>
        <v>13.287544878056977</v>
      </c>
      <c r="S24" s="6">
        <f>B24*LN(B24/首页!$B$4)</f>
        <v>4.3466319858697484E-2</v>
      </c>
      <c r="T24" s="6">
        <f>2*首页!$B$8*(E24-C24)/(R24*(C24-D24))</f>
        <v>7.0228014527940155E-2</v>
      </c>
      <c r="U24" t="str">
        <f>IF(首页!$B$13="自然对流","按自然对流公式", "按强制对流公式")</f>
        <v>按自然对流公式</v>
      </c>
      <c r="V24" s="6">
        <f t="shared" si="8"/>
        <v>2.6761694669242671E-2</v>
      </c>
    </row>
    <row r="25" spans="1:22" x14ac:dyDescent="0.15">
      <c r="A25">
        <v>20</v>
      </c>
      <c r="B25" s="6">
        <f>首页!$B$4+2*A25/1000</f>
        <v>0.16</v>
      </c>
      <c r="C25" s="6">
        <f>首页!$B$7+273.15</f>
        <v>388.15</v>
      </c>
      <c r="D25" s="6">
        <f>首页!$B$6+273.15</f>
        <v>293.14999999999998</v>
      </c>
      <c r="E25" s="6">
        <f>首页!$B$5+273.15</f>
        <v>1373.15</v>
      </c>
      <c r="F25" s="6">
        <f t="shared" si="0"/>
        <v>95</v>
      </c>
      <c r="G25" s="6">
        <f t="shared" si="1"/>
        <v>340.65</v>
      </c>
      <c r="H25" s="6">
        <f t="shared" si="2"/>
        <v>1.9926207055139041E-5</v>
      </c>
      <c r="I25" s="7">
        <f t="shared" si="3"/>
        <v>1158916576932337.8</v>
      </c>
      <c r="J25" s="6">
        <f t="shared" si="4"/>
        <v>1.0226038455893147</v>
      </c>
      <c r="K25" s="7">
        <f>J25*H25*首页!$B$12/P25</f>
        <v>0.69532757496605813</v>
      </c>
      <c r="L25" s="6">
        <f>首页!$B$9*0.0000000567*((C25^4-D25^4)/(C25-D25))</f>
        <v>7.7687338005019564</v>
      </c>
      <c r="M25" s="6">
        <f>IF(首页!$B$13="自然对流",IF(首页!$B$14="立式圆筒",首页!$B$10,PI()*B25/2),PI()*B25/2)</f>
        <v>55.2</v>
      </c>
      <c r="N25" s="7">
        <f>IF(首页!$B$13="强制对流",首页!$B$11*M25/H25,0)</f>
        <v>0</v>
      </c>
      <c r="O25" s="6">
        <f>IF(首页!$B$13="自然对流",IF(首页!$B$14="立式圆筒",(0.825+0.3063*I25^(1/6))^2+0.87*(M25/B25),(0.752+0.303*I25^(1/6))^2),0.3+SQRT((0.592*N25^0.5)^2+(0.0262*N25^0.8/(1-0.5/N25^0.1))^2))</f>
        <v>10319.357502934899</v>
      </c>
      <c r="P25" s="6">
        <f t="shared" si="5"/>
        <v>2.9510194925512497E-2</v>
      </c>
      <c r="Q25" s="6">
        <f t="shared" si="6"/>
        <v>5.5167799169865717</v>
      </c>
      <c r="R25" s="6">
        <f t="shared" si="7"/>
        <v>13.285513717488527</v>
      </c>
      <c r="S25" s="6">
        <f>B25*LN(B25/首页!$B$4)</f>
        <v>4.6029131592284965E-2</v>
      </c>
      <c r="T25" s="6">
        <f>2*首页!$B$8*(E25-C25)/(R25*(C25-D25))</f>
        <v>7.0238751363334184E-2</v>
      </c>
      <c r="U25" t="str">
        <f>IF(首页!$B$13="自然对流","按自然对流公式", "按强制对流公式")</f>
        <v>按自然对流公式</v>
      </c>
      <c r="V25" s="6">
        <f t="shared" si="8"/>
        <v>2.4209619771049219E-2</v>
      </c>
    </row>
    <row r="26" spans="1:22" x14ac:dyDescent="0.15">
      <c r="A26">
        <v>21</v>
      </c>
      <c r="B26" s="6">
        <f>首页!$B$4+2*A26/1000</f>
        <v>0.16200000000000001</v>
      </c>
      <c r="C26" s="6">
        <f>首页!$B$7+273.15</f>
        <v>388.15</v>
      </c>
      <c r="D26" s="6">
        <f>首页!$B$6+273.15</f>
        <v>293.14999999999998</v>
      </c>
      <c r="E26" s="6">
        <f>首页!$B$5+273.15</f>
        <v>1373.15</v>
      </c>
      <c r="F26" s="6">
        <f t="shared" si="0"/>
        <v>95</v>
      </c>
      <c r="G26" s="6">
        <f t="shared" si="1"/>
        <v>340.65</v>
      </c>
      <c r="H26" s="6">
        <f t="shared" si="2"/>
        <v>1.9926207055139041E-5</v>
      </c>
      <c r="I26" s="7">
        <f t="shared" si="3"/>
        <v>1158916576932337.8</v>
      </c>
      <c r="J26" s="6">
        <f t="shared" si="4"/>
        <v>1.0226038455893147</v>
      </c>
      <c r="K26" s="7">
        <f>J26*H26*首页!$B$12/P26</f>
        <v>0.69532757496605813</v>
      </c>
      <c r="L26" s="6">
        <f>首页!$B$9*0.0000000567*((C26^4-D26^4)/(C26-D26))</f>
        <v>7.7687338005019564</v>
      </c>
      <c r="M26" s="6">
        <f>IF(首页!$B$13="自然对流",IF(首页!$B$14="立式圆筒",首页!$B$10,PI()*B26/2),PI()*B26/2)</f>
        <v>55.2</v>
      </c>
      <c r="N26" s="7">
        <f>IF(首页!$B$13="强制对流",首页!$B$11*M26/H26,0)</f>
        <v>0</v>
      </c>
      <c r="O26" s="6">
        <f>IF(首页!$B$13="自然对流",IF(首页!$B$14="立式圆筒",(0.825+0.3063*I26^(1/6))^2+0.87*(M26/B26),(0.752+0.303*I26^(1/6))^2),0.3+SQRT((0.592*N26^0.5)^2+(0.0262*N26^0.8/(1-0.5/N26^0.1))^2))</f>
        <v>10315.651947379345</v>
      </c>
      <c r="P26" s="6">
        <f t="shared" si="5"/>
        <v>2.9510194925512497E-2</v>
      </c>
      <c r="Q26" s="6">
        <f t="shared" si="6"/>
        <v>5.514798908530925</v>
      </c>
      <c r="R26" s="6">
        <f t="shared" si="7"/>
        <v>13.283532709032881</v>
      </c>
      <c r="S26" s="6">
        <f>B26*LN(B26/首页!$B$4)</f>
        <v>4.8616943976954784E-2</v>
      </c>
      <c r="T26" s="6">
        <f>2*首页!$B$8*(E26-C26)/(R26*(C26-D26))</f>
        <v>7.0249226254570765E-2</v>
      </c>
      <c r="U26" t="str">
        <f>IF(首页!$B$13="自然对流","按自然对流公式", "按强制对流公式")</f>
        <v>按自然对流公式</v>
      </c>
      <c r="V26" s="6">
        <f t="shared" si="8"/>
        <v>2.1632282277615981E-2</v>
      </c>
    </row>
    <row r="27" spans="1:22" x14ac:dyDescent="0.15">
      <c r="A27">
        <v>22</v>
      </c>
      <c r="B27" s="6">
        <f>首页!$B$4+2*A27/1000</f>
        <v>0.16399999999999998</v>
      </c>
      <c r="C27" s="6">
        <f>首页!$B$7+273.15</f>
        <v>388.15</v>
      </c>
      <c r="D27" s="6">
        <f>首页!$B$6+273.15</f>
        <v>293.14999999999998</v>
      </c>
      <c r="E27" s="6">
        <f>首页!$B$5+273.15</f>
        <v>1373.15</v>
      </c>
      <c r="F27" s="6">
        <f t="shared" si="0"/>
        <v>95</v>
      </c>
      <c r="G27" s="6">
        <f t="shared" si="1"/>
        <v>340.65</v>
      </c>
      <c r="H27" s="6">
        <f t="shared" si="2"/>
        <v>1.9926207055139041E-5</v>
      </c>
      <c r="I27" s="7">
        <f t="shared" si="3"/>
        <v>1158916576932337.8</v>
      </c>
      <c r="J27" s="6">
        <f t="shared" si="4"/>
        <v>1.0226038455893147</v>
      </c>
      <c r="K27" s="7">
        <f>J27*H27*首页!$B$12/P27</f>
        <v>0.69532757496605813</v>
      </c>
      <c r="L27" s="6">
        <f>首页!$B$9*0.0000000567*((C27^4-D27^4)/(C27-D27))</f>
        <v>7.7687338005019564</v>
      </c>
      <c r="M27" s="6">
        <f>IF(首页!$B$13="自然对流",IF(首页!$B$14="立式圆筒",首页!$B$10,PI()*B27/2),PI()*B27/2)</f>
        <v>55.2</v>
      </c>
      <c r="N27" s="7">
        <f>IF(首页!$B$13="强制对流",首页!$B$11*M27/H27,0)</f>
        <v>0</v>
      </c>
      <c r="O27" s="6">
        <f>IF(首页!$B$13="自然对流",IF(首页!$B$14="立式圆筒",(0.825+0.3063*I27^(1/6))^2+0.87*(M27/B27),(0.752+0.303*I27^(1/6))^2),0.3+SQRT((0.592*N27^0.5)^2+(0.0262*N27^0.8/(1-0.5/N27^0.1))^2))</f>
        <v>10312.036771227582</v>
      </c>
      <c r="P27" s="6">
        <f t="shared" si="5"/>
        <v>2.9510194925512497E-2</v>
      </c>
      <c r="Q27" s="6">
        <f t="shared" si="6"/>
        <v>5.5128662173546816</v>
      </c>
      <c r="R27" s="6">
        <f t="shared" si="7"/>
        <v>13.281600017856638</v>
      </c>
      <c r="S27" s="6">
        <f>B27*LN(B27/首页!$B$4)</f>
        <v>5.1229448346912967E-2</v>
      </c>
      <c r="T27" s="6">
        <f>2*首页!$B$8*(E27-C27)/(R27*(C27-D27))</f>
        <v>7.0259448672015765E-2</v>
      </c>
      <c r="U27" t="str">
        <f>IF(首页!$B$13="自然对流","按自然对流公式", "按强制对流公式")</f>
        <v>按自然对流公式</v>
      </c>
      <c r="V27" s="6">
        <f t="shared" si="8"/>
        <v>1.9030000325102797E-2</v>
      </c>
    </row>
    <row r="28" spans="1:22" x14ac:dyDescent="0.15">
      <c r="A28">
        <v>23</v>
      </c>
      <c r="B28" s="6">
        <f>首页!$B$4+2*A28/1000</f>
        <v>0.16599999999999998</v>
      </c>
      <c r="C28" s="6">
        <f>首页!$B$7+273.15</f>
        <v>388.15</v>
      </c>
      <c r="D28" s="6">
        <f>首页!$B$6+273.15</f>
        <v>293.14999999999998</v>
      </c>
      <c r="E28" s="6">
        <f>首页!$B$5+273.15</f>
        <v>1373.15</v>
      </c>
      <c r="F28" s="6">
        <f t="shared" si="0"/>
        <v>95</v>
      </c>
      <c r="G28" s="6">
        <f t="shared" si="1"/>
        <v>340.65</v>
      </c>
      <c r="H28" s="6">
        <f t="shared" si="2"/>
        <v>1.9926207055139041E-5</v>
      </c>
      <c r="I28" s="7">
        <f t="shared" si="3"/>
        <v>1158916576932337.8</v>
      </c>
      <c r="J28" s="6">
        <f t="shared" si="4"/>
        <v>1.0226038455893147</v>
      </c>
      <c r="K28" s="7">
        <f>J28*H28*首页!$B$12/P28</f>
        <v>0.69532757496605813</v>
      </c>
      <c r="L28" s="6">
        <f>首页!$B$9*0.0000000567*((C28^4-D28^4)/(C28-D28))</f>
        <v>7.7687338005019564</v>
      </c>
      <c r="M28" s="6">
        <f>IF(首页!$B$13="自然对流",IF(首页!$B$14="立式圆筒",首页!$B$10,PI()*B28/2),PI()*B28/2)</f>
        <v>55.2</v>
      </c>
      <c r="N28" s="7">
        <f>IF(首页!$B$13="强制对流",首页!$B$11*M28/H28,0)</f>
        <v>0</v>
      </c>
      <c r="O28" s="6">
        <f>IF(首页!$B$13="自然对流",IF(首页!$B$14="立式圆筒",(0.825+0.3063*I28^(1/6))^2+0.87*(M28/B28),(0.752+0.303*I28^(1/6))^2),0.3+SQRT((0.592*N28^0.5)^2+(0.0262*N28^0.8/(1-0.5/N28^0.1))^2))</f>
        <v>10308.508707754178</v>
      </c>
      <c r="P28" s="6">
        <f t="shared" si="5"/>
        <v>2.9510194925512497E-2</v>
      </c>
      <c r="Q28" s="6">
        <f t="shared" si="6"/>
        <v>5.5109800970501581</v>
      </c>
      <c r="R28" s="6">
        <f t="shared" si="7"/>
        <v>13.279713897552114</v>
      </c>
      <c r="S28" s="6">
        <f>B28*LN(B28/首页!$B$4)</f>
        <v>5.3866343565366535E-2</v>
      </c>
      <c r="T28" s="6">
        <f>2*首页!$B$8*(E28-C28)/(R28*(C28-D28))</f>
        <v>7.0269427634947298E-2</v>
      </c>
      <c r="U28" t="str">
        <f>IF(首页!$B$13="自然对流","按自然对流公式", "按强制对流公式")</f>
        <v>按自然对流公式</v>
      </c>
      <c r="V28" s="6">
        <f t="shared" si="8"/>
        <v>1.6403084069580763E-2</v>
      </c>
    </row>
    <row r="29" spans="1:22" x14ac:dyDescent="0.15">
      <c r="A29">
        <v>24</v>
      </c>
      <c r="B29" s="6">
        <f>首页!$B$4+2*A29/1000</f>
        <v>0.16799999999999998</v>
      </c>
      <c r="C29" s="6">
        <f>首页!$B$7+273.15</f>
        <v>388.15</v>
      </c>
      <c r="D29" s="6">
        <f>首页!$B$6+273.15</f>
        <v>293.14999999999998</v>
      </c>
      <c r="E29" s="6">
        <f>首页!$B$5+273.15</f>
        <v>1373.15</v>
      </c>
      <c r="F29" s="6">
        <f t="shared" si="0"/>
        <v>95</v>
      </c>
      <c r="G29" s="6">
        <f t="shared" si="1"/>
        <v>340.65</v>
      </c>
      <c r="H29" s="6">
        <f t="shared" si="2"/>
        <v>1.9926207055139041E-5</v>
      </c>
      <c r="I29" s="7">
        <f t="shared" si="3"/>
        <v>1158916576932337.8</v>
      </c>
      <c r="J29" s="6">
        <f t="shared" si="4"/>
        <v>1.0226038455893147</v>
      </c>
      <c r="K29" s="7">
        <f>J29*H29*首页!$B$12/P29</f>
        <v>0.69532757496605813</v>
      </c>
      <c r="L29" s="6">
        <f>首页!$B$9*0.0000000567*((C29^4-D29^4)/(C29-D29))</f>
        <v>7.7687338005019564</v>
      </c>
      <c r="M29" s="6">
        <f>IF(首页!$B$13="自然对流",IF(首页!$B$14="立式圆筒",首页!$B$10,PI()*B29/2),PI()*B29/2)</f>
        <v>55.2</v>
      </c>
      <c r="N29" s="7">
        <f>IF(首页!$B$13="强制对流",首页!$B$11*M29/H29,0)</f>
        <v>0</v>
      </c>
      <c r="O29" s="6">
        <f>IF(首页!$B$13="自然对流",IF(首页!$B$14="立式圆筒",(0.825+0.3063*I29^(1/6))^2+0.87*(M29/B29),(0.752+0.303*I29^(1/6))^2),0.3+SQRT((0.592*N29^0.5)^2+(0.0262*N29^0.8/(1-0.5/N29^0.1))^2))</f>
        <v>10305.064645792043</v>
      </c>
      <c r="P29" s="6">
        <f t="shared" si="5"/>
        <v>2.9510194925512497E-2</v>
      </c>
      <c r="Q29" s="6">
        <f t="shared" si="6"/>
        <v>5.5091388843719304</v>
      </c>
      <c r="R29" s="6">
        <f t="shared" si="7"/>
        <v>13.277872684873888</v>
      </c>
      <c r="S29" s="6">
        <f>B29*LN(B29/首页!$B$4)</f>
        <v>5.652733575236376E-2</v>
      </c>
      <c r="T29" s="6">
        <f>2*首页!$B$8*(E29-C29)/(R29*(C29-D29))</f>
        <v>7.0279171738097237E-2</v>
      </c>
      <c r="U29" t="str">
        <f>IF(首页!$B$13="自然对流","按自然对流公式", "按强制对流公式")</f>
        <v>按自然对流公式</v>
      </c>
      <c r="V29" s="6">
        <f t="shared" si="8"/>
        <v>1.3751835985733478E-2</v>
      </c>
    </row>
    <row r="30" spans="1:22" x14ac:dyDescent="0.15">
      <c r="A30">
        <v>25</v>
      </c>
      <c r="B30" s="6">
        <f>首页!$B$4+2*A30/1000</f>
        <v>0.16999999999999998</v>
      </c>
      <c r="C30" s="6">
        <f>首页!$B$7+273.15</f>
        <v>388.15</v>
      </c>
      <c r="D30" s="6">
        <f>首页!$B$6+273.15</f>
        <v>293.14999999999998</v>
      </c>
      <c r="E30" s="6">
        <f>首页!$B$5+273.15</f>
        <v>1373.15</v>
      </c>
      <c r="F30" s="6">
        <f t="shared" si="0"/>
        <v>95</v>
      </c>
      <c r="G30" s="6">
        <f t="shared" si="1"/>
        <v>340.65</v>
      </c>
      <c r="H30" s="6">
        <f t="shared" si="2"/>
        <v>1.9926207055139041E-5</v>
      </c>
      <c r="I30" s="7">
        <f t="shared" si="3"/>
        <v>1158916576932337.8</v>
      </c>
      <c r="J30" s="6">
        <f t="shared" si="4"/>
        <v>1.0226038455893147</v>
      </c>
      <c r="K30" s="7">
        <f>J30*H30*首页!$B$12/P30</f>
        <v>0.69532757496605813</v>
      </c>
      <c r="L30" s="6">
        <f>首页!$B$9*0.0000000567*((C30^4-D30^4)/(C30-D30))</f>
        <v>7.7687338005019564</v>
      </c>
      <c r="M30" s="6">
        <f>IF(首页!$B$13="自然对流",IF(首页!$B$14="立式圆筒",首页!$B$10,PI()*B30/2),PI()*B30/2)</f>
        <v>55.2</v>
      </c>
      <c r="N30" s="7">
        <f>IF(首页!$B$13="强制对流",首页!$B$11*M30/H30,0)</f>
        <v>0</v>
      </c>
      <c r="O30" s="6">
        <f>IF(首页!$B$13="自然对流",IF(首页!$B$14="立式圆筒",(0.825+0.3063*I30^(1/6))^2+0.87*(M30/B30),(0.752+0.303*I30^(1/6))^2),0.3+SQRT((0.592*N30^0.5)^2+(0.0262*N30^0.8/(1-0.5/N30^0.1))^2))</f>
        <v>10301.701620581958</v>
      </c>
      <c r="P30" s="6">
        <f t="shared" si="5"/>
        <v>2.9510194925512497E-2</v>
      </c>
      <c r="Q30" s="6">
        <f t="shared" si="6"/>
        <v>5.5073409943449558</v>
      </c>
      <c r="R30" s="6">
        <f t="shared" si="7"/>
        <v>13.276074794846913</v>
      </c>
      <c r="S30" s="6">
        <f>B30*LN(B30/首页!$B$4)</f>
        <v>5.9212138025596654E-2</v>
      </c>
      <c r="T30" s="6">
        <f>2*首页!$B$8*(E30-C30)/(R30*(C30-D30))</f>
        <v>7.028868917634043E-2</v>
      </c>
      <c r="U30" t="str">
        <f>IF(首页!$B$13="自然对流","按自然对流公式", "按强制对流公式")</f>
        <v>按自然对流公式</v>
      </c>
      <c r="V30" s="6">
        <f t="shared" si="8"/>
        <v>1.1076551150743776E-2</v>
      </c>
    </row>
    <row r="31" spans="1:22" x14ac:dyDescent="0.15">
      <c r="A31">
        <v>26</v>
      </c>
      <c r="B31" s="6">
        <f>首页!$B$4+2*A31/1000</f>
        <v>0.17199999999999999</v>
      </c>
      <c r="C31" s="6">
        <f>首页!$B$7+273.15</f>
        <v>388.15</v>
      </c>
      <c r="D31" s="6">
        <f>首页!$B$6+273.15</f>
        <v>293.14999999999998</v>
      </c>
      <c r="E31" s="6">
        <f>首页!$B$5+273.15</f>
        <v>1373.15</v>
      </c>
      <c r="F31" s="6">
        <f t="shared" si="0"/>
        <v>95</v>
      </c>
      <c r="G31" s="6">
        <f t="shared" si="1"/>
        <v>340.65</v>
      </c>
      <c r="H31" s="6">
        <f t="shared" si="2"/>
        <v>1.9926207055139041E-5</v>
      </c>
      <c r="I31" s="7">
        <f t="shared" si="3"/>
        <v>1158916576932337.8</v>
      </c>
      <c r="J31" s="6">
        <f t="shared" si="4"/>
        <v>1.0226038455893147</v>
      </c>
      <c r="K31" s="7">
        <f>J31*H31*首页!$B$12/P31</f>
        <v>0.69532757496605813</v>
      </c>
      <c r="L31" s="6">
        <f>首页!$B$9*0.0000000567*((C31^4-D31^4)/(C31-D31))</f>
        <v>7.7687338005019564</v>
      </c>
      <c r="M31" s="6">
        <f>IF(首页!$B$13="自然对流",IF(首页!$B$14="立式圆筒",首页!$B$10,PI()*B31/2),PI()*B31/2)</f>
        <v>55.2</v>
      </c>
      <c r="N31" s="7">
        <f>IF(首页!$B$13="强制对流",首页!$B$11*M31/H31,0)</f>
        <v>0</v>
      </c>
      <c r="O31" s="6">
        <f>IF(首页!$B$13="自然对流",IF(首页!$B$14="立式圆筒",(0.825+0.3063*I31^(1/6))^2+0.87*(M31/B31),(0.752+0.303*I31^(1/6))^2),0.3+SQRT((0.592*N31^0.5)^2+(0.0262*N31^0.8/(1-0.5/N31^0.1))^2))</f>
        <v>10298.416805260482</v>
      </c>
      <c r="P31" s="6">
        <f t="shared" si="5"/>
        <v>2.9510194925512497E-2</v>
      </c>
      <c r="Q31" s="6">
        <f t="shared" si="6"/>
        <v>5.5055849157139578</v>
      </c>
      <c r="R31" s="6">
        <f t="shared" si="7"/>
        <v>13.274318716215914</v>
      </c>
      <c r="S31" s="6">
        <f>B31*LN(B31/首页!$B$4)</f>
        <v>6.1920470253402006E-2</v>
      </c>
      <c r="T31" s="6">
        <f>2*首页!$B$8*(E31-C31)/(R31*(C31-D31))</f>
        <v>7.0297987767680772E-2</v>
      </c>
      <c r="U31" t="str">
        <f>IF(首页!$B$13="自然对流","按自然对流公式", "按强制对流公式")</f>
        <v>按自然对流公式</v>
      </c>
      <c r="V31" s="6">
        <f t="shared" si="8"/>
        <v>8.3775175142787664E-3</v>
      </c>
    </row>
    <row r="32" spans="1:22" x14ac:dyDescent="0.15">
      <c r="A32">
        <v>27</v>
      </c>
      <c r="B32" s="6">
        <f>首页!$B$4+2*A32/1000</f>
        <v>0.17399999999999999</v>
      </c>
      <c r="C32" s="6">
        <f>首页!$B$7+273.15</f>
        <v>388.15</v>
      </c>
      <c r="D32" s="6">
        <f>首页!$B$6+273.15</f>
        <v>293.14999999999998</v>
      </c>
      <c r="E32" s="6">
        <f>首页!$B$5+273.15</f>
        <v>1373.15</v>
      </c>
      <c r="F32" s="6">
        <f t="shared" si="0"/>
        <v>95</v>
      </c>
      <c r="G32" s="6">
        <f t="shared" si="1"/>
        <v>340.65</v>
      </c>
      <c r="H32" s="6">
        <f t="shared" si="2"/>
        <v>1.9926207055139041E-5</v>
      </c>
      <c r="I32" s="7">
        <f t="shared" si="3"/>
        <v>1158916576932337.8</v>
      </c>
      <c r="J32" s="6">
        <f t="shared" si="4"/>
        <v>1.0226038455893147</v>
      </c>
      <c r="K32" s="7">
        <f>J32*H32*首页!$B$12/P32</f>
        <v>0.69532757496605813</v>
      </c>
      <c r="L32" s="6">
        <f>首页!$B$9*0.0000000567*((C32^4-D32^4)/(C32-D32))</f>
        <v>7.7687338005019564</v>
      </c>
      <c r="M32" s="6">
        <f>IF(首页!$B$13="自然对流",IF(首页!$B$14="立式圆筒",首页!$B$10,PI()*B32/2),PI()*B32/2)</f>
        <v>55.2</v>
      </c>
      <c r="N32" s="7">
        <f>IF(首页!$B$13="强制对流",首页!$B$11*M32/H32,0)</f>
        <v>0</v>
      </c>
      <c r="O32" s="6">
        <f>IF(首页!$B$13="自然对流",IF(首页!$B$14="立式圆筒",(0.825+0.3063*I32^(1/6))^2+0.87*(M32/B32),(0.752+0.303*I32^(1/6))^2),0.3+SQRT((0.592*N32^0.5)^2+(0.0262*N32^0.8/(1-0.5/N32^0.1))^2))</f>
        <v>10295.2075029349</v>
      </c>
      <c r="P32" s="6">
        <f t="shared" si="5"/>
        <v>2.9510194925512497E-2</v>
      </c>
      <c r="Q32" s="6">
        <f t="shared" si="6"/>
        <v>5.5038692067066597</v>
      </c>
      <c r="R32" s="6">
        <f t="shared" si="7"/>
        <v>13.272603007208616</v>
      </c>
      <c r="S32" s="6">
        <f>B32*LN(B32/首页!$B$4)</f>
        <v>6.465205881925204E-2</v>
      </c>
      <c r="T32" s="6">
        <f>2*首页!$B$8*(E32-C32)/(R32*(C32-D32))</f>
        <v>7.0307074974669662E-2</v>
      </c>
      <c r="U32" t="str">
        <f>IF(首页!$B$13="自然对流","按自然对流公式", "按强制对流公式")</f>
        <v>按自然对流公式</v>
      </c>
      <c r="V32" s="6">
        <f t="shared" si="8"/>
        <v>5.655016155417622E-3</v>
      </c>
    </row>
    <row r="33" spans="1:22" x14ac:dyDescent="0.15">
      <c r="A33">
        <v>28</v>
      </c>
      <c r="B33" s="6">
        <f>首页!$B$4+2*A33/1000</f>
        <v>0.17599999999999999</v>
      </c>
      <c r="C33" s="6">
        <f>首页!$B$7+273.15</f>
        <v>388.15</v>
      </c>
      <c r="D33" s="6">
        <f>首页!$B$6+273.15</f>
        <v>293.14999999999998</v>
      </c>
      <c r="E33" s="6">
        <f>首页!$B$5+273.15</f>
        <v>1373.15</v>
      </c>
      <c r="F33" s="6">
        <f t="shared" si="0"/>
        <v>95</v>
      </c>
      <c r="G33" s="6">
        <f t="shared" si="1"/>
        <v>340.65</v>
      </c>
      <c r="H33" s="6">
        <f t="shared" si="2"/>
        <v>1.9926207055139041E-5</v>
      </c>
      <c r="I33" s="7">
        <f t="shared" si="3"/>
        <v>1158916576932337.8</v>
      </c>
      <c r="J33" s="6">
        <f t="shared" si="4"/>
        <v>1.0226038455893147</v>
      </c>
      <c r="K33" s="7">
        <f>J33*H33*首页!$B$12/P33</f>
        <v>0.69532757496605813</v>
      </c>
      <c r="L33" s="6">
        <f>首页!$B$9*0.0000000567*((C33^4-D33^4)/(C33-D33))</f>
        <v>7.7687338005019564</v>
      </c>
      <c r="M33" s="6">
        <f>IF(首页!$B$13="自然对流",IF(首页!$B$14="立式圆筒",首页!$B$10,PI()*B33/2),PI()*B33/2)</f>
        <v>55.2</v>
      </c>
      <c r="N33" s="7">
        <f>IF(首页!$B$13="强制对流",首页!$B$11*M33/H33,0)</f>
        <v>0</v>
      </c>
      <c r="O33" s="6">
        <f>IF(首页!$B$13="自然对流",IF(首页!$B$14="立式圆筒",(0.825+0.3063*I33^(1/6))^2+0.87*(M33/B33),(0.752+0.303*I33^(1/6))^2),0.3+SQRT((0.592*N33^0.5)^2+(0.0262*N33^0.8/(1-0.5/N33^0.1))^2))</f>
        <v>10292.071139298536</v>
      </c>
      <c r="P33" s="6">
        <f t="shared" si="5"/>
        <v>2.9510194925512497E-2</v>
      </c>
      <c r="Q33" s="6">
        <f t="shared" si="6"/>
        <v>5.5021924910858919</v>
      </c>
      <c r="R33" s="6">
        <f t="shared" si="7"/>
        <v>13.270926291587848</v>
      </c>
      <c r="S33" s="6">
        <f>B33*LN(B33/首页!$B$4)</f>
        <v>6.7406636397074601E-2</v>
      </c>
      <c r="T33" s="6">
        <f>2*首页!$B$8*(E33-C33)/(R33*(C33-D33))</f>
        <v>7.0315957924380196E-2</v>
      </c>
      <c r="U33" t="str">
        <f>IF(首页!$B$13="自然对流","按自然对流公式", "按强制对流公式")</f>
        <v>按自然对流公式</v>
      </c>
      <c r="V33" s="6">
        <f t="shared" si="8"/>
        <v>2.9093215273055945E-3</v>
      </c>
    </row>
    <row r="34" spans="1:22" x14ac:dyDescent="0.15">
      <c r="A34">
        <v>29</v>
      </c>
      <c r="B34" s="6">
        <f>首页!$B$4+2*A34/1000</f>
        <v>0.17799999999999999</v>
      </c>
      <c r="C34" s="6">
        <f>首页!$B$7+273.15</f>
        <v>388.15</v>
      </c>
      <c r="D34" s="6">
        <f>首页!$B$6+273.15</f>
        <v>293.14999999999998</v>
      </c>
      <c r="E34" s="6">
        <f>首页!$B$5+273.15</f>
        <v>1373.15</v>
      </c>
      <c r="F34" s="6">
        <f t="shared" si="0"/>
        <v>95</v>
      </c>
      <c r="G34" s="6">
        <f t="shared" si="1"/>
        <v>340.65</v>
      </c>
      <c r="H34" s="6">
        <f t="shared" si="2"/>
        <v>1.9926207055139041E-5</v>
      </c>
      <c r="I34" s="7">
        <f t="shared" si="3"/>
        <v>1158916576932337.8</v>
      </c>
      <c r="J34" s="6">
        <f t="shared" si="4"/>
        <v>1.0226038455893147</v>
      </c>
      <c r="K34" s="7">
        <f>J34*H34*首页!$B$12/P34</f>
        <v>0.69532757496605813</v>
      </c>
      <c r="L34" s="6">
        <f>首页!$B$9*0.0000000567*((C34^4-D34^4)/(C34-D34))</f>
        <v>7.7687338005019564</v>
      </c>
      <c r="M34" s="6">
        <f>IF(首页!$B$13="自然对流",IF(首页!$B$14="立式圆筒",首页!$B$10,PI()*B34/2),PI()*B34/2)</f>
        <v>55.2</v>
      </c>
      <c r="N34" s="7">
        <f>IF(首页!$B$13="强制对流",首页!$B$11*M34/H34,0)</f>
        <v>0</v>
      </c>
      <c r="O34" s="6">
        <f>IF(首页!$B$13="自然对流",IF(首页!$B$14="立式圆筒",(0.825+0.3063*I34^(1/6))^2+0.87*(M34/B34),(0.752+0.303*I34^(1/6))^2),0.3+SQRT((0.592*N34^0.5)^2+(0.0262*N34^0.8/(1-0.5/N34^0.1))^2))</f>
        <v>10289.005255743888</v>
      </c>
      <c r="P34" s="6">
        <f t="shared" si="5"/>
        <v>2.9510194925512497E-2</v>
      </c>
      <c r="Q34" s="6">
        <f t="shared" si="6"/>
        <v>5.5005534544678385</v>
      </c>
      <c r="R34" s="6">
        <f t="shared" si="7"/>
        <v>13.269287254969795</v>
      </c>
      <c r="S34" s="6">
        <f>B34*LN(B34/首页!$B$4)</f>
        <v>7.0183941736786964E-2</v>
      </c>
      <c r="T34" s="6">
        <f>2*首页!$B$8*(E34-C34)/(R34*(C34-D34))</f>
        <v>7.0324643427049416E-2</v>
      </c>
      <c r="U34" t="str">
        <f>IF(首页!$B$13="自然对流","按自然对流公式", "按强制对流公式")</f>
        <v>按自然对流公式</v>
      </c>
      <c r="V34" s="6">
        <f t="shared" si="8"/>
        <v>1.4070169026245138E-4</v>
      </c>
    </row>
    <row r="35" spans="1:22" x14ac:dyDescent="0.15">
      <c r="A35">
        <v>30</v>
      </c>
      <c r="B35" s="6">
        <f>首页!$B$4+2*A35/1000</f>
        <v>0.18</v>
      </c>
      <c r="C35" s="6">
        <f>首页!$B$7+273.15</f>
        <v>388.15</v>
      </c>
      <c r="D35" s="6">
        <f>首页!$B$6+273.15</f>
        <v>293.14999999999998</v>
      </c>
      <c r="E35" s="6">
        <f>首页!$B$5+273.15</f>
        <v>1373.15</v>
      </c>
      <c r="F35" s="6">
        <f t="shared" si="0"/>
        <v>95</v>
      </c>
      <c r="G35" s="6">
        <f t="shared" si="1"/>
        <v>340.65</v>
      </c>
      <c r="H35" s="6">
        <f t="shared" si="2"/>
        <v>1.9926207055139041E-5</v>
      </c>
      <c r="I35" s="7">
        <f t="shared" si="3"/>
        <v>1158916576932337.8</v>
      </c>
      <c r="J35" s="6">
        <f t="shared" si="4"/>
        <v>1.0226038455893147</v>
      </c>
      <c r="K35" s="7">
        <f>J35*H35*首页!$B$12/P35</f>
        <v>0.69532757496605813</v>
      </c>
      <c r="L35" s="6">
        <f>首页!$B$9*0.0000000567*((C35^4-D35^4)/(C35-D35))</f>
        <v>7.7687338005019564</v>
      </c>
      <c r="M35" s="6">
        <f>IF(首页!$B$13="自然对流",IF(首页!$B$14="立式圆筒",首页!$B$10,PI()*B35/2),PI()*B35/2)</f>
        <v>55.2</v>
      </c>
      <c r="N35" s="7">
        <f>IF(首页!$B$13="强制对流",首页!$B$11*M35/H35,0)</f>
        <v>0</v>
      </c>
      <c r="O35" s="6">
        <f>IF(首页!$B$13="自然对流",IF(首页!$B$14="立式圆筒",(0.825+0.3063*I35^(1/6))^2+0.87*(M35/B35),(0.752+0.303*I35^(1/6))^2),0.3+SQRT((0.592*N35^0.5)^2+(0.0262*N35^0.8/(1-0.5/N35^0.1))^2))</f>
        <v>10286.007502934899</v>
      </c>
      <c r="P35" s="6">
        <f t="shared" si="5"/>
        <v>2.9510194925512497E-2</v>
      </c>
      <c r="Q35" s="6">
        <f t="shared" si="6"/>
        <v>5.4989508408857413</v>
      </c>
      <c r="R35" s="6">
        <f t="shared" si="7"/>
        <v>13.267684641387698</v>
      </c>
      <c r="S35" s="6">
        <f>B35*LN(B35/首页!$B$4)</f>
        <v>7.298371945946959E-2</v>
      </c>
      <c r="T35" s="6">
        <f>2*首页!$B$8*(E35-C35)/(R35*(C35-D35))</f>
        <v>7.0333137993491016E-2</v>
      </c>
      <c r="U35" t="str">
        <f>IF(首页!$B$13="自然对流","按自然对流公式", "按强制对流公式")</f>
        <v>按自然对流公式</v>
      </c>
      <c r="V35" s="6">
        <f t="shared" si="8"/>
        <v>2.6505814659785742E-3</v>
      </c>
    </row>
    <row r="36" spans="1:22" x14ac:dyDescent="0.15">
      <c r="A36">
        <v>31</v>
      </c>
      <c r="B36" s="6">
        <f>首页!$B$4+2*A36/1000</f>
        <v>0.182</v>
      </c>
      <c r="C36" s="6">
        <f>首页!$B$7+273.15</f>
        <v>388.15</v>
      </c>
      <c r="D36" s="6">
        <f>首页!$B$6+273.15</f>
        <v>293.14999999999998</v>
      </c>
      <c r="E36" s="6">
        <f>首页!$B$5+273.15</f>
        <v>1373.15</v>
      </c>
      <c r="F36" s="6">
        <f t="shared" si="0"/>
        <v>95</v>
      </c>
      <c r="G36" s="6">
        <f t="shared" si="1"/>
        <v>340.65</v>
      </c>
      <c r="H36" s="6">
        <f t="shared" si="2"/>
        <v>1.9926207055139041E-5</v>
      </c>
      <c r="I36" s="7">
        <f t="shared" si="3"/>
        <v>1158916576932337.8</v>
      </c>
      <c r="J36" s="6">
        <f t="shared" si="4"/>
        <v>1.0226038455893147</v>
      </c>
      <c r="K36" s="7">
        <f>J36*H36*首页!$B$12/P36</f>
        <v>0.69532757496605813</v>
      </c>
      <c r="L36" s="6">
        <f>首页!$B$9*0.0000000567*((C36^4-D36^4)/(C36-D36))</f>
        <v>7.7687338005019564</v>
      </c>
      <c r="M36" s="6">
        <f>IF(首页!$B$13="自然对流",IF(首页!$B$14="立式圆筒",首页!$B$10,PI()*B36/2),PI()*B36/2)</f>
        <v>55.2</v>
      </c>
      <c r="N36" s="7">
        <f>IF(首页!$B$13="强制对流",首页!$B$11*M36/H36,0)</f>
        <v>0</v>
      </c>
      <c r="O36" s="6">
        <f>IF(首页!$B$13="自然对流",IF(首页!$B$14="立式圆筒",(0.825+0.3063*I36^(1/6))^2+0.87*(M36/B36),(0.752+0.303*I36^(1/6))^2),0.3+SQRT((0.592*N36^0.5)^2+(0.0262*N36^0.8/(1-0.5/N36^0.1))^2))</f>
        <v>10283.075634803032</v>
      </c>
      <c r="P36" s="6">
        <f t="shared" si="5"/>
        <v>2.9510194925512497E-2</v>
      </c>
      <c r="Q36" s="6">
        <f t="shared" si="6"/>
        <v>5.4973834495801741</v>
      </c>
      <c r="R36" s="6">
        <f t="shared" si="7"/>
        <v>13.26611725008213</v>
      </c>
      <c r="S36" s="6">
        <f>B36*LN(B36/首页!$B$4)</f>
        <v>7.5805719861644374E-2</v>
      </c>
      <c r="T36" s="6">
        <f>2*首页!$B$8*(E36-C36)/(R36*(C36-D36))</f>
        <v>7.0341447851372266E-2</v>
      </c>
      <c r="U36" t="str">
        <f>IF(首页!$B$13="自然对流","按自然对流公式", "按强制对流公式")</f>
        <v>按自然对流公式</v>
      </c>
      <c r="V36" s="6">
        <f t="shared" si="8"/>
        <v>5.4642720102721087E-3</v>
      </c>
    </row>
    <row r="37" spans="1:22" x14ac:dyDescent="0.15">
      <c r="A37">
        <v>32</v>
      </c>
      <c r="B37" s="6">
        <f>首页!$B$4+2*A37/1000</f>
        <v>0.184</v>
      </c>
      <c r="C37" s="6">
        <f>首页!$B$7+273.15</f>
        <v>388.15</v>
      </c>
      <c r="D37" s="6">
        <f>首页!$B$6+273.15</f>
        <v>293.14999999999998</v>
      </c>
      <c r="E37" s="6">
        <f>首页!$B$5+273.15</f>
        <v>1373.15</v>
      </c>
      <c r="F37" s="6">
        <f t="shared" si="0"/>
        <v>95</v>
      </c>
      <c r="G37" s="6">
        <f t="shared" si="1"/>
        <v>340.65</v>
      </c>
      <c r="H37" s="6">
        <f t="shared" si="2"/>
        <v>1.9926207055139041E-5</v>
      </c>
      <c r="I37" s="7">
        <f t="shared" si="3"/>
        <v>1158916576932337.8</v>
      </c>
      <c r="J37" s="6">
        <f t="shared" si="4"/>
        <v>1.0226038455893147</v>
      </c>
      <c r="K37" s="7">
        <f>J37*H37*首页!$B$12/P37</f>
        <v>0.69532757496605813</v>
      </c>
      <c r="L37" s="6">
        <f>首页!$B$9*0.0000000567*((C37^4-D37^4)/(C37-D37))</f>
        <v>7.7687338005019564</v>
      </c>
      <c r="M37" s="6">
        <f>IF(首页!$B$13="自然对流",IF(首页!$B$14="立式圆筒",首页!$B$10,PI()*B37/2),PI()*B37/2)</f>
        <v>55.2</v>
      </c>
      <c r="N37" s="7">
        <f>IF(首页!$B$13="强制对流",首页!$B$11*M37/H37,0)</f>
        <v>0</v>
      </c>
      <c r="O37" s="6">
        <f>IF(首页!$B$13="自然对流",IF(首页!$B$14="立式圆筒",(0.825+0.3063*I37^(1/6))^2+0.87*(M37/B37),(0.752+0.303*I37^(1/6))^2),0.3+SQRT((0.592*N37^0.5)^2+(0.0262*N37^0.8/(1-0.5/N37^0.1))^2))</f>
        <v>10280.2075029349</v>
      </c>
      <c r="P37" s="6">
        <f t="shared" si="5"/>
        <v>2.9510194925512497E-2</v>
      </c>
      <c r="Q37" s="6">
        <f t="shared" si="6"/>
        <v>5.4958501319986404</v>
      </c>
      <c r="R37" s="6">
        <f t="shared" si="7"/>
        <v>13.264583932500596</v>
      </c>
      <c r="S37" s="6">
        <f>B37*LN(B37/首页!$B$4)</f>
        <v>7.86496987281569E-2</v>
      </c>
      <c r="T37" s="6">
        <f>2*首页!$B$8*(E37-C37)/(R37*(C37-D37))</f>
        <v>7.0349578960440584E-2</v>
      </c>
      <c r="U37" t="str">
        <f>IF(首页!$B$13="自然对流","按自然对流公式", "按强制对流公式")</f>
        <v>按自然对流公式</v>
      </c>
      <c r="V37" s="6">
        <f t="shared" si="8"/>
        <v>8.3001197677163158E-3</v>
      </c>
    </row>
    <row r="38" spans="1:22" x14ac:dyDescent="0.15">
      <c r="A38">
        <v>33</v>
      </c>
      <c r="B38" s="6">
        <f>首页!$B$4+2*A38/1000</f>
        <v>0.186</v>
      </c>
      <c r="C38" s="6">
        <f>首页!$B$7+273.15</f>
        <v>388.15</v>
      </c>
      <c r="D38" s="6">
        <f>首页!$B$6+273.15</f>
        <v>293.14999999999998</v>
      </c>
      <c r="E38" s="6">
        <f>首页!$B$5+273.15</f>
        <v>1373.15</v>
      </c>
      <c r="F38" s="6">
        <f t="shared" si="0"/>
        <v>95</v>
      </c>
      <c r="G38" s="6">
        <f t="shared" si="1"/>
        <v>340.65</v>
      </c>
      <c r="H38" s="6">
        <f t="shared" si="2"/>
        <v>1.9926207055139041E-5</v>
      </c>
      <c r="I38" s="7">
        <f t="shared" si="3"/>
        <v>1158916576932337.8</v>
      </c>
      <c r="J38" s="6">
        <f t="shared" si="4"/>
        <v>1.0226038455893147</v>
      </c>
      <c r="K38" s="7">
        <f>J38*H38*首页!$B$12/P38</f>
        <v>0.69532757496605813</v>
      </c>
      <c r="L38" s="6">
        <f>首页!$B$9*0.0000000567*((C38^4-D38^4)/(C38-D38))</f>
        <v>7.7687338005019564</v>
      </c>
      <c r="M38" s="6">
        <f>IF(首页!$B$13="自然对流",IF(首页!$B$14="立式圆筒",首页!$B$10,PI()*B38/2),PI()*B38/2)</f>
        <v>55.2</v>
      </c>
      <c r="N38" s="7">
        <f>IF(首页!$B$13="强制对流",首页!$B$11*M38/H38,0)</f>
        <v>0</v>
      </c>
      <c r="O38" s="6">
        <f>IF(首页!$B$13="自然对流",IF(首页!$B$14="立式圆筒",(0.825+0.3063*I38^(1/6))^2+0.87*(M38/B38),(0.752+0.303*I38^(1/6))^2),0.3+SQRT((0.592*N38^0.5)^2+(0.0262*N38^0.8/(1-0.5/N38^0.1))^2))</f>
        <v>10277.401051321996</v>
      </c>
      <c r="P38" s="6">
        <f t="shared" si="5"/>
        <v>2.9510194925512497E-2</v>
      </c>
      <c r="Q38" s="6">
        <f t="shared" si="6"/>
        <v>5.4943497889887531</v>
      </c>
      <c r="R38" s="6">
        <f t="shared" si="7"/>
        <v>13.263083589490709</v>
      </c>
      <c r="S38" s="6">
        <f>B38*LN(B38/首页!$B$4)</f>
        <v>8.151541715319488E-2</v>
      </c>
      <c r="T38" s="6">
        <f>2*首页!$B$8*(E38-C38)/(R38*(C38-D38))</f>
        <v>7.0357537026777855E-2</v>
      </c>
      <c r="U38" t="str">
        <f>IF(首页!$B$13="自然对流","按自然对流公式", "按强制对流公式")</f>
        <v>按自然对流公式</v>
      </c>
      <c r="V38" s="6">
        <f t="shared" si="8"/>
        <v>1.1157880126417025E-2</v>
      </c>
    </row>
    <row r="39" spans="1:22" x14ac:dyDescent="0.15">
      <c r="A39">
        <v>34</v>
      </c>
      <c r="B39" s="6">
        <f>首页!$B$4+2*A39/1000</f>
        <v>0.188</v>
      </c>
      <c r="C39" s="6">
        <f>首页!$B$7+273.15</f>
        <v>388.15</v>
      </c>
      <c r="D39" s="6">
        <f>首页!$B$6+273.15</f>
        <v>293.14999999999998</v>
      </c>
      <c r="E39" s="6">
        <f>首页!$B$5+273.15</f>
        <v>1373.15</v>
      </c>
      <c r="F39" s="6">
        <f t="shared" si="0"/>
        <v>95</v>
      </c>
      <c r="G39" s="6">
        <f t="shared" si="1"/>
        <v>340.65</v>
      </c>
      <c r="H39" s="6">
        <f t="shared" si="2"/>
        <v>1.9926207055139041E-5</v>
      </c>
      <c r="I39" s="7">
        <f t="shared" si="3"/>
        <v>1158916576932337.8</v>
      </c>
      <c r="J39" s="6">
        <f t="shared" si="4"/>
        <v>1.0226038455893147</v>
      </c>
      <c r="K39" s="7">
        <f>J39*H39*首页!$B$12/P39</f>
        <v>0.69532757496605813</v>
      </c>
      <c r="L39" s="6">
        <f>首页!$B$9*0.0000000567*((C39^4-D39^4)/(C39-D39))</f>
        <v>7.7687338005019564</v>
      </c>
      <c r="M39" s="6">
        <f>IF(首页!$B$13="自然对流",IF(首页!$B$14="立式圆筒",首页!$B$10,PI()*B39/2),PI()*B39/2)</f>
        <v>55.2</v>
      </c>
      <c r="N39" s="7">
        <f>IF(首页!$B$13="强制对流",首页!$B$11*M39/H39,0)</f>
        <v>0</v>
      </c>
      <c r="O39" s="6">
        <f>IF(首页!$B$13="自然对流",IF(首页!$B$14="立式圆筒",(0.825+0.3063*I39^(1/6))^2+0.87*(M39/B39),(0.752+0.303*I39^(1/6))^2),0.3+SQRT((0.592*N39^0.5)^2+(0.0262*N39^0.8/(1-0.5/N39^0.1))^2))</f>
        <v>10274.654311445538</v>
      </c>
      <c r="P39" s="6">
        <f t="shared" si="5"/>
        <v>2.9510194925512497E-2</v>
      </c>
      <c r="Q39" s="6">
        <f t="shared" si="6"/>
        <v>5.4928813681705648</v>
      </c>
      <c r="R39" s="6">
        <f t="shared" si="7"/>
        <v>13.26161516867252</v>
      </c>
      <c r="S39" s="6">
        <f>B39*LN(B39/首页!$B$4)</f>
        <v>8.4402641369005799E-2</v>
      </c>
      <c r="T39" s="6">
        <f>2*首页!$B$8*(E39-C39)/(R39*(C39-D39))</f>
        <v>7.0365327516154333E-2</v>
      </c>
      <c r="U39" t="str">
        <f>IF(首页!$B$13="自然对流","按自然对流公式", "按强制对流公式")</f>
        <v>按自然对流公式</v>
      </c>
      <c r="V39" s="6">
        <f t="shared" si="8"/>
        <v>1.4037313852851466E-2</v>
      </c>
    </row>
    <row r="40" spans="1:22" x14ac:dyDescent="0.15">
      <c r="A40">
        <v>35</v>
      </c>
      <c r="B40" s="6">
        <f>首页!$B$4+2*A40/1000</f>
        <v>0.19</v>
      </c>
      <c r="C40" s="6">
        <f>首页!$B$7+273.15</f>
        <v>388.15</v>
      </c>
      <c r="D40" s="6">
        <f>首页!$B$6+273.15</f>
        <v>293.14999999999998</v>
      </c>
      <c r="E40" s="6">
        <f>首页!$B$5+273.15</f>
        <v>1373.15</v>
      </c>
      <c r="F40" s="6">
        <f t="shared" si="0"/>
        <v>95</v>
      </c>
      <c r="G40" s="6">
        <f t="shared" si="1"/>
        <v>340.65</v>
      </c>
      <c r="H40" s="6">
        <f t="shared" si="2"/>
        <v>1.9926207055139041E-5</v>
      </c>
      <c r="I40" s="7">
        <f t="shared" si="3"/>
        <v>1158916576932337.8</v>
      </c>
      <c r="J40" s="6">
        <f t="shared" si="4"/>
        <v>1.0226038455893147</v>
      </c>
      <c r="K40" s="7">
        <f>J40*H40*首页!$B$12/P40</f>
        <v>0.69532757496605813</v>
      </c>
      <c r="L40" s="6">
        <f>首页!$B$9*0.0000000567*((C40^4-D40^4)/(C40-D40))</f>
        <v>7.7687338005019564</v>
      </c>
      <c r="M40" s="6">
        <f>IF(首页!$B$13="自然对流",IF(首页!$B$14="立式圆筒",首页!$B$10,PI()*B40/2),PI()*B40/2)</f>
        <v>55.2</v>
      </c>
      <c r="N40" s="7">
        <f>IF(首页!$B$13="强制对流",首页!$B$11*M40/H40,0)</f>
        <v>0</v>
      </c>
      <c r="O40" s="6">
        <f>IF(首页!$B$13="自然对流",IF(首页!$B$14="立式圆筒",(0.825+0.3063*I40^(1/6))^2+0.87*(M40/B40),(0.752+0.303*I40^(1/6))^2),0.3+SQRT((0.592*N40^0.5)^2+(0.0262*N40^0.8/(1-0.5/N40^0.1))^2))</f>
        <v>10271.965397671742</v>
      </c>
      <c r="P40" s="6">
        <f t="shared" si="5"/>
        <v>2.9510194925512497E-2</v>
      </c>
      <c r="Q40" s="6">
        <f t="shared" si="6"/>
        <v>5.491443861474866</v>
      </c>
      <c r="R40" s="6">
        <f t="shared" si="7"/>
        <v>13.260177661976822</v>
      </c>
      <c r="S40" s="6">
        <f>B40*LN(B40/首页!$B$4)</f>
        <v>8.7311142581903645E-2</v>
      </c>
      <c r="T40" s="6">
        <f>2*首页!$B$8*(E40-C40)/(R40*(C40-D40))</f>
        <v>7.037295566654779E-2</v>
      </c>
      <c r="U40" t="str">
        <f>IF(首页!$B$13="自然对流","按自然对流公式", "按强制对流公式")</f>
        <v>按自然对流公式</v>
      </c>
      <c r="V40" s="6">
        <f t="shared" si="8"/>
        <v>1.6938186915355855E-2</v>
      </c>
    </row>
    <row r="41" spans="1:22" x14ac:dyDescent="0.15">
      <c r="A41">
        <v>36</v>
      </c>
      <c r="B41" s="6">
        <f>首页!$B$4+2*A41/1000</f>
        <v>0.192</v>
      </c>
      <c r="C41" s="6">
        <f>首页!$B$7+273.15</f>
        <v>388.15</v>
      </c>
      <c r="D41" s="6">
        <f>首页!$B$6+273.15</f>
        <v>293.14999999999998</v>
      </c>
      <c r="E41" s="6">
        <f>首页!$B$5+273.15</f>
        <v>1373.15</v>
      </c>
      <c r="F41" s="6">
        <f t="shared" si="0"/>
        <v>95</v>
      </c>
      <c r="G41" s="6">
        <f t="shared" si="1"/>
        <v>340.65</v>
      </c>
      <c r="H41" s="6">
        <f t="shared" si="2"/>
        <v>1.9926207055139041E-5</v>
      </c>
      <c r="I41" s="7">
        <f t="shared" si="3"/>
        <v>1158916576932337.8</v>
      </c>
      <c r="J41" s="6">
        <f t="shared" si="4"/>
        <v>1.0226038455893147</v>
      </c>
      <c r="K41" s="7">
        <f>J41*H41*首页!$B$12/P41</f>
        <v>0.69532757496605813</v>
      </c>
      <c r="L41" s="6">
        <f>首页!$B$9*0.0000000567*((C41^4-D41^4)/(C41-D41))</f>
        <v>7.7687338005019564</v>
      </c>
      <c r="M41" s="6">
        <f>IF(首页!$B$13="自然对流",IF(首页!$B$14="立式圆筒",首页!$B$10,PI()*B41/2),PI()*B41/2)</f>
        <v>55.2</v>
      </c>
      <c r="N41" s="7">
        <f>IF(首页!$B$13="强制对流",首页!$B$11*M41/H41,0)</f>
        <v>0</v>
      </c>
      <c r="O41" s="6">
        <f>IF(首页!$B$13="自然对流",IF(首页!$B$14="立式圆筒",(0.825+0.3063*I41^(1/6))^2+0.87*(M41/B41),(0.752+0.303*I41^(1/6))^2),0.3+SQRT((0.592*N41^0.5)^2+(0.0262*N41^0.8/(1-0.5/N41^0.1))^2))</f>
        <v>10269.3325029349</v>
      </c>
      <c r="P41" s="6">
        <f t="shared" si="5"/>
        <v>2.9510194925512497E-2</v>
      </c>
      <c r="Q41" s="6">
        <f t="shared" si="6"/>
        <v>5.4900363028353265</v>
      </c>
      <c r="R41" s="6">
        <f t="shared" si="7"/>
        <v>13.258770103337284</v>
      </c>
      <c r="S41" s="6">
        <f>B41*LN(B41/首页!$B$4)</f>
        <v>9.0240696815181237E-2</v>
      </c>
      <c r="T41" s="6">
        <f>2*首页!$B$8*(E41-C41)/(R41*(C41-D41))</f>
        <v>7.0380426499888002E-2</v>
      </c>
      <c r="U41" t="str">
        <f>IF(首页!$B$13="自然对流","按自然对流公式", "按强制对流公式")</f>
        <v>按自然对流公式</v>
      </c>
      <c r="V41" s="6">
        <f t="shared" si="8"/>
        <v>1.9860270315293235E-2</v>
      </c>
    </row>
    <row r="42" spans="1:22" x14ac:dyDescent="0.15">
      <c r="A42">
        <v>37</v>
      </c>
      <c r="B42" s="6">
        <f>首页!$B$4+2*A42/1000</f>
        <v>0.19400000000000001</v>
      </c>
      <c r="C42" s="6">
        <f>首页!$B$7+273.15</f>
        <v>388.15</v>
      </c>
      <c r="D42" s="6">
        <f>首页!$B$6+273.15</f>
        <v>293.14999999999998</v>
      </c>
      <c r="E42" s="6">
        <f>首页!$B$5+273.15</f>
        <v>1373.15</v>
      </c>
      <c r="F42" s="6">
        <f t="shared" si="0"/>
        <v>95</v>
      </c>
      <c r="G42" s="6">
        <f t="shared" si="1"/>
        <v>340.65</v>
      </c>
      <c r="H42" s="6">
        <f t="shared" si="2"/>
        <v>1.9926207055139041E-5</v>
      </c>
      <c r="I42" s="7">
        <f t="shared" si="3"/>
        <v>1158916576932337.8</v>
      </c>
      <c r="J42" s="6">
        <f t="shared" si="4"/>
        <v>1.0226038455893147</v>
      </c>
      <c r="K42" s="7">
        <f>J42*H42*首页!$B$12/P42</f>
        <v>0.69532757496605813</v>
      </c>
      <c r="L42" s="6">
        <f>首页!$B$9*0.0000000567*((C42^4-D42^4)/(C42-D42))</f>
        <v>7.7687338005019564</v>
      </c>
      <c r="M42" s="6">
        <f>IF(首页!$B$13="自然对流",IF(首页!$B$14="立式圆筒",首页!$B$10,PI()*B42/2),PI()*B42/2)</f>
        <v>55.2</v>
      </c>
      <c r="N42" s="7">
        <f>IF(首页!$B$13="强制对流",首页!$B$11*M42/H42,0)</f>
        <v>0</v>
      </c>
      <c r="O42" s="6">
        <f>IF(首页!$B$13="自然对流",IF(首页!$B$14="立式圆筒",(0.825+0.3063*I42^(1/6))^2+0.87*(M42/B42),(0.752+0.303*I42^(1/6))^2),0.3+SQRT((0.592*N42^0.5)^2+(0.0262*N42^0.8/(1-0.5/N42^0.1))^2))</f>
        <v>10266.753894687477</v>
      </c>
      <c r="P42" s="6">
        <f t="shared" si="5"/>
        <v>2.9510194925512497E-2</v>
      </c>
      <c r="Q42" s="6">
        <f t="shared" si="6"/>
        <v>5.4886577660234073</v>
      </c>
      <c r="R42" s="6">
        <f t="shared" si="7"/>
        <v>13.257391566525364</v>
      </c>
      <c r="S42" s="6">
        <f>B42*LN(B42/首页!$B$4)</f>
        <v>9.3191084758568743E-2</v>
      </c>
      <c r="T42" s="6">
        <f>2*首页!$B$8*(E42-C42)/(R42*(C42-D42))</f>
        <v>7.0387744833082119E-2</v>
      </c>
      <c r="U42" t="str">
        <f>IF(首页!$B$13="自然对流","按自然对流公式", "按强制对流公式")</f>
        <v>按自然对流公式</v>
      </c>
      <c r="V42" s="6">
        <f t="shared" si="8"/>
        <v>2.2803339925486624E-2</v>
      </c>
    </row>
    <row r="43" spans="1:22" x14ac:dyDescent="0.15">
      <c r="A43">
        <v>38</v>
      </c>
      <c r="B43" s="6">
        <f>首页!$B$4+2*A43/1000</f>
        <v>0.19600000000000001</v>
      </c>
      <c r="C43" s="6">
        <f>首页!$B$7+273.15</f>
        <v>388.15</v>
      </c>
      <c r="D43" s="6">
        <f>首页!$B$6+273.15</f>
        <v>293.14999999999998</v>
      </c>
      <c r="E43" s="6">
        <f>首页!$B$5+273.15</f>
        <v>1373.15</v>
      </c>
      <c r="F43" s="6">
        <f t="shared" si="0"/>
        <v>95</v>
      </c>
      <c r="G43" s="6">
        <f t="shared" si="1"/>
        <v>340.65</v>
      </c>
      <c r="H43" s="6">
        <f t="shared" si="2"/>
        <v>1.9926207055139041E-5</v>
      </c>
      <c r="I43" s="7">
        <f t="shared" si="3"/>
        <v>1158916576932337.8</v>
      </c>
      <c r="J43" s="6">
        <f t="shared" si="4"/>
        <v>1.0226038455893147</v>
      </c>
      <c r="K43" s="7">
        <f>J43*H43*首页!$B$12/P43</f>
        <v>0.69532757496605813</v>
      </c>
      <c r="L43" s="6">
        <f>首页!$B$9*0.0000000567*((C43^4-D43^4)/(C43-D43))</f>
        <v>7.7687338005019564</v>
      </c>
      <c r="M43" s="6">
        <f>IF(首页!$B$13="自然对流",IF(首页!$B$14="立式圆筒",首页!$B$10,PI()*B43/2),PI()*B43/2)</f>
        <v>55.2</v>
      </c>
      <c r="N43" s="7">
        <f>IF(首页!$B$13="强制对流",首页!$B$11*M43/H43,0)</f>
        <v>0</v>
      </c>
      <c r="O43" s="6">
        <f>IF(首页!$B$13="自然对流",IF(首页!$B$14="立式圆筒",(0.825+0.3063*I43^(1/6))^2+0.87*(M43/B43),(0.752+0.303*I43^(1/6))^2),0.3+SQRT((0.592*N43^0.5)^2+(0.0262*N43^0.8/(1-0.5/N43^0.1))^2))</f>
        <v>10264.227911098165</v>
      </c>
      <c r="P43" s="6">
        <f t="shared" si="5"/>
        <v>2.9510194925512497E-2</v>
      </c>
      <c r="Q43" s="6">
        <f t="shared" si="6"/>
        <v>5.4873073626158115</v>
      </c>
      <c r="R43" s="6">
        <f t="shared" si="7"/>
        <v>13.256041163117768</v>
      </c>
      <c r="S43" s="6">
        <f>B43*LN(B43/首页!$B$4)</f>
        <v>9.6162091623900381E-2</v>
      </c>
      <c r="T43" s="6">
        <f>2*首页!$B$8*(E43-C43)/(R43*(C43-D43))</f>
        <v>7.0394915288371607E-2</v>
      </c>
      <c r="U43" t="str">
        <f>IF(首页!$B$13="自然对流","按自然对流公式", "按强制对流公式")</f>
        <v>按自然对流公式</v>
      </c>
      <c r="V43" s="6">
        <f t="shared" si="8"/>
        <v>2.5767176335528774E-2</v>
      </c>
    </row>
    <row r="44" spans="1:22" x14ac:dyDescent="0.15">
      <c r="A44">
        <v>39</v>
      </c>
      <c r="B44" s="6">
        <f>首页!$B$4+2*A44/1000</f>
        <v>0.19800000000000001</v>
      </c>
      <c r="C44" s="6">
        <f>首页!$B$7+273.15</f>
        <v>388.15</v>
      </c>
      <c r="D44" s="6">
        <f>首页!$B$6+273.15</f>
        <v>293.14999999999998</v>
      </c>
      <c r="E44" s="6">
        <f>首页!$B$5+273.15</f>
        <v>1373.15</v>
      </c>
      <c r="F44" s="6">
        <f t="shared" si="0"/>
        <v>95</v>
      </c>
      <c r="G44" s="6">
        <f t="shared" si="1"/>
        <v>340.65</v>
      </c>
      <c r="H44" s="6">
        <f t="shared" si="2"/>
        <v>1.9926207055139041E-5</v>
      </c>
      <c r="I44" s="7">
        <f t="shared" si="3"/>
        <v>1158916576932337.8</v>
      </c>
      <c r="J44" s="6">
        <f t="shared" si="4"/>
        <v>1.0226038455893147</v>
      </c>
      <c r="K44" s="7">
        <f>J44*H44*首页!$B$12/P44</f>
        <v>0.69532757496605813</v>
      </c>
      <c r="L44" s="6">
        <f>首页!$B$9*0.0000000567*((C44^4-D44^4)/(C44-D44))</f>
        <v>7.7687338005019564</v>
      </c>
      <c r="M44" s="6">
        <f>IF(首页!$B$13="自然对流",IF(首页!$B$14="立式圆筒",首页!$B$10,PI()*B44/2),PI()*B44/2)</f>
        <v>55.2</v>
      </c>
      <c r="N44" s="7">
        <f>IF(首页!$B$13="强制对流",首页!$B$11*M44/H44,0)</f>
        <v>0</v>
      </c>
      <c r="O44" s="6">
        <f>IF(首页!$B$13="自然对流",IF(首页!$B$14="立式圆筒",(0.825+0.3063*I44^(1/6))^2+0.87*(M44/B44),(0.752+0.303*I44^(1/6))^2),0.3+SQRT((0.592*N44^0.5)^2+(0.0262*N44^0.8/(1-0.5/N44^0.1))^2))</f>
        <v>10261.752957480354</v>
      </c>
      <c r="P44" s="6">
        <f t="shared" si="5"/>
        <v>2.9510194925512497E-2</v>
      </c>
      <c r="Q44" s="6">
        <f t="shared" si="6"/>
        <v>5.4859842400851369</v>
      </c>
      <c r="R44" s="6">
        <f t="shared" si="7"/>
        <v>13.254718040587093</v>
      </c>
      <c r="S44" s="6">
        <f>B44*LN(B44/首页!$B$4)</f>
        <v>9.91535070066729E-2</v>
      </c>
      <c r="T44" s="6">
        <f>2*首页!$B$8*(E44-C44)/(R44*(C44-D44))</f>
        <v>7.0401942303067622E-2</v>
      </c>
      <c r="U44" t="str">
        <f>IF(首页!$B$13="自然对流","按自然对流公式", "按强制对流公式")</f>
        <v>按自然对流公式</v>
      </c>
      <c r="V44" s="6">
        <f t="shared" si="8"/>
        <v>2.8751564703605278E-2</v>
      </c>
    </row>
    <row r="45" spans="1:22" x14ac:dyDescent="0.15">
      <c r="A45">
        <v>40</v>
      </c>
      <c r="B45" s="6">
        <f>首页!$B$4+2*A45/1000</f>
        <v>0.2</v>
      </c>
      <c r="C45" s="6">
        <f>首页!$B$7+273.15</f>
        <v>388.15</v>
      </c>
      <c r="D45" s="6">
        <f>首页!$B$6+273.15</f>
        <v>293.14999999999998</v>
      </c>
      <c r="E45" s="6">
        <f>首页!$B$5+273.15</f>
        <v>1373.15</v>
      </c>
      <c r="F45" s="6">
        <f t="shared" si="0"/>
        <v>95</v>
      </c>
      <c r="G45" s="6">
        <f t="shared" si="1"/>
        <v>340.65</v>
      </c>
      <c r="H45" s="6">
        <f t="shared" si="2"/>
        <v>1.9926207055139041E-5</v>
      </c>
      <c r="I45" s="7">
        <f t="shared" si="3"/>
        <v>1158916576932337.8</v>
      </c>
      <c r="J45" s="6">
        <f t="shared" si="4"/>
        <v>1.0226038455893147</v>
      </c>
      <c r="K45" s="7">
        <f>J45*H45*首页!$B$12/P45</f>
        <v>0.69532757496605813</v>
      </c>
      <c r="L45" s="6">
        <f>首页!$B$9*0.0000000567*((C45^4-D45^4)/(C45-D45))</f>
        <v>7.7687338005019564</v>
      </c>
      <c r="M45" s="6">
        <f>IF(首页!$B$13="自然对流",IF(首页!$B$14="立式圆筒",首页!$B$10,PI()*B45/2),PI()*B45/2)</f>
        <v>55.2</v>
      </c>
      <c r="N45" s="7">
        <f>IF(首页!$B$13="强制对流",首页!$B$11*M45/H45,0)</f>
        <v>0</v>
      </c>
      <c r="O45" s="6">
        <f>IF(首页!$B$13="自然对流",IF(首页!$B$14="立式圆筒",(0.825+0.3063*I45^(1/6))^2+0.87*(M45/B45),(0.752+0.303*I45^(1/6))^2),0.3+SQRT((0.592*N45^0.5)^2+(0.0262*N45^0.8/(1-0.5/N45^0.1))^2))</f>
        <v>10259.327502934901</v>
      </c>
      <c r="P45" s="6">
        <f t="shared" si="5"/>
        <v>2.9510194925512497E-2</v>
      </c>
      <c r="Q45" s="6">
        <f t="shared" si="6"/>
        <v>5.4846875800050778</v>
      </c>
      <c r="R45" s="6">
        <f t="shared" si="7"/>
        <v>13.253421380507035</v>
      </c>
      <c r="S45" s="6">
        <f>B45*LN(B45/首页!$B$4)</f>
        <v>0.10216512475319815</v>
      </c>
      <c r="T45" s="6">
        <f>2*首页!$B$8*(E45-C45)/(R45*(C45-D45))</f>
        <v>7.0408830138708106E-2</v>
      </c>
      <c r="U45" t="str">
        <f>IF(首页!$B$13="自然对流","按自然对流公式", "按强制对流公式")</f>
        <v>按自然对流公式</v>
      </c>
      <c r="V45" s="6">
        <f t="shared" si="8"/>
        <v>3.1756294614490047E-2</v>
      </c>
    </row>
    <row r="46" spans="1:22" x14ac:dyDescent="0.15">
      <c r="A46">
        <v>41</v>
      </c>
      <c r="B46" s="6">
        <f>首页!$B$4+2*A46/1000</f>
        <v>0.20200000000000001</v>
      </c>
      <c r="C46" s="6">
        <f>首页!$B$7+273.15</f>
        <v>388.15</v>
      </c>
      <c r="D46" s="6">
        <f>首页!$B$6+273.15</f>
        <v>293.14999999999998</v>
      </c>
      <c r="E46" s="6">
        <f>首页!$B$5+273.15</f>
        <v>1373.15</v>
      </c>
      <c r="F46" s="6">
        <f t="shared" si="0"/>
        <v>95</v>
      </c>
      <c r="G46" s="6">
        <f t="shared" si="1"/>
        <v>340.65</v>
      </c>
      <c r="H46" s="6">
        <f t="shared" si="2"/>
        <v>1.9926207055139041E-5</v>
      </c>
      <c r="I46" s="7">
        <f t="shared" si="3"/>
        <v>1158916576932337.8</v>
      </c>
      <c r="J46" s="6">
        <f t="shared" si="4"/>
        <v>1.0226038455893147</v>
      </c>
      <c r="K46" s="7">
        <f>J46*H46*首页!$B$12/P46</f>
        <v>0.69532757496605813</v>
      </c>
      <c r="L46" s="6">
        <f>首页!$B$9*0.0000000567*((C46^4-D46^4)/(C46-D46))</f>
        <v>7.7687338005019564</v>
      </c>
      <c r="M46" s="6">
        <f>IF(首页!$B$13="自然对流",IF(首页!$B$14="立式圆筒",首页!$B$10,PI()*B46/2),PI()*B46/2)</f>
        <v>55.2</v>
      </c>
      <c r="N46" s="7">
        <f>IF(首页!$B$13="强制对流",首页!$B$11*M46/H46,0)</f>
        <v>0</v>
      </c>
      <c r="O46" s="6">
        <f>IF(首页!$B$13="自然对流",IF(首页!$B$14="立式圆筒",(0.825+0.3063*I46^(1/6))^2+0.87*(M46/B46),(0.752+0.303*I46^(1/6))^2),0.3+SQRT((0.592*N46^0.5)^2+(0.0262*N46^0.8/(1-0.5/N46^0.1))^2))</f>
        <v>10256.950077192325</v>
      </c>
      <c r="P46" s="6">
        <f t="shared" si="5"/>
        <v>2.9510194925512497E-2</v>
      </c>
      <c r="Q46" s="6">
        <f t="shared" si="6"/>
        <v>5.483416596362245</v>
      </c>
      <c r="R46" s="6">
        <f t="shared" si="7"/>
        <v>13.252150396864202</v>
      </c>
      <c r="S46" s="6">
        <f>B46*LN(B46/首页!$B$4)</f>
        <v>0.10519674283307011</v>
      </c>
      <c r="T46" s="6">
        <f>2*首页!$B$8*(E46-C46)/(R46*(C46-D46))</f>
        <v>7.0415582889675865E-2</v>
      </c>
      <c r="U46" t="str">
        <f>IF(首页!$B$13="自然对流","按自然对流公式", "按强制对流公式")</f>
        <v>按自然对流公式</v>
      </c>
      <c r="V46" s="6">
        <f t="shared" si="8"/>
        <v>3.4781159943394244E-2</v>
      </c>
    </row>
    <row r="47" spans="1:22" x14ac:dyDescent="0.15">
      <c r="A47">
        <v>42</v>
      </c>
      <c r="B47" s="6">
        <f>首页!$B$4+2*A47/1000</f>
        <v>0.20400000000000001</v>
      </c>
      <c r="C47" s="6">
        <f>首页!$B$7+273.15</f>
        <v>388.15</v>
      </c>
      <c r="D47" s="6">
        <f>首页!$B$6+273.15</f>
        <v>293.14999999999998</v>
      </c>
      <c r="E47" s="6">
        <f>首页!$B$5+273.15</f>
        <v>1373.15</v>
      </c>
      <c r="F47" s="6">
        <f t="shared" si="0"/>
        <v>95</v>
      </c>
      <c r="G47" s="6">
        <f t="shared" si="1"/>
        <v>340.65</v>
      </c>
      <c r="H47" s="6">
        <f t="shared" si="2"/>
        <v>1.9926207055139041E-5</v>
      </c>
      <c r="I47" s="7">
        <f t="shared" si="3"/>
        <v>1158916576932337.8</v>
      </c>
      <c r="J47" s="6">
        <f t="shared" si="4"/>
        <v>1.0226038455893147</v>
      </c>
      <c r="K47" s="7">
        <f>J47*H47*首页!$B$12/P47</f>
        <v>0.69532757496605813</v>
      </c>
      <c r="L47" s="6">
        <f>首页!$B$9*0.0000000567*((C47^4-D47^4)/(C47-D47))</f>
        <v>7.7687338005019564</v>
      </c>
      <c r="M47" s="6">
        <f>IF(首页!$B$13="自然对流",IF(首页!$B$14="立式圆筒",首页!$B$10,PI()*B47/2),PI()*B47/2)</f>
        <v>55.2</v>
      </c>
      <c r="N47" s="7">
        <f>IF(首页!$B$13="强制对流",首页!$B$11*M47/H47,0)</f>
        <v>0</v>
      </c>
      <c r="O47" s="6">
        <f>IF(首页!$B$13="自然对流",IF(首页!$B$14="立式圆筒",(0.825+0.3063*I47^(1/6))^2+0.87*(M47/B47),(0.752+0.303*I47^(1/6))^2),0.3+SQRT((0.592*N47^0.5)^2+(0.0262*N47^0.8/(1-0.5/N47^0.1))^2))</f>
        <v>10254.619267640783</v>
      </c>
      <c r="P47" s="6">
        <f t="shared" si="5"/>
        <v>2.9510194925512497E-2</v>
      </c>
      <c r="Q47" s="6">
        <f t="shared" si="6"/>
        <v>5.482170533967313</v>
      </c>
      <c r="R47" s="6">
        <f t="shared" si="7"/>
        <v>13.250904334469269</v>
      </c>
      <c r="S47" s="6">
        <f>B47*LN(B47/首页!$B$4)</f>
        <v>0.10824816321668279</v>
      </c>
      <c r="T47" s="6">
        <f>2*首页!$B$8*(E47-C47)/(R47*(C47-D47))</f>
        <v>7.0422204491314616E-2</v>
      </c>
      <c r="U47" t="str">
        <f>IF(首页!$B$13="自然对流","按自然对流公式", "按强制对流公式")</f>
        <v>按自然对流公式</v>
      </c>
      <c r="V47" s="6">
        <f t="shared" si="8"/>
        <v>3.7825958725368175E-2</v>
      </c>
    </row>
    <row r="48" spans="1:22" x14ac:dyDescent="0.15">
      <c r="A48">
        <v>43</v>
      </c>
      <c r="B48" s="6">
        <f>首页!$B$4+2*A48/1000</f>
        <v>0.20599999999999999</v>
      </c>
      <c r="C48" s="6">
        <f>首页!$B$7+273.15</f>
        <v>388.15</v>
      </c>
      <c r="D48" s="6">
        <f>首页!$B$6+273.15</f>
        <v>293.14999999999998</v>
      </c>
      <c r="E48" s="6">
        <f>首页!$B$5+273.15</f>
        <v>1373.15</v>
      </c>
      <c r="F48" s="6">
        <f t="shared" si="0"/>
        <v>95</v>
      </c>
      <c r="G48" s="6">
        <f t="shared" si="1"/>
        <v>340.65</v>
      </c>
      <c r="H48" s="6">
        <f t="shared" si="2"/>
        <v>1.9926207055139041E-5</v>
      </c>
      <c r="I48" s="7">
        <f t="shared" si="3"/>
        <v>1158916576932337.8</v>
      </c>
      <c r="J48" s="6">
        <f t="shared" si="4"/>
        <v>1.0226038455893147</v>
      </c>
      <c r="K48" s="7">
        <f>J48*H48*首页!$B$12/P48</f>
        <v>0.69532757496605813</v>
      </c>
      <c r="L48" s="6">
        <f>首页!$B$9*0.0000000567*((C48^4-D48^4)/(C48-D48))</f>
        <v>7.7687338005019564</v>
      </c>
      <c r="M48" s="6">
        <f>IF(首页!$B$13="自然对流",IF(首页!$B$14="立式圆筒",首页!$B$10,PI()*B48/2),PI()*B48/2)</f>
        <v>55.2</v>
      </c>
      <c r="N48" s="7">
        <f>IF(首页!$B$13="强制对流",首页!$B$11*M48/H48,0)</f>
        <v>0</v>
      </c>
      <c r="O48" s="6">
        <f>IF(首页!$B$13="自然对流",IF(首页!$B$14="立式圆筒",(0.825+0.3063*I48^(1/6))^2+0.87*(M48/B48),(0.752+0.303*I48^(1/6))^2),0.3+SQRT((0.592*N48^0.5)^2+(0.0262*N48^0.8/(1-0.5/N48^0.1))^2))</f>
        <v>10252.333716527133</v>
      </c>
      <c r="P48" s="6">
        <f t="shared" si="5"/>
        <v>2.9510194925512497E-2</v>
      </c>
      <c r="Q48" s="6">
        <f t="shared" si="6"/>
        <v>5.4809486669586898</v>
      </c>
      <c r="R48" s="6">
        <f t="shared" si="7"/>
        <v>13.249682467460646</v>
      </c>
      <c r="S48" s="6">
        <f>B48*LN(B48/首页!$B$4)</f>
        <v>0.1113191917575522</v>
      </c>
      <c r="T48" s="6">
        <f>2*首页!$B$8*(E48-C48)/(R48*(C48-D48))</f>
        <v>7.0428698727576788E-2</v>
      </c>
      <c r="U48" t="str">
        <f>IF(首页!$B$13="自然对流","按自然对流公式", "按强制对流公式")</f>
        <v>按自然对流公式</v>
      </c>
      <c r="V48" s="6">
        <f t="shared" si="8"/>
        <v>4.0890493029975411E-2</v>
      </c>
    </row>
    <row r="49" spans="1:22" x14ac:dyDescent="0.15">
      <c r="A49">
        <v>44</v>
      </c>
      <c r="B49" s="6">
        <f>首页!$B$4+2*A49/1000</f>
        <v>0.20799999999999999</v>
      </c>
      <c r="C49" s="6">
        <f>首页!$B$7+273.15</f>
        <v>388.15</v>
      </c>
      <c r="D49" s="6">
        <f>首页!$B$6+273.15</f>
        <v>293.14999999999998</v>
      </c>
      <c r="E49" s="6">
        <f>首页!$B$5+273.15</f>
        <v>1373.15</v>
      </c>
      <c r="F49" s="6">
        <f t="shared" si="0"/>
        <v>95</v>
      </c>
      <c r="G49" s="6">
        <f t="shared" si="1"/>
        <v>340.65</v>
      </c>
      <c r="H49" s="6">
        <f t="shared" si="2"/>
        <v>1.9926207055139041E-5</v>
      </c>
      <c r="I49" s="7">
        <f t="shared" si="3"/>
        <v>1158916576932337.8</v>
      </c>
      <c r="J49" s="6">
        <f t="shared" si="4"/>
        <v>1.0226038455893147</v>
      </c>
      <c r="K49" s="7">
        <f>J49*H49*首页!$B$12/P49</f>
        <v>0.69532757496605813</v>
      </c>
      <c r="L49" s="6">
        <f>首页!$B$9*0.0000000567*((C49^4-D49^4)/(C49-D49))</f>
        <v>7.7687338005019564</v>
      </c>
      <c r="M49" s="6">
        <f>IF(首页!$B$13="自然对流",IF(首页!$B$14="立式圆筒",首页!$B$10,PI()*B49/2),PI()*B49/2)</f>
        <v>55.2</v>
      </c>
      <c r="N49" s="7">
        <f>IF(首页!$B$13="强制对流",首页!$B$11*M49/H49,0)</f>
        <v>0</v>
      </c>
      <c r="O49" s="6">
        <f>IF(首页!$B$13="自然对流",IF(首页!$B$14="立式圆筒",(0.825+0.3063*I49^(1/6))^2+0.87*(M49/B49),(0.752+0.303*I49^(1/6))^2),0.3+SQRT((0.592*N49^0.5)^2+(0.0262*N49^0.8/(1-0.5/N49^0.1))^2))</f>
        <v>10250.092118319515</v>
      </c>
      <c r="P49" s="6">
        <f t="shared" si="5"/>
        <v>2.9510194925512497E-2</v>
      </c>
      <c r="Q49" s="6">
        <f t="shared" si="6"/>
        <v>5.4797502973925392</v>
      </c>
      <c r="R49" s="6">
        <f t="shared" si="7"/>
        <v>13.248484097894496</v>
      </c>
      <c r="S49" s="6">
        <f>B49*LN(B49/首页!$B$4)</f>
        <v>0.11440963807920856</v>
      </c>
      <c r="T49" s="6">
        <f>2*首页!$B$8*(E49-C49)/(R49*(C49-D49))</f>
        <v>7.0435069238234088E-2</v>
      </c>
      <c r="U49" t="str">
        <f>IF(首页!$B$13="自然对流","按自然对流公式", "按强制对流公式")</f>
        <v>按自然对流公式</v>
      </c>
      <c r="V49" s="6">
        <f t="shared" si="8"/>
        <v>4.3974568840974476E-2</v>
      </c>
    </row>
    <row r="50" spans="1:22" x14ac:dyDescent="0.15">
      <c r="A50">
        <v>45</v>
      </c>
      <c r="B50" s="6">
        <f>首页!$B$4+2*A50/1000</f>
        <v>0.21</v>
      </c>
      <c r="C50" s="6">
        <f>首页!$B$7+273.15</f>
        <v>388.15</v>
      </c>
      <c r="D50" s="6">
        <f>首页!$B$6+273.15</f>
        <v>293.14999999999998</v>
      </c>
      <c r="E50" s="6">
        <f>首页!$B$5+273.15</f>
        <v>1373.15</v>
      </c>
      <c r="F50" s="6">
        <f t="shared" si="0"/>
        <v>95</v>
      </c>
      <c r="G50" s="6">
        <f t="shared" si="1"/>
        <v>340.65</v>
      </c>
      <c r="H50" s="6">
        <f t="shared" si="2"/>
        <v>1.9926207055139041E-5</v>
      </c>
      <c r="I50" s="7">
        <f t="shared" si="3"/>
        <v>1158916576932337.8</v>
      </c>
      <c r="J50" s="6">
        <f t="shared" si="4"/>
        <v>1.0226038455893147</v>
      </c>
      <c r="K50" s="7">
        <f>J50*H50*首页!$B$12/P50</f>
        <v>0.69532757496605813</v>
      </c>
      <c r="L50" s="6">
        <f>首页!$B$9*0.0000000567*((C50^4-D50^4)/(C50-D50))</f>
        <v>7.7687338005019564</v>
      </c>
      <c r="M50" s="6">
        <f>IF(首页!$B$13="自然对流",IF(首页!$B$14="立式圆筒",首页!$B$10,PI()*B50/2),PI()*B50/2)</f>
        <v>55.2</v>
      </c>
      <c r="N50" s="7">
        <f>IF(首页!$B$13="强制对流",首页!$B$11*M50/H50,0)</f>
        <v>0</v>
      </c>
      <c r="O50" s="6">
        <f>IF(首页!$B$13="自然对流",IF(首页!$B$14="立式圆筒",(0.825+0.3063*I50^(1/6))^2+0.87*(M50/B50),(0.752+0.303*I50^(1/6))^2),0.3+SQRT((0.592*N50^0.5)^2+(0.0262*N50^0.8/(1-0.5/N50^0.1))^2))</f>
        <v>10247.893217220615</v>
      </c>
      <c r="P50" s="6">
        <f t="shared" si="5"/>
        <v>2.9510194925512497E-2</v>
      </c>
      <c r="Q50" s="6">
        <f t="shared" si="6"/>
        <v>5.4785747539133638</v>
      </c>
      <c r="R50" s="6">
        <f t="shared" si="7"/>
        <v>13.247308554415319</v>
      </c>
      <c r="S50" s="6">
        <f>B50*LN(B50/首页!$B$4)</f>
        <v>0.11751931546643875</v>
      </c>
      <c r="T50" s="6">
        <f>2*首页!$B$8*(E50-C50)/(R50*(C50-D50))</f>
        <v>7.0441319525679891E-2</v>
      </c>
      <c r="U50" t="str">
        <f>IF(首页!$B$13="自然对流","按自然对流公式", "按强制对流公式")</f>
        <v>按自然对流公式</v>
      </c>
      <c r="V50" s="6">
        <f t="shared" si="8"/>
        <v>4.7077995940758857E-2</v>
      </c>
    </row>
    <row r="51" spans="1:22" x14ac:dyDescent="0.15">
      <c r="A51">
        <v>46</v>
      </c>
      <c r="B51" s="6">
        <f>首页!$B$4+2*A51/1000</f>
        <v>0.21199999999999999</v>
      </c>
      <c r="C51" s="6">
        <f>首页!$B$7+273.15</f>
        <v>388.15</v>
      </c>
      <c r="D51" s="6">
        <f>首页!$B$6+273.15</f>
        <v>293.14999999999998</v>
      </c>
      <c r="E51" s="6">
        <f>首页!$B$5+273.15</f>
        <v>1373.15</v>
      </c>
      <c r="F51" s="6">
        <f t="shared" si="0"/>
        <v>95</v>
      </c>
      <c r="G51" s="6">
        <f t="shared" si="1"/>
        <v>340.65</v>
      </c>
      <c r="H51" s="6">
        <f t="shared" si="2"/>
        <v>1.9926207055139041E-5</v>
      </c>
      <c r="I51" s="7">
        <f t="shared" si="3"/>
        <v>1158916576932337.8</v>
      </c>
      <c r="J51" s="6">
        <f t="shared" si="4"/>
        <v>1.0226038455893147</v>
      </c>
      <c r="K51" s="7">
        <f>J51*H51*首页!$B$12/P51</f>
        <v>0.69532757496605813</v>
      </c>
      <c r="L51" s="6">
        <f>首页!$B$9*0.0000000567*((C51^4-D51^4)/(C51-D51))</f>
        <v>7.7687338005019564</v>
      </c>
      <c r="M51" s="6">
        <f>IF(首页!$B$13="自然对流",IF(首页!$B$14="立式圆筒",首页!$B$10,PI()*B51/2),PI()*B51/2)</f>
        <v>55.2</v>
      </c>
      <c r="N51" s="7">
        <f>IF(首页!$B$13="强制对流",首页!$B$11*M51/H51,0)</f>
        <v>0</v>
      </c>
      <c r="O51" s="6">
        <f>IF(首页!$B$13="自然对流",IF(首页!$B$14="立式圆筒",(0.825+0.3063*I51^(1/6))^2+0.87*(M51/B51),(0.752+0.303*I51^(1/6))^2),0.3+SQRT((0.592*N51^0.5)^2+(0.0262*N51^0.8/(1-0.5/N51^0.1))^2))</f>
        <v>10245.735804821692</v>
      </c>
      <c r="P51" s="6">
        <f t="shared" si="5"/>
        <v>2.9510194925512497E-2</v>
      </c>
      <c r="Q51" s="6">
        <f t="shared" si="6"/>
        <v>5.477421390499833</v>
      </c>
      <c r="R51" s="6">
        <f t="shared" si="7"/>
        <v>13.24615519100179</v>
      </c>
      <c r="S51" s="6">
        <f>B51*LN(B51/首页!$B$4)</f>
        <v>0.12064804076067287</v>
      </c>
      <c r="T51" s="6">
        <f>2*首页!$B$8*(E51-C51)/(R51*(C51-D51))</f>
        <v>7.0447452961350118E-2</v>
      </c>
      <c r="U51" t="str">
        <f>IF(首页!$B$13="自然对流","按自然对流公式", "按强制对流公式")</f>
        <v>按自然对流公式</v>
      </c>
      <c r="V51" s="6">
        <f t="shared" si="8"/>
        <v>5.0200587799322752E-2</v>
      </c>
    </row>
    <row r="52" spans="1:22" x14ac:dyDescent="0.15">
      <c r="A52">
        <v>47</v>
      </c>
      <c r="B52" s="6">
        <f>首页!$B$4+2*A52/1000</f>
        <v>0.214</v>
      </c>
      <c r="C52" s="6">
        <f>首页!$B$7+273.15</f>
        <v>388.15</v>
      </c>
      <c r="D52" s="6">
        <f>首页!$B$6+273.15</f>
        <v>293.14999999999998</v>
      </c>
      <c r="E52" s="6">
        <f>首页!$B$5+273.15</f>
        <v>1373.15</v>
      </c>
      <c r="F52" s="6">
        <f t="shared" si="0"/>
        <v>95</v>
      </c>
      <c r="G52" s="6">
        <f t="shared" si="1"/>
        <v>340.65</v>
      </c>
      <c r="H52" s="6">
        <f t="shared" si="2"/>
        <v>1.9926207055139041E-5</v>
      </c>
      <c r="I52" s="7">
        <f t="shared" si="3"/>
        <v>1158916576932337.8</v>
      </c>
      <c r="J52" s="6">
        <f t="shared" si="4"/>
        <v>1.0226038455893147</v>
      </c>
      <c r="K52" s="7">
        <f>J52*H52*首页!$B$12/P52</f>
        <v>0.69532757496605813</v>
      </c>
      <c r="L52" s="6">
        <f>首页!$B$9*0.0000000567*((C52^4-D52^4)/(C52-D52))</f>
        <v>7.7687338005019564</v>
      </c>
      <c r="M52" s="6">
        <f>IF(首页!$B$13="自然对流",IF(首页!$B$14="立式圆筒",首页!$B$10,PI()*B52/2),PI()*B52/2)</f>
        <v>55.2</v>
      </c>
      <c r="N52" s="7">
        <f>IF(首页!$B$13="强制对流",首页!$B$11*M52/H52,0)</f>
        <v>0</v>
      </c>
      <c r="O52" s="6">
        <f>IF(首页!$B$13="自然对流",IF(首页!$B$14="立式圆筒",(0.825+0.3063*I52^(1/6))^2+0.87*(M52/B52),(0.752+0.303*I52^(1/6))^2),0.3+SQRT((0.592*N52^0.5)^2+(0.0262*N52^0.8/(1-0.5/N52^0.1))^2))</f>
        <v>10243.61871788817</v>
      </c>
      <c r="P52" s="6">
        <f t="shared" si="5"/>
        <v>2.9510194925512497E-2</v>
      </c>
      <c r="Q52" s="6">
        <f t="shared" si="6"/>
        <v>5.4762895852809468</v>
      </c>
      <c r="R52" s="6">
        <f t="shared" si="7"/>
        <v>13.245023385782904</v>
      </c>
      <c r="S52" s="6">
        <f>B52*LN(B52/首页!$B$4)</f>
        <v>0.12379563425931839</v>
      </c>
      <c r="T52" s="6">
        <f>2*首页!$B$8*(E52-C52)/(R52*(C52-D52))</f>
        <v>7.0453472791787292E-2</v>
      </c>
      <c r="U52" t="str">
        <f>IF(首页!$B$13="自然对流","按自然对流公式", "按强制对流公式")</f>
        <v>按自然对流公式</v>
      </c>
      <c r="V52" s="6">
        <f t="shared" si="8"/>
        <v>5.3342161467531096E-2</v>
      </c>
    </row>
    <row r="53" spans="1:22" x14ac:dyDescent="0.15">
      <c r="A53">
        <v>48</v>
      </c>
      <c r="B53" s="6">
        <f>首页!$B$4+2*A53/1000</f>
        <v>0.216</v>
      </c>
      <c r="C53" s="6">
        <f>首页!$B$7+273.15</f>
        <v>388.15</v>
      </c>
      <c r="D53" s="6">
        <f>首页!$B$6+273.15</f>
        <v>293.14999999999998</v>
      </c>
      <c r="E53" s="6">
        <f>首页!$B$5+273.15</f>
        <v>1373.15</v>
      </c>
      <c r="F53" s="6">
        <f t="shared" si="0"/>
        <v>95</v>
      </c>
      <c r="G53" s="6">
        <f t="shared" si="1"/>
        <v>340.65</v>
      </c>
      <c r="H53" s="6">
        <f t="shared" si="2"/>
        <v>1.9926207055139041E-5</v>
      </c>
      <c r="I53" s="7">
        <f t="shared" si="3"/>
        <v>1158916576932337.8</v>
      </c>
      <c r="J53" s="6">
        <f t="shared" si="4"/>
        <v>1.0226038455893147</v>
      </c>
      <c r="K53" s="7">
        <f>J53*H53*首页!$B$12/P53</f>
        <v>0.69532757496605813</v>
      </c>
      <c r="L53" s="6">
        <f>首页!$B$9*0.0000000567*((C53^4-D53^4)/(C53-D53))</f>
        <v>7.7687338005019564</v>
      </c>
      <c r="M53" s="6">
        <f>IF(首页!$B$13="自然对流",IF(首页!$B$14="立式圆筒",首页!$B$10,PI()*B53/2),PI()*B53/2)</f>
        <v>55.2</v>
      </c>
      <c r="N53" s="7">
        <f>IF(首页!$B$13="强制对流",首页!$B$11*M53/H53,0)</f>
        <v>0</v>
      </c>
      <c r="O53" s="6">
        <f>IF(首页!$B$13="自然对流",IF(首页!$B$14="立式圆筒",(0.825+0.3063*I53^(1/6))^2+0.87*(M53/B53),(0.752+0.303*I53^(1/6))^2),0.3+SQRT((0.592*N53^0.5)^2+(0.0262*N53^0.8/(1-0.5/N53^0.1))^2))</f>
        <v>10241.540836268234</v>
      </c>
      <c r="P53" s="6">
        <f t="shared" si="5"/>
        <v>2.9510194925512497E-2</v>
      </c>
      <c r="Q53" s="6">
        <f t="shared" si="6"/>
        <v>5.4751787394179683</v>
      </c>
      <c r="R53" s="6">
        <f t="shared" si="7"/>
        <v>13.243912539919926</v>
      </c>
      <c r="S53" s="6">
        <f>B53*LN(B53/首页!$B$4)</f>
        <v>0.12696191961885772</v>
      </c>
      <c r="T53" s="6">
        <f>2*首页!$B$8*(E53-C53)/(R53*(C53-D53))</f>
        <v>7.0459382144370766E-2</v>
      </c>
      <c r="U53" t="str">
        <f>IF(首页!$B$13="自然对流","按自然对流公式", "按强制对流公式")</f>
        <v>按自然对流公式</v>
      </c>
      <c r="V53" s="6">
        <f t="shared" si="8"/>
        <v>5.6502537474486955E-2</v>
      </c>
    </row>
    <row r="54" spans="1:22" x14ac:dyDescent="0.15">
      <c r="A54">
        <v>49</v>
      </c>
      <c r="B54" s="6">
        <f>首页!$B$4+2*A54/1000</f>
        <v>0.218</v>
      </c>
      <c r="C54" s="6">
        <f>首页!$B$7+273.15</f>
        <v>388.15</v>
      </c>
      <c r="D54" s="6">
        <f>首页!$B$6+273.15</f>
        <v>293.14999999999998</v>
      </c>
      <c r="E54" s="6">
        <f>首页!$B$5+273.15</f>
        <v>1373.15</v>
      </c>
      <c r="F54" s="6">
        <f t="shared" si="0"/>
        <v>95</v>
      </c>
      <c r="G54" s="6">
        <f t="shared" si="1"/>
        <v>340.65</v>
      </c>
      <c r="H54" s="6">
        <f t="shared" si="2"/>
        <v>1.9926207055139041E-5</v>
      </c>
      <c r="I54" s="7">
        <f t="shared" si="3"/>
        <v>1158916576932337.8</v>
      </c>
      <c r="J54" s="6">
        <f t="shared" si="4"/>
        <v>1.0226038455893147</v>
      </c>
      <c r="K54" s="7">
        <f>J54*H54*首页!$B$12/P54</f>
        <v>0.69532757496605813</v>
      </c>
      <c r="L54" s="6">
        <f>首页!$B$9*0.0000000567*((C54^4-D54^4)/(C54-D54))</f>
        <v>7.7687338005019564</v>
      </c>
      <c r="M54" s="6">
        <f>IF(首页!$B$13="自然对流",IF(首页!$B$14="立式圆筒",首页!$B$10,PI()*B54/2),PI()*B54/2)</f>
        <v>55.2</v>
      </c>
      <c r="N54" s="7">
        <f>IF(首页!$B$13="强制对流",首页!$B$11*M54/H54,0)</f>
        <v>0</v>
      </c>
      <c r="O54" s="6">
        <f>IF(首页!$B$13="自然对流",IF(首页!$B$14="立式圆筒",(0.825+0.3063*I54^(1/6))^2+0.87*(M54/B54),(0.752+0.303*I54^(1/6))^2),0.3+SQRT((0.592*N54^0.5)^2+(0.0262*N54^0.8/(1-0.5/N54^0.1))^2))</f>
        <v>10239.501080916551</v>
      </c>
      <c r="P54" s="6">
        <f t="shared" si="5"/>
        <v>2.9510194925512497E-2</v>
      </c>
      <c r="Q54" s="6">
        <f t="shared" si="6"/>
        <v>5.4740882760478859</v>
      </c>
      <c r="R54" s="6">
        <f t="shared" si="7"/>
        <v>13.242822076549842</v>
      </c>
      <c r="S54" s="6">
        <f>B54*LN(B54/首页!$B$4)</f>
        <v>0.13014672376153538</v>
      </c>
      <c r="T54" s="6">
        <f>2*首页!$B$8*(E54-C54)/(R54*(C54-D54))</f>
        <v>7.0465184032734371E-2</v>
      </c>
      <c r="U54" t="str">
        <f>IF(首页!$B$13="自然对流","按自然对流公式", "按强制对流公式")</f>
        <v>按自然对流公式</v>
      </c>
      <c r="V54" s="6">
        <f t="shared" si="8"/>
        <v>5.9681539728801011E-2</v>
      </c>
    </row>
    <row r="55" spans="1:22" x14ac:dyDescent="0.15">
      <c r="A55">
        <v>50</v>
      </c>
      <c r="B55" s="6">
        <f>首页!$B$4+2*A55/1000</f>
        <v>0.22</v>
      </c>
      <c r="C55" s="6">
        <f>首页!$B$7+273.15</f>
        <v>388.15</v>
      </c>
      <c r="D55" s="6">
        <f>首页!$B$6+273.15</f>
        <v>293.14999999999998</v>
      </c>
      <c r="E55" s="6">
        <f>首页!$B$5+273.15</f>
        <v>1373.15</v>
      </c>
      <c r="F55" s="6">
        <f t="shared" si="0"/>
        <v>95</v>
      </c>
      <c r="G55" s="6">
        <f t="shared" si="1"/>
        <v>340.65</v>
      </c>
      <c r="H55" s="6">
        <f t="shared" si="2"/>
        <v>1.9926207055139041E-5</v>
      </c>
      <c r="I55" s="7">
        <f t="shared" si="3"/>
        <v>1158916576932337.8</v>
      </c>
      <c r="J55" s="6">
        <f t="shared" si="4"/>
        <v>1.0226038455893147</v>
      </c>
      <c r="K55" s="7">
        <f>J55*H55*首页!$B$12/P55</f>
        <v>0.69532757496605813</v>
      </c>
      <c r="L55" s="6">
        <f>首页!$B$9*0.0000000567*((C55^4-D55^4)/(C55-D55))</f>
        <v>7.7687338005019564</v>
      </c>
      <c r="M55" s="6">
        <f>IF(首页!$B$13="自然对流",IF(首页!$B$14="立式圆筒",首页!$B$10,PI()*B55/2),PI()*B55/2)</f>
        <v>55.2</v>
      </c>
      <c r="N55" s="7">
        <f>IF(首页!$B$13="强制对流",首页!$B$11*M55/H55,0)</f>
        <v>0</v>
      </c>
      <c r="O55" s="6">
        <f>IF(首页!$B$13="自然对流",IF(首页!$B$14="立式圆筒",(0.825+0.3063*I55^(1/6))^2+0.87*(M55/B55),(0.752+0.303*I55^(1/6))^2),0.3+SQRT((0.592*N55^0.5)^2+(0.0262*N55^0.8/(1-0.5/N55^0.1))^2))</f>
        <v>10237.498412025809</v>
      </c>
      <c r="P55" s="6">
        <f t="shared" si="5"/>
        <v>2.9510194925512497E-2</v>
      </c>
      <c r="Q55" s="6">
        <f t="shared" si="6"/>
        <v>5.4730176392845333</v>
      </c>
      <c r="R55" s="6">
        <f t="shared" si="7"/>
        <v>13.241751439786491</v>
      </c>
      <c r="S55" s="6">
        <f>B55*LN(B55/首页!$B$4)</f>
        <v>0.13334987678546945</v>
      </c>
      <c r="T55" s="6">
        <f>2*首页!$B$8*(E55-C55)/(R55*(C55-D55))</f>
        <v>7.0470881361890919E-2</v>
      </c>
      <c r="U55" t="str">
        <f>IF(首页!$B$13="自然对流","按自然对流公式", "按强制对流公式")</f>
        <v>按自然对流公式</v>
      </c>
      <c r="V55" s="6">
        <f t="shared" si="8"/>
        <v>6.2878995423578526E-2</v>
      </c>
    </row>
    <row r="56" spans="1:22" x14ac:dyDescent="0.15">
      <c r="A56">
        <v>51</v>
      </c>
      <c r="B56" s="6">
        <f>首页!$B$4+2*A56/1000</f>
        <v>0.22199999999999998</v>
      </c>
      <c r="C56" s="6">
        <f>首页!$B$7+273.15</f>
        <v>388.15</v>
      </c>
      <c r="D56" s="6">
        <f>首页!$B$6+273.15</f>
        <v>293.14999999999998</v>
      </c>
      <c r="E56" s="6">
        <f>首页!$B$5+273.15</f>
        <v>1373.15</v>
      </c>
      <c r="F56" s="6">
        <f t="shared" si="0"/>
        <v>95</v>
      </c>
      <c r="G56" s="6">
        <f t="shared" si="1"/>
        <v>340.65</v>
      </c>
      <c r="H56" s="6">
        <f t="shared" si="2"/>
        <v>1.9926207055139041E-5</v>
      </c>
      <c r="I56" s="7">
        <f t="shared" si="3"/>
        <v>1158916576932337.8</v>
      </c>
      <c r="J56" s="6">
        <f t="shared" si="4"/>
        <v>1.0226038455893147</v>
      </c>
      <c r="K56" s="7">
        <f>J56*H56*首页!$B$12/P56</f>
        <v>0.69532757496605813</v>
      </c>
      <c r="L56" s="6">
        <f>首页!$B$9*0.0000000567*((C56^4-D56^4)/(C56-D56))</f>
        <v>7.7687338005019564</v>
      </c>
      <c r="M56" s="6">
        <f>IF(首页!$B$13="自然对流",IF(首页!$B$14="立式圆筒",首页!$B$10,PI()*B56/2),PI()*B56/2)</f>
        <v>55.2</v>
      </c>
      <c r="N56" s="7">
        <f>IF(首页!$B$13="强制对流",首页!$B$11*M56/H56,0)</f>
        <v>0</v>
      </c>
      <c r="O56" s="6">
        <f>IF(首页!$B$13="自然对流",IF(首页!$B$14="立式圆筒",(0.825+0.3063*I56^(1/6))^2+0.87*(M56/B56),(0.752+0.303*I56^(1/6))^2),0.3+SQRT((0.592*N56^0.5)^2+(0.0262*N56^0.8/(1-0.5/N56^0.1))^2))</f>
        <v>10235.531827259225</v>
      </c>
      <c r="P56" s="6">
        <f t="shared" si="5"/>
        <v>2.9510194925512497E-2</v>
      </c>
      <c r="Q56" s="6">
        <f t="shared" si="6"/>
        <v>5.4719662932736739</v>
      </c>
      <c r="R56" s="6">
        <f t="shared" si="7"/>
        <v>13.240700093775629</v>
      </c>
      <c r="S56" s="6">
        <f>B56*LN(B56/首页!$B$4)</f>
        <v>0.13657121187803178</v>
      </c>
      <c r="T56" s="6">
        <f>2*首页!$B$8*(E56-C56)/(R56*(C56-D56))</f>
        <v>7.0476476933082552E-2</v>
      </c>
      <c r="U56" t="str">
        <f>IF(首页!$B$13="自然对流","按自然对流公式", "按强制对流公式")</f>
        <v>按自然对流公式</v>
      </c>
      <c r="V56" s="6">
        <f t="shared" si="8"/>
        <v>6.6094734944949232E-2</v>
      </c>
    </row>
    <row r="57" spans="1:22" x14ac:dyDescent="0.15">
      <c r="A57">
        <v>52</v>
      </c>
      <c r="B57" s="6">
        <f>首页!$B$4+2*A57/1000</f>
        <v>0.22399999999999998</v>
      </c>
      <c r="C57" s="6">
        <f>首页!$B$7+273.15</f>
        <v>388.15</v>
      </c>
      <c r="D57" s="6">
        <f>首页!$B$6+273.15</f>
        <v>293.14999999999998</v>
      </c>
      <c r="E57" s="6">
        <f>首页!$B$5+273.15</f>
        <v>1373.15</v>
      </c>
      <c r="F57" s="6">
        <f t="shared" si="0"/>
        <v>95</v>
      </c>
      <c r="G57" s="6">
        <f t="shared" si="1"/>
        <v>340.65</v>
      </c>
      <c r="H57" s="6">
        <f t="shared" si="2"/>
        <v>1.9926207055139041E-5</v>
      </c>
      <c r="I57" s="7">
        <f t="shared" si="3"/>
        <v>1158916576932337.8</v>
      </c>
      <c r="J57" s="6">
        <f t="shared" si="4"/>
        <v>1.0226038455893147</v>
      </c>
      <c r="K57" s="7">
        <f>J57*H57*首页!$B$12/P57</f>
        <v>0.69532757496605813</v>
      </c>
      <c r="L57" s="6">
        <f>首页!$B$9*0.0000000567*((C57^4-D57^4)/(C57-D57))</f>
        <v>7.7687338005019564</v>
      </c>
      <c r="M57" s="6">
        <f>IF(首页!$B$13="自然对流",IF(首页!$B$14="立式圆筒",首页!$B$10,PI()*B57/2),PI()*B57/2)</f>
        <v>55.2</v>
      </c>
      <c r="N57" s="7">
        <f>IF(首页!$B$13="强制对流",首页!$B$11*M57/H57,0)</f>
        <v>0</v>
      </c>
      <c r="O57" s="6">
        <f>IF(首页!$B$13="自然对流",IF(首页!$B$14="立式圆筒",(0.825+0.3063*I57^(1/6))^2+0.87*(M57/B57),(0.752+0.303*I57^(1/6))^2),0.3+SQRT((0.592*N57^0.5)^2+(0.0262*N57^0.8/(1-0.5/N57^0.1))^2))</f>
        <v>10233.600360077757</v>
      </c>
      <c r="P57" s="6">
        <f t="shared" si="5"/>
        <v>2.9510194925512497E-2</v>
      </c>
      <c r="Q57" s="6">
        <f t="shared" si="6"/>
        <v>5.4709337212987217</v>
      </c>
      <c r="R57" s="6">
        <f t="shared" si="7"/>
        <v>13.239667521800678</v>
      </c>
      <c r="S57" s="6">
        <f>B57*LN(B57/首页!$B$4)</f>
        <v>0.13981056523235058</v>
      </c>
      <c r="T57" s="6">
        <f>2*首页!$B$8*(E57-C57)/(R57*(C57-D57))</f>
        <v>7.0481973448373036E-2</v>
      </c>
      <c r="U57" t="str">
        <f>IF(首页!$B$13="自然对流","按自然对流公式", "按强制对流公式")</f>
        <v>按自然对流公式</v>
      </c>
      <c r="V57" s="6">
        <f t="shared" si="8"/>
        <v>6.9328591783977545E-2</v>
      </c>
    </row>
    <row r="58" spans="1:22" x14ac:dyDescent="0.15">
      <c r="A58">
        <v>53</v>
      </c>
      <c r="B58" s="6">
        <f>首页!$B$4+2*A58/1000</f>
        <v>0.22599999999999998</v>
      </c>
      <c r="C58" s="6">
        <f>首页!$B$7+273.15</f>
        <v>388.15</v>
      </c>
      <c r="D58" s="6">
        <f>首页!$B$6+273.15</f>
        <v>293.14999999999998</v>
      </c>
      <c r="E58" s="6">
        <f>首页!$B$5+273.15</f>
        <v>1373.15</v>
      </c>
      <c r="F58" s="6">
        <f t="shared" si="0"/>
        <v>95</v>
      </c>
      <c r="G58" s="6">
        <f t="shared" si="1"/>
        <v>340.65</v>
      </c>
      <c r="H58" s="6">
        <f t="shared" si="2"/>
        <v>1.9926207055139041E-5</v>
      </c>
      <c r="I58" s="7">
        <f t="shared" si="3"/>
        <v>1158916576932337.8</v>
      </c>
      <c r="J58" s="6">
        <f t="shared" si="4"/>
        <v>1.0226038455893147</v>
      </c>
      <c r="K58" s="7">
        <f>J58*H58*首页!$B$12/P58</f>
        <v>0.69532757496605813</v>
      </c>
      <c r="L58" s="6">
        <f>首页!$B$9*0.0000000567*((C58^4-D58^4)/(C58-D58))</f>
        <v>7.7687338005019564</v>
      </c>
      <c r="M58" s="6">
        <f>IF(首页!$B$13="自然对流",IF(首页!$B$14="立式圆筒",首页!$B$10,PI()*B58/2),PI()*B58/2)</f>
        <v>55.2</v>
      </c>
      <c r="N58" s="7">
        <f>IF(首页!$B$13="强制对流",首页!$B$11*M58/H58,0)</f>
        <v>0</v>
      </c>
      <c r="O58" s="6">
        <f>IF(首页!$B$13="自然对流",IF(首页!$B$14="立式圆筒",(0.825+0.3063*I58^(1/6))^2+0.87*(M58/B58),(0.752+0.303*I58^(1/6))^2),0.3+SQRT((0.592*N58^0.5)^2+(0.0262*N58^0.8/(1-0.5/N58^0.1))^2))</f>
        <v>10231.703078156139</v>
      </c>
      <c r="P58" s="6">
        <f t="shared" si="5"/>
        <v>2.9510194925512497E-2</v>
      </c>
      <c r="Q58" s="6">
        <f t="shared" si="6"/>
        <v>5.4699194249339467</v>
      </c>
      <c r="R58" s="6">
        <f t="shared" si="7"/>
        <v>13.238653225435904</v>
      </c>
      <c r="S58" s="6">
        <f>B58*LN(B58/首页!$B$4)</f>
        <v>0.14306777596679418</v>
      </c>
      <c r="T58" s="6">
        <f>2*首页!$B$8*(E58-C58)/(R58*(C58-D58))</f>
        <v>7.0487373514998647E-2</v>
      </c>
      <c r="U58" t="str">
        <f>IF(首页!$B$13="自然对流","按自然对流公式", "按强制对流公式")</f>
        <v>按自然对流公式</v>
      </c>
      <c r="V58" s="6">
        <f t="shared" si="8"/>
        <v>7.2580402451795534E-2</v>
      </c>
    </row>
    <row r="59" spans="1:22" x14ac:dyDescent="0.15">
      <c r="A59">
        <v>54</v>
      </c>
      <c r="B59" s="6">
        <f>首页!$B$4+2*A59/1000</f>
        <v>0.22799999999999998</v>
      </c>
      <c r="C59" s="6">
        <f>首页!$B$7+273.15</f>
        <v>388.15</v>
      </c>
      <c r="D59" s="6">
        <f>首页!$B$6+273.15</f>
        <v>293.14999999999998</v>
      </c>
      <c r="E59" s="6">
        <f>首页!$B$5+273.15</f>
        <v>1373.15</v>
      </c>
      <c r="F59" s="6">
        <f t="shared" si="0"/>
        <v>95</v>
      </c>
      <c r="G59" s="6">
        <f t="shared" si="1"/>
        <v>340.65</v>
      </c>
      <c r="H59" s="6">
        <f t="shared" si="2"/>
        <v>1.9926207055139041E-5</v>
      </c>
      <c r="I59" s="7">
        <f t="shared" si="3"/>
        <v>1158916576932337.8</v>
      </c>
      <c r="J59" s="6">
        <f t="shared" si="4"/>
        <v>1.0226038455893147</v>
      </c>
      <c r="K59" s="7">
        <f>J59*H59*首页!$B$12/P59</f>
        <v>0.69532757496605813</v>
      </c>
      <c r="L59" s="6">
        <f>首页!$B$9*0.0000000567*((C59^4-D59^4)/(C59-D59))</f>
        <v>7.7687338005019564</v>
      </c>
      <c r="M59" s="6">
        <f>IF(首页!$B$13="自然对流",IF(首页!$B$14="立式圆筒",首页!$B$10,PI()*B59/2),PI()*B59/2)</f>
        <v>55.2</v>
      </c>
      <c r="N59" s="7">
        <f>IF(首页!$B$13="强制对流",首页!$B$11*M59/H59,0)</f>
        <v>0</v>
      </c>
      <c r="O59" s="6">
        <f>IF(首页!$B$13="自然对流",IF(首页!$B$14="立式圆筒",(0.825+0.3063*I59^(1/6))^2+0.87*(M59/B59),(0.752+0.303*I59^(1/6))^2),0.3+SQRT((0.592*N59^0.5)^2+(0.0262*N59^0.8/(1-0.5/N59^0.1))^2))</f>
        <v>10229.839081882268</v>
      </c>
      <c r="P59" s="6">
        <f t="shared" si="5"/>
        <v>2.9510194925512497E-2</v>
      </c>
      <c r="Q59" s="6">
        <f t="shared" si="6"/>
        <v>5.4689229232422383</v>
      </c>
      <c r="R59" s="6">
        <f t="shared" si="7"/>
        <v>13.237656723744195</v>
      </c>
      <c r="S59" s="6">
        <f>B59*LN(B59/首页!$B$4)</f>
        <v>0.14634268604730596</v>
      </c>
      <c r="T59" s="6">
        <f>2*首页!$B$8*(E59-C59)/(R59*(C59-D59))</f>
        <v>7.0492679649491921E-2</v>
      </c>
      <c r="U59" t="str">
        <f>IF(首页!$B$13="自然对流","按自然对流公式", "按强制对流公式")</f>
        <v>按自然对流公式</v>
      </c>
      <c r="V59" s="6">
        <f t="shared" si="8"/>
        <v>7.5850006397814043E-2</v>
      </c>
    </row>
    <row r="60" spans="1:22" x14ac:dyDescent="0.15">
      <c r="A60">
        <v>55</v>
      </c>
      <c r="B60" s="6">
        <f>首页!$B$4+2*A60/1000</f>
        <v>0.22999999999999998</v>
      </c>
      <c r="C60" s="6">
        <f>首页!$B$7+273.15</f>
        <v>388.15</v>
      </c>
      <c r="D60" s="6">
        <f>首页!$B$6+273.15</f>
        <v>293.14999999999998</v>
      </c>
      <c r="E60" s="6">
        <f>首页!$B$5+273.15</f>
        <v>1373.15</v>
      </c>
      <c r="F60" s="6">
        <f t="shared" si="0"/>
        <v>95</v>
      </c>
      <c r="G60" s="6">
        <f t="shared" si="1"/>
        <v>340.65</v>
      </c>
      <c r="H60" s="6">
        <f t="shared" si="2"/>
        <v>1.9926207055139041E-5</v>
      </c>
      <c r="I60" s="7">
        <f t="shared" si="3"/>
        <v>1158916576932337.8</v>
      </c>
      <c r="J60" s="6">
        <f t="shared" si="4"/>
        <v>1.0226038455893147</v>
      </c>
      <c r="K60" s="7">
        <f>J60*H60*首页!$B$12/P60</f>
        <v>0.69532757496605813</v>
      </c>
      <c r="L60" s="6">
        <f>首页!$B$9*0.0000000567*((C60^4-D60^4)/(C60-D60))</f>
        <v>7.7687338005019564</v>
      </c>
      <c r="M60" s="6">
        <f>IF(首页!$B$13="自然对流",IF(首页!$B$14="立式圆筒",首页!$B$10,PI()*B60/2),PI()*B60/2)</f>
        <v>55.2</v>
      </c>
      <c r="N60" s="7">
        <f>IF(首页!$B$13="强制对流",首页!$B$11*M60/H60,0)</f>
        <v>0</v>
      </c>
      <c r="O60" s="6">
        <f>IF(首页!$B$13="自然对流",IF(首页!$B$14="立式圆筒",(0.825+0.3063*I60^(1/6))^2+0.87*(M60/B60),(0.752+0.303*I60^(1/6))^2),0.3+SQRT((0.592*N60^0.5)^2+(0.0262*N60^0.8/(1-0.5/N60^0.1))^2))</f>
        <v>10228.007502934899</v>
      </c>
      <c r="P60" s="6">
        <f t="shared" si="5"/>
        <v>2.9510194925512497E-2</v>
      </c>
      <c r="Q60" s="6">
        <f t="shared" si="6"/>
        <v>5.4679437520147323</v>
      </c>
      <c r="R60" s="6">
        <f t="shared" si="7"/>
        <v>13.236677552516689</v>
      </c>
      <c r="S60" s="6">
        <f>B60*LN(B60/首页!$B$4)</f>
        <v>0.14963514021246432</v>
      </c>
      <c r="T60" s="6">
        <f>2*首页!$B$8*(E60-C60)/(R60*(C60-D60))</f>
        <v>7.0497894281591908E-2</v>
      </c>
      <c r="U60" t="str">
        <f>IF(首页!$B$13="自然对流","按自然对流公式", "按强制对流公式")</f>
        <v>按自然对流公式</v>
      </c>
      <c r="V60" s="6">
        <f t="shared" si="8"/>
        <v>7.9137245930872416E-2</v>
      </c>
    </row>
    <row r="61" spans="1:22" x14ac:dyDescent="0.15">
      <c r="A61">
        <v>56</v>
      </c>
      <c r="B61" s="6">
        <f>首页!$B$4+2*A61/1000</f>
        <v>0.23199999999999998</v>
      </c>
      <c r="C61" s="6">
        <f>首页!$B$7+273.15</f>
        <v>388.15</v>
      </c>
      <c r="D61" s="6">
        <f>首页!$B$6+273.15</f>
        <v>293.14999999999998</v>
      </c>
      <c r="E61" s="6">
        <f>首页!$B$5+273.15</f>
        <v>1373.15</v>
      </c>
      <c r="F61" s="6">
        <f t="shared" si="0"/>
        <v>95</v>
      </c>
      <c r="G61" s="6">
        <f t="shared" si="1"/>
        <v>340.65</v>
      </c>
      <c r="H61" s="6">
        <f t="shared" si="2"/>
        <v>1.9926207055139041E-5</v>
      </c>
      <c r="I61" s="7">
        <f t="shared" si="3"/>
        <v>1158916576932337.8</v>
      </c>
      <c r="J61" s="6">
        <f t="shared" si="4"/>
        <v>1.0226038455893147</v>
      </c>
      <c r="K61" s="7">
        <f>J61*H61*首页!$B$12/P61</f>
        <v>0.69532757496605813</v>
      </c>
      <c r="L61" s="6">
        <f>首页!$B$9*0.0000000567*((C61^4-D61^4)/(C61-D61))</f>
        <v>7.7687338005019564</v>
      </c>
      <c r="M61" s="6">
        <f>IF(首页!$B$13="自然对流",IF(首页!$B$14="立式圆筒",首页!$B$10,PI()*B61/2),PI()*B61/2)</f>
        <v>55.2</v>
      </c>
      <c r="N61" s="7">
        <f>IF(首页!$B$13="强制对流",首页!$B$11*M61/H61,0)</f>
        <v>0</v>
      </c>
      <c r="O61" s="6">
        <f>IF(首页!$B$13="自然对流",IF(首页!$B$14="立式圆筒",(0.825+0.3063*I61^(1/6))^2+0.87*(M61/B61),(0.752+0.303*I61^(1/6))^2),0.3+SQRT((0.592*N61^0.5)^2+(0.0262*N61^0.8/(1-0.5/N61^0.1))^2))</f>
        <v>10226.2075029349</v>
      </c>
      <c r="P61" s="6">
        <f t="shared" si="5"/>
        <v>2.9510194925512497E-2</v>
      </c>
      <c r="Q61" s="6">
        <f t="shared" si="6"/>
        <v>5.4669814630497697</v>
      </c>
      <c r="R61" s="6">
        <f t="shared" si="7"/>
        <v>13.235715263551725</v>
      </c>
      <c r="S61" s="6">
        <f>B61*LN(B61/首页!$B$4)</f>
        <v>0.15294498590114922</v>
      </c>
      <c r="T61" s="6">
        <f>2*首页!$B$8*(E61-C61)/(R61*(C61-D61))</f>
        <v>7.0503019757954116E-2</v>
      </c>
      <c r="U61" t="str">
        <f>IF(首页!$B$13="自然对流","按自然对流公式", "按强制对流公式")</f>
        <v>按自然对流公式</v>
      </c>
      <c r="V61" s="6">
        <f t="shared" si="8"/>
        <v>8.24419661431951E-2</v>
      </c>
    </row>
    <row r="62" spans="1:22" x14ac:dyDescent="0.15">
      <c r="A62">
        <v>57</v>
      </c>
      <c r="B62" s="6">
        <f>首页!$B$4+2*A62/1000</f>
        <v>0.23399999999999999</v>
      </c>
      <c r="C62" s="6">
        <f>首页!$B$7+273.15</f>
        <v>388.15</v>
      </c>
      <c r="D62" s="6">
        <f>首页!$B$6+273.15</f>
        <v>293.14999999999998</v>
      </c>
      <c r="E62" s="6">
        <f>首页!$B$5+273.15</f>
        <v>1373.15</v>
      </c>
      <c r="F62" s="6">
        <f t="shared" si="0"/>
        <v>95</v>
      </c>
      <c r="G62" s="6">
        <f t="shared" si="1"/>
        <v>340.65</v>
      </c>
      <c r="H62" s="6">
        <f t="shared" si="2"/>
        <v>1.9926207055139041E-5</v>
      </c>
      <c r="I62" s="7">
        <f t="shared" si="3"/>
        <v>1158916576932337.8</v>
      </c>
      <c r="J62" s="6">
        <f t="shared" si="4"/>
        <v>1.0226038455893147</v>
      </c>
      <c r="K62" s="7">
        <f>J62*H62*首页!$B$12/P62</f>
        <v>0.69532757496605813</v>
      </c>
      <c r="L62" s="6">
        <f>首页!$B$9*0.0000000567*((C62^4-D62^4)/(C62-D62))</f>
        <v>7.7687338005019564</v>
      </c>
      <c r="M62" s="6">
        <f>IF(首页!$B$13="自然对流",IF(首页!$B$14="立式圆筒",首页!$B$10,PI()*B62/2),PI()*B62/2)</f>
        <v>55.2</v>
      </c>
      <c r="N62" s="7">
        <f>IF(首页!$B$13="强制对流",首页!$B$11*M62/H62,0)</f>
        <v>0</v>
      </c>
      <c r="O62" s="6">
        <f>IF(首页!$B$13="自然对流",IF(首页!$B$14="立式圆筒",(0.825+0.3063*I62^(1/6))^2+0.87*(M62/B62),(0.752+0.303*I62^(1/6))^2),0.3+SQRT((0.592*N62^0.5)^2+(0.0262*N62^0.8/(1-0.5/N62^0.1))^2))</f>
        <v>10224.438272165669</v>
      </c>
      <c r="P62" s="6">
        <f t="shared" si="5"/>
        <v>2.9510194925512497E-2</v>
      </c>
      <c r="Q62" s="6">
        <f t="shared" si="6"/>
        <v>5.466035623468823</v>
      </c>
      <c r="R62" s="6">
        <f t="shared" si="7"/>
        <v>13.234769423970778</v>
      </c>
      <c r="S62" s="6">
        <f>B62*LN(B62/首页!$B$4)</f>
        <v>0.15627207318270336</v>
      </c>
      <c r="T62" s="6">
        <f>2*首页!$B$8*(E62-C62)/(R62*(C62-D62))</f>
        <v>7.0508058345671601E-2</v>
      </c>
      <c r="U62" t="str">
        <f>IF(首页!$B$13="自然对流","按自然对流公式", "按强制对流公式")</f>
        <v>按自然对流公式</v>
      </c>
      <c r="V62" s="6">
        <f t="shared" si="8"/>
        <v>8.5764014837031763E-2</v>
      </c>
    </row>
    <row r="63" spans="1:22" x14ac:dyDescent="0.15">
      <c r="A63">
        <v>58</v>
      </c>
      <c r="B63" s="6">
        <f>首页!$B$4+2*A63/1000</f>
        <v>0.23599999999999999</v>
      </c>
      <c r="C63" s="6">
        <f>首页!$B$7+273.15</f>
        <v>388.15</v>
      </c>
      <c r="D63" s="6">
        <f>首页!$B$6+273.15</f>
        <v>293.14999999999998</v>
      </c>
      <c r="E63" s="6">
        <f>首页!$B$5+273.15</f>
        <v>1373.15</v>
      </c>
      <c r="F63" s="6">
        <f t="shared" si="0"/>
        <v>95</v>
      </c>
      <c r="G63" s="6">
        <f t="shared" si="1"/>
        <v>340.65</v>
      </c>
      <c r="H63" s="6">
        <f t="shared" si="2"/>
        <v>1.9926207055139041E-5</v>
      </c>
      <c r="I63" s="7">
        <f t="shared" si="3"/>
        <v>1158916576932337.8</v>
      </c>
      <c r="J63" s="6">
        <f t="shared" si="4"/>
        <v>1.0226038455893147</v>
      </c>
      <c r="K63" s="7">
        <f>J63*H63*首页!$B$12/P63</f>
        <v>0.69532757496605813</v>
      </c>
      <c r="L63" s="6">
        <f>首页!$B$9*0.0000000567*((C63^4-D63^4)/(C63-D63))</f>
        <v>7.7687338005019564</v>
      </c>
      <c r="M63" s="6">
        <f>IF(首页!$B$13="自然对流",IF(首页!$B$14="立式圆筒",首页!$B$10,PI()*B63/2),PI()*B63/2)</f>
        <v>55.2</v>
      </c>
      <c r="N63" s="7">
        <f>IF(首页!$B$13="强制对流",首页!$B$11*M63/H63,0)</f>
        <v>0</v>
      </c>
      <c r="O63" s="6">
        <f>IF(首页!$B$13="自然对流",IF(首页!$B$14="立式圆筒",(0.825+0.3063*I63^(1/6))^2+0.87*(M63/B63),(0.752+0.303*I63^(1/6))^2),0.3+SQRT((0.592*N63^0.5)^2+(0.0262*N63^0.8/(1-0.5/N63^0.1))^2))</f>
        <v>10222.699028358629</v>
      </c>
      <c r="P63" s="6">
        <f t="shared" si="5"/>
        <v>2.9510194925512497E-2</v>
      </c>
      <c r="Q63" s="6">
        <f t="shared" si="6"/>
        <v>5.4651058150672158</v>
      </c>
      <c r="R63" s="6">
        <f t="shared" si="7"/>
        <v>13.233839615569172</v>
      </c>
      <c r="S63" s="6">
        <f>B63*LN(B63/首页!$B$4)</f>
        <v>0.1596162546894811</v>
      </c>
      <c r="T63" s="6">
        <f>2*首页!$B$8*(E63-C63)/(R63*(C63-D63))</f>
        <v>7.0513012235618525E-2</v>
      </c>
      <c r="U63" t="str">
        <f>IF(首页!$B$13="自然对流","按自然对流公式", "按强制对流公式")</f>
        <v>按自然对流公式</v>
      </c>
      <c r="V63" s="6">
        <f t="shared" si="8"/>
        <v>8.9103242453862572E-2</v>
      </c>
    </row>
    <row r="64" spans="1:22" x14ac:dyDescent="0.15">
      <c r="A64">
        <v>59</v>
      </c>
      <c r="B64" s="6">
        <f>首页!$B$4+2*A64/1000</f>
        <v>0.23799999999999999</v>
      </c>
      <c r="C64" s="6">
        <f>首页!$B$7+273.15</f>
        <v>388.15</v>
      </c>
      <c r="D64" s="6">
        <f>首页!$B$6+273.15</f>
        <v>293.14999999999998</v>
      </c>
      <c r="E64" s="6">
        <f>首页!$B$5+273.15</f>
        <v>1373.15</v>
      </c>
      <c r="F64" s="6">
        <f t="shared" si="0"/>
        <v>95</v>
      </c>
      <c r="G64" s="6">
        <f t="shared" si="1"/>
        <v>340.65</v>
      </c>
      <c r="H64" s="6">
        <f t="shared" si="2"/>
        <v>1.9926207055139041E-5</v>
      </c>
      <c r="I64" s="7">
        <f t="shared" si="3"/>
        <v>1158916576932337.8</v>
      </c>
      <c r="J64" s="6">
        <f t="shared" si="4"/>
        <v>1.0226038455893147</v>
      </c>
      <c r="K64" s="7">
        <f>J64*H64*首页!$B$12/P64</f>
        <v>0.69532757496605813</v>
      </c>
      <c r="L64" s="6">
        <f>首页!$B$9*0.0000000567*((C64^4-D64^4)/(C64-D64))</f>
        <v>7.7687338005019564</v>
      </c>
      <c r="M64" s="6">
        <f>IF(首页!$B$13="自然对流",IF(首页!$B$14="立式圆筒",首页!$B$10,PI()*B64/2),PI()*B64/2)</f>
        <v>55.2</v>
      </c>
      <c r="N64" s="7">
        <f>IF(首页!$B$13="强制对流",首页!$B$11*M64/H64,0)</f>
        <v>0</v>
      </c>
      <c r="O64" s="6">
        <f>IF(首页!$B$13="自然对流",IF(首页!$B$14="立式圆筒",(0.825+0.3063*I64^(1/6))^2+0.87*(M64/B64),(0.752+0.303*I64^(1/6))^2),0.3+SQRT((0.592*N64^0.5)^2+(0.0262*N64^0.8/(1-0.5/N64^0.1))^2))</f>
        <v>10220.989015539943</v>
      </c>
      <c r="P64" s="6">
        <f t="shared" si="5"/>
        <v>2.9510194925512497E-2</v>
      </c>
      <c r="Q64" s="6">
        <f t="shared" si="6"/>
        <v>5.4641916336975678</v>
      </c>
      <c r="R64" s="6">
        <f t="shared" si="7"/>
        <v>13.232925434199524</v>
      </c>
      <c r="S64" s="6">
        <f>B64*LN(B64/首页!$B$4)</f>
        <v>0.16297738555168403</v>
      </c>
      <c r="T64" s="6">
        <f>2*首页!$B$8*(E64-C64)/(R64*(C64-D64))</f>
        <v>7.0517883545626589E-2</v>
      </c>
      <c r="U64" t="str">
        <f>IF(首页!$B$13="自然对流","按自然对流公式", "按强制对流公式")</f>
        <v>按自然对流公式</v>
      </c>
      <c r="V64" s="6">
        <f t="shared" si="8"/>
        <v>9.2459502006057445E-2</v>
      </c>
    </row>
    <row r="65" spans="1:22" x14ac:dyDescent="0.15">
      <c r="A65">
        <v>60</v>
      </c>
      <c r="B65" s="6">
        <f>首页!$B$4+2*A65/1000</f>
        <v>0.24</v>
      </c>
      <c r="C65" s="6">
        <f>首页!$B$7+273.15</f>
        <v>388.15</v>
      </c>
      <c r="D65" s="6">
        <f>首页!$B$6+273.15</f>
        <v>293.14999999999998</v>
      </c>
      <c r="E65" s="6">
        <f>首页!$B$5+273.15</f>
        <v>1373.15</v>
      </c>
      <c r="F65" s="6">
        <f t="shared" si="0"/>
        <v>95</v>
      </c>
      <c r="G65" s="6">
        <f t="shared" si="1"/>
        <v>340.65</v>
      </c>
      <c r="H65" s="6">
        <f t="shared" si="2"/>
        <v>1.9926207055139041E-5</v>
      </c>
      <c r="I65" s="7">
        <f t="shared" si="3"/>
        <v>1158916576932337.8</v>
      </c>
      <c r="J65" s="6">
        <f t="shared" si="4"/>
        <v>1.0226038455893147</v>
      </c>
      <c r="K65" s="7">
        <f>J65*H65*首页!$B$12/P65</f>
        <v>0.69532757496605813</v>
      </c>
      <c r="L65" s="6">
        <f>首页!$B$9*0.0000000567*((C65^4-D65^4)/(C65-D65))</f>
        <v>7.7687338005019564</v>
      </c>
      <c r="M65" s="6">
        <f>IF(首页!$B$13="自然对流",IF(首页!$B$14="立式圆筒",首页!$B$10,PI()*B65/2),PI()*B65/2)</f>
        <v>55.2</v>
      </c>
      <c r="N65" s="7">
        <f>IF(首页!$B$13="强制对流",首页!$B$11*M65/H65,0)</f>
        <v>0</v>
      </c>
      <c r="O65" s="6">
        <f>IF(首页!$B$13="自然对流",IF(首页!$B$14="立式圆筒",(0.825+0.3063*I65^(1/6))^2+0.87*(M65/B65),(0.752+0.303*I65^(1/6))^2),0.3+SQRT((0.592*N65^0.5)^2+(0.0262*N65^0.8/(1-0.5/N65^0.1))^2))</f>
        <v>10219.3075029349</v>
      </c>
      <c r="P65" s="6">
        <f t="shared" si="5"/>
        <v>2.9510194925512497E-2</v>
      </c>
      <c r="Q65" s="6">
        <f t="shared" si="6"/>
        <v>5.4632926886840814</v>
      </c>
      <c r="R65" s="6">
        <f t="shared" si="7"/>
        <v>13.232026489186037</v>
      </c>
      <c r="S65" s="6">
        <f>B65*LN(B65/首页!$B$4)</f>
        <v>0.16635532333438685</v>
      </c>
      <c r="T65" s="6">
        <f>2*首页!$B$8*(E65-C65)/(R65*(C65-D65))</f>
        <v>7.0522674323503801E-2</v>
      </c>
      <c r="U65" t="str">
        <f>IF(首页!$B$13="自然对流","按自然对流公式", "按强制对流公式")</f>
        <v>按自然对流公式</v>
      </c>
      <c r="V65" s="6">
        <f t="shared" si="8"/>
        <v>9.583264901088305E-2</v>
      </c>
    </row>
    <row r="66" spans="1:22" x14ac:dyDescent="0.15">
      <c r="A66">
        <v>61</v>
      </c>
      <c r="B66" s="6">
        <f>首页!$B$4+2*A66/1000</f>
        <v>0.24199999999999999</v>
      </c>
      <c r="C66" s="6">
        <f>首页!$B$7+273.15</f>
        <v>388.15</v>
      </c>
      <c r="D66" s="6">
        <f>首页!$B$6+273.15</f>
        <v>293.14999999999998</v>
      </c>
      <c r="E66" s="6">
        <f>首页!$B$5+273.15</f>
        <v>1373.15</v>
      </c>
      <c r="F66" s="6">
        <f t="shared" si="0"/>
        <v>95</v>
      </c>
      <c r="G66" s="6">
        <f t="shared" si="1"/>
        <v>340.65</v>
      </c>
      <c r="H66" s="6">
        <f t="shared" si="2"/>
        <v>1.9926207055139041E-5</v>
      </c>
      <c r="I66" s="7">
        <f t="shared" si="3"/>
        <v>1158916576932337.8</v>
      </c>
      <c r="J66" s="6">
        <f t="shared" si="4"/>
        <v>1.0226038455893147</v>
      </c>
      <c r="K66" s="7">
        <f>J66*H66*首页!$B$12/P66</f>
        <v>0.69532757496605813</v>
      </c>
      <c r="L66" s="6">
        <f>首页!$B$9*0.0000000567*((C66^4-D66^4)/(C66-D66))</f>
        <v>7.7687338005019564</v>
      </c>
      <c r="M66" s="6">
        <f>IF(首页!$B$13="自然对流",IF(首页!$B$14="立式圆筒",首页!$B$10,PI()*B66/2),PI()*B66/2)</f>
        <v>55.2</v>
      </c>
      <c r="N66" s="7">
        <f>IF(首页!$B$13="强制对流",首页!$B$11*M66/H66,0)</f>
        <v>0</v>
      </c>
      <c r="O66" s="6">
        <f>IF(首页!$B$13="自然对流",IF(首页!$B$14="立式圆筒",(0.825+0.3063*I66^(1/6))^2+0.87*(M66/B66),(0.752+0.303*I66^(1/6))^2),0.3+SQRT((0.592*N66^0.5)^2+(0.0262*N66^0.8/(1-0.5/N66^0.1))^2))</f>
        <v>10217.653783926635</v>
      </c>
      <c r="P66" s="6">
        <f t="shared" si="5"/>
        <v>2.9510194925512497E-2</v>
      </c>
      <c r="Q66" s="6">
        <f t="shared" si="6"/>
        <v>5.4624086022658576</v>
      </c>
      <c r="R66" s="6">
        <f t="shared" si="7"/>
        <v>13.231142402767814</v>
      </c>
      <c r="S66" s="6">
        <f>B66*LN(B66/首页!$B$4)</f>
        <v>0.16974992797666297</v>
      </c>
      <c r="T66" s="6">
        <f>2*首页!$B$8*(E66-C66)/(R66*(C66-D66))</f>
        <v>7.0527386549904827E-2</v>
      </c>
      <c r="U66" t="str">
        <f>IF(首页!$B$13="自然对流","按自然对流公式", "按强制对流公式")</f>
        <v>按自然对流公式</v>
      </c>
      <c r="V66" s="6">
        <f t="shared" si="8"/>
        <v>9.922254142675814E-2</v>
      </c>
    </row>
    <row r="67" spans="1:22" x14ac:dyDescent="0.15">
      <c r="A67">
        <v>62</v>
      </c>
      <c r="B67" s="6">
        <f>首页!$B$4+2*A67/1000</f>
        <v>0.24399999999999999</v>
      </c>
      <c r="C67" s="6">
        <f>首页!$B$7+273.15</f>
        <v>388.15</v>
      </c>
      <c r="D67" s="6">
        <f>首页!$B$6+273.15</f>
        <v>293.14999999999998</v>
      </c>
      <c r="E67" s="6">
        <f>首页!$B$5+273.15</f>
        <v>1373.15</v>
      </c>
      <c r="F67" s="6">
        <f t="shared" si="0"/>
        <v>95</v>
      </c>
      <c r="G67" s="6">
        <f t="shared" si="1"/>
        <v>340.65</v>
      </c>
      <c r="H67" s="6">
        <f t="shared" si="2"/>
        <v>1.9926207055139041E-5</v>
      </c>
      <c r="I67" s="7">
        <f t="shared" si="3"/>
        <v>1158916576932337.8</v>
      </c>
      <c r="J67" s="6">
        <f t="shared" si="4"/>
        <v>1.0226038455893147</v>
      </c>
      <c r="K67" s="7">
        <f>J67*H67*首页!$B$12/P67</f>
        <v>0.69532757496605813</v>
      </c>
      <c r="L67" s="6">
        <f>首页!$B$9*0.0000000567*((C67^4-D67^4)/(C67-D67))</f>
        <v>7.7687338005019564</v>
      </c>
      <c r="M67" s="6">
        <f>IF(首页!$B$13="自然对流",IF(首页!$B$14="立式圆筒",首页!$B$10,PI()*B67/2),PI()*B67/2)</f>
        <v>55.2</v>
      </c>
      <c r="N67" s="7">
        <f>IF(首页!$B$13="强制对流",首页!$B$11*M67/H67,0)</f>
        <v>0</v>
      </c>
      <c r="O67" s="6">
        <f>IF(首页!$B$13="自然对流",IF(首页!$B$14="立式圆筒",(0.825+0.3063*I67^(1/6))^2+0.87*(M67/B67),(0.752+0.303*I67^(1/6))^2),0.3+SQRT((0.592*N67^0.5)^2+(0.0262*N67^0.8/(1-0.5/N67^0.1))^2))</f>
        <v>10216.027175066047</v>
      </c>
      <c r="P67" s="6">
        <f t="shared" si="5"/>
        <v>2.9510194925512497E-2</v>
      </c>
      <c r="Q67" s="6">
        <f t="shared" si="6"/>
        <v>5.4615390090676055</v>
      </c>
      <c r="R67" s="6">
        <f t="shared" si="7"/>
        <v>13.230272809569563</v>
      </c>
      <c r="S67" s="6">
        <f>B67*LN(B67/首页!$B$4)</f>
        <v>0.173161061732722</v>
      </c>
      <c r="T67" s="6">
        <f>2*首页!$B$8*(E67-C67)/(R67*(C67-D67))</f>
        <v>7.0532022141061343E-2</v>
      </c>
      <c r="U67" t="str">
        <f>IF(首页!$B$13="自然对流","按自然对流公式", "按强制对流公式")</f>
        <v>按自然对流公式</v>
      </c>
      <c r="V67" s="6">
        <f t="shared" si="8"/>
        <v>0.10262903959166066</v>
      </c>
    </row>
    <row r="68" spans="1:22" x14ac:dyDescent="0.15">
      <c r="A68">
        <v>63</v>
      </c>
      <c r="B68" s="6">
        <f>首页!$B$4+2*A68/1000</f>
        <v>0.246</v>
      </c>
      <c r="C68" s="6">
        <f>首页!$B$7+273.15</f>
        <v>388.15</v>
      </c>
      <c r="D68" s="6">
        <f>首页!$B$6+273.15</f>
        <v>293.14999999999998</v>
      </c>
      <c r="E68" s="6">
        <f>首页!$B$5+273.15</f>
        <v>1373.15</v>
      </c>
      <c r="F68" s="6">
        <f t="shared" si="0"/>
        <v>95</v>
      </c>
      <c r="G68" s="6">
        <f t="shared" si="1"/>
        <v>340.65</v>
      </c>
      <c r="H68" s="6">
        <f t="shared" si="2"/>
        <v>1.9926207055139041E-5</v>
      </c>
      <c r="I68" s="7">
        <f t="shared" si="3"/>
        <v>1158916576932337.8</v>
      </c>
      <c r="J68" s="6">
        <f t="shared" si="4"/>
        <v>1.0226038455893147</v>
      </c>
      <c r="K68" s="7">
        <f>J68*H68*首页!$B$12/P68</f>
        <v>0.69532757496605813</v>
      </c>
      <c r="L68" s="6">
        <f>首页!$B$9*0.0000000567*((C68^4-D68^4)/(C68-D68))</f>
        <v>7.7687338005019564</v>
      </c>
      <c r="M68" s="6">
        <f>IF(首页!$B$13="自然对流",IF(首页!$B$14="立式圆筒",首页!$B$10,PI()*B68/2),PI()*B68/2)</f>
        <v>55.2</v>
      </c>
      <c r="N68" s="7">
        <f>IF(首页!$B$13="强制对流",首页!$B$11*M68/H68,0)</f>
        <v>0</v>
      </c>
      <c r="O68" s="6">
        <f>IF(首页!$B$13="自然对流",IF(首页!$B$14="立式圆筒",(0.825+0.3063*I68^(1/6))^2+0.87*(M68/B68),(0.752+0.303*I68^(1/6))^2),0.3+SQRT((0.592*N68^0.5)^2+(0.0262*N68^0.8/(1-0.5/N68^0.1))^2))</f>
        <v>10214.427015130022</v>
      </c>
      <c r="P68" s="6">
        <f t="shared" si="5"/>
        <v>2.9510194925512497E-2</v>
      </c>
      <c r="Q68" s="6">
        <f t="shared" si="6"/>
        <v>5.4606835555961544</v>
      </c>
      <c r="R68" s="6">
        <f t="shared" si="7"/>
        <v>13.229417356098111</v>
      </c>
      <c r="S68" s="6">
        <f>B68*LN(B68/首页!$B$4)</f>
        <v>0.17658858911497799</v>
      </c>
      <c r="T68" s="6">
        <f>2*首页!$B$8*(E68-C68)/(R68*(C68-D68))</f>
        <v>7.0536582951380114E-2</v>
      </c>
      <c r="U68" t="str">
        <f>IF(首页!$B$13="自然对流","按自然对流公式", "按强制对流公式")</f>
        <v>按自然对流公式</v>
      </c>
      <c r="V68" s="6">
        <f t="shared" si="8"/>
        <v>0.10605200616359788</v>
      </c>
    </row>
    <row r="69" spans="1:22" x14ac:dyDescent="0.15">
      <c r="A69">
        <v>64</v>
      </c>
      <c r="B69" s="6">
        <f>首页!$B$4+2*A69/1000</f>
        <v>0.248</v>
      </c>
      <c r="C69" s="6">
        <f>首页!$B$7+273.15</f>
        <v>388.15</v>
      </c>
      <c r="D69" s="6">
        <f>首页!$B$6+273.15</f>
        <v>293.14999999999998</v>
      </c>
      <c r="E69" s="6">
        <f>首页!$B$5+273.15</f>
        <v>1373.15</v>
      </c>
      <c r="F69" s="6">
        <f t="shared" ref="F69:F132" si="9">C69-D69</f>
        <v>95</v>
      </c>
      <c r="G69" s="6">
        <f t="shared" ref="G69:G132" si="10">(C69+D69)/2</f>
        <v>340.65</v>
      </c>
      <c r="H69" s="6">
        <f t="shared" ref="H69:H132" si="11">0.0000000042113*G69^2.5/(112+G69)</f>
        <v>1.9926207055139041E-5</v>
      </c>
      <c r="I69" s="7">
        <f t="shared" ref="I69:I132" si="12">9.81*M69^3*F69/(H69^2*G69)</f>
        <v>1158916576932337.8</v>
      </c>
      <c r="J69" s="6">
        <f t="shared" ref="J69:J132" si="13">348.35/G69</f>
        <v>1.0226038455893147</v>
      </c>
      <c r="K69" s="7">
        <f>J69*H69*首页!$B$12/P69</f>
        <v>0.69532757496605813</v>
      </c>
      <c r="L69" s="6">
        <f>首页!$B$9*0.0000000567*((C69^4-D69^4)/(C69-D69))</f>
        <v>7.7687338005019564</v>
      </c>
      <c r="M69" s="6">
        <f>IF(首页!$B$13="自然对流",IF(首页!$B$14="立式圆筒",首页!$B$10,PI()*B69/2),PI()*B69/2)</f>
        <v>55.2</v>
      </c>
      <c r="N69" s="7">
        <f>IF(首页!$B$13="强制对流",首页!$B$11*M69/H69,0)</f>
        <v>0</v>
      </c>
      <c r="O69" s="6">
        <f>IF(首页!$B$13="自然对流",IF(首页!$B$14="立式圆筒",(0.825+0.3063*I69^(1/6))^2+0.87*(M69/B69),(0.752+0.303*I69^(1/6))^2),0.3+SQRT((0.592*N69^0.5)^2+(0.0262*N69^0.8/(1-0.5/N69^0.1))^2))</f>
        <v>10212.852664225222</v>
      </c>
      <c r="P69" s="6">
        <f t="shared" ref="P69:P132" si="14">0.0243+0.000078421*(G69-273)-0.000000020755*(G69-273)^2</f>
        <v>2.9510194925512497E-2</v>
      </c>
      <c r="Q69" s="6">
        <f t="shared" ref="Q69:Q132" si="15">O69*P69/M69</f>
        <v>5.4598418997613383</v>
      </c>
      <c r="R69" s="6">
        <f t="shared" ref="R69:R132" si="16">L69+Q69</f>
        <v>13.228575700263296</v>
      </c>
      <c r="S69" s="6">
        <f>B69*LN(B69/首页!$B$4)</f>
        <v>0.18003237683896819</v>
      </c>
      <c r="T69" s="6">
        <f>2*首页!$B$8*(E69-C69)/(R69*(C69-D69))</f>
        <v>7.0541070775916495E-2</v>
      </c>
      <c r="U69" t="str">
        <f>IF(首页!$B$13="自然对流","按自然对流公式", "按强制对流公式")</f>
        <v>按自然对流公式</v>
      </c>
      <c r="V69" s="6">
        <f t="shared" ref="V69:V132" si="17">ABS(S69-T69)</f>
        <v>0.1094913060630517</v>
      </c>
    </row>
    <row r="70" spans="1:22" x14ac:dyDescent="0.15">
      <c r="A70">
        <v>65</v>
      </c>
      <c r="B70" s="6">
        <f>首页!$B$4+2*A70/1000</f>
        <v>0.25</v>
      </c>
      <c r="C70" s="6">
        <f>首页!$B$7+273.15</f>
        <v>388.15</v>
      </c>
      <c r="D70" s="6">
        <f>首页!$B$6+273.15</f>
        <v>293.14999999999998</v>
      </c>
      <c r="E70" s="6">
        <f>首页!$B$5+273.15</f>
        <v>1373.15</v>
      </c>
      <c r="F70" s="6">
        <f t="shared" si="9"/>
        <v>95</v>
      </c>
      <c r="G70" s="6">
        <f t="shared" si="10"/>
        <v>340.65</v>
      </c>
      <c r="H70" s="6">
        <f t="shared" si="11"/>
        <v>1.9926207055139041E-5</v>
      </c>
      <c r="I70" s="7">
        <f t="shared" si="12"/>
        <v>1158916576932337.8</v>
      </c>
      <c r="J70" s="6">
        <f t="shared" si="13"/>
        <v>1.0226038455893147</v>
      </c>
      <c r="K70" s="7">
        <f>J70*H70*首页!$B$12/P70</f>
        <v>0.69532757496605813</v>
      </c>
      <c r="L70" s="6">
        <f>首页!$B$9*0.0000000567*((C70^4-D70^4)/(C70-D70))</f>
        <v>7.7687338005019564</v>
      </c>
      <c r="M70" s="6">
        <f>IF(首页!$B$13="自然对流",IF(首页!$B$14="立式圆筒",首页!$B$10,PI()*B70/2),PI()*B70/2)</f>
        <v>55.2</v>
      </c>
      <c r="N70" s="7">
        <f>IF(首页!$B$13="强制对流",首页!$B$11*M70/H70,0)</f>
        <v>0</v>
      </c>
      <c r="O70" s="6">
        <f>IF(首页!$B$13="自然对流",IF(首页!$B$14="立式圆筒",(0.825+0.3063*I70^(1/6))^2+0.87*(M70/B70),(0.752+0.303*I70^(1/6))^2),0.3+SQRT((0.592*N70^0.5)^2+(0.0262*N70^0.8/(1-0.5/N70^0.1))^2))</f>
        <v>10211.303502934899</v>
      </c>
      <c r="P70" s="6">
        <f t="shared" si="14"/>
        <v>2.9510194925512497E-2</v>
      </c>
      <c r="Q70" s="6">
        <f t="shared" si="15"/>
        <v>5.4590137104198808</v>
      </c>
      <c r="R70" s="6">
        <f t="shared" si="16"/>
        <v>13.227747510921837</v>
      </c>
      <c r="S70" s="6">
        <f>B70*LN(B70/首页!$B$4)</f>
        <v>0.18349229377005014</v>
      </c>
      <c r="T70" s="6">
        <f>2*首页!$B$8*(E70-C70)/(R70*(C70-D70))</f>
        <v>7.0545487352729988E-2</v>
      </c>
      <c r="U70" t="str">
        <f>IF(首页!$B$13="自然对流","按自然对流公式", "按强制对流公式")</f>
        <v>按自然对流公式</v>
      </c>
      <c r="V70" s="6">
        <f t="shared" si="17"/>
        <v>0.11294680641732015</v>
      </c>
    </row>
    <row r="71" spans="1:22" x14ac:dyDescent="0.15">
      <c r="A71">
        <v>66</v>
      </c>
      <c r="B71" s="6">
        <f>首页!$B$4+2*A71/1000</f>
        <v>0.252</v>
      </c>
      <c r="C71" s="6">
        <f>首页!$B$7+273.15</f>
        <v>388.15</v>
      </c>
      <c r="D71" s="6">
        <f>首页!$B$6+273.15</f>
        <v>293.14999999999998</v>
      </c>
      <c r="E71" s="6">
        <f>首页!$B$5+273.15</f>
        <v>1373.15</v>
      </c>
      <c r="F71" s="6">
        <f t="shared" si="9"/>
        <v>95</v>
      </c>
      <c r="G71" s="6">
        <f t="shared" si="10"/>
        <v>340.65</v>
      </c>
      <c r="H71" s="6">
        <f t="shared" si="11"/>
        <v>1.9926207055139041E-5</v>
      </c>
      <c r="I71" s="7">
        <f t="shared" si="12"/>
        <v>1158916576932337.8</v>
      </c>
      <c r="J71" s="6">
        <f t="shared" si="13"/>
        <v>1.0226038455893147</v>
      </c>
      <c r="K71" s="7">
        <f>J71*H71*首页!$B$12/P71</f>
        <v>0.69532757496605813</v>
      </c>
      <c r="L71" s="6">
        <f>首页!$B$9*0.0000000567*((C71^4-D71^4)/(C71-D71))</f>
        <v>7.7687338005019564</v>
      </c>
      <c r="M71" s="6">
        <f>IF(首页!$B$13="自然对流",IF(首页!$B$14="立式圆筒",首页!$B$10,PI()*B71/2),PI()*B71/2)</f>
        <v>55.2</v>
      </c>
      <c r="N71" s="7">
        <f>IF(首页!$B$13="强制对流",首页!$B$11*M71/H71,0)</f>
        <v>0</v>
      </c>
      <c r="O71" s="6">
        <f>IF(首页!$B$13="自然对流",IF(首页!$B$14="立式圆筒",(0.825+0.3063*I71^(1/6))^2+0.87*(M71/B71),(0.752+0.303*I71^(1/6))^2),0.3+SQRT((0.592*N71^0.5)^2+(0.0262*N71^0.8/(1-0.5/N71^0.1))^2))</f>
        <v>10209.778931506329</v>
      </c>
      <c r="P71" s="6">
        <f t="shared" si="14"/>
        <v>2.9510194925512497E-2</v>
      </c>
      <c r="Q71" s="6">
        <f t="shared" si="15"/>
        <v>5.4581986669409863</v>
      </c>
      <c r="R71" s="6">
        <f t="shared" si="16"/>
        <v>13.226932467442943</v>
      </c>
      <c r="S71" s="6">
        <f>B71*LN(B71/首页!$B$4)</f>
        <v>0.1869682108718031</v>
      </c>
      <c r="T71" s="6">
        <f>2*首页!$B$8*(E71-C71)/(R71*(C71-D71))</f>
        <v>7.0549834365128669E-2</v>
      </c>
      <c r="U71" t="str">
        <f>IF(首页!$B$13="自然对流","按自然对流公式", "按强制对流公式")</f>
        <v>按自然对流公式</v>
      </c>
      <c r="V71" s="6">
        <f t="shared" si="17"/>
        <v>0.11641837650667443</v>
      </c>
    </row>
    <row r="72" spans="1:22" x14ac:dyDescent="0.15">
      <c r="A72">
        <v>67</v>
      </c>
      <c r="B72" s="6">
        <f>首页!$B$4+2*A72/1000</f>
        <v>0.254</v>
      </c>
      <c r="C72" s="6">
        <f>首页!$B$7+273.15</f>
        <v>388.15</v>
      </c>
      <c r="D72" s="6">
        <f>首页!$B$6+273.15</f>
        <v>293.14999999999998</v>
      </c>
      <c r="E72" s="6">
        <f>首页!$B$5+273.15</f>
        <v>1373.15</v>
      </c>
      <c r="F72" s="6">
        <f t="shared" si="9"/>
        <v>95</v>
      </c>
      <c r="G72" s="6">
        <f t="shared" si="10"/>
        <v>340.65</v>
      </c>
      <c r="H72" s="6">
        <f t="shared" si="11"/>
        <v>1.9926207055139041E-5</v>
      </c>
      <c r="I72" s="7">
        <f t="shared" si="12"/>
        <v>1158916576932337.8</v>
      </c>
      <c r="J72" s="6">
        <f t="shared" si="13"/>
        <v>1.0226038455893147</v>
      </c>
      <c r="K72" s="7">
        <f>J72*H72*首页!$B$12/P72</f>
        <v>0.69532757496605813</v>
      </c>
      <c r="L72" s="6">
        <f>首页!$B$9*0.0000000567*((C72^4-D72^4)/(C72-D72))</f>
        <v>7.7687338005019564</v>
      </c>
      <c r="M72" s="6">
        <f>IF(首页!$B$13="自然对流",IF(首页!$B$14="立式圆筒",首页!$B$10,PI()*B72/2),PI()*B72/2)</f>
        <v>55.2</v>
      </c>
      <c r="N72" s="7">
        <f>IF(首页!$B$13="强制对流",首页!$B$11*M72/H72,0)</f>
        <v>0</v>
      </c>
      <c r="O72" s="6">
        <f>IF(首页!$B$13="自然对流",IF(首页!$B$14="立式圆筒",(0.825+0.3063*I72^(1/6))^2+0.87*(M72/B72),(0.752+0.303*I72^(1/6))^2),0.3+SQRT((0.592*N72^0.5)^2+(0.0262*N72^0.8/(1-0.5/N72^0.1))^2))</f>
        <v>10208.278369076632</v>
      </c>
      <c r="P72" s="6">
        <f t="shared" si="14"/>
        <v>2.9510194925512497E-2</v>
      </c>
      <c r="Q72" s="6">
        <f t="shared" si="15"/>
        <v>5.4573964587924673</v>
      </c>
      <c r="R72" s="6">
        <f t="shared" si="16"/>
        <v>13.226130259294424</v>
      </c>
      <c r="S72" s="6">
        <f>B72*LN(B72/首页!$B$4)</f>
        <v>0.19046000115606859</v>
      </c>
      <c r="T72" s="6">
        <f>2*首页!$B$8*(E72-C72)/(R72*(C72-D72))</f>
        <v>7.0554113443808131E-2</v>
      </c>
      <c r="U72" t="str">
        <f>IF(首页!$B$13="自然对流","按自然对流公式", "按强制对流公式")</f>
        <v>按自然对流公式</v>
      </c>
      <c r="V72" s="6">
        <f t="shared" si="17"/>
        <v>0.11990588771226046</v>
      </c>
    </row>
    <row r="73" spans="1:22" x14ac:dyDescent="0.15">
      <c r="A73">
        <v>68</v>
      </c>
      <c r="B73" s="6">
        <f>首页!$B$4+2*A73/1000</f>
        <v>0.25600000000000001</v>
      </c>
      <c r="C73" s="6">
        <f>首页!$B$7+273.15</f>
        <v>388.15</v>
      </c>
      <c r="D73" s="6">
        <f>首页!$B$6+273.15</f>
        <v>293.14999999999998</v>
      </c>
      <c r="E73" s="6">
        <f>首页!$B$5+273.15</f>
        <v>1373.15</v>
      </c>
      <c r="F73" s="6">
        <f t="shared" si="9"/>
        <v>95</v>
      </c>
      <c r="G73" s="6">
        <f t="shared" si="10"/>
        <v>340.65</v>
      </c>
      <c r="H73" s="6">
        <f t="shared" si="11"/>
        <v>1.9926207055139041E-5</v>
      </c>
      <c r="I73" s="7">
        <f t="shared" si="12"/>
        <v>1158916576932337.8</v>
      </c>
      <c r="J73" s="6">
        <f t="shared" si="13"/>
        <v>1.0226038455893147</v>
      </c>
      <c r="K73" s="7">
        <f>J73*H73*首页!$B$12/P73</f>
        <v>0.69532757496605813</v>
      </c>
      <c r="L73" s="6">
        <f>首页!$B$9*0.0000000567*((C73^4-D73^4)/(C73-D73))</f>
        <v>7.7687338005019564</v>
      </c>
      <c r="M73" s="6">
        <f>IF(首页!$B$13="自然对流",IF(首页!$B$14="立式圆筒",首页!$B$10,PI()*B73/2),PI()*B73/2)</f>
        <v>55.2</v>
      </c>
      <c r="N73" s="7">
        <f>IF(首页!$B$13="强制对流",首页!$B$11*M73/H73,0)</f>
        <v>0</v>
      </c>
      <c r="O73" s="6">
        <f>IF(首页!$B$13="自然对流",IF(首页!$B$14="立式圆筒",(0.825+0.3063*I73^(1/6))^2+0.87*(M73/B73),(0.752+0.303*I73^(1/6))^2),0.3+SQRT((0.592*N73^0.5)^2+(0.0262*N73^0.8/(1-0.5/N73^0.1))^2))</f>
        <v>10206.8012529349</v>
      </c>
      <c r="P73" s="6">
        <f t="shared" si="14"/>
        <v>2.9510194925512497E-2</v>
      </c>
      <c r="Q73" s="6">
        <f t="shared" si="15"/>
        <v>5.4566067851462687</v>
      </c>
      <c r="R73" s="6">
        <f t="shared" si="16"/>
        <v>13.225340585648226</v>
      </c>
      <c r="S73" s="6">
        <f>B73*LN(B73/首页!$B$4)</f>
        <v>0.19396753963456423</v>
      </c>
      <c r="T73" s="6">
        <f>2*首页!$B$8*(E73-C73)/(R73*(C73-D73))</f>
        <v>7.0558326168891197E-2</v>
      </c>
      <c r="U73" t="str">
        <f>IF(首页!$B$13="自然对流","按自然对流公式", "按强制对流公式")</f>
        <v>按自然对流公式</v>
      </c>
      <c r="V73" s="6">
        <f t="shared" si="17"/>
        <v>0.12340921346567303</v>
      </c>
    </row>
    <row r="74" spans="1:22" x14ac:dyDescent="0.15">
      <c r="A74">
        <v>69</v>
      </c>
      <c r="B74" s="6">
        <f>首页!$B$4+2*A74/1000</f>
        <v>0.25800000000000001</v>
      </c>
      <c r="C74" s="6">
        <f>首页!$B$7+273.15</f>
        <v>388.15</v>
      </c>
      <c r="D74" s="6">
        <f>首页!$B$6+273.15</f>
        <v>293.14999999999998</v>
      </c>
      <c r="E74" s="6">
        <f>首页!$B$5+273.15</f>
        <v>1373.15</v>
      </c>
      <c r="F74" s="6">
        <f t="shared" si="9"/>
        <v>95</v>
      </c>
      <c r="G74" s="6">
        <f t="shared" si="10"/>
        <v>340.65</v>
      </c>
      <c r="H74" s="6">
        <f t="shared" si="11"/>
        <v>1.9926207055139041E-5</v>
      </c>
      <c r="I74" s="7">
        <f t="shared" si="12"/>
        <v>1158916576932337.8</v>
      </c>
      <c r="J74" s="6">
        <f t="shared" si="13"/>
        <v>1.0226038455893147</v>
      </c>
      <c r="K74" s="7">
        <f>J74*H74*首页!$B$12/P74</f>
        <v>0.69532757496605813</v>
      </c>
      <c r="L74" s="6">
        <f>首页!$B$9*0.0000000567*((C74^4-D74^4)/(C74-D74))</f>
        <v>7.7687338005019564</v>
      </c>
      <c r="M74" s="6">
        <f>IF(首页!$B$13="自然对流",IF(首页!$B$14="立式圆筒",首页!$B$10,PI()*B74/2),PI()*B74/2)</f>
        <v>55.2</v>
      </c>
      <c r="N74" s="7">
        <f>IF(首页!$B$13="强制对流",首页!$B$11*M74/H74,0)</f>
        <v>0</v>
      </c>
      <c r="O74" s="6">
        <f>IF(首页!$B$13="自然对流",IF(首页!$B$14="立式圆筒",(0.825+0.3063*I74^(1/6))^2+0.87*(M74/B74),(0.752+0.303*I74^(1/6))^2),0.3+SQRT((0.592*N74^0.5)^2+(0.0262*N74^0.8/(1-0.5/N74^0.1))^2))</f>
        <v>10205.347037818621</v>
      </c>
      <c r="P74" s="6">
        <f t="shared" si="14"/>
        <v>2.9510194925512497E-2</v>
      </c>
      <c r="Q74" s="6">
        <f t="shared" si="15"/>
        <v>5.4558293545023373</v>
      </c>
      <c r="R74" s="6">
        <f t="shared" si="16"/>
        <v>13.224563155004294</v>
      </c>
      <c r="S74" s="6">
        <f>B74*LN(B74/首页!$B$4)</f>
        <v>0.19749070327200949</v>
      </c>
      <c r="T74" s="6">
        <f>2*首页!$B$8*(E74-C74)/(R74*(C74-D74))</f>
        <v>7.0562474071873355E-2</v>
      </c>
      <c r="U74" t="str">
        <f>IF(首页!$B$13="自然对流","按自然对流公式", "按强制对流公式")</f>
        <v>按自然对流公式</v>
      </c>
      <c r="V74" s="6">
        <f t="shared" si="17"/>
        <v>0.12692822920013613</v>
      </c>
    </row>
    <row r="75" spans="1:22" x14ac:dyDescent="0.15">
      <c r="A75">
        <v>70</v>
      </c>
      <c r="B75" s="6">
        <f>首页!$B$4+2*A75/1000</f>
        <v>0.26</v>
      </c>
      <c r="C75" s="6">
        <f>首页!$B$7+273.15</f>
        <v>388.15</v>
      </c>
      <c r="D75" s="6">
        <f>首页!$B$6+273.15</f>
        <v>293.14999999999998</v>
      </c>
      <c r="E75" s="6">
        <f>首页!$B$5+273.15</f>
        <v>1373.15</v>
      </c>
      <c r="F75" s="6">
        <f t="shared" si="9"/>
        <v>95</v>
      </c>
      <c r="G75" s="6">
        <f t="shared" si="10"/>
        <v>340.65</v>
      </c>
      <c r="H75" s="6">
        <f t="shared" si="11"/>
        <v>1.9926207055139041E-5</v>
      </c>
      <c r="I75" s="7">
        <f t="shared" si="12"/>
        <v>1158916576932337.8</v>
      </c>
      <c r="J75" s="6">
        <f t="shared" si="13"/>
        <v>1.0226038455893147</v>
      </c>
      <c r="K75" s="7">
        <f>J75*H75*首页!$B$12/P75</f>
        <v>0.69532757496605813</v>
      </c>
      <c r="L75" s="6">
        <f>首页!$B$9*0.0000000567*((C75^4-D75^4)/(C75-D75))</f>
        <v>7.7687338005019564</v>
      </c>
      <c r="M75" s="6">
        <f>IF(首页!$B$13="自然对流",IF(首页!$B$14="立式圆筒",首页!$B$10,PI()*B75/2),PI()*B75/2)</f>
        <v>55.2</v>
      </c>
      <c r="N75" s="7">
        <f>IF(首页!$B$13="强制对流",首页!$B$11*M75/H75,0)</f>
        <v>0</v>
      </c>
      <c r="O75" s="6">
        <f>IF(首页!$B$13="自然对流",IF(首页!$B$14="立式圆筒",(0.825+0.3063*I75^(1/6))^2+0.87*(M75/B75),(0.752+0.303*I75^(1/6))^2),0.3+SQRT((0.592*N75^0.5)^2+(0.0262*N75^0.8/(1-0.5/N75^0.1))^2))</f>
        <v>10203.915195242593</v>
      </c>
      <c r="P75" s="6">
        <f t="shared" si="14"/>
        <v>2.9510194925512497E-2</v>
      </c>
      <c r="Q75" s="6">
        <f t="shared" si="15"/>
        <v>5.455063884329852</v>
      </c>
      <c r="R75" s="6">
        <f t="shared" si="16"/>
        <v>13.223797684831808</v>
      </c>
      <c r="S75" s="6">
        <f>B75*LN(B75/首页!$B$4)</f>
        <v>0.2010293709407053</v>
      </c>
      <c r="T75" s="6">
        <f>2*首页!$B$8*(E75-C75)/(R75*(C75-D75))</f>
        <v>7.0566558637478946E-2</v>
      </c>
      <c r="U75" t="str">
        <f>IF(首页!$B$13="自然对流","按自然对流公式", "按强制对流公式")</f>
        <v>按自然对流公式</v>
      </c>
      <c r="V75" s="6">
        <f t="shared" si="17"/>
        <v>0.13046281230322637</v>
      </c>
    </row>
    <row r="76" spans="1:22" x14ac:dyDescent="0.15">
      <c r="A76">
        <v>71</v>
      </c>
      <c r="B76" s="6">
        <f>首页!$B$4+2*A76/1000</f>
        <v>0.26200000000000001</v>
      </c>
      <c r="C76" s="6">
        <f>首页!$B$7+273.15</f>
        <v>388.15</v>
      </c>
      <c r="D76" s="6">
        <f>首页!$B$6+273.15</f>
        <v>293.14999999999998</v>
      </c>
      <c r="E76" s="6">
        <f>首页!$B$5+273.15</f>
        <v>1373.15</v>
      </c>
      <c r="F76" s="6">
        <f t="shared" si="9"/>
        <v>95</v>
      </c>
      <c r="G76" s="6">
        <f t="shared" si="10"/>
        <v>340.65</v>
      </c>
      <c r="H76" s="6">
        <f t="shared" si="11"/>
        <v>1.9926207055139041E-5</v>
      </c>
      <c r="I76" s="7">
        <f t="shared" si="12"/>
        <v>1158916576932337.8</v>
      </c>
      <c r="J76" s="6">
        <f t="shared" si="13"/>
        <v>1.0226038455893147</v>
      </c>
      <c r="K76" s="7">
        <f>J76*H76*首页!$B$12/P76</f>
        <v>0.69532757496605813</v>
      </c>
      <c r="L76" s="6">
        <f>首页!$B$9*0.0000000567*((C76^4-D76^4)/(C76-D76))</f>
        <v>7.7687338005019564</v>
      </c>
      <c r="M76" s="6">
        <f>IF(首页!$B$13="自然对流",IF(首页!$B$14="立式圆筒",首页!$B$10,PI()*B76/2),PI()*B76/2)</f>
        <v>55.2</v>
      </c>
      <c r="N76" s="7">
        <f>IF(首页!$B$13="强制对流",首页!$B$11*M76/H76,0)</f>
        <v>0</v>
      </c>
      <c r="O76" s="6">
        <f>IF(首页!$B$13="自然对流",IF(首页!$B$14="立式圆筒",(0.825+0.3063*I76^(1/6))^2+0.87*(M76/B76),(0.752+0.303*I76^(1/6))^2),0.3+SQRT((0.592*N76^0.5)^2+(0.0262*N76^0.8/(1-0.5/N76^0.1))^2))</f>
        <v>10202.505212858563</v>
      </c>
      <c r="P76" s="6">
        <f t="shared" si="14"/>
        <v>2.9510194925512497E-2</v>
      </c>
      <c r="Q76" s="6">
        <f t="shared" si="15"/>
        <v>5.4543101007248822</v>
      </c>
      <c r="R76" s="6">
        <f t="shared" si="16"/>
        <v>13.223043901226838</v>
      </c>
      <c r="S76" s="6">
        <f>B76*LN(B76/首页!$B$4)</f>
        <v>0.20458342337651136</v>
      </c>
      <c r="T76" s="6">
        <f>2*首页!$B$8*(E76-C76)/(R76*(C76-D76))</f>
        <v>7.0570581305433283E-2</v>
      </c>
      <c r="U76" t="str">
        <f>IF(首页!$B$13="自然对流","按自然对流公式", "按强制对流公式")</f>
        <v>按自然对流公式</v>
      </c>
      <c r="V76" s="6">
        <f t="shared" si="17"/>
        <v>0.13401284207107808</v>
      </c>
    </row>
    <row r="77" spans="1:22" x14ac:dyDescent="0.15">
      <c r="A77">
        <v>72</v>
      </c>
      <c r="B77" s="6">
        <f>首页!$B$4+2*A77/1000</f>
        <v>0.26400000000000001</v>
      </c>
      <c r="C77" s="6">
        <f>首页!$B$7+273.15</f>
        <v>388.15</v>
      </c>
      <c r="D77" s="6">
        <f>首页!$B$6+273.15</f>
        <v>293.14999999999998</v>
      </c>
      <c r="E77" s="6">
        <f>首页!$B$5+273.15</f>
        <v>1373.15</v>
      </c>
      <c r="F77" s="6">
        <f t="shared" si="9"/>
        <v>95</v>
      </c>
      <c r="G77" s="6">
        <f t="shared" si="10"/>
        <v>340.65</v>
      </c>
      <c r="H77" s="6">
        <f t="shared" si="11"/>
        <v>1.9926207055139041E-5</v>
      </c>
      <c r="I77" s="7">
        <f t="shared" si="12"/>
        <v>1158916576932337.8</v>
      </c>
      <c r="J77" s="6">
        <f t="shared" si="13"/>
        <v>1.0226038455893147</v>
      </c>
      <c r="K77" s="7">
        <f>J77*H77*首页!$B$12/P77</f>
        <v>0.69532757496605813</v>
      </c>
      <c r="L77" s="6">
        <f>首页!$B$9*0.0000000567*((C77^4-D77^4)/(C77-D77))</f>
        <v>7.7687338005019564</v>
      </c>
      <c r="M77" s="6">
        <f>IF(首页!$B$13="自然对流",IF(首页!$B$14="立式圆筒",首页!$B$10,PI()*B77/2),PI()*B77/2)</f>
        <v>55.2</v>
      </c>
      <c r="N77" s="7">
        <f>IF(首页!$B$13="强制对流",首页!$B$11*M77/H77,0)</f>
        <v>0</v>
      </c>
      <c r="O77" s="6">
        <f>IF(首页!$B$13="自然对流",IF(首页!$B$14="立式圆筒",(0.825+0.3063*I77^(1/6))^2+0.87*(M77/B77),(0.752+0.303*I77^(1/6))^2),0.3+SQRT((0.592*N77^0.5)^2+(0.0262*N77^0.8/(1-0.5/N77^0.1))^2))</f>
        <v>10201.11659384399</v>
      </c>
      <c r="P77" s="6">
        <f t="shared" si="14"/>
        <v>2.9510194925512497E-2</v>
      </c>
      <c r="Q77" s="6">
        <f t="shared" si="15"/>
        <v>5.4535677380836267</v>
      </c>
      <c r="R77" s="6">
        <f t="shared" si="16"/>
        <v>13.222301538585583</v>
      </c>
      <c r="S77" s="6">
        <f>B77*LN(B77/首页!$B$4)</f>
        <v>0.20815274313616736</v>
      </c>
      <c r="T77" s="6">
        <f>2*首页!$B$8*(E77-C77)/(R77*(C77-D77))</f>
        <v>7.0574543472154389E-2</v>
      </c>
      <c r="U77" t="str">
        <f>IF(首页!$B$13="自然对流","按自然对流公式", "按强制对流公式")</f>
        <v>按自然对流公式</v>
      </c>
      <c r="V77" s="6">
        <f t="shared" si="17"/>
        <v>0.13757819966401297</v>
      </c>
    </row>
    <row r="78" spans="1:22" x14ac:dyDescent="0.15">
      <c r="A78">
        <v>73</v>
      </c>
      <c r="B78" s="6">
        <f>首页!$B$4+2*A78/1000</f>
        <v>0.26600000000000001</v>
      </c>
      <c r="C78" s="6">
        <f>首页!$B$7+273.15</f>
        <v>388.15</v>
      </c>
      <c r="D78" s="6">
        <f>首页!$B$6+273.15</f>
        <v>293.14999999999998</v>
      </c>
      <c r="E78" s="6">
        <f>首页!$B$5+273.15</f>
        <v>1373.15</v>
      </c>
      <c r="F78" s="6">
        <f t="shared" si="9"/>
        <v>95</v>
      </c>
      <c r="G78" s="6">
        <f t="shared" si="10"/>
        <v>340.65</v>
      </c>
      <c r="H78" s="6">
        <f t="shared" si="11"/>
        <v>1.9926207055139041E-5</v>
      </c>
      <c r="I78" s="7">
        <f t="shared" si="12"/>
        <v>1158916576932337.8</v>
      </c>
      <c r="J78" s="6">
        <f t="shared" si="13"/>
        <v>1.0226038455893147</v>
      </c>
      <c r="K78" s="7">
        <f>J78*H78*首页!$B$12/P78</f>
        <v>0.69532757496605813</v>
      </c>
      <c r="L78" s="6">
        <f>首页!$B$9*0.0000000567*((C78^4-D78^4)/(C78-D78))</f>
        <v>7.7687338005019564</v>
      </c>
      <c r="M78" s="6">
        <f>IF(首页!$B$13="自然对流",IF(首页!$B$14="立式圆筒",首页!$B$10,PI()*B78/2),PI()*B78/2)</f>
        <v>55.2</v>
      </c>
      <c r="N78" s="7">
        <f>IF(首页!$B$13="强制对流",首页!$B$11*M78/H78,0)</f>
        <v>0</v>
      </c>
      <c r="O78" s="6">
        <f>IF(首页!$B$13="自然对流",IF(首页!$B$14="立式圆筒",(0.825+0.3063*I78^(1/6))^2+0.87*(M78/B78),(0.752+0.303*I78^(1/6))^2),0.3+SQRT((0.592*N78^0.5)^2+(0.0262*N78^0.8/(1-0.5/N78^0.1))^2))</f>
        <v>10199.748856318358</v>
      </c>
      <c r="P78" s="6">
        <f t="shared" si="14"/>
        <v>2.9510194925512497E-2</v>
      </c>
      <c r="Q78" s="6">
        <f t="shared" si="15"/>
        <v>5.4528365387903603</v>
      </c>
      <c r="R78" s="6">
        <f t="shared" si="16"/>
        <v>13.221570339292317</v>
      </c>
      <c r="S78" s="6">
        <f>B78*LN(B78/首页!$B$4)</f>
        <v>0.21173721455590774</v>
      </c>
      <c r="T78" s="6">
        <f>2*首页!$B$8*(E78-C78)/(R78*(C78-D78))</f>
        <v>7.0578446492369482E-2</v>
      </c>
      <c r="U78" t="str">
        <f>IF(首页!$B$13="自然对流","按自然对流公式", "按强制对流公式")</f>
        <v>按自然对流公式</v>
      </c>
      <c r="V78" s="6">
        <f t="shared" si="17"/>
        <v>0.14115876806353828</v>
      </c>
    </row>
    <row r="79" spans="1:22" x14ac:dyDescent="0.15">
      <c r="A79">
        <v>74</v>
      </c>
      <c r="B79" s="6">
        <f>首页!$B$4+2*A79/1000</f>
        <v>0.26800000000000002</v>
      </c>
      <c r="C79" s="6">
        <f>首页!$B$7+273.15</f>
        <v>388.15</v>
      </c>
      <c r="D79" s="6">
        <f>首页!$B$6+273.15</f>
        <v>293.14999999999998</v>
      </c>
      <c r="E79" s="6">
        <f>首页!$B$5+273.15</f>
        <v>1373.15</v>
      </c>
      <c r="F79" s="6">
        <f t="shared" si="9"/>
        <v>95</v>
      </c>
      <c r="G79" s="6">
        <f t="shared" si="10"/>
        <v>340.65</v>
      </c>
      <c r="H79" s="6">
        <f t="shared" si="11"/>
        <v>1.9926207055139041E-5</v>
      </c>
      <c r="I79" s="7">
        <f t="shared" si="12"/>
        <v>1158916576932337.8</v>
      </c>
      <c r="J79" s="6">
        <f t="shared" si="13"/>
        <v>1.0226038455893147</v>
      </c>
      <c r="K79" s="7">
        <f>J79*H79*首页!$B$12/P79</f>
        <v>0.69532757496605813</v>
      </c>
      <c r="L79" s="6">
        <f>首页!$B$9*0.0000000567*((C79^4-D79^4)/(C79-D79))</f>
        <v>7.7687338005019564</v>
      </c>
      <c r="M79" s="6">
        <f>IF(首页!$B$13="自然对流",IF(首页!$B$14="立式圆筒",首页!$B$10,PI()*B79/2),PI()*B79/2)</f>
        <v>55.2</v>
      </c>
      <c r="N79" s="7">
        <f>IF(首页!$B$13="强制对流",首页!$B$11*M79/H79,0)</f>
        <v>0</v>
      </c>
      <c r="O79" s="6">
        <f>IF(首页!$B$13="自然对流",IF(首页!$B$14="立式圆筒",(0.825+0.3063*I79^(1/6))^2+0.87*(M79/B79),(0.752+0.303*I79^(1/6))^2),0.3+SQRT((0.592*N79^0.5)^2+(0.0262*N79^0.8/(1-0.5/N79^0.1))^2))</f>
        <v>10198.401532785647</v>
      </c>
      <c r="P79" s="6">
        <f t="shared" si="14"/>
        <v>2.9510194925512497E-2</v>
      </c>
      <c r="Q79" s="6">
        <f t="shared" si="15"/>
        <v>5.4521162529193807</v>
      </c>
      <c r="R79" s="6">
        <f t="shared" si="16"/>
        <v>13.220850053421337</v>
      </c>
      <c r="S79" s="6">
        <f>B79*LN(B79/首页!$B$4)</f>
        <v>0.21533672371132129</v>
      </c>
      <c r="T79" s="6">
        <f>2*首页!$B$8*(E79-C79)/(R79*(C79-D79))</f>
        <v>7.058229168065909E-2</v>
      </c>
      <c r="U79" t="str">
        <f>IF(首页!$B$13="自然对流","按自然对流公式", "按强制对流公式")</f>
        <v>按自然对流公式</v>
      </c>
      <c r="V79" s="6">
        <f t="shared" si="17"/>
        <v>0.14475443203066218</v>
      </c>
    </row>
    <row r="80" spans="1:22" x14ac:dyDescent="0.15">
      <c r="A80">
        <v>75</v>
      </c>
      <c r="B80" s="6">
        <f>首页!$B$4+2*A80/1000</f>
        <v>0.27</v>
      </c>
      <c r="C80" s="6">
        <f>首页!$B$7+273.15</f>
        <v>388.15</v>
      </c>
      <c r="D80" s="6">
        <f>首页!$B$6+273.15</f>
        <v>293.14999999999998</v>
      </c>
      <c r="E80" s="6">
        <f>首页!$B$5+273.15</f>
        <v>1373.15</v>
      </c>
      <c r="F80" s="6">
        <f t="shared" si="9"/>
        <v>95</v>
      </c>
      <c r="G80" s="6">
        <f t="shared" si="10"/>
        <v>340.65</v>
      </c>
      <c r="H80" s="6">
        <f t="shared" si="11"/>
        <v>1.9926207055139041E-5</v>
      </c>
      <c r="I80" s="7">
        <f t="shared" si="12"/>
        <v>1158916576932337.8</v>
      </c>
      <c r="J80" s="6">
        <f t="shared" si="13"/>
        <v>1.0226038455893147</v>
      </c>
      <c r="K80" s="7">
        <f>J80*H80*首页!$B$12/P80</f>
        <v>0.69532757496605813</v>
      </c>
      <c r="L80" s="6">
        <f>首页!$B$9*0.0000000567*((C80^4-D80^4)/(C80-D80))</f>
        <v>7.7687338005019564</v>
      </c>
      <c r="M80" s="6">
        <f>IF(首页!$B$13="自然对流",IF(首页!$B$14="立式圆筒",首页!$B$10,PI()*B80/2),PI()*B80/2)</f>
        <v>55.2</v>
      </c>
      <c r="N80" s="7">
        <f>IF(首页!$B$13="强制对流",首页!$B$11*M80/H80,0)</f>
        <v>0</v>
      </c>
      <c r="O80" s="6">
        <f>IF(首页!$B$13="自然对流",IF(首页!$B$14="立式圆筒",(0.825+0.3063*I80^(1/6))^2+0.87*(M80/B80),(0.752+0.303*I80^(1/6))^2),0.3+SQRT((0.592*N80^0.5)^2+(0.0262*N80^0.8/(1-0.5/N80^0.1))^2))</f>
        <v>10197.074169601567</v>
      </c>
      <c r="P80" s="6">
        <f t="shared" si="14"/>
        <v>2.9510194925512497E-2</v>
      </c>
      <c r="Q80" s="6">
        <f t="shared" si="15"/>
        <v>5.4514066379501935</v>
      </c>
      <c r="R80" s="6">
        <f t="shared" si="16"/>
        <v>13.22014043845215</v>
      </c>
      <c r="S80" s="6">
        <f>B80*LN(B80/首页!$B$4)</f>
        <v>0.21895115837840884</v>
      </c>
      <c r="T80" s="6">
        <f>2*首页!$B$8*(E80-C80)/(R80*(C80-D80))</f>
        <v>7.0586080312933411E-2</v>
      </c>
      <c r="U80" t="str">
        <f>IF(首页!$B$13="自然对流","按自然对流公式", "按强制对流公式")</f>
        <v>按自然对流公式</v>
      </c>
      <c r="V80" s="6">
        <f t="shared" si="17"/>
        <v>0.14836507806547544</v>
      </c>
    </row>
    <row r="81" spans="1:22" x14ac:dyDescent="0.15">
      <c r="A81">
        <v>76</v>
      </c>
      <c r="B81" s="6">
        <f>首页!$B$4+2*A81/1000</f>
        <v>0.27200000000000002</v>
      </c>
      <c r="C81" s="6">
        <f>首页!$B$7+273.15</f>
        <v>388.15</v>
      </c>
      <c r="D81" s="6">
        <f>首页!$B$6+273.15</f>
        <v>293.14999999999998</v>
      </c>
      <c r="E81" s="6">
        <f>首页!$B$5+273.15</f>
        <v>1373.15</v>
      </c>
      <c r="F81" s="6">
        <f t="shared" si="9"/>
        <v>95</v>
      </c>
      <c r="G81" s="6">
        <f t="shared" si="10"/>
        <v>340.65</v>
      </c>
      <c r="H81" s="6">
        <f t="shared" si="11"/>
        <v>1.9926207055139041E-5</v>
      </c>
      <c r="I81" s="7">
        <f t="shared" si="12"/>
        <v>1158916576932337.8</v>
      </c>
      <c r="J81" s="6">
        <f t="shared" si="13"/>
        <v>1.0226038455893147</v>
      </c>
      <c r="K81" s="7">
        <f>J81*H81*首页!$B$12/P81</f>
        <v>0.69532757496605813</v>
      </c>
      <c r="L81" s="6">
        <f>首页!$B$9*0.0000000567*((C81^4-D81^4)/(C81-D81))</f>
        <v>7.7687338005019564</v>
      </c>
      <c r="M81" s="6">
        <f>IF(首页!$B$13="自然对流",IF(首页!$B$14="立式圆筒",首页!$B$10,PI()*B81/2),PI()*B81/2)</f>
        <v>55.2</v>
      </c>
      <c r="N81" s="7">
        <f>IF(首页!$B$13="强制对流",首页!$B$11*M81/H81,0)</f>
        <v>0</v>
      </c>
      <c r="O81" s="6">
        <f>IF(首页!$B$13="自然对流",IF(首页!$B$14="立式圆筒",(0.825+0.3063*I81^(1/6))^2+0.87*(M81/B81),(0.752+0.303*I81^(1/6))^2),0.3+SQRT((0.592*N81^0.5)^2+(0.0262*N81^0.8/(1-0.5/N81^0.1))^2))</f>
        <v>10195.766326464312</v>
      </c>
      <c r="P81" s="6">
        <f t="shared" si="14"/>
        <v>2.9510194925512497E-2</v>
      </c>
      <c r="Q81" s="6">
        <f t="shared" si="15"/>
        <v>5.4507074584952591</v>
      </c>
      <c r="R81" s="6">
        <f t="shared" si="16"/>
        <v>13.219441258997215</v>
      </c>
      <c r="S81" s="6">
        <f>B81*LN(B81/首页!$B$4)</f>
        <v>0.22258040799579482</v>
      </c>
      <c r="T81" s="6">
        <f>2*首页!$B$8*(E81-C81)/(R81*(C81-D81))</f>
        <v>7.0589813627843806E-2</v>
      </c>
      <c r="U81" t="str">
        <f>IF(首页!$B$13="自然对流","按自然对流公式", "按强制对流公式")</f>
        <v>按自然对流公式</v>
      </c>
      <c r="V81" s="6">
        <f t="shared" si="17"/>
        <v>0.15199059436795101</v>
      </c>
    </row>
    <row r="82" spans="1:22" x14ac:dyDescent="0.15">
      <c r="A82">
        <v>77</v>
      </c>
      <c r="B82" s="6">
        <f>首页!$B$4+2*A82/1000</f>
        <v>0.27400000000000002</v>
      </c>
      <c r="C82" s="6">
        <f>首页!$B$7+273.15</f>
        <v>388.15</v>
      </c>
      <c r="D82" s="6">
        <f>首页!$B$6+273.15</f>
        <v>293.14999999999998</v>
      </c>
      <c r="E82" s="6">
        <f>首页!$B$5+273.15</f>
        <v>1373.15</v>
      </c>
      <c r="F82" s="6">
        <f t="shared" si="9"/>
        <v>95</v>
      </c>
      <c r="G82" s="6">
        <f t="shared" si="10"/>
        <v>340.65</v>
      </c>
      <c r="H82" s="6">
        <f t="shared" si="11"/>
        <v>1.9926207055139041E-5</v>
      </c>
      <c r="I82" s="7">
        <f t="shared" si="12"/>
        <v>1158916576932337.8</v>
      </c>
      <c r="J82" s="6">
        <f t="shared" si="13"/>
        <v>1.0226038455893147</v>
      </c>
      <c r="K82" s="7">
        <f>J82*H82*首页!$B$12/P82</f>
        <v>0.69532757496605813</v>
      </c>
      <c r="L82" s="6">
        <f>首页!$B$9*0.0000000567*((C82^4-D82^4)/(C82-D82))</f>
        <v>7.7687338005019564</v>
      </c>
      <c r="M82" s="6">
        <f>IF(首页!$B$13="自然对流",IF(首页!$B$14="立式圆筒",首页!$B$10,PI()*B82/2),PI()*B82/2)</f>
        <v>55.2</v>
      </c>
      <c r="N82" s="7">
        <f>IF(首页!$B$13="强制对流",首页!$B$11*M82/H82,0)</f>
        <v>0</v>
      </c>
      <c r="O82" s="6">
        <f>IF(首页!$B$13="自然对流",IF(首页!$B$14="立式圆筒",(0.825+0.3063*I82^(1/6))^2+0.87*(M82/B82),(0.752+0.303*I82^(1/6))^2),0.3+SQRT((0.592*N82^0.5)^2+(0.0262*N82^0.8/(1-0.5/N82^0.1))^2))</f>
        <v>10194.4775759276</v>
      </c>
      <c r="P82" s="6">
        <f t="shared" si="14"/>
        <v>2.9510194925512497E-2</v>
      </c>
      <c r="Q82" s="6">
        <f t="shared" si="15"/>
        <v>5.4500184860396663</v>
      </c>
      <c r="R82" s="6">
        <f t="shared" si="16"/>
        <v>13.218752286541623</v>
      </c>
      <c r="S82" s="6">
        <f>B82*LN(B82/首页!$B$4)</f>
        <v>0.22622436362805068</v>
      </c>
      <c r="T82" s="6">
        <f>2*首页!$B$8*(E82-C82)/(R82*(C82-D82))</f>
        <v>7.0593492828132945E-2</v>
      </c>
      <c r="U82" t="str">
        <f>IF(首页!$B$13="自然对流","按自然对流公式", "按强制对流公式")</f>
        <v>按自然对流公式</v>
      </c>
      <c r="V82" s="6">
        <f t="shared" si="17"/>
        <v>0.15563087079991772</v>
      </c>
    </row>
    <row r="83" spans="1:22" x14ac:dyDescent="0.15">
      <c r="A83">
        <v>78</v>
      </c>
      <c r="B83" s="6">
        <f>首页!$B$4+2*A83/1000</f>
        <v>0.27600000000000002</v>
      </c>
      <c r="C83" s="6">
        <f>首页!$B$7+273.15</f>
        <v>388.15</v>
      </c>
      <c r="D83" s="6">
        <f>首页!$B$6+273.15</f>
        <v>293.14999999999998</v>
      </c>
      <c r="E83" s="6">
        <f>首页!$B$5+273.15</f>
        <v>1373.15</v>
      </c>
      <c r="F83" s="6">
        <f t="shared" si="9"/>
        <v>95</v>
      </c>
      <c r="G83" s="6">
        <f t="shared" si="10"/>
        <v>340.65</v>
      </c>
      <c r="H83" s="6">
        <f t="shared" si="11"/>
        <v>1.9926207055139041E-5</v>
      </c>
      <c r="I83" s="7">
        <f t="shared" si="12"/>
        <v>1158916576932337.8</v>
      </c>
      <c r="J83" s="6">
        <f t="shared" si="13"/>
        <v>1.0226038455893147</v>
      </c>
      <c r="K83" s="7">
        <f>J83*H83*首页!$B$12/P83</f>
        <v>0.69532757496605813</v>
      </c>
      <c r="L83" s="6">
        <f>首页!$B$9*0.0000000567*((C83^4-D83^4)/(C83-D83))</f>
        <v>7.7687338005019564</v>
      </c>
      <c r="M83" s="6">
        <f>IF(首页!$B$13="自然对流",IF(首页!$B$14="立式圆筒",首页!$B$10,PI()*B83/2),PI()*B83/2)</f>
        <v>55.2</v>
      </c>
      <c r="N83" s="7">
        <f>IF(首页!$B$13="强制对流",首页!$B$11*M83/H83,0)</f>
        <v>0</v>
      </c>
      <c r="O83" s="6">
        <f>IF(首页!$B$13="自然对流",IF(首页!$B$14="立式圆筒",(0.825+0.3063*I83^(1/6))^2+0.87*(M83/B83),(0.752+0.303*I83^(1/6))^2),0.3+SQRT((0.592*N83^0.5)^2+(0.0262*N83^0.8/(1-0.5/N83^0.1))^2))</f>
        <v>10193.2075029349</v>
      </c>
      <c r="P83" s="6">
        <f t="shared" si="14"/>
        <v>2.9510194925512497E-2</v>
      </c>
      <c r="Q83" s="6">
        <f t="shared" si="15"/>
        <v>5.449339498692126</v>
      </c>
      <c r="R83" s="6">
        <f t="shared" si="16"/>
        <v>13.218073299194081</v>
      </c>
      <c r="S83" s="6">
        <f>B83*LN(B83/首页!$B$4)</f>
        <v>0.22988291793008875</v>
      </c>
      <c r="T83" s="6">
        <f>2*首页!$B$8*(E83-C83)/(R83*(C83-D83))</f>
        <v>7.059711908192684E-2</v>
      </c>
      <c r="U83" t="str">
        <f>IF(首页!$B$13="自然对流","按自然对流公式", "按强制对流公式")</f>
        <v>按自然对流公式</v>
      </c>
      <c r="V83" s="6">
        <f t="shared" si="17"/>
        <v>0.15928579884816191</v>
      </c>
    </row>
    <row r="84" spans="1:22" x14ac:dyDescent="0.15">
      <c r="A84">
        <v>79</v>
      </c>
      <c r="B84" s="6">
        <f>首页!$B$4+2*A84/1000</f>
        <v>0.27800000000000002</v>
      </c>
      <c r="C84" s="6">
        <f>首页!$B$7+273.15</f>
        <v>388.15</v>
      </c>
      <c r="D84" s="6">
        <f>首页!$B$6+273.15</f>
        <v>293.14999999999998</v>
      </c>
      <c r="E84" s="6">
        <f>首页!$B$5+273.15</f>
        <v>1373.15</v>
      </c>
      <c r="F84" s="6">
        <f t="shared" si="9"/>
        <v>95</v>
      </c>
      <c r="G84" s="6">
        <f t="shared" si="10"/>
        <v>340.65</v>
      </c>
      <c r="H84" s="6">
        <f t="shared" si="11"/>
        <v>1.9926207055139041E-5</v>
      </c>
      <c r="I84" s="7">
        <f t="shared" si="12"/>
        <v>1158916576932337.8</v>
      </c>
      <c r="J84" s="6">
        <f t="shared" si="13"/>
        <v>1.0226038455893147</v>
      </c>
      <c r="K84" s="7">
        <f>J84*H84*首页!$B$12/P84</f>
        <v>0.69532757496605813</v>
      </c>
      <c r="L84" s="6">
        <f>首页!$B$9*0.0000000567*((C84^4-D84^4)/(C84-D84))</f>
        <v>7.7687338005019564</v>
      </c>
      <c r="M84" s="6">
        <f>IF(首页!$B$13="自然对流",IF(首页!$B$14="立式圆筒",首页!$B$10,PI()*B84/2),PI()*B84/2)</f>
        <v>55.2</v>
      </c>
      <c r="N84" s="7">
        <f>IF(首页!$B$13="强制对流",首页!$B$11*M84/H84,0)</f>
        <v>0</v>
      </c>
      <c r="O84" s="6">
        <f>IF(首页!$B$13="自然对流",IF(首页!$B$14="立式圆筒",(0.825+0.3063*I84^(1/6))^2+0.87*(M84/B84),(0.752+0.303*I84^(1/6))^2),0.3+SQRT((0.592*N84^0.5)^2+(0.0262*N84^0.8/(1-0.5/N84^0.1))^2))</f>
        <v>10191.95570437375</v>
      </c>
      <c r="P84" s="6">
        <f t="shared" si="14"/>
        <v>2.9510194925512497E-2</v>
      </c>
      <c r="Q84" s="6">
        <f t="shared" si="15"/>
        <v>5.4486702809467094</v>
      </c>
      <c r="R84" s="6">
        <f t="shared" si="16"/>
        <v>13.217404081448667</v>
      </c>
      <c r="S84" s="6">
        <f>B84*LN(B84/首页!$B$4)</f>
        <v>0.23355596511258836</v>
      </c>
      <c r="T84" s="6">
        <f>2*首页!$B$8*(E84-C84)/(R84*(C84-D84))</f>
        <v>7.0600693523971109E-2</v>
      </c>
      <c r="U84" t="str">
        <f>IF(首页!$B$13="自然对流","按自然对流公式", "按强制对流公式")</f>
        <v>按自然对流公式</v>
      </c>
      <c r="V84" s="6">
        <f t="shared" si="17"/>
        <v>0.16295527158861725</v>
      </c>
    </row>
    <row r="85" spans="1:22" x14ac:dyDescent="0.15">
      <c r="A85">
        <v>80</v>
      </c>
      <c r="B85" s="6">
        <f>首页!$B$4+2*A85/1000</f>
        <v>0.28000000000000003</v>
      </c>
      <c r="C85" s="6">
        <f>首页!$B$7+273.15</f>
        <v>388.15</v>
      </c>
      <c r="D85" s="6">
        <f>首页!$B$6+273.15</f>
        <v>293.14999999999998</v>
      </c>
      <c r="E85" s="6">
        <f>首页!$B$5+273.15</f>
        <v>1373.15</v>
      </c>
      <c r="F85" s="6">
        <f t="shared" si="9"/>
        <v>95</v>
      </c>
      <c r="G85" s="6">
        <f t="shared" si="10"/>
        <v>340.65</v>
      </c>
      <c r="H85" s="6">
        <f t="shared" si="11"/>
        <v>1.9926207055139041E-5</v>
      </c>
      <c r="I85" s="7">
        <f t="shared" si="12"/>
        <v>1158916576932337.8</v>
      </c>
      <c r="J85" s="6">
        <f t="shared" si="13"/>
        <v>1.0226038455893147</v>
      </c>
      <c r="K85" s="7">
        <f>J85*H85*首页!$B$12/P85</f>
        <v>0.69532757496605813</v>
      </c>
      <c r="L85" s="6">
        <f>首页!$B$9*0.0000000567*((C85^4-D85^4)/(C85-D85))</f>
        <v>7.7687338005019564</v>
      </c>
      <c r="M85" s="6">
        <f>IF(首页!$B$13="自然对流",IF(首页!$B$14="立式圆筒",首页!$B$10,PI()*B85/2),PI()*B85/2)</f>
        <v>55.2</v>
      </c>
      <c r="N85" s="7">
        <f>IF(首页!$B$13="强制对流",首页!$B$11*M85/H85,0)</f>
        <v>0</v>
      </c>
      <c r="O85" s="6">
        <f>IF(首页!$B$13="自然对流",IF(首页!$B$14="立式圆筒",(0.825+0.3063*I85^(1/6))^2+0.87*(M85/B85),(0.752+0.303*I85^(1/6))^2),0.3+SQRT((0.592*N85^0.5)^2+(0.0262*N85^0.8/(1-0.5/N85^0.1))^2))</f>
        <v>10190.721788649185</v>
      </c>
      <c r="P85" s="6">
        <f t="shared" si="14"/>
        <v>2.9510194925512497E-2</v>
      </c>
      <c r="Q85" s="6">
        <f t="shared" si="15"/>
        <v>5.4480106234547971</v>
      </c>
      <c r="R85" s="6">
        <f t="shared" si="16"/>
        <v>13.216744423956754</v>
      </c>
      <c r="S85" s="6">
        <f>B85*LN(B85/首页!$B$4)</f>
        <v>0.23724340090841706</v>
      </c>
      <c r="T85" s="6">
        <f>2*首页!$B$8*(E85-C85)/(R85*(C85-D85))</f>
        <v>7.0604217256815094E-2</v>
      </c>
      <c r="U85" t="str">
        <f>IF(首页!$B$13="自然对流","按自然对流公式", "按强制对流公式")</f>
        <v>按自然对流公式</v>
      </c>
      <c r="V85" s="6">
        <f t="shared" si="17"/>
        <v>0.16663918365160196</v>
      </c>
    </row>
    <row r="86" spans="1:22" x14ac:dyDescent="0.15">
      <c r="A86">
        <v>81</v>
      </c>
      <c r="B86" s="6">
        <f>首页!$B$4+2*A86/1000</f>
        <v>0.28200000000000003</v>
      </c>
      <c r="C86" s="6">
        <f>首页!$B$7+273.15</f>
        <v>388.15</v>
      </c>
      <c r="D86" s="6">
        <f>首页!$B$6+273.15</f>
        <v>293.14999999999998</v>
      </c>
      <c r="E86" s="6">
        <f>首页!$B$5+273.15</f>
        <v>1373.15</v>
      </c>
      <c r="F86" s="6">
        <f t="shared" si="9"/>
        <v>95</v>
      </c>
      <c r="G86" s="6">
        <f t="shared" si="10"/>
        <v>340.65</v>
      </c>
      <c r="H86" s="6">
        <f t="shared" si="11"/>
        <v>1.9926207055139041E-5</v>
      </c>
      <c r="I86" s="7">
        <f t="shared" si="12"/>
        <v>1158916576932337.8</v>
      </c>
      <c r="J86" s="6">
        <f t="shared" si="13"/>
        <v>1.0226038455893147</v>
      </c>
      <c r="K86" s="7">
        <f>J86*H86*首页!$B$12/P86</f>
        <v>0.69532757496605813</v>
      </c>
      <c r="L86" s="6">
        <f>首页!$B$9*0.0000000567*((C86^4-D86^4)/(C86-D86))</f>
        <v>7.7687338005019564</v>
      </c>
      <c r="M86" s="6">
        <f>IF(首页!$B$13="自然对流",IF(首页!$B$14="立式圆筒",首页!$B$10,PI()*B86/2),PI()*B86/2)</f>
        <v>55.2</v>
      </c>
      <c r="N86" s="7">
        <f>IF(首页!$B$13="强制对流",首页!$B$11*M86/H86,0)</f>
        <v>0</v>
      </c>
      <c r="O86" s="6">
        <f>IF(首页!$B$13="自然对流",IF(首页!$B$14="立式圆筒",(0.825+0.3063*I86^(1/6))^2+0.87*(M86/B86),(0.752+0.303*I86^(1/6))^2),0.3+SQRT((0.592*N86^0.5)^2+(0.0262*N86^0.8/(1-0.5/N86^0.1))^2))</f>
        <v>10189.505375275325</v>
      </c>
      <c r="P86" s="6">
        <f t="shared" si="14"/>
        <v>2.9510194925512497E-2</v>
      </c>
      <c r="Q86" s="6">
        <f t="shared" si="15"/>
        <v>5.447360322806742</v>
      </c>
      <c r="R86" s="6">
        <f t="shared" si="16"/>
        <v>13.216094123308698</v>
      </c>
      <c r="S86" s="6">
        <f>B86*LN(B86/首页!$B$4)</f>
        <v>0.24094512254001113</v>
      </c>
      <c r="T86" s="6">
        <f>2*首页!$B$8*(E86-C86)/(R86*(C86-D86))</f>
        <v>7.060769135194557E-2</v>
      </c>
      <c r="U86" t="str">
        <f>IF(首页!$B$13="自然对流","按自然对流公式", "按强制对流公式")</f>
        <v>按自然对流公式</v>
      </c>
      <c r="V86" s="6">
        <f t="shared" si="17"/>
        <v>0.17033743118806555</v>
      </c>
    </row>
    <row r="87" spans="1:22" x14ac:dyDescent="0.15">
      <c r="A87">
        <v>82</v>
      </c>
      <c r="B87" s="6">
        <f>首页!$B$4+2*A87/1000</f>
        <v>0.28400000000000003</v>
      </c>
      <c r="C87" s="6">
        <f>首页!$B$7+273.15</f>
        <v>388.15</v>
      </c>
      <c r="D87" s="6">
        <f>首页!$B$6+273.15</f>
        <v>293.14999999999998</v>
      </c>
      <c r="E87" s="6">
        <f>首页!$B$5+273.15</f>
        <v>1373.15</v>
      </c>
      <c r="F87" s="6">
        <f t="shared" si="9"/>
        <v>95</v>
      </c>
      <c r="G87" s="6">
        <f t="shared" si="10"/>
        <v>340.65</v>
      </c>
      <c r="H87" s="6">
        <f t="shared" si="11"/>
        <v>1.9926207055139041E-5</v>
      </c>
      <c r="I87" s="7">
        <f t="shared" si="12"/>
        <v>1158916576932337.8</v>
      </c>
      <c r="J87" s="6">
        <f t="shared" si="13"/>
        <v>1.0226038455893147</v>
      </c>
      <c r="K87" s="7">
        <f>J87*H87*首页!$B$12/P87</f>
        <v>0.69532757496605813</v>
      </c>
      <c r="L87" s="6">
        <f>首页!$B$9*0.0000000567*((C87^4-D87^4)/(C87-D87))</f>
        <v>7.7687338005019564</v>
      </c>
      <c r="M87" s="6">
        <f>IF(首页!$B$13="自然对流",IF(首页!$B$14="立式圆筒",首页!$B$10,PI()*B87/2),PI()*B87/2)</f>
        <v>55.2</v>
      </c>
      <c r="N87" s="7">
        <f>IF(首页!$B$13="强制对流",首页!$B$11*M87/H87,0)</f>
        <v>0</v>
      </c>
      <c r="O87" s="6">
        <f>IF(首页!$B$13="自然对流",IF(首页!$B$14="立式圆筒",(0.825+0.3063*I87^(1/6))^2+0.87*(M87/B87),(0.752+0.303*I87^(1/6))^2),0.3+SQRT((0.592*N87^0.5)^2+(0.0262*N87^0.8/(1-0.5/N87^0.1))^2))</f>
        <v>10188.306094484196</v>
      </c>
      <c r="P87" s="6">
        <f t="shared" si="14"/>
        <v>2.9510194925512497E-2</v>
      </c>
      <c r="Q87" s="6">
        <f t="shared" si="15"/>
        <v>5.4467191813227451</v>
      </c>
      <c r="R87" s="6">
        <f t="shared" si="16"/>
        <v>13.215452981824701</v>
      </c>
      <c r="S87" s="6">
        <f>B87*LN(B87/首页!$B$4)</f>
        <v>0.24466102868768153</v>
      </c>
      <c r="T87" s="6">
        <f>2*首页!$B$8*(E87-C87)/(R87*(C87-D87))</f>
        <v>7.0611116850873026E-2</v>
      </c>
      <c r="U87" t="str">
        <f>IF(首页!$B$13="自然对流","按自然对流公式", "按强制对流公式")</f>
        <v>按自然对流公式</v>
      </c>
      <c r="V87" s="6">
        <f t="shared" si="17"/>
        <v>0.17404991183680851</v>
      </c>
    </row>
    <row r="88" spans="1:22" x14ac:dyDescent="0.15">
      <c r="A88">
        <v>83</v>
      </c>
      <c r="B88" s="6">
        <f>首页!$B$4+2*A88/1000</f>
        <v>0.28600000000000003</v>
      </c>
      <c r="C88" s="6">
        <f>首页!$B$7+273.15</f>
        <v>388.15</v>
      </c>
      <c r="D88" s="6">
        <f>首页!$B$6+273.15</f>
        <v>293.14999999999998</v>
      </c>
      <c r="E88" s="6">
        <f>首页!$B$5+273.15</f>
        <v>1373.15</v>
      </c>
      <c r="F88" s="6">
        <f t="shared" si="9"/>
        <v>95</v>
      </c>
      <c r="G88" s="6">
        <f t="shared" si="10"/>
        <v>340.65</v>
      </c>
      <c r="H88" s="6">
        <f t="shared" si="11"/>
        <v>1.9926207055139041E-5</v>
      </c>
      <c r="I88" s="7">
        <f t="shared" si="12"/>
        <v>1158916576932337.8</v>
      </c>
      <c r="J88" s="6">
        <f t="shared" si="13"/>
        <v>1.0226038455893147</v>
      </c>
      <c r="K88" s="7">
        <f>J88*H88*首页!$B$12/P88</f>
        <v>0.69532757496605813</v>
      </c>
      <c r="L88" s="6">
        <f>首页!$B$9*0.0000000567*((C88^4-D88^4)/(C88-D88))</f>
        <v>7.7687338005019564</v>
      </c>
      <c r="M88" s="6">
        <f>IF(首页!$B$13="自然对流",IF(首页!$B$14="立式圆筒",首页!$B$10,PI()*B88/2),PI()*B88/2)</f>
        <v>55.2</v>
      </c>
      <c r="N88" s="7">
        <f>IF(首页!$B$13="强制对流",首页!$B$11*M88/H88,0)</f>
        <v>0</v>
      </c>
      <c r="O88" s="6">
        <f>IF(首页!$B$13="自然对流",IF(首页!$B$14="立式圆筒",(0.825+0.3063*I88^(1/6))^2+0.87*(M88/B88),(0.752+0.303*I88^(1/6))^2),0.3+SQRT((0.592*N88^0.5)^2+(0.0262*N88^0.8/(1-0.5/N88^0.1))^2))</f>
        <v>10187.123586850983</v>
      </c>
      <c r="P88" s="6">
        <f t="shared" si="14"/>
        <v>2.9510194925512497E-2</v>
      </c>
      <c r="Q88" s="6">
        <f t="shared" si="15"/>
        <v>5.44608700685251</v>
      </c>
      <c r="R88" s="6">
        <f t="shared" si="16"/>
        <v>13.214820807354467</v>
      </c>
      <c r="S88" s="6">
        <f>B88*LN(B88/首页!$B$4)</f>
        <v>0.24839101945881276</v>
      </c>
      <c r="T88" s="6">
        <f>2*首页!$B$8*(E88-C88)/(R88*(C88-D88))</f>
        <v>7.0614494766172695E-2</v>
      </c>
      <c r="U88" t="str">
        <f>IF(首页!$B$13="自然对流","按自然对流公式", "按强制对流公式")</f>
        <v>按自然对流公式</v>
      </c>
      <c r="V88" s="6">
        <f t="shared" si="17"/>
        <v>0.17777652469264005</v>
      </c>
    </row>
    <row r="89" spans="1:22" x14ac:dyDescent="0.15">
      <c r="A89">
        <v>84</v>
      </c>
      <c r="B89" s="6">
        <f>首页!$B$4+2*A89/1000</f>
        <v>0.28800000000000003</v>
      </c>
      <c r="C89" s="6">
        <f>首页!$B$7+273.15</f>
        <v>388.15</v>
      </c>
      <c r="D89" s="6">
        <f>首页!$B$6+273.15</f>
        <v>293.14999999999998</v>
      </c>
      <c r="E89" s="6">
        <f>首页!$B$5+273.15</f>
        <v>1373.15</v>
      </c>
      <c r="F89" s="6">
        <f t="shared" si="9"/>
        <v>95</v>
      </c>
      <c r="G89" s="6">
        <f t="shared" si="10"/>
        <v>340.65</v>
      </c>
      <c r="H89" s="6">
        <f t="shared" si="11"/>
        <v>1.9926207055139041E-5</v>
      </c>
      <c r="I89" s="7">
        <f t="shared" si="12"/>
        <v>1158916576932337.8</v>
      </c>
      <c r="J89" s="6">
        <f t="shared" si="13"/>
        <v>1.0226038455893147</v>
      </c>
      <c r="K89" s="7">
        <f>J89*H89*首页!$B$12/P89</f>
        <v>0.69532757496605813</v>
      </c>
      <c r="L89" s="6">
        <f>首页!$B$9*0.0000000567*((C89^4-D89^4)/(C89-D89))</f>
        <v>7.7687338005019564</v>
      </c>
      <c r="M89" s="6">
        <f>IF(首页!$B$13="自然对流",IF(首页!$B$14="立式圆筒",首页!$B$10,PI()*B89/2),PI()*B89/2)</f>
        <v>55.2</v>
      </c>
      <c r="N89" s="7">
        <f>IF(首页!$B$13="强制对流",首页!$B$11*M89/H89,0)</f>
        <v>0</v>
      </c>
      <c r="O89" s="6">
        <f>IF(首页!$B$13="自然对流",IF(首页!$B$14="立式圆筒",(0.825+0.3063*I89^(1/6))^2+0.87*(M89/B89),(0.752+0.303*I89^(1/6))^2),0.3+SQRT((0.592*N89^0.5)^2+(0.0262*N89^0.8/(1-0.5/N89^0.1))^2))</f>
        <v>10185.9575029349</v>
      </c>
      <c r="P89" s="6">
        <f t="shared" si="14"/>
        <v>2.9510194925512497E-2</v>
      </c>
      <c r="Q89" s="6">
        <f t="shared" si="15"/>
        <v>5.4454636125832501</v>
      </c>
      <c r="R89" s="6">
        <f t="shared" si="16"/>
        <v>13.214197413085206</v>
      </c>
      <c r="S89" s="6">
        <f>B89*LN(B89/首页!$B$4)</f>
        <v>0.25213499635792325</v>
      </c>
      <c r="T89" s="6">
        <f>2*首页!$B$8*(E89-C89)/(R89*(C89-D89))</f>
        <v>7.0617826082482571E-2</v>
      </c>
      <c r="U89" t="str">
        <f>IF(首页!$B$13="自然对流","按自然对流公式", "按强制对流公式")</f>
        <v>按自然对流公式</v>
      </c>
      <c r="V89" s="6">
        <f t="shared" si="17"/>
        <v>0.18151717027544068</v>
      </c>
    </row>
    <row r="90" spans="1:22" x14ac:dyDescent="0.15">
      <c r="A90">
        <v>85</v>
      </c>
      <c r="B90" s="6">
        <f>首页!$B$4+2*A90/1000</f>
        <v>0.29000000000000004</v>
      </c>
      <c r="C90" s="6">
        <f>首页!$B$7+273.15</f>
        <v>388.15</v>
      </c>
      <c r="D90" s="6">
        <f>首页!$B$6+273.15</f>
        <v>293.14999999999998</v>
      </c>
      <c r="E90" s="6">
        <f>首页!$B$5+273.15</f>
        <v>1373.15</v>
      </c>
      <c r="F90" s="6">
        <f t="shared" si="9"/>
        <v>95</v>
      </c>
      <c r="G90" s="6">
        <f t="shared" si="10"/>
        <v>340.65</v>
      </c>
      <c r="H90" s="6">
        <f t="shared" si="11"/>
        <v>1.9926207055139041E-5</v>
      </c>
      <c r="I90" s="7">
        <f t="shared" si="12"/>
        <v>1158916576932337.8</v>
      </c>
      <c r="J90" s="6">
        <f t="shared" si="13"/>
        <v>1.0226038455893147</v>
      </c>
      <c r="K90" s="7">
        <f>J90*H90*首页!$B$12/P90</f>
        <v>0.69532757496605813</v>
      </c>
      <c r="L90" s="6">
        <f>首页!$B$9*0.0000000567*((C90^4-D90^4)/(C90-D90))</f>
        <v>7.7687338005019564</v>
      </c>
      <c r="M90" s="6">
        <f>IF(首页!$B$13="自然对流",IF(首页!$B$14="立式圆筒",首页!$B$10,PI()*B90/2),PI()*B90/2)</f>
        <v>55.2</v>
      </c>
      <c r="N90" s="7">
        <f>IF(首页!$B$13="强制对流",首页!$B$11*M90/H90,0)</f>
        <v>0</v>
      </c>
      <c r="O90" s="6">
        <f>IF(首页!$B$13="自然对流",IF(首页!$B$14="立式圆筒",(0.825+0.3063*I90^(1/6))^2+0.87*(M90/B90),(0.752+0.303*I90^(1/6))^2),0.3+SQRT((0.592*N90^0.5)^2+(0.0262*N90^0.8/(1-0.5/N90^0.1))^2))</f>
        <v>10184.8075029349</v>
      </c>
      <c r="P90" s="6">
        <f t="shared" si="14"/>
        <v>2.9510194925512497E-2</v>
      </c>
      <c r="Q90" s="6">
        <f t="shared" si="15"/>
        <v>5.444848816855635</v>
      </c>
      <c r="R90" s="6">
        <f t="shared" si="16"/>
        <v>13.213582617357591</v>
      </c>
      <c r="S90" s="6">
        <f>B90*LN(B90/首页!$B$4)</f>
        <v>0.25589286225755742</v>
      </c>
      <c r="T90" s="6">
        <f>2*首页!$B$8*(E90-C90)/(R90*(C90-D90))</f>
        <v>7.0621111757460067E-2</v>
      </c>
      <c r="U90" t="str">
        <f>IF(首页!$B$13="自然对流","按自然对流公式", "按强制对流公式")</f>
        <v>按自然对流公式</v>
      </c>
      <c r="V90" s="6">
        <f t="shared" si="17"/>
        <v>0.18527175050009737</v>
      </c>
    </row>
    <row r="91" spans="1:22" x14ac:dyDescent="0.15">
      <c r="A91">
        <v>86</v>
      </c>
      <c r="B91" s="6">
        <f>首页!$B$4+2*A91/1000</f>
        <v>0.29199999999999998</v>
      </c>
      <c r="C91" s="6">
        <f>首页!$B$7+273.15</f>
        <v>388.15</v>
      </c>
      <c r="D91" s="6">
        <f>首页!$B$6+273.15</f>
        <v>293.14999999999998</v>
      </c>
      <c r="E91" s="6">
        <f>首页!$B$5+273.15</f>
        <v>1373.15</v>
      </c>
      <c r="F91" s="6">
        <f t="shared" si="9"/>
        <v>95</v>
      </c>
      <c r="G91" s="6">
        <f t="shared" si="10"/>
        <v>340.65</v>
      </c>
      <c r="H91" s="6">
        <f t="shared" si="11"/>
        <v>1.9926207055139041E-5</v>
      </c>
      <c r="I91" s="7">
        <f t="shared" si="12"/>
        <v>1158916576932337.8</v>
      </c>
      <c r="J91" s="6">
        <f t="shared" si="13"/>
        <v>1.0226038455893147</v>
      </c>
      <c r="K91" s="7">
        <f>J91*H91*首页!$B$12/P91</f>
        <v>0.69532757496605813</v>
      </c>
      <c r="L91" s="6">
        <f>首页!$B$9*0.0000000567*((C91^4-D91^4)/(C91-D91))</f>
        <v>7.7687338005019564</v>
      </c>
      <c r="M91" s="6">
        <f>IF(首页!$B$13="自然对流",IF(首页!$B$14="立式圆筒",首页!$B$10,PI()*B91/2),PI()*B91/2)</f>
        <v>55.2</v>
      </c>
      <c r="N91" s="7">
        <f>IF(首页!$B$13="强制对流",首页!$B$11*M91/H91,0)</f>
        <v>0</v>
      </c>
      <c r="O91" s="6">
        <f>IF(首页!$B$13="自然对流",IF(首页!$B$14="立式圆筒",(0.825+0.3063*I91^(1/6))^2+0.87*(M91/B91),(0.752+0.303*I91^(1/6))^2),0.3+SQRT((0.592*N91^0.5)^2+(0.0262*N91^0.8/(1-0.5/N91^0.1))^2))</f>
        <v>10183.673256359558</v>
      </c>
      <c r="P91" s="6">
        <f t="shared" si="14"/>
        <v>2.9510194925512497E-2</v>
      </c>
      <c r="Q91" s="6">
        <f t="shared" si="15"/>
        <v>5.4442424429873038</v>
      </c>
      <c r="R91" s="6">
        <f t="shared" si="16"/>
        <v>13.21297624348926</v>
      </c>
      <c r="S91" s="6">
        <f>B91*LN(B91/首页!$B$4)</f>
        <v>0.25966452136998081</v>
      </c>
      <c r="T91" s="6">
        <f>2*首页!$B$8*(E91-C91)/(R91*(C91-D91))</f>
        <v>7.0624352722700068E-2</v>
      </c>
      <c r="U91" t="str">
        <f>IF(首页!$B$13="自然对流","按自然对流公式", "按强制对流公式")</f>
        <v>按自然对流公式</v>
      </c>
      <c r="V91" s="6">
        <f t="shared" si="17"/>
        <v>0.18904016864728074</v>
      </c>
    </row>
    <row r="92" spans="1:22" x14ac:dyDescent="0.15">
      <c r="A92">
        <v>87</v>
      </c>
      <c r="B92" s="6">
        <f>首页!$B$4+2*A92/1000</f>
        <v>0.29399999999999998</v>
      </c>
      <c r="C92" s="6">
        <f>首页!$B$7+273.15</f>
        <v>388.15</v>
      </c>
      <c r="D92" s="6">
        <f>首页!$B$6+273.15</f>
        <v>293.14999999999998</v>
      </c>
      <c r="E92" s="6">
        <f>首页!$B$5+273.15</f>
        <v>1373.15</v>
      </c>
      <c r="F92" s="6">
        <f t="shared" si="9"/>
        <v>95</v>
      </c>
      <c r="G92" s="6">
        <f t="shared" si="10"/>
        <v>340.65</v>
      </c>
      <c r="H92" s="6">
        <f t="shared" si="11"/>
        <v>1.9926207055139041E-5</v>
      </c>
      <c r="I92" s="7">
        <f t="shared" si="12"/>
        <v>1158916576932337.8</v>
      </c>
      <c r="J92" s="6">
        <f t="shared" si="13"/>
        <v>1.0226038455893147</v>
      </c>
      <c r="K92" s="7">
        <f>J92*H92*首页!$B$12/P92</f>
        <v>0.69532757496605813</v>
      </c>
      <c r="L92" s="6">
        <f>首页!$B$9*0.0000000567*((C92^4-D92^4)/(C92-D92))</f>
        <v>7.7687338005019564</v>
      </c>
      <c r="M92" s="6">
        <f>IF(首页!$B$13="自然对流",IF(首页!$B$14="立式圆筒",首页!$B$10,PI()*B92/2),PI()*B92/2)</f>
        <v>55.2</v>
      </c>
      <c r="N92" s="7">
        <f>IF(首页!$B$13="强制对流",首页!$B$11*M92/H92,0)</f>
        <v>0</v>
      </c>
      <c r="O92" s="6">
        <f>IF(首页!$B$13="自然对流",IF(首页!$B$14="立式圆筒",(0.825+0.3063*I92^(1/6))^2+0.87*(M92/B92),(0.752+0.303*I92^(1/6))^2),0.3+SQRT((0.592*N92^0.5)^2+(0.0262*N92^0.8/(1-0.5/N92^0.1))^2))</f>
        <v>10182.55444171041</v>
      </c>
      <c r="P92" s="6">
        <f t="shared" si="14"/>
        <v>2.9510194925512497E-2</v>
      </c>
      <c r="Q92" s="6">
        <f t="shared" si="15"/>
        <v>5.4436443191035737</v>
      </c>
      <c r="R92" s="6">
        <f t="shared" si="16"/>
        <v>13.21237811960553</v>
      </c>
      <c r="S92" s="6">
        <f>B92*LN(B92/首页!$B$4)</f>
        <v>0.2634498792196508</v>
      </c>
      <c r="T92" s="6">
        <f>2*首页!$B$8*(E92-C92)/(R92*(C92-D92))</f>
        <v>7.0627549884615518E-2</v>
      </c>
      <c r="U92" t="str">
        <f>IF(首页!$B$13="自然对流","按自然对流公式", "按强制对流公式")</f>
        <v>按自然对流公式</v>
      </c>
      <c r="V92" s="6">
        <f t="shared" si="17"/>
        <v>0.19282232933503529</v>
      </c>
    </row>
    <row r="93" spans="1:22" x14ac:dyDescent="0.15">
      <c r="A93">
        <v>88</v>
      </c>
      <c r="B93" s="6">
        <f>首页!$B$4+2*A93/1000</f>
        <v>0.29599999999999999</v>
      </c>
      <c r="C93" s="6">
        <f>首页!$B$7+273.15</f>
        <v>388.15</v>
      </c>
      <c r="D93" s="6">
        <f>首页!$B$6+273.15</f>
        <v>293.14999999999998</v>
      </c>
      <c r="E93" s="6">
        <f>首页!$B$5+273.15</f>
        <v>1373.15</v>
      </c>
      <c r="F93" s="6">
        <f t="shared" si="9"/>
        <v>95</v>
      </c>
      <c r="G93" s="6">
        <f t="shared" si="10"/>
        <v>340.65</v>
      </c>
      <c r="H93" s="6">
        <f t="shared" si="11"/>
        <v>1.9926207055139041E-5</v>
      </c>
      <c r="I93" s="7">
        <f t="shared" si="12"/>
        <v>1158916576932337.8</v>
      </c>
      <c r="J93" s="6">
        <f t="shared" si="13"/>
        <v>1.0226038455893147</v>
      </c>
      <c r="K93" s="7">
        <f>J93*H93*首页!$B$12/P93</f>
        <v>0.69532757496605813</v>
      </c>
      <c r="L93" s="6">
        <f>首页!$B$9*0.0000000567*((C93^4-D93^4)/(C93-D93))</f>
        <v>7.7687338005019564</v>
      </c>
      <c r="M93" s="6">
        <f>IF(首页!$B$13="自然对流",IF(首页!$B$14="立式圆筒",首页!$B$10,PI()*B93/2),PI()*B93/2)</f>
        <v>55.2</v>
      </c>
      <c r="N93" s="7">
        <f>IF(首页!$B$13="强制对流",首页!$B$11*M93/H93,0)</f>
        <v>0</v>
      </c>
      <c r="O93" s="6">
        <f>IF(首页!$B$13="自然对流",IF(首页!$B$14="立式圆筒",(0.825+0.3063*I93^(1/6))^2+0.87*(M93/B93),(0.752+0.303*I93^(1/6))^2),0.3+SQRT((0.592*N93^0.5)^2+(0.0262*N93^0.8/(1-0.5/N93^0.1))^2))</f>
        <v>10181.450746178143</v>
      </c>
      <c r="P93" s="6">
        <f t="shared" si="14"/>
        <v>2.9510194925512497E-2</v>
      </c>
      <c r="Q93" s="6">
        <f t="shared" si="15"/>
        <v>5.4430542779750297</v>
      </c>
      <c r="R93" s="6">
        <f t="shared" si="16"/>
        <v>13.211788078476985</v>
      </c>
      <c r="S93" s="6">
        <f>B93*LN(B93/首页!$B$4)</f>
        <v>0.26724884261643622</v>
      </c>
      <c r="T93" s="6">
        <f>2*首页!$B$8*(E93-C93)/(R93*(C93-D93))</f>
        <v>7.0630704125282467E-2</v>
      </c>
      <c r="U93" t="str">
        <f>IF(首页!$B$13="自然对流","按自然对流公式", "按强制对流公式")</f>
        <v>按自然对流公式</v>
      </c>
      <c r="V93" s="6">
        <f t="shared" si="17"/>
        <v>0.19661813849115375</v>
      </c>
    </row>
    <row r="94" spans="1:22" x14ac:dyDescent="0.15">
      <c r="A94">
        <v>89</v>
      </c>
      <c r="B94" s="6">
        <f>首页!$B$4+2*A94/1000</f>
        <v>0.29799999999999999</v>
      </c>
      <c r="C94" s="6">
        <f>首页!$B$7+273.15</f>
        <v>388.15</v>
      </c>
      <c r="D94" s="6">
        <f>首页!$B$6+273.15</f>
        <v>293.14999999999998</v>
      </c>
      <c r="E94" s="6">
        <f>首页!$B$5+273.15</f>
        <v>1373.15</v>
      </c>
      <c r="F94" s="6">
        <f t="shared" si="9"/>
        <v>95</v>
      </c>
      <c r="G94" s="6">
        <f t="shared" si="10"/>
        <v>340.65</v>
      </c>
      <c r="H94" s="6">
        <f t="shared" si="11"/>
        <v>1.9926207055139041E-5</v>
      </c>
      <c r="I94" s="7">
        <f t="shared" si="12"/>
        <v>1158916576932337.8</v>
      </c>
      <c r="J94" s="6">
        <f t="shared" si="13"/>
        <v>1.0226038455893147</v>
      </c>
      <c r="K94" s="7">
        <f>J94*H94*首页!$B$12/P94</f>
        <v>0.69532757496605813</v>
      </c>
      <c r="L94" s="6">
        <f>首页!$B$9*0.0000000567*((C94^4-D94^4)/(C94-D94))</f>
        <v>7.7687338005019564</v>
      </c>
      <c r="M94" s="6">
        <f>IF(首页!$B$13="自然对流",IF(首页!$B$14="立式圆筒",首页!$B$10,PI()*B94/2),PI()*B94/2)</f>
        <v>55.2</v>
      </c>
      <c r="N94" s="7">
        <f>IF(首页!$B$13="强制对流",首页!$B$11*M94/H94,0)</f>
        <v>0</v>
      </c>
      <c r="O94" s="6">
        <f>IF(首页!$B$13="自然对流",IF(首页!$B$14="立式圆筒",(0.825+0.3063*I94^(1/6))^2+0.87*(M94/B94),(0.752+0.303*I94^(1/6))^2),0.3+SQRT((0.592*N94^0.5)^2+(0.0262*N94^0.8/(1-0.5/N94^0.1))^2))</f>
        <v>10180.361865351008</v>
      </c>
      <c r="P94" s="6">
        <f t="shared" si="14"/>
        <v>2.9510194925512497E-2</v>
      </c>
      <c r="Q94" s="6">
        <f t="shared" si="15"/>
        <v>5.4424721568616343</v>
      </c>
      <c r="R94" s="6">
        <f t="shared" si="16"/>
        <v>13.211205957363591</v>
      </c>
      <c r="S94" s="6">
        <f>B94*LN(B94/首页!$B$4)</f>
        <v>0.27106131962956082</v>
      </c>
      <c r="T94" s="6">
        <f>2*首页!$B$8*(E94-C94)/(R94*(C94-D94))</f>
        <v>7.0633816303251537E-2</v>
      </c>
      <c r="U94" t="str">
        <f>IF(首页!$B$13="自然对流","按自然对流公式", "按强制对流公式")</f>
        <v>按自然对流公式</v>
      </c>
      <c r="V94" s="6">
        <f t="shared" si="17"/>
        <v>0.20042750332630926</v>
      </c>
    </row>
    <row r="95" spans="1:22" x14ac:dyDescent="0.15">
      <c r="A95">
        <v>90</v>
      </c>
      <c r="B95" s="6">
        <f>首页!$B$4+2*A95/1000</f>
        <v>0.3</v>
      </c>
      <c r="C95" s="6">
        <f>首页!$B$7+273.15</f>
        <v>388.15</v>
      </c>
      <c r="D95" s="6">
        <f>首页!$B$6+273.15</f>
        <v>293.14999999999998</v>
      </c>
      <c r="E95" s="6">
        <f>首页!$B$5+273.15</f>
        <v>1373.15</v>
      </c>
      <c r="F95" s="6">
        <f t="shared" si="9"/>
        <v>95</v>
      </c>
      <c r="G95" s="6">
        <f t="shared" si="10"/>
        <v>340.65</v>
      </c>
      <c r="H95" s="6">
        <f t="shared" si="11"/>
        <v>1.9926207055139041E-5</v>
      </c>
      <c r="I95" s="7">
        <f t="shared" si="12"/>
        <v>1158916576932337.8</v>
      </c>
      <c r="J95" s="6">
        <f t="shared" si="13"/>
        <v>1.0226038455893147</v>
      </c>
      <c r="K95" s="7">
        <f>J95*H95*首页!$B$12/P95</f>
        <v>0.69532757496605813</v>
      </c>
      <c r="L95" s="6">
        <f>首页!$B$9*0.0000000567*((C95^4-D95^4)/(C95-D95))</f>
        <v>7.7687338005019564</v>
      </c>
      <c r="M95" s="6">
        <f>IF(首页!$B$13="自然对流",IF(首页!$B$14="立式圆筒",首页!$B$10,PI()*B95/2),PI()*B95/2)</f>
        <v>55.2</v>
      </c>
      <c r="N95" s="7">
        <f>IF(首页!$B$13="强制对流",首页!$B$11*M95/H95,0)</f>
        <v>0</v>
      </c>
      <c r="O95" s="6">
        <f>IF(首页!$B$13="自然对流",IF(首页!$B$14="立式圆筒",(0.825+0.3063*I95^(1/6))^2+0.87*(M95/B95),(0.752+0.303*I95^(1/6))^2),0.3+SQRT((0.592*N95^0.5)^2+(0.0262*N95^0.8/(1-0.5/N95^0.1))^2))</f>
        <v>10179.2875029349</v>
      </c>
      <c r="P95" s="6">
        <f t="shared" si="14"/>
        <v>2.9510194925512497E-2</v>
      </c>
      <c r="Q95" s="6">
        <f t="shared" si="15"/>
        <v>5.441897797363084</v>
      </c>
      <c r="R95" s="6">
        <f t="shared" si="16"/>
        <v>13.21063159786504</v>
      </c>
      <c r="S95" s="6">
        <f>B95*LN(B95/首页!$B$4)</f>
        <v>0.27488721956224654</v>
      </c>
      <c r="T95" s="6">
        <f>2*首页!$B$8*(E95-C95)/(R95*(C95-D95))</f>
        <v>7.0636887254326972E-2</v>
      </c>
      <c r="U95" t="str">
        <f>IF(首页!$B$13="自然对流","按自然对流公式", "按强制对流公式")</f>
        <v>按自然对流公式</v>
      </c>
      <c r="V95" s="6">
        <f t="shared" si="17"/>
        <v>0.20425033230791956</v>
      </c>
    </row>
    <row r="96" spans="1:22" x14ac:dyDescent="0.15">
      <c r="A96">
        <v>91</v>
      </c>
      <c r="B96" s="6">
        <f>首页!$B$4+2*A96/1000</f>
        <v>0.30199999999999999</v>
      </c>
      <c r="C96" s="6">
        <f>首页!$B$7+273.15</f>
        <v>388.15</v>
      </c>
      <c r="D96" s="6">
        <f>首页!$B$6+273.15</f>
        <v>293.14999999999998</v>
      </c>
      <c r="E96" s="6">
        <f>首页!$B$5+273.15</f>
        <v>1373.15</v>
      </c>
      <c r="F96" s="6">
        <f t="shared" si="9"/>
        <v>95</v>
      </c>
      <c r="G96" s="6">
        <f t="shared" si="10"/>
        <v>340.65</v>
      </c>
      <c r="H96" s="6">
        <f t="shared" si="11"/>
        <v>1.9926207055139041E-5</v>
      </c>
      <c r="I96" s="7">
        <f t="shared" si="12"/>
        <v>1158916576932337.8</v>
      </c>
      <c r="J96" s="6">
        <f t="shared" si="13"/>
        <v>1.0226038455893147</v>
      </c>
      <c r="K96" s="7">
        <f>J96*H96*首页!$B$12/P96</f>
        <v>0.69532757496605813</v>
      </c>
      <c r="L96" s="6">
        <f>首页!$B$9*0.0000000567*((C96^4-D96^4)/(C96-D96))</f>
        <v>7.7687338005019564</v>
      </c>
      <c r="M96" s="6">
        <f>IF(首页!$B$13="自然对流",IF(首页!$B$14="立式圆筒",首页!$B$10,PI()*B96/2),PI()*B96/2)</f>
        <v>55.2</v>
      </c>
      <c r="N96" s="7">
        <f>IF(首页!$B$13="强制对流",首页!$B$11*M96/H96,0)</f>
        <v>0</v>
      </c>
      <c r="O96" s="6">
        <f>IF(首页!$B$13="自然对流",IF(首页!$B$14="立式圆筒",(0.825+0.3063*I96^(1/6))^2+0.87*(M96/B96),(0.752+0.303*I96^(1/6))^2),0.3+SQRT((0.592*N96^0.5)^2+(0.0262*N96^0.8/(1-0.5/N96^0.1))^2))</f>
        <v>10178.227370484568</v>
      </c>
      <c r="P96" s="6">
        <f t="shared" si="14"/>
        <v>2.9510194925512497E-2</v>
      </c>
      <c r="Q96" s="6">
        <f t="shared" si="15"/>
        <v>5.4413310452751098</v>
      </c>
      <c r="R96" s="6">
        <f t="shared" si="16"/>
        <v>13.210064845777065</v>
      </c>
      <c r="S96" s="6">
        <f>B96*LN(B96/首页!$B$4)</f>
        <v>0.27872645292703274</v>
      </c>
      <c r="T96" s="6">
        <f>2*首页!$B$8*(E96-C96)/(R96*(C96-D96))</f>
        <v>7.0639917792315002E-2</v>
      </c>
      <c r="U96" t="str">
        <f>IF(首页!$B$13="自然对流","按自然对流公式", "按强制对流公式")</f>
        <v>按自然对流公式</v>
      </c>
      <c r="V96" s="6">
        <f t="shared" si="17"/>
        <v>0.20808653513471775</v>
      </c>
    </row>
    <row r="97" spans="1:22" x14ac:dyDescent="0.15">
      <c r="A97">
        <v>92</v>
      </c>
      <c r="B97" s="6">
        <f>首页!$B$4+2*A97/1000</f>
        <v>0.30399999999999999</v>
      </c>
      <c r="C97" s="6">
        <f>首页!$B$7+273.15</f>
        <v>388.15</v>
      </c>
      <c r="D97" s="6">
        <f>首页!$B$6+273.15</f>
        <v>293.14999999999998</v>
      </c>
      <c r="E97" s="6">
        <f>首页!$B$5+273.15</f>
        <v>1373.15</v>
      </c>
      <c r="F97" s="6">
        <f t="shared" si="9"/>
        <v>95</v>
      </c>
      <c r="G97" s="6">
        <f t="shared" si="10"/>
        <v>340.65</v>
      </c>
      <c r="H97" s="6">
        <f t="shared" si="11"/>
        <v>1.9926207055139041E-5</v>
      </c>
      <c r="I97" s="7">
        <f t="shared" si="12"/>
        <v>1158916576932337.8</v>
      </c>
      <c r="J97" s="6">
        <f t="shared" si="13"/>
        <v>1.0226038455893147</v>
      </c>
      <c r="K97" s="7">
        <f>J97*H97*首页!$B$12/P97</f>
        <v>0.69532757496605813</v>
      </c>
      <c r="L97" s="6">
        <f>首页!$B$9*0.0000000567*((C97^4-D97^4)/(C97-D97))</f>
        <v>7.7687338005019564</v>
      </c>
      <c r="M97" s="6">
        <f>IF(首页!$B$13="自然对流",IF(首页!$B$14="立式圆筒",首页!$B$10,PI()*B97/2),PI()*B97/2)</f>
        <v>55.2</v>
      </c>
      <c r="N97" s="7">
        <f>IF(首页!$B$13="强制对流",首页!$B$11*M97/H97,0)</f>
        <v>0</v>
      </c>
      <c r="O97" s="6">
        <f>IF(首页!$B$13="自然对流",IF(首页!$B$14="立式圆筒",(0.825+0.3063*I97^(1/6))^2+0.87*(M97/B97),(0.752+0.303*I97^(1/6))^2),0.3+SQRT((0.592*N97^0.5)^2+(0.0262*N97^0.8/(1-0.5/N97^0.1))^2))</f>
        <v>10177.181187145427</v>
      </c>
      <c r="P97" s="6">
        <f t="shared" si="14"/>
        <v>2.9510194925512497E-2</v>
      </c>
      <c r="Q97" s="6">
        <f t="shared" si="15"/>
        <v>5.4407717504514537</v>
      </c>
      <c r="R97" s="6">
        <f t="shared" si="16"/>
        <v>13.209505550953409</v>
      </c>
      <c r="S97" s="6">
        <f>B97*LN(B97/首页!$B$4)</f>
        <v>0.28257893142174939</v>
      </c>
      <c r="T97" s="6">
        <f>2*首页!$B$8*(E97-C97)/(R97*(C97-D97))</f>
        <v>7.0642908709742783E-2</v>
      </c>
      <c r="U97" t="str">
        <f>IF(首页!$B$13="自然对流","按自然对流公式", "按强制对流公式")</f>
        <v>按自然对流公式</v>
      </c>
      <c r="V97" s="6">
        <f t="shared" si="17"/>
        <v>0.21193602271200662</v>
      </c>
    </row>
    <row r="98" spans="1:22" x14ac:dyDescent="0.15">
      <c r="A98">
        <v>93</v>
      </c>
      <c r="B98" s="6">
        <f>首页!$B$4+2*A98/1000</f>
        <v>0.30599999999999999</v>
      </c>
      <c r="C98" s="6">
        <f>首页!$B$7+273.15</f>
        <v>388.15</v>
      </c>
      <c r="D98" s="6">
        <f>首页!$B$6+273.15</f>
        <v>293.14999999999998</v>
      </c>
      <c r="E98" s="6">
        <f>首页!$B$5+273.15</f>
        <v>1373.15</v>
      </c>
      <c r="F98" s="6">
        <f t="shared" si="9"/>
        <v>95</v>
      </c>
      <c r="G98" s="6">
        <f t="shared" si="10"/>
        <v>340.65</v>
      </c>
      <c r="H98" s="6">
        <f t="shared" si="11"/>
        <v>1.9926207055139041E-5</v>
      </c>
      <c r="I98" s="7">
        <f t="shared" si="12"/>
        <v>1158916576932337.8</v>
      </c>
      <c r="J98" s="6">
        <f t="shared" si="13"/>
        <v>1.0226038455893147</v>
      </c>
      <c r="K98" s="7">
        <f>J98*H98*首页!$B$12/P98</f>
        <v>0.69532757496605813</v>
      </c>
      <c r="L98" s="6">
        <f>首页!$B$9*0.0000000567*((C98^4-D98^4)/(C98-D98))</f>
        <v>7.7687338005019564</v>
      </c>
      <c r="M98" s="6">
        <f>IF(首页!$B$13="自然对流",IF(首页!$B$14="立式圆筒",首页!$B$10,PI()*B98/2),PI()*B98/2)</f>
        <v>55.2</v>
      </c>
      <c r="N98" s="7">
        <f>IF(首页!$B$13="强制对流",首页!$B$11*M98/H98,0)</f>
        <v>0</v>
      </c>
      <c r="O98" s="6">
        <f>IF(首页!$B$13="自然对流",IF(首页!$B$14="立式圆筒",(0.825+0.3063*I98^(1/6))^2+0.87*(M98/B98),(0.752+0.303*I98^(1/6))^2),0.3+SQRT((0.592*N98^0.5)^2+(0.0262*N98^0.8/(1-0.5/N98^0.1))^2))</f>
        <v>10176.148679405487</v>
      </c>
      <c r="P98" s="6">
        <f t="shared" si="14"/>
        <v>2.9510194925512497E-2</v>
      </c>
      <c r="Q98" s="6">
        <f t="shared" si="15"/>
        <v>5.4402197666712411</v>
      </c>
      <c r="R98" s="6">
        <f t="shared" si="16"/>
        <v>13.208953567173197</v>
      </c>
      <c r="S98" s="6">
        <f>B98*LN(B98/首页!$B$4)</f>
        <v>0.28644456790612244</v>
      </c>
      <c r="T98" s="6">
        <f>2*首页!$B$8*(E98-C98)/(R98*(C98-D98))</f>
        <v>7.064586077854948E-2</v>
      </c>
      <c r="U98" t="str">
        <f>IF(首页!$B$13="自然对流","按自然对流公式", "按强制对流公式")</f>
        <v>按自然对流公式</v>
      </c>
      <c r="V98" s="6">
        <f t="shared" si="17"/>
        <v>0.21579870712757296</v>
      </c>
    </row>
    <row r="99" spans="1:22" x14ac:dyDescent="0.15">
      <c r="A99">
        <v>94</v>
      </c>
      <c r="B99" s="6">
        <f>首页!$B$4+2*A99/1000</f>
        <v>0.308</v>
      </c>
      <c r="C99" s="6">
        <f>首页!$B$7+273.15</f>
        <v>388.15</v>
      </c>
      <c r="D99" s="6">
        <f>首页!$B$6+273.15</f>
        <v>293.14999999999998</v>
      </c>
      <c r="E99" s="6">
        <f>首页!$B$5+273.15</f>
        <v>1373.15</v>
      </c>
      <c r="F99" s="6">
        <f t="shared" si="9"/>
        <v>95</v>
      </c>
      <c r="G99" s="6">
        <f t="shared" si="10"/>
        <v>340.65</v>
      </c>
      <c r="H99" s="6">
        <f t="shared" si="11"/>
        <v>1.9926207055139041E-5</v>
      </c>
      <c r="I99" s="7">
        <f t="shared" si="12"/>
        <v>1158916576932337.8</v>
      </c>
      <c r="J99" s="6">
        <f t="shared" si="13"/>
        <v>1.0226038455893147</v>
      </c>
      <c r="K99" s="7">
        <f>J99*H99*首页!$B$12/P99</f>
        <v>0.69532757496605813</v>
      </c>
      <c r="L99" s="6">
        <f>首页!$B$9*0.0000000567*((C99^4-D99^4)/(C99-D99))</f>
        <v>7.7687338005019564</v>
      </c>
      <c r="M99" s="6">
        <f>IF(首页!$B$13="自然对流",IF(首页!$B$14="立式圆筒",首页!$B$10,PI()*B99/2),PI()*B99/2)</f>
        <v>55.2</v>
      </c>
      <c r="N99" s="7">
        <f>IF(首页!$B$13="强制对流",首页!$B$11*M99/H99,0)</f>
        <v>0</v>
      </c>
      <c r="O99" s="6">
        <f>IF(首页!$B$13="自然对流",IF(首页!$B$14="立式圆筒",(0.825+0.3063*I99^(1/6))^2+0.87*(M99/B99),(0.752+0.303*I99^(1/6))^2),0.3+SQRT((0.592*N99^0.5)^2+(0.0262*N99^0.8/(1-0.5/N99^0.1))^2))</f>
        <v>10175.129580856978</v>
      </c>
      <c r="P99" s="6">
        <f t="shared" si="14"/>
        <v>2.9510194925512497E-2</v>
      </c>
      <c r="Q99" s="6">
        <f t="shared" si="15"/>
        <v>5.4396749515115523</v>
      </c>
      <c r="R99" s="6">
        <f t="shared" si="16"/>
        <v>13.208408752013508</v>
      </c>
      <c r="S99" s="6">
        <f>B99*LN(B99/首页!$B$4)</f>
        <v>0.2903232763789908</v>
      </c>
      <c r="T99" s="6">
        <f>2*首页!$B$8*(E99-C99)/(R99*(C99-D99))</f>
        <v>7.0648774750750376E-2</v>
      </c>
      <c r="U99" t="str">
        <f>IF(首页!$B$13="自然对流","按自然对流公式", "按强制对流公式")</f>
        <v>按自然对流公式</v>
      </c>
      <c r="V99" s="6">
        <f t="shared" si="17"/>
        <v>0.21967450162824043</v>
      </c>
    </row>
    <row r="100" spans="1:22" x14ac:dyDescent="0.15">
      <c r="A100">
        <v>95</v>
      </c>
      <c r="B100" s="6">
        <f>首页!$B$4+2*A100/1000</f>
        <v>0.31</v>
      </c>
      <c r="C100" s="6">
        <f>首页!$B$7+273.15</f>
        <v>388.15</v>
      </c>
      <c r="D100" s="6">
        <f>首页!$B$6+273.15</f>
        <v>293.14999999999998</v>
      </c>
      <c r="E100" s="6">
        <f>首页!$B$5+273.15</f>
        <v>1373.15</v>
      </c>
      <c r="F100" s="6">
        <f t="shared" si="9"/>
        <v>95</v>
      </c>
      <c r="G100" s="6">
        <f t="shared" si="10"/>
        <v>340.65</v>
      </c>
      <c r="H100" s="6">
        <f t="shared" si="11"/>
        <v>1.9926207055139041E-5</v>
      </c>
      <c r="I100" s="7">
        <f t="shared" si="12"/>
        <v>1158916576932337.8</v>
      </c>
      <c r="J100" s="6">
        <f t="shared" si="13"/>
        <v>1.0226038455893147</v>
      </c>
      <c r="K100" s="7">
        <f>J100*H100*首页!$B$12/P100</f>
        <v>0.69532757496605813</v>
      </c>
      <c r="L100" s="6">
        <f>首页!$B$9*0.0000000567*((C100^4-D100^4)/(C100-D100))</f>
        <v>7.7687338005019564</v>
      </c>
      <c r="M100" s="6">
        <f>IF(首页!$B$13="自然对流",IF(首页!$B$14="立式圆筒",首页!$B$10,PI()*B100/2),PI()*B100/2)</f>
        <v>55.2</v>
      </c>
      <c r="N100" s="7">
        <f>IF(首页!$B$13="强制对流",首页!$B$11*M100/H100,0)</f>
        <v>0</v>
      </c>
      <c r="O100" s="6">
        <f>IF(首页!$B$13="自然对流",IF(首页!$B$14="立式圆筒",(0.825+0.3063*I100^(1/6))^2+0.87*(M100/B100),(0.752+0.303*I100^(1/6))^2),0.3+SQRT((0.592*N100^0.5)^2+(0.0262*N100^0.8/(1-0.5/N100^0.1))^2))</f>
        <v>10174.123631967157</v>
      </c>
      <c r="P100" s="6">
        <f t="shared" si="14"/>
        <v>2.9510194925512497E-2</v>
      </c>
      <c r="Q100" s="6">
        <f t="shared" si="15"/>
        <v>5.4391371662248904</v>
      </c>
      <c r="R100" s="6">
        <f t="shared" si="16"/>
        <v>13.207870966726848</v>
      </c>
      <c r="S100" s="6">
        <f>B100*LN(B100/首页!$B$4)</f>
        <v>0.29421497195611529</v>
      </c>
      <c r="T100" s="6">
        <f>2*首页!$B$8*(E100-C100)/(R100*(C100-D100))</f>
        <v>7.0651651359075598E-2</v>
      </c>
      <c r="U100" t="str">
        <f>IF(首页!$B$13="自然对流","按自然对流公式", "按强制对流公式")</f>
        <v>按自然对流公式</v>
      </c>
      <c r="V100" s="6">
        <f t="shared" si="17"/>
        <v>0.22356332059703971</v>
      </c>
    </row>
    <row r="101" spans="1:22" x14ac:dyDescent="0.15">
      <c r="A101">
        <v>96</v>
      </c>
      <c r="B101" s="6">
        <f>首页!$B$4+2*A101/1000</f>
        <v>0.312</v>
      </c>
      <c r="C101" s="6">
        <f>首页!$B$7+273.15</f>
        <v>388.15</v>
      </c>
      <c r="D101" s="6">
        <f>首页!$B$6+273.15</f>
        <v>293.14999999999998</v>
      </c>
      <c r="E101" s="6">
        <f>首页!$B$5+273.15</f>
        <v>1373.15</v>
      </c>
      <c r="F101" s="6">
        <f t="shared" si="9"/>
        <v>95</v>
      </c>
      <c r="G101" s="6">
        <f t="shared" si="10"/>
        <v>340.65</v>
      </c>
      <c r="H101" s="6">
        <f t="shared" si="11"/>
        <v>1.9926207055139041E-5</v>
      </c>
      <c r="I101" s="7">
        <f t="shared" si="12"/>
        <v>1158916576932337.8</v>
      </c>
      <c r="J101" s="6">
        <f t="shared" si="13"/>
        <v>1.0226038455893147</v>
      </c>
      <c r="K101" s="7">
        <f>J101*H101*首页!$B$12/P101</f>
        <v>0.69532757496605813</v>
      </c>
      <c r="L101" s="6">
        <f>首页!$B$9*0.0000000567*((C101^4-D101^4)/(C101-D101))</f>
        <v>7.7687338005019564</v>
      </c>
      <c r="M101" s="6">
        <f>IF(首页!$B$13="自然对流",IF(首页!$B$14="立式圆筒",首页!$B$10,PI()*B101/2),PI()*B101/2)</f>
        <v>55.2</v>
      </c>
      <c r="N101" s="7">
        <f>IF(首页!$B$13="强制对流",首页!$B$11*M101/H101,0)</f>
        <v>0</v>
      </c>
      <c r="O101" s="6">
        <f>IF(首页!$B$13="自然对流",IF(首页!$B$14="立式圆筒",(0.825+0.3063*I101^(1/6))^2+0.87*(M101/B101),(0.752+0.303*I101^(1/6))^2),0.3+SQRT((0.592*N101^0.5)^2+(0.0262*N101^0.8/(1-0.5/N101^0.1))^2))</f>
        <v>10173.130579857976</v>
      </c>
      <c r="P101" s="6">
        <f t="shared" si="14"/>
        <v>2.9510194925512497E-2</v>
      </c>
      <c r="Q101" s="6">
        <f t="shared" si="15"/>
        <v>5.4386062756213915</v>
      </c>
      <c r="R101" s="6">
        <f t="shared" si="16"/>
        <v>13.207340076123348</v>
      </c>
      <c r="S101" s="6">
        <f>B101*LN(B101/首页!$B$4)</f>
        <v>0.29811957084856017</v>
      </c>
      <c r="T101" s="6">
        <f>2*首页!$B$8*(E101-C101)/(R101*(C101-D101))</f>
        <v>7.0654491317584445E-2</v>
      </c>
      <c r="U101" t="str">
        <f>IF(首页!$B$13="自然对流","按自然对流公式", "按强制对流公式")</f>
        <v>按自然对流公式</v>
      </c>
      <c r="V101" s="6">
        <f t="shared" si="17"/>
        <v>0.22746507953097572</v>
      </c>
    </row>
    <row r="102" spans="1:22" x14ac:dyDescent="0.15">
      <c r="A102">
        <v>97</v>
      </c>
      <c r="B102" s="6">
        <f>首页!$B$4+2*A102/1000</f>
        <v>0.314</v>
      </c>
      <c r="C102" s="6">
        <f>首页!$B$7+273.15</f>
        <v>388.15</v>
      </c>
      <c r="D102" s="6">
        <f>首页!$B$6+273.15</f>
        <v>293.14999999999998</v>
      </c>
      <c r="E102" s="6">
        <f>首页!$B$5+273.15</f>
        <v>1373.15</v>
      </c>
      <c r="F102" s="6">
        <f t="shared" si="9"/>
        <v>95</v>
      </c>
      <c r="G102" s="6">
        <f t="shared" si="10"/>
        <v>340.65</v>
      </c>
      <c r="H102" s="6">
        <f t="shared" si="11"/>
        <v>1.9926207055139041E-5</v>
      </c>
      <c r="I102" s="7">
        <f t="shared" si="12"/>
        <v>1158916576932337.8</v>
      </c>
      <c r="J102" s="6">
        <f t="shared" si="13"/>
        <v>1.0226038455893147</v>
      </c>
      <c r="K102" s="7">
        <f>J102*H102*首页!$B$12/P102</f>
        <v>0.69532757496605813</v>
      </c>
      <c r="L102" s="6">
        <f>首页!$B$9*0.0000000567*((C102^4-D102^4)/(C102-D102))</f>
        <v>7.7687338005019564</v>
      </c>
      <c r="M102" s="6">
        <f>IF(首页!$B$13="自然对流",IF(首页!$B$14="立式圆筒",首页!$B$10,PI()*B102/2),PI()*B102/2)</f>
        <v>55.2</v>
      </c>
      <c r="N102" s="7">
        <f>IF(首页!$B$13="强制对流",首页!$B$11*M102/H102,0)</f>
        <v>0</v>
      </c>
      <c r="O102" s="6">
        <f>IF(首页!$B$13="自然对流",IF(首页!$B$14="立式圆筒",(0.825+0.3063*I102^(1/6))^2+0.87*(M102/B102),(0.752+0.303*I102^(1/6))^2),0.3+SQRT((0.592*N102^0.5)^2+(0.0262*N102^0.8/(1-0.5/N102^0.1))^2))</f>
        <v>10172.150178094136</v>
      </c>
      <c r="P102" s="6">
        <f t="shared" si="14"/>
        <v>2.9510194925512497E-2</v>
      </c>
      <c r="Q102" s="6">
        <f t="shared" si="15"/>
        <v>5.4380821479555177</v>
      </c>
      <c r="R102" s="6">
        <f t="shared" si="16"/>
        <v>13.206815948457475</v>
      </c>
      <c r="S102" s="6">
        <f>B102*LN(B102/首页!$B$4)</f>
        <v>0.30203699034162912</v>
      </c>
      <c r="T102" s="6">
        <f>2*首页!$B$8*(E102-C102)/(R102*(C102-D102))</f>
        <v>7.0657295322256147E-2</v>
      </c>
      <c r="U102" t="str">
        <f>IF(首页!$B$13="自然对流","按自然对流公式", "按强制对流公式")</f>
        <v>按自然对流公式</v>
      </c>
      <c r="V102" s="6">
        <f t="shared" si="17"/>
        <v>0.23137969501937297</v>
      </c>
    </row>
    <row r="103" spans="1:22" x14ac:dyDescent="0.15">
      <c r="A103">
        <v>98</v>
      </c>
      <c r="B103" s="6">
        <f>首页!$B$4+2*A103/1000</f>
        <v>0.316</v>
      </c>
      <c r="C103" s="6">
        <f>首页!$B$7+273.15</f>
        <v>388.15</v>
      </c>
      <c r="D103" s="6">
        <f>首页!$B$6+273.15</f>
        <v>293.14999999999998</v>
      </c>
      <c r="E103" s="6">
        <f>首页!$B$5+273.15</f>
        <v>1373.15</v>
      </c>
      <c r="F103" s="6">
        <f t="shared" si="9"/>
        <v>95</v>
      </c>
      <c r="G103" s="6">
        <f t="shared" si="10"/>
        <v>340.65</v>
      </c>
      <c r="H103" s="6">
        <f t="shared" si="11"/>
        <v>1.9926207055139041E-5</v>
      </c>
      <c r="I103" s="7">
        <f t="shared" si="12"/>
        <v>1158916576932337.8</v>
      </c>
      <c r="J103" s="6">
        <f t="shared" si="13"/>
        <v>1.0226038455893147</v>
      </c>
      <c r="K103" s="7">
        <f>J103*H103*首页!$B$12/P103</f>
        <v>0.69532757496605813</v>
      </c>
      <c r="L103" s="6">
        <f>首页!$B$9*0.0000000567*((C103^4-D103^4)/(C103-D103))</f>
        <v>7.7687338005019564</v>
      </c>
      <c r="M103" s="6">
        <f>IF(首页!$B$13="自然对流",IF(首页!$B$14="立式圆筒",首页!$B$10,PI()*B103/2),PI()*B103/2)</f>
        <v>55.2</v>
      </c>
      <c r="N103" s="7">
        <f>IF(首页!$B$13="强制对流",首页!$B$11*M103/H103,0)</f>
        <v>0</v>
      </c>
      <c r="O103" s="6">
        <f>IF(首页!$B$13="自然对流",IF(首页!$B$14="立式圆筒",(0.825+0.3063*I103^(1/6))^2+0.87*(M103/B103),(0.752+0.303*I103^(1/6))^2),0.3+SQRT((0.592*N103^0.5)^2+(0.0262*N103^0.8/(1-0.5/N103^0.1))^2))</f>
        <v>10171.182186479204</v>
      </c>
      <c r="P103" s="6">
        <f t="shared" si="14"/>
        <v>2.9510194925512497E-2</v>
      </c>
      <c r="Q103" s="6">
        <f t="shared" si="15"/>
        <v>5.4375646548170593</v>
      </c>
      <c r="R103" s="6">
        <f t="shared" si="16"/>
        <v>13.206298455319015</v>
      </c>
      <c r="S103" s="6">
        <f>B103*LN(B103/首页!$B$4)</f>
        <v>0.30596714877433773</v>
      </c>
      <c r="T103" s="6">
        <f>2*首页!$B$8*(E103-C103)/(R103*(C103-D103))</f>
        <v>7.0660064051558696E-2</v>
      </c>
      <c r="U103" t="str">
        <f>IF(首页!$B$13="自然对流","按自然对流公式", "按强制对流公式")</f>
        <v>按自然对流公式</v>
      </c>
      <c r="V103" s="6">
        <f t="shared" si="17"/>
        <v>0.23530708472277903</v>
      </c>
    </row>
    <row r="104" spans="1:22" x14ac:dyDescent="0.15">
      <c r="A104">
        <v>99</v>
      </c>
      <c r="B104" s="6">
        <f>首页!$B$4+2*A104/1000</f>
        <v>0.318</v>
      </c>
      <c r="C104" s="6">
        <f>首页!$B$7+273.15</f>
        <v>388.15</v>
      </c>
      <c r="D104" s="6">
        <f>首页!$B$6+273.15</f>
        <v>293.14999999999998</v>
      </c>
      <c r="E104" s="6">
        <f>首页!$B$5+273.15</f>
        <v>1373.15</v>
      </c>
      <c r="F104" s="6">
        <f t="shared" si="9"/>
        <v>95</v>
      </c>
      <c r="G104" s="6">
        <f t="shared" si="10"/>
        <v>340.65</v>
      </c>
      <c r="H104" s="6">
        <f t="shared" si="11"/>
        <v>1.9926207055139041E-5</v>
      </c>
      <c r="I104" s="7">
        <f t="shared" si="12"/>
        <v>1158916576932337.8</v>
      </c>
      <c r="J104" s="6">
        <f t="shared" si="13"/>
        <v>1.0226038455893147</v>
      </c>
      <c r="K104" s="7">
        <f>J104*H104*首页!$B$12/P104</f>
        <v>0.69532757496605813</v>
      </c>
      <c r="L104" s="6">
        <f>首页!$B$9*0.0000000567*((C104^4-D104^4)/(C104-D104))</f>
        <v>7.7687338005019564</v>
      </c>
      <c r="M104" s="6">
        <f>IF(首页!$B$13="自然对流",IF(首页!$B$14="立式圆筒",首页!$B$10,PI()*B104/2),PI()*B104/2)</f>
        <v>55.2</v>
      </c>
      <c r="N104" s="7">
        <f>IF(首页!$B$13="强制对流",首页!$B$11*M104/H104,0)</f>
        <v>0</v>
      </c>
      <c r="O104" s="6">
        <f>IF(首页!$B$13="自然对流",IF(首页!$B$14="立式圆筒",(0.825+0.3063*I104^(1/6))^2+0.87*(M104/B104),(0.752+0.303*I104^(1/6))^2),0.3+SQRT((0.592*N104^0.5)^2+(0.0262*N104^0.8/(1-0.5/N104^0.1))^2))</f>
        <v>10170.226370859427</v>
      </c>
      <c r="P104" s="6">
        <f t="shared" si="14"/>
        <v>2.9510194925512497E-2</v>
      </c>
      <c r="Q104" s="6">
        <f t="shared" si="15"/>
        <v>5.4370536710262547</v>
      </c>
      <c r="R104" s="6">
        <f t="shared" si="16"/>
        <v>13.205787471528211</v>
      </c>
      <c r="S104" s="6">
        <f>B104*LN(B104/首页!$B$4)</f>
        <v>0.30990996551940564</v>
      </c>
      <c r="T104" s="6">
        <f>2*首页!$B$8*(E104-C104)/(R104*(C104-D104))</f>
        <v>7.0662798166995985E-2</v>
      </c>
      <c r="U104" t="str">
        <f>IF(首页!$B$13="自然对流","按自然对流公式", "按强制对流公式")</f>
        <v>按自然对流公式</v>
      </c>
      <c r="V104" s="6">
        <f t="shared" si="17"/>
        <v>0.23924716735240964</v>
      </c>
    </row>
    <row r="105" spans="1:22" x14ac:dyDescent="0.15">
      <c r="A105">
        <v>100</v>
      </c>
      <c r="B105" s="6">
        <f>首页!$B$4+2*A105/1000</f>
        <v>0.32</v>
      </c>
      <c r="C105" s="6">
        <f>首页!$B$7+273.15</f>
        <v>388.15</v>
      </c>
      <c r="D105" s="6">
        <f>首页!$B$6+273.15</f>
        <v>293.14999999999998</v>
      </c>
      <c r="E105" s="6">
        <f>首页!$B$5+273.15</f>
        <v>1373.15</v>
      </c>
      <c r="F105" s="6">
        <f t="shared" si="9"/>
        <v>95</v>
      </c>
      <c r="G105" s="6">
        <f t="shared" si="10"/>
        <v>340.65</v>
      </c>
      <c r="H105" s="6">
        <f t="shared" si="11"/>
        <v>1.9926207055139041E-5</v>
      </c>
      <c r="I105" s="7">
        <f t="shared" si="12"/>
        <v>1158916576932337.8</v>
      </c>
      <c r="J105" s="6">
        <f t="shared" si="13"/>
        <v>1.0226038455893147</v>
      </c>
      <c r="K105" s="7">
        <f>J105*H105*首页!$B$12/P105</f>
        <v>0.69532757496605813</v>
      </c>
      <c r="L105" s="6">
        <f>首页!$B$9*0.0000000567*((C105^4-D105^4)/(C105-D105))</f>
        <v>7.7687338005019564</v>
      </c>
      <c r="M105" s="6">
        <f>IF(首页!$B$13="自然对流",IF(首页!$B$14="立式圆筒",首页!$B$10,PI()*B105/2),PI()*B105/2)</f>
        <v>55.2</v>
      </c>
      <c r="N105" s="7">
        <f>IF(首页!$B$13="强制对流",首页!$B$11*M105/H105,0)</f>
        <v>0</v>
      </c>
      <c r="O105" s="6">
        <f>IF(首页!$B$13="自然对流",IF(首页!$B$14="立式圆筒",(0.825+0.3063*I105^(1/6))^2+0.87*(M105/B105),(0.752+0.303*I105^(1/6))^2),0.3+SQRT((0.592*N105^0.5)^2+(0.0262*N105^0.8/(1-0.5/N105^0.1))^2))</f>
        <v>10169.282502934901</v>
      </c>
      <c r="P105" s="6">
        <f t="shared" si="14"/>
        <v>2.9510194925512497E-2</v>
      </c>
      <c r="Q105" s="6">
        <f t="shared" si="15"/>
        <v>5.4365490745328353</v>
      </c>
      <c r="R105" s="6">
        <f t="shared" si="16"/>
        <v>13.205282875034792</v>
      </c>
      <c r="S105" s="6">
        <f>B105*LN(B105/首页!$B$4)</f>
        <v>0.31386536096375245</v>
      </c>
      <c r="T105" s="6">
        <f>2*首页!$B$8*(E105-C105)/(R105*(C105-D105))</f>
        <v>7.0665498313634834E-2</v>
      </c>
      <c r="U105" t="str">
        <f>IF(首页!$B$13="自然对流","按自然对流公式", "按强制对流公式")</f>
        <v>按自然对流公式</v>
      </c>
      <c r="V105" s="6">
        <f t="shared" si="17"/>
        <v>0.24319986265011762</v>
      </c>
    </row>
    <row r="106" spans="1:22" x14ac:dyDescent="0.15">
      <c r="A106">
        <v>101</v>
      </c>
      <c r="B106" s="6">
        <f>首页!$B$4+2*A106/1000</f>
        <v>0.32200000000000001</v>
      </c>
      <c r="C106" s="6">
        <f>首页!$B$7+273.15</f>
        <v>388.15</v>
      </c>
      <c r="D106" s="6">
        <f>首页!$B$6+273.15</f>
        <v>293.14999999999998</v>
      </c>
      <c r="E106" s="6">
        <f>首页!$B$5+273.15</f>
        <v>1373.15</v>
      </c>
      <c r="F106" s="6">
        <f t="shared" si="9"/>
        <v>95</v>
      </c>
      <c r="G106" s="6">
        <f t="shared" si="10"/>
        <v>340.65</v>
      </c>
      <c r="H106" s="6">
        <f t="shared" si="11"/>
        <v>1.9926207055139041E-5</v>
      </c>
      <c r="I106" s="7">
        <f t="shared" si="12"/>
        <v>1158916576932337.8</v>
      </c>
      <c r="J106" s="6">
        <f t="shared" si="13"/>
        <v>1.0226038455893147</v>
      </c>
      <c r="K106" s="7">
        <f>J106*H106*首页!$B$12/P106</f>
        <v>0.69532757496605813</v>
      </c>
      <c r="L106" s="6">
        <f>首页!$B$9*0.0000000567*((C106^4-D106^4)/(C106-D106))</f>
        <v>7.7687338005019564</v>
      </c>
      <c r="M106" s="6">
        <f>IF(首页!$B$13="自然对流",IF(首页!$B$14="立式圆筒",首页!$B$10,PI()*B106/2),PI()*B106/2)</f>
        <v>55.2</v>
      </c>
      <c r="N106" s="7">
        <f>IF(首页!$B$13="强制对流",首页!$B$11*M106/H106,0)</f>
        <v>0</v>
      </c>
      <c r="O106" s="6">
        <f>IF(首页!$B$13="自然对流",IF(首页!$B$14="立式圆筒",(0.825+0.3063*I106^(1/6))^2+0.87*(M106/B106),(0.752+0.303*I106^(1/6))^2),0.3+SQRT((0.592*N106^0.5)^2+(0.0262*N106^0.8/(1-0.5/N106^0.1))^2))</f>
        <v>10168.350360077757</v>
      </c>
      <c r="P106" s="6">
        <f t="shared" si="14"/>
        <v>2.9510194925512497E-2</v>
      </c>
      <c r="Q106" s="6">
        <f t="shared" si="15"/>
        <v>5.4360507463188368</v>
      </c>
      <c r="R106" s="6">
        <f t="shared" si="16"/>
        <v>13.204784546820793</v>
      </c>
      <c r="S106" s="6">
        <f>B106*LN(B106/首页!$B$4)</f>
        <v>0.31783325648948069</v>
      </c>
      <c r="T106" s="6">
        <f>2*首页!$B$8*(E106-C106)/(R106*(C106-D106))</f>
        <v>7.0668165120612358E-2</v>
      </c>
      <c r="U106" t="str">
        <f>IF(首页!$B$13="自然对流","按自然对流公式", "按强制对流公式")</f>
        <v>按自然对流公式</v>
      </c>
      <c r="V106" s="6">
        <f t="shared" si="17"/>
        <v>0.24716509136886833</v>
      </c>
    </row>
    <row r="107" spans="1:22" x14ac:dyDescent="0.15">
      <c r="A107">
        <v>102</v>
      </c>
      <c r="B107" s="6">
        <f>首页!$B$4+2*A107/1000</f>
        <v>0.32399999999999995</v>
      </c>
      <c r="C107" s="6">
        <f>首页!$B$7+273.15</f>
        <v>388.15</v>
      </c>
      <c r="D107" s="6">
        <f>首页!$B$6+273.15</f>
        <v>293.14999999999998</v>
      </c>
      <c r="E107" s="6">
        <f>首页!$B$5+273.15</f>
        <v>1373.15</v>
      </c>
      <c r="F107" s="6">
        <f t="shared" si="9"/>
        <v>95</v>
      </c>
      <c r="G107" s="6">
        <f t="shared" si="10"/>
        <v>340.65</v>
      </c>
      <c r="H107" s="6">
        <f t="shared" si="11"/>
        <v>1.9926207055139041E-5</v>
      </c>
      <c r="I107" s="7">
        <f t="shared" si="12"/>
        <v>1158916576932337.8</v>
      </c>
      <c r="J107" s="6">
        <f t="shared" si="13"/>
        <v>1.0226038455893147</v>
      </c>
      <c r="K107" s="7">
        <f>J107*H107*首页!$B$12/P107</f>
        <v>0.69532757496605813</v>
      </c>
      <c r="L107" s="6">
        <f>首页!$B$9*0.0000000567*((C107^4-D107^4)/(C107-D107))</f>
        <v>7.7687338005019564</v>
      </c>
      <c r="M107" s="6">
        <f>IF(首页!$B$13="自然对流",IF(首页!$B$14="立式圆筒",首页!$B$10,PI()*B107/2),PI()*B107/2)</f>
        <v>55.2</v>
      </c>
      <c r="N107" s="7">
        <f>IF(首页!$B$13="强制对流",首页!$B$11*M107/H107,0)</f>
        <v>0</v>
      </c>
      <c r="O107" s="6">
        <f>IF(首页!$B$13="自然对流",IF(首页!$B$14="立式圆筒",(0.825+0.3063*I107^(1/6))^2+0.87*(M107/B107),(0.752+0.303*I107^(1/6))^2),0.3+SQRT((0.592*N107^0.5)^2+(0.0262*N107^0.8/(1-0.5/N107^0.1))^2))</f>
        <v>10167.429725157122</v>
      </c>
      <c r="P107" s="6">
        <f t="shared" si="14"/>
        <v>2.9510194925512497E-2</v>
      </c>
      <c r="Q107" s="6">
        <f t="shared" si="15"/>
        <v>5.4355585703050115</v>
      </c>
      <c r="R107" s="6">
        <f t="shared" si="16"/>
        <v>13.204292370806968</v>
      </c>
      <c r="S107" s="6">
        <f>B107*LN(B107/首页!$B$4)</f>
        <v>0.32181357445533176</v>
      </c>
      <c r="T107" s="6">
        <f>2*首页!$B$8*(E107-C107)/(R107*(C107-D107))</f>
        <v>7.0670799201624557E-2</v>
      </c>
      <c r="U107" t="str">
        <f>IF(首页!$B$13="自然对流","按自然对流公式", "按强制对流公式")</f>
        <v>按自然对流公式</v>
      </c>
      <c r="V107" s="6">
        <f t="shared" si="17"/>
        <v>0.25114277525370721</v>
      </c>
    </row>
    <row r="108" spans="1:22" x14ac:dyDescent="0.15">
      <c r="A108">
        <v>103</v>
      </c>
      <c r="B108" s="6">
        <f>首页!$B$4+2*A108/1000</f>
        <v>0.32599999999999996</v>
      </c>
      <c r="C108" s="6">
        <f>首页!$B$7+273.15</f>
        <v>388.15</v>
      </c>
      <c r="D108" s="6">
        <f>首页!$B$6+273.15</f>
        <v>293.14999999999998</v>
      </c>
      <c r="E108" s="6">
        <f>首页!$B$5+273.15</f>
        <v>1373.15</v>
      </c>
      <c r="F108" s="6">
        <f t="shared" si="9"/>
        <v>95</v>
      </c>
      <c r="G108" s="6">
        <f t="shared" si="10"/>
        <v>340.65</v>
      </c>
      <c r="H108" s="6">
        <f t="shared" si="11"/>
        <v>1.9926207055139041E-5</v>
      </c>
      <c r="I108" s="7">
        <f t="shared" si="12"/>
        <v>1158916576932337.8</v>
      </c>
      <c r="J108" s="6">
        <f t="shared" si="13"/>
        <v>1.0226038455893147</v>
      </c>
      <c r="K108" s="7">
        <f>J108*H108*首页!$B$12/P108</f>
        <v>0.69532757496605813</v>
      </c>
      <c r="L108" s="6">
        <f>首页!$B$9*0.0000000567*((C108^4-D108^4)/(C108-D108))</f>
        <v>7.7687338005019564</v>
      </c>
      <c r="M108" s="6">
        <f>IF(首页!$B$13="自然对流",IF(首页!$B$14="立式圆筒",首页!$B$10,PI()*B108/2),PI()*B108/2)</f>
        <v>55.2</v>
      </c>
      <c r="N108" s="7">
        <f>IF(首页!$B$13="强制对流",首页!$B$11*M108/H108,0)</f>
        <v>0</v>
      </c>
      <c r="O108" s="6">
        <f>IF(首页!$B$13="自然对流",IF(首页!$B$14="立式圆筒",(0.825+0.3063*I108^(1/6))^2+0.87*(M108/B108),(0.752+0.303*I108^(1/6))^2),0.3+SQRT((0.592*N108^0.5)^2+(0.0262*N108^0.8/(1-0.5/N108^0.1))^2))</f>
        <v>10166.520386370483</v>
      </c>
      <c r="P108" s="6">
        <f t="shared" si="14"/>
        <v>2.9510194925512497E-2</v>
      </c>
      <c r="Q108" s="6">
        <f t="shared" si="15"/>
        <v>5.4350724332606806</v>
      </c>
      <c r="R108" s="6">
        <f t="shared" si="16"/>
        <v>13.203806233762638</v>
      </c>
      <c r="S108" s="6">
        <f>B108*LN(B108/首页!$B$4)</f>
        <v>0.32580623817859961</v>
      </c>
      <c r="T108" s="6">
        <f>2*首页!$B$8*(E108-C108)/(R108*(C108-D108))</f>
        <v>7.0673401155397289E-2</v>
      </c>
      <c r="U108" t="str">
        <f>IF(首页!$B$13="自然对流","按自然对流公式", "按强制对流公式")</f>
        <v>按自然对流公式</v>
      </c>
      <c r="V108" s="6">
        <f t="shared" si="17"/>
        <v>0.25513283702320233</v>
      </c>
    </row>
    <row r="109" spans="1:22" x14ac:dyDescent="0.15">
      <c r="A109">
        <v>104</v>
      </c>
      <c r="B109" s="6">
        <f>首页!$B$4+2*A109/1000</f>
        <v>0.32799999999999996</v>
      </c>
      <c r="C109" s="6">
        <f>首页!$B$7+273.15</f>
        <v>388.15</v>
      </c>
      <c r="D109" s="6">
        <f>首页!$B$6+273.15</f>
        <v>293.14999999999998</v>
      </c>
      <c r="E109" s="6">
        <f>首页!$B$5+273.15</f>
        <v>1373.15</v>
      </c>
      <c r="F109" s="6">
        <f t="shared" si="9"/>
        <v>95</v>
      </c>
      <c r="G109" s="6">
        <f t="shared" si="10"/>
        <v>340.65</v>
      </c>
      <c r="H109" s="6">
        <f t="shared" si="11"/>
        <v>1.9926207055139041E-5</v>
      </c>
      <c r="I109" s="7">
        <f t="shared" si="12"/>
        <v>1158916576932337.8</v>
      </c>
      <c r="J109" s="6">
        <f t="shared" si="13"/>
        <v>1.0226038455893147</v>
      </c>
      <c r="K109" s="7">
        <f>J109*H109*首页!$B$12/P109</f>
        <v>0.69532757496605813</v>
      </c>
      <c r="L109" s="6">
        <f>首页!$B$9*0.0000000567*((C109^4-D109^4)/(C109-D109))</f>
        <v>7.7687338005019564</v>
      </c>
      <c r="M109" s="6">
        <f>IF(首页!$B$13="自然对流",IF(首页!$B$14="立式圆筒",首页!$B$10,PI()*B109/2),PI()*B109/2)</f>
        <v>55.2</v>
      </c>
      <c r="N109" s="7">
        <f>IF(首页!$B$13="强制对流",首页!$B$11*M109/H109,0)</f>
        <v>0</v>
      </c>
      <c r="O109" s="6">
        <f>IF(首页!$B$13="自然对流",IF(首页!$B$14="立式圆筒",(0.825+0.3063*I109^(1/6))^2+0.87*(M109/B109),(0.752+0.303*I109^(1/6))^2),0.3+SQRT((0.592*N109^0.5)^2+(0.0262*N109^0.8/(1-0.5/N109^0.1))^2))</f>
        <v>10165.622137081242</v>
      </c>
      <c r="P109" s="6">
        <f t="shared" si="14"/>
        <v>2.9510194925512497E-2</v>
      </c>
      <c r="Q109" s="6">
        <f t="shared" si="15"/>
        <v>5.4345922247168899</v>
      </c>
      <c r="R109" s="6">
        <f t="shared" si="16"/>
        <v>13.203326025218846</v>
      </c>
      <c r="S109" s="6">
        <f>B109*LN(B109/首页!$B$4)</f>
        <v>0.32981117191748799</v>
      </c>
      <c r="T109" s="6">
        <f>2*首页!$B$8*(E109-C109)/(R109*(C109-D109))</f>
        <v>7.0675971566139903E-2</v>
      </c>
      <c r="U109" t="str">
        <f>IF(首页!$B$13="自然对流","按自然对流公式", "按强制对流公式")</f>
        <v>按自然对流公式</v>
      </c>
      <c r="V109" s="6">
        <f t="shared" si="17"/>
        <v>0.25913520035134807</v>
      </c>
    </row>
    <row r="110" spans="1:22" x14ac:dyDescent="0.15">
      <c r="A110">
        <v>105</v>
      </c>
      <c r="B110" s="6">
        <f>首页!$B$4+2*A110/1000</f>
        <v>0.32999999999999996</v>
      </c>
      <c r="C110" s="6">
        <f>首页!$B$7+273.15</f>
        <v>388.15</v>
      </c>
      <c r="D110" s="6">
        <f>首页!$B$6+273.15</f>
        <v>293.14999999999998</v>
      </c>
      <c r="E110" s="6">
        <f>首页!$B$5+273.15</f>
        <v>1373.15</v>
      </c>
      <c r="F110" s="6">
        <f t="shared" si="9"/>
        <v>95</v>
      </c>
      <c r="G110" s="6">
        <f t="shared" si="10"/>
        <v>340.65</v>
      </c>
      <c r="H110" s="6">
        <f t="shared" si="11"/>
        <v>1.9926207055139041E-5</v>
      </c>
      <c r="I110" s="7">
        <f t="shared" si="12"/>
        <v>1158916576932337.8</v>
      </c>
      <c r="J110" s="6">
        <f t="shared" si="13"/>
        <v>1.0226038455893147</v>
      </c>
      <c r="K110" s="7">
        <f>J110*H110*首页!$B$12/P110</f>
        <v>0.69532757496605813</v>
      </c>
      <c r="L110" s="6">
        <f>首页!$B$9*0.0000000567*((C110^4-D110^4)/(C110-D110))</f>
        <v>7.7687338005019564</v>
      </c>
      <c r="M110" s="6">
        <f>IF(首页!$B$13="自然对流",IF(首页!$B$14="立式圆筒",首页!$B$10,PI()*B110/2),PI()*B110/2)</f>
        <v>55.2</v>
      </c>
      <c r="N110" s="7">
        <f>IF(首页!$B$13="强制对流",首页!$B$11*M110/H110,0)</f>
        <v>0</v>
      </c>
      <c r="O110" s="6">
        <f>IF(首页!$B$13="自然对流",IF(首页!$B$14="立式圆筒",(0.825+0.3063*I110^(1/6))^2+0.87*(M110/B110),(0.752+0.303*I110^(1/6))^2),0.3+SQRT((0.592*N110^0.5)^2+(0.0262*N110^0.8/(1-0.5/N110^0.1))^2))</f>
        <v>10164.734775662173</v>
      </c>
      <c r="P110" s="6">
        <f t="shared" si="14"/>
        <v>2.9510194925512497E-2</v>
      </c>
      <c r="Q110" s="6">
        <f t="shared" si="15"/>
        <v>5.4341178368827219</v>
      </c>
      <c r="R110" s="6">
        <f t="shared" si="16"/>
        <v>13.202851637384679</v>
      </c>
      <c r="S110" s="6">
        <f>B110*LN(B110/首页!$B$4)</f>
        <v>0.33382830085389825</v>
      </c>
      <c r="T110" s="6">
        <f>2*首页!$B$8*(E110-C110)/(R110*(C110-D110))</f>
        <v>7.0678511003982564E-2</v>
      </c>
      <c r="U110" t="str">
        <f>IF(首页!$B$13="自然对流","按自然对流公式", "按强制对流公式")</f>
        <v>按自然对流公式</v>
      </c>
      <c r="V110" s="6">
        <f t="shared" si="17"/>
        <v>0.26314978984991566</v>
      </c>
    </row>
    <row r="111" spans="1:22" x14ac:dyDescent="0.15">
      <c r="A111">
        <v>106</v>
      </c>
      <c r="B111" s="6">
        <f>首页!$B$4+2*A111/1000</f>
        <v>0.33199999999999996</v>
      </c>
      <c r="C111" s="6">
        <f>首页!$B$7+273.15</f>
        <v>388.15</v>
      </c>
      <c r="D111" s="6">
        <f>首页!$B$6+273.15</f>
        <v>293.14999999999998</v>
      </c>
      <c r="E111" s="6">
        <f>首页!$B$5+273.15</f>
        <v>1373.15</v>
      </c>
      <c r="F111" s="6">
        <f t="shared" si="9"/>
        <v>95</v>
      </c>
      <c r="G111" s="6">
        <f t="shared" si="10"/>
        <v>340.65</v>
      </c>
      <c r="H111" s="6">
        <f t="shared" si="11"/>
        <v>1.9926207055139041E-5</v>
      </c>
      <c r="I111" s="7">
        <f t="shared" si="12"/>
        <v>1158916576932337.8</v>
      </c>
      <c r="J111" s="6">
        <f t="shared" si="13"/>
        <v>1.0226038455893147</v>
      </c>
      <c r="K111" s="7">
        <f>J111*H111*首页!$B$12/P111</f>
        <v>0.69532757496605813</v>
      </c>
      <c r="L111" s="6">
        <f>首页!$B$9*0.0000000567*((C111^4-D111^4)/(C111-D111))</f>
        <v>7.7687338005019564</v>
      </c>
      <c r="M111" s="6">
        <f>IF(首页!$B$13="自然对流",IF(首页!$B$14="立式圆筒",首页!$B$10,PI()*B111/2),PI()*B111/2)</f>
        <v>55.2</v>
      </c>
      <c r="N111" s="7">
        <f>IF(首页!$B$13="强制对流",首页!$B$11*M111/H111,0)</f>
        <v>0</v>
      </c>
      <c r="O111" s="6">
        <f>IF(首页!$B$13="自然对流",IF(首页!$B$14="立式圆筒",(0.825+0.3063*I111^(1/6))^2+0.87*(M111/B111),(0.752+0.303*I111^(1/6))^2),0.3+SQRT((0.592*N111^0.5)^2+(0.0262*N111^0.8/(1-0.5/N111^0.1))^2))</f>
        <v>10163.858105344538</v>
      </c>
      <c r="P111" s="6">
        <f t="shared" si="14"/>
        <v>2.9510194925512497E-2</v>
      </c>
      <c r="Q111" s="6">
        <f t="shared" si="15"/>
        <v>5.4336491645646277</v>
      </c>
      <c r="R111" s="6">
        <f t="shared" si="16"/>
        <v>13.202382965066583</v>
      </c>
      <c r="S111" s="6">
        <f>B111*LN(B111/首页!$B$4)</f>
        <v>0.3378575510766349</v>
      </c>
      <c r="T111" s="6">
        <f>2*首页!$B$8*(E111-C111)/(R111*(C111-D111))</f>
        <v>7.068102002539782E-2</v>
      </c>
      <c r="U111" t="str">
        <f>IF(首页!$B$13="自然对流","按自然对流公式", "按强制对流公式")</f>
        <v>按自然对流公式</v>
      </c>
      <c r="V111" s="6">
        <f t="shared" si="17"/>
        <v>0.26717653105123707</v>
      </c>
    </row>
    <row r="112" spans="1:22" x14ac:dyDescent="0.15">
      <c r="A112">
        <v>107</v>
      </c>
      <c r="B112" s="6">
        <f>首页!$B$4+2*A112/1000</f>
        <v>0.33399999999999996</v>
      </c>
      <c r="C112" s="6">
        <f>首页!$B$7+273.15</f>
        <v>388.15</v>
      </c>
      <c r="D112" s="6">
        <f>首页!$B$6+273.15</f>
        <v>293.14999999999998</v>
      </c>
      <c r="E112" s="6">
        <f>首页!$B$5+273.15</f>
        <v>1373.15</v>
      </c>
      <c r="F112" s="6">
        <f t="shared" si="9"/>
        <v>95</v>
      </c>
      <c r="G112" s="6">
        <f t="shared" si="10"/>
        <v>340.65</v>
      </c>
      <c r="H112" s="6">
        <f t="shared" si="11"/>
        <v>1.9926207055139041E-5</v>
      </c>
      <c r="I112" s="7">
        <f t="shared" si="12"/>
        <v>1158916576932337.8</v>
      </c>
      <c r="J112" s="6">
        <f t="shared" si="13"/>
        <v>1.0226038455893147</v>
      </c>
      <c r="K112" s="7">
        <f>J112*H112*首页!$B$12/P112</f>
        <v>0.69532757496605813</v>
      </c>
      <c r="L112" s="6">
        <f>首页!$B$9*0.0000000567*((C112^4-D112^4)/(C112-D112))</f>
        <v>7.7687338005019564</v>
      </c>
      <c r="M112" s="6">
        <f>IF(首页!$B$13="自然对流",IF(首页!$B$14="立式圆筒",首页!$B$10,PI()*B112/2),PI()*B112/2)</f>
        <v>55.2</v>
      </c>
      <c r="N112" s="7">
        <f>IF(首页!$B$13="强制对流",首页!$B$11*M112/H112,0)</f>
        <v>0</v>
      </c>
      <c r="O112" s="6">
        <f>IF(首页!$B$13="自然对流",IF(首页!$B$14="立式圆筒",(0.825+0.3063*I112^(1/6))^2+0.87*(M112/B112),(0.752+0.303*I112^(1/6))^2),0.3+SQRT((0.592*N112^0.5)^2+(0.0262*N112^0.8/(1-0.5/N112^0.1))^2))</f>
        <v>10162.991934072625</v>
      </c>
      <c r="P112" s="6">
        <f t="shared" si="14"/>
        <v>2.9510194925512497E-2</v>
      </c>
      <c r="Q112" s="6">
        <f t="shared" si="15"/>
        <v>5.4331861050886658</v>
      </c>
      <c r="R112" s="6">
        <f t="shared" si="16"/>
        <v>13.201919905590621</v>
      </c>
      <c r="S112" s="6">
        <f>B112*LN(B112/首页!$B$4)</f>
        <v>0.34189884956501454</v>
      </c>
      <c r="T112" s="6">
        <f>2*首页!$B$8*(E112-C112)/(R112*(C112-D112))</f>
        <v>7.0683499173607126E-2</v>
      </c>
      <c r="U112" t="str">
        <f>IF(首页!$B$13="自然对流","按自然对流公式", "按强制对流公式")</f>
        <v>按自然对流公式</v>
      </c>
      <c r="V112" s="6">
        <f t="shared" si="17"/>
        <v>0.27121535039140743</v>
      </c>
    </row>
    <row r="113" spans="1:22" x14ac:dyDescent="0.15">
      <c r="A113">
        <v>108</v>
      </c>
      <c r="B113" s="6">
        <f>首页!$B$4+2*A113/1000</f>
        <v>0.33599999999999997</v>
      </c>
      <c r="C113" s="6">
        <f>首页!$B$7+273.15</f>
        <v>388.15</v>
      </c>
      <c r="D113" s="6">
        <f>首页!$B$6+273.15</f>
        <v>293.14999999999998</v>
      </c>
      <c r="E113" s="6">
        <f>首页!$B$5+273.15</f>
        <v>1373.15</v>
      </c>
      <c r="F113" s="6">
        <f t="shared" si="9"/>
        <v>95</v>
      </c>
      <c r="G113" s="6">
        <f t="shared" si="10"/>
        <v>340.65</v>
      </c>
      <c r="H113" s="6">
        <f t="shared" si="11"/>
        <v>1.9926207055139041E-5</v>
      </c>
      <c r="I113" s="7">
        <f t="shared" si="12"/>
        <v>1158916576932337.8</v>
      </c>
      <c r="J113" s="6">
        <f t="shared" si="13"/>
        <v>1.0226038455893147</v>
      </c>
      <c r="K113" s="7">
        <f>J113*H113*首页!$B$12/P113</f>
        <v>0.69532757496605813</v>
      </c>
      <c r="L113" s="6">
        <f>首页!$B$9*0.0000000567*((C113^4-D113^4)/(C113-D113))</f>
        <v>7.7687338005019564</v>
      </c>
      <c r="M113" s="6">
        <f>IF(首页!$B$13="自然对流",IF(首页!$B$14="立式圆筒",首页!$B$10,PI()*B113/2),PI()*B113/2)</f>
        <v>55.2</v>
      </c>
      <c r="N113" s="7">
        <f>IF(首页!$B$13="强制对流",首页!$B$11*M113/H113,0)</f>
        <v>0</v>
      </c>
      <c r="O113" s="6">
        <f>IF(首页!$B$13="自然对流",IF(首页!$B$14="立式圆筒",(0.825+0.3063*I113^(1/6))^2+0.87*(M113/B113),(0.752+0.303*I113^(1/6))^2),0.3+SQRT((0.592*N113^0.5)^2+(0.0262*N113^0.8/(1-0.5/N113^0.1))^2))</f>
        <v>10162.13607436347</v>
      </c>
      <c r="P113" s="6">
        <f t="shared" si="14"/>
        <v>2.9510194925512497E-2</v>
      </c>
      <c r="Q113" s="6">
        <f t="shared" si="15"/>
        <v>5.4327285582255138</v>
      </c>
      <c r="R113" s="6">
        <f t="shared" si="16"/>
        <v>13.20146235872747</v>
      </c>
      <c r="S113" s="6">
        <f>B113*LN(B113/首页!$B$4)</f>
        <v>0.34595212417286908</v>
      </c>
      <c r="T113" s="6">
        <f>2*首页!$B$8*(E113-C113)/(R113*(C113-D113))</f>
        <v>7.0685948978972971E-2</v>
      </c>
      <c r="U113" t="str">
        <f>IF(首页!$B$13="自然对流","按自然对流公式", "按强制对流公式")</f>
        <v>按自然对流公式</v>
      </c>
      <c r="V113" s="6">
        <f t="shared" si="17"/>
        <v>0.27526617519389612</v>
      </c>
    </row>
    <row r="114" spans="1:22" x14ac:dyDescent="0.15">
      <c r="A114">
        <v>109</v>
      </c>
      <c r="B114" s="6">
        <f>首页!$B$4+2*A114/1000</f>
        <v>0.33799999999999997</v>
      </c>
      <c r="C114" s="6">
        <f>首页!$B$7+273.15</f>
        <v>388.15</v>
      </c>
      <c r="D114" s="6">
        <f>首页!$B$6+273.15</f>
        <v>293.14999999999998</v>
      </c>
      <c r="E114" s="6">
        <f>首页!$B$5+273.15</f>
        <v>1373.15</v>
      </c>
      <c r="F114" s="6">
        <f t="shared" si="9"/>
        <v>95</v>
      </c>
      <c r="G114" s="6">
        <f t="shared" si="10"/>
        <v>340.65</v>
      </c>
      <c r="H114" s="6">
        <f t="shared" si="11"/>
        <v>1.9926207055139041E-5</v>
      </c>
      <c r="I114" s="7">
        <f t="shared" si="12"/>
        <v>1158916576932337.8</v>
      </c>
      <c r="J114" s="6">
        <f t="shared" si="13"/>
        <v>1.0226038455893147</v>
      </c>
      <c r="K114" s="7">
        <f>J114*H114*首页!$B$12/P114</f>
        <v>0.69532757496605813</v>
      </c>
      <c r="L114" s="6">
        <f>首页!$B$9*0.0000000567*((C114^4-D114^4)/(C114-D114))</f>
        <v>7.7687338005019564</v>
      </c>
      <c r="M114" s="6">
        <f>IF(首页!$B$13="自然对流",IF(首页!$B$14="立式圆筒",首页!$B$10,PI()*B114/2),PI()*B114/2)</f>
        <v>55.2</v>
      </c>
      <c r="N114" s="7">
        <f>IF(首页!$B$13="强制对流",首页!$B$11*M114/H114,0)</f>
        <v>0</v>
      </c>
      <c r="O114" s="6">
        <f>IF(首页!$B$13="自然对流",IF(首页!$B$14="立式圆筒",(0.825+0.3063*I114^(1/6))^2+0.87*(M114/B114),(0.752+0.303*I114^(1/6))^2),0.3+SQRT((0.592*N114^0.5)^2+(0.0262*N114^0.8/(1-0.5/N114^0.1))^2))</f>
        <v>10161.290343171586</v>
      </c>
      <c r="P114" s="6">
        <f t="shared" si="14"/>
        <v>2.9510194925512497E-2</v>
      </c>
      <c r="Q114" s="6">
        <f t="shared" si="15"/>
        <v>5.432276426118138</v>
      </c>
      <c r="R114" s="6">
        <f t="shared" si="16"/>
        <v>13.201010226620095</v>
      </c>
      <c r="S114" s="6">
        <f>B114*LN(B114/首页!$B$4)</f>
        <v>0.35001730361292871</v>
      </c>
      <c r="T114" s="6">
        <f>2*首页!$B$8*(E114-C114)/(R114*(C114-D114))</f>
        <v>7.068836995937712E-2</v>
      </c>
      <c r="U114" t="str">
        <f>IF(首页!$B$13="自然对流","按自然对流公式", "按强制对流公式")</f>
        <v>按自然对流公式</v>
      </c>
      <c r="V114" s="6">
        <f t="shared" si="17"/>
        <v>0.2793289336535516</v>
      </c>
    </row>
    <row r="115" spans="1:22" x14ac:dyDescent="0.15">
      <c r="A115">
        <v>110</v>
      </c>
      <c r="B115" s="6">
        <f>首页!$B$4+2*A115/1000</f>
        <v>0.33999999999999997</v>
      </c>
      <c r="C115" s="6">
        <f>首页!$B$7+273.15</f>
        <v>388.15</v>
      </c>
      <c r="D115" s="6">
        <f>首页!$B$6+273.15</f>
        <v>293.14999999999998</v>
      </c>
      <c r="E115" s="6">
        <f>首页!$B$5+273.15</f>
        <v>1373.15</v>
      </c>
      <c r="F115" s="6">
        <f t="shared" si="9"/>
        <v>95</v>
      </c>
      <c r="G115" s="6">
        <f t="shared" si="10"/>
        <v>340.65</v>
      </c>
      <c r="H115" s="6">
        <f t="shared" si="11"/>
        <v>1.9926207055139041E-5</v>
      </c>
      <c r="I115" s="7">
        <f t="shared" si="12"/>
        <v>1158916576932337.8</v>
      </c>
      <c r="J115" s="6">
        <f t="shared" si="13"/>
        <v>1.0226038455893147</v>
      </c>
      <c r="K115" s="7">
        <f>J115*H115*首页!$B$12/P115</f>
        <v>0.69532757496605813</v>
      </c>
      <c r="L115" s="6">
        <f>首页!$B$9*0.0000000567*((C115^4-D115^4)/(C115-D115))</f>
        <v>7.7687338005019564</v>
      </c>
      <c r="M115" s="6">
        <f>IF(首页!$B$13="自然对流",IF(首页!$B$14="立式圆筒",首页!$B$10,PI()*B115/2),PI()*B115/2)</f>
        <v>55.2</v>
      </c>
      <c r="N115" s="7">
        <f>IF(首页!$B$13="强制对流",首页!$B$11*M115/H115,0)</f>
        <v>0</v>
      </c>
      <c r="O115" s="6">
        <f>IF(首页!$B$13="自然对流",IF(首页!$B$14="立式圆筒",(0.825+0.3063*I115^(1/6))^2+0.87*(M115/B115),(0.752+0.303*I115^(1/6))^2),0.3+SQRT((0.592*N115^0.5)^2+(0.0262*N115^0.8/(1-0.5/N115^0.1))^2))</f>
        <v>10160.45456175843</v>
      </c>
      <c r="P115" s="6">
        <f t="shared" si="14"/>
        <v>2.9510194925512497E-2</v>
      </c>
      <c r="Q115" s="6">
        <f t="shared" si="15"/>
        <v>5.4318296132120274</v>
      </c>
      <c r="R115" s="6">
        <f t="shared" si="16"/>
        <v>13.200563413713983</v>
      </c>
      <c r="S115" s="6">
        <f>B115*LN(B115/首页!$B$4)</f>
        <v>0.35409431744157471</v>
      </c>
      <c r="T115" s="6">
        <f>2*首页!$B$8*(E115-C115)/(R115*(C115-D115))</f>
        <v>7.0690762620585587E-2</v>
      </c>
      <c r="U115" t="str">
        <f>IF(首页!$B$13="自然对流","按自然对流公式", "按强制对流公式")</f>
        <v>按自然对流公式</v>
      </c>
      <c r="V115" s="6">
        <f t="shared" si="17"/>
        <v>0.28340355482098911</v>
      </c>
    </row>
    <row r="116" spans="1:22" x14ac:dyDescent="0.15">
      <c r="A116">
        <v>111</v>
      </c>
      <c r="B116" s="6">
        <f>首页!$B$4+2*A116/1000</f>
        <v>0.34199999999999997</v>
      </c>
      <c r="C116" s="6">
        <f>首页!$B$7+273.15</f>
        <v>388.15</v>
      </c>
      <c r="D116" s="6">
        <f>首页!$B$6+273.15</f>
        <v>293.14999999999998</v>
      </c>
      <c r="E116" s="6">
        <f>首页!$B$5+273.15</f>
        <v>1373.15</v>
      </c>
      <c r="F116" s="6">
        <f t="shared" si="9"/>
        <v>95</v>
      </c>
      <c r="G116" s="6">
        <f t="shared" si="10"/>
        <v>340.65</v>
      </c>
      <c r="H116" s="6">
        <f t="shared" si="11"/>
        <v>1.9926207055139041E-5</v>
      </c>
      <c r="I116" s="7">
        <f t="shared" si="12"/>
        <v>1158916576932337.8</v>
      </c>
      <c r="J116" s="6">
        <f t="shared" si="13"/>
        <v>1.0226038455893147</v>
      </c>
      <c r="K116" s="7">
        <f>J116*H116*首页!$B$12/P116</f>
        <v>0.69532757496605813</v>
      </c>
      <c r="L116" s="6">
        <f>首页!$B$9*0.0000000567*((C116^4-D116^4)/(C116-D116))</f>
        <v>7.7687338005019564</v>
      </c>
      <c r="M116" s="6">
        <f>IF(首页!$B$13="自然对流",IF(首页!$B$14="立式圆筒",首页!$B$10,PI()*B116/2),PI()*B116/2)</f>
        <v>55.2</v>
      </c>
      <c r="N116" s="7">
        <f>IF(首页!$B$13="强制对流",首页!$B$11*M116/H116,0)</f>
        <v>0</v>
      </c>
      <c r="O116" s="6">
        <f>IF(首页!$B$13="自然对流",IF(首页!$B$14="立式圆筒",(0.825+0.3063*I116^(1/6))^2+0.87*(M116/B116),(0.752+0.303*I116^(1/6))^2),0.3+SQRT((0.592*N116^0.5)^2+(0.0262*N116^0.8/(1-0.5/N116^0.1))^2))</f>
        <v>10159.628555566478</v>
      </c>
      <c r="P116" s="6">
        <f t="shared" si="14"/>
        <v>2.9510194925512497E-2</v>
      </c>
      <c r="Q116" s="6">
        <f t="shared" si="15"/>
        <v>5.4313880261878573</v>
      </c>
      <c r="R116" s="6">
        <f t="shared" si="16"/>
        <v>13.200121826689813</v>
      </c>
      <c r="S116" s="6">
        <f>B116*LN(B116/首页!$B$4)</f>
        <v>0.35818309604395115</v>
      </c>
      <c r="T116" s="6">
        <f>2*首页!$B$8*(E116-C116)/(R116*(C116-D116))</f>
        <v>7.0693127456600877E-2</v>
      </c>
      <c r="U116" t="str">
        <f>IF(首页!$B$13="自然对流","按自然对流公式", "按强制对流公式")</f>
        <v>按自然对流公式</v>
      </c>
      <c r="V116" s="6">
        <f t="shared" si="17"/>
        <v>0.28748996858735026</v>
      </c>
    </row>
    <row r="117" spans="1:22" x14ac:dyDescent="0.15">
      <c r="A117">
        <v>112</v>
      </c>
      <c r="B117" s="6">
        <f>首页!$B$4+2*A117/1000</f>
        <v>0.34399999999999997</v>
      </c>
      <c r="C117" s="6">
        <f>首页!$B$7+273.15</f>
        <v>388.15</v>
      </c>
      <c r="D117" s="6">
        <f>首页!$B$6+273.15</f>
        <v>293.14999999999998</v>
      </c>
      <c r="E117" s="6">
        <f>首页!$B$5+273.15</f>
        <v>1373.15</v>
      </c>
      <c r="F117" s="6">
        <f t="shared" si="9"/>
        <v>95</v>
      </c>
      <c r="G117" s="6">
        <f t="shared" si="10"/>
        <v>340.65</v>
      </c>
      <c r="H117" s="6">
        <f t="shared" si="11"/>
        <v>1.9926207055139041E-5</v>
      </c>
      <c r="I117" s="7">
        <f t="shared" si="12"/>
        <v>1158916576932337.8</v>
      </c>
      <c r="J117" s="6">
        <f t="shared" si="13"/>
        <v>1.0226038455893147</v>
      </c>
      <c r="K117" s="7">
        <f>J117*H117*首页!$B$12/P117</f>
        <v>0.69532757496605813</v>
      </c>
      <c r="L117" s="6">
        <f>首页!$B$9*0.0000000567*((C117^4-D117^4)/(C117-D117))</f>
        <v>7.7687338005019564</v>
      </c>
      <c r="M117" s="6">
        <f>IF(首页!$B$13="自然对流",IF(首页!$B$14="立式圆筒",首页!$B$10,PI()*B117/2),PI()*B117/2)</f>
        <v>55.2</v>
      </c>
      <c r="N117" s="7">
        <f>IF(首页!$B$13="强制对流",首页!$B$11*M117/H117,0)</f>
        <v>0</v>
      </c>
      <c r="O117" s="6">
        <f>IF(首页!$B$13="自然对流",IF(首页!$B$14="立式圆筒",(0.825+0.3063*I117^(1/6))^2+0.87*(M117/B117),(0.752+0.303*I117^(1/6))^2),0.3+SQRT((0.592*N117^0.5)^2+(0.0262*N117^0.8/(1-0.5/N117^0.1))^2))</f>
        <v>10158.81215409769</v>
      </c>
      <c r="P117" s="6">
        <f t="shared" si="14"/>
        <v>2.9510194925512497E-2</v>
      </c>
      <c r="Q117" s="6">
        <f t="shared" si="15"/>
        <v>5.4309515738965271</v>
      </c>
      <c r="R117" s="6">
        <f t="shared" si="16"/>
        <v>13.199685374398484</v>
      </c>
      <c r="S117" s="6">
        <f>B117*LN(B117/首页!$B$4)</f>
        <v>0.36228357061942518</v>
      </c>
      <c r="T117" s="6">
        <f>2*首页!$B$8*(E117-C117)/(R117*(C117-D117))</f>
        <v>7.0695464950002007E-2</v>
      </c>
      <c r="U117" t="str">
        <f>IF(首页!$B$13="自然对流","按自然对流公式", "按强制对流公式")</f>
        <v>按自然对流公式</v>
      </c>
      <c r="V117" s="6">
        <f t="shared" si="17"/>
        <v>0.29158810566942317</v>
      </c>
    </row>
    <row r="118" spans="1:22" x14ac:dyDescent="0.15">
      <c r="A118">
        <v>113</v>
      </c>
      <c r="B118" s="6">
        <f>首页!$B$4+2*A118/1000</f>
        <v>0.34599999999999997</v>
      </c>
      <c r="C118" s="6">
        <f>首页!$B$7+273.15</f>
        <v>388.15</v>
      </c>
      <c r="D118" s="6">
        <f>首页!$B$6+273.15</f>
        <v>293.14999999999998</v>
      </c>
      <c r="E118" s="6">
        <f>首页!$B$5+273.15</f>
        <v>1373.15</v>
      </c>
      <c r="F118" s="6">
        <f t="shared" si="9"/>
        <v>95</v>
      </c>
      <c r="G118" s="6">
        <f t="shared" si="10"/>
        <v>340.65</v>
      </c>
      <c r="H118" s="6">
        <f t="shared" si="11"/>
        <v>1.9926207055139041E-5</v>
      </c>
      <c r="I118" s="7">
        <f t="shared" si="12"/>
        <v>1158916576932337.8</v>
      </c>
      <c r="J118" s="6">
        <f t="shared" si="13"/>
        <v>1.0226038455893147</v>
      </c>
      <c r="K118" s="7">
        <f>J118*H118*首页!$B$12/P118</f>
        <v>0.69532757496605813</v>
      </c>
      <c r="L118" s="6">
        <f>首页!$B$9*0.0000000567*((C118^4-D118^4)/(C118-D118))</f>
        <v>7.7687338005019564</v>
      </c>
      <c r="M118" s="6">
        <f>IF(首页!$B$13="自然对流",IF(首页!$B$14="立式圆筒",首页!$B$10,PI()*B118/2),PI()*B118/2)</f>
        <v>55.2</v>
      </c>
      <c r="N118" s="7">
        <f>IF(首页!$B$13="强制对流",首页!$B$11*M118/H118,0)</f>
        <v>0</v>
      </c>
      <c r="O118" s="6">
        <f>IF(首页!$B$13="自然对流",IF(首页!$B$14="立式圆筒",(0.825+0.3063*I118^(1/6))^2+0.87*(M118/B118),(0.752+0.303*I118^(1/6))^2),0.3+SQRT((0.592*N118^0.5)^2+(0.0262*N118^0.8/(1-0.5/N118^0.1))^2))</f>
        <v>10158.005190796172</v>
      </c>
      <c r="P118" s="6">
        <f t="shared" si="14"/>
        <v>2.9510194925512497E-2</v>
      </c>
      <c r="Q118" s="6">
        <f t="shared" si="15"/>
        <v>5.4305201672964269</v>
      </c>
      <c r="R118" s="6">
        <f t="shared" si="16"/>
        <v>13.199253967798384</v>
      </c>
      <c r="S118" s="6">
        <f>B118*LN(B118/首页!$B$4)</f>
        <v>0.36639567316738464</v>
      </c>
      <c r="T118" s="6">
        <f>2*首页!$B$8*(E118-C118)/(R118*(C118-D118))</f>
        <v>7.0697775572272845E-2</v>
      </c>
      <c r="U118" t="str">
        <f>IF(首页!$B$13="自然对流","按自然对流公式", "按强制对流公式")</f>
        <v>按自然对流公式</v>
      </c>
      <c r="V118" s="6">
        <f t="shared" si="17"/>
        <v>0.29569789759511178</v>
      </c>
    </row>
    <row r="119" spans="1:22" x14ac:dyDescent="0.15">
      <c r="A119">
        <v>114</v>
      </c>
      <c r="B119" s="6">
        <f>首页!$B$4+2*A119/1000</f>
        <v>0.34799999999999998</v>
      </c>
      <c r="C119" s="6">
        <f>首页!$B$7+273.15</f>
        <v>388.15</v>
      </c>
      <c r="D119" s="6">
        <f>首页!$B$6+273.15</f>
        <v>293.14999999999998</v>
      </c>
      <c r="E119" s="6">
        <f>首页!$B$5+273.15</f>
        <v>1373.15</v>
      </c>
      <c r="F119" s="6">
        <f t="shared" si="9"/>
        <v>95</v>
      </c>
      <c r="G119" s="6">
        <f t="shared" si="10"/>
        <v>340.65</v>
      </c>
      <c r="H119" s="6">
        <f t="shared" si="11"/>
        <v>1.9926207055139041E-5</v>
      </c>
      <c r="I119" s="7">
        <f t="shared" si="12"/>
        <v>1158916576932337.8</v>
      </c>
      <c r="J119" s="6">
        <f t="shared" si="13"/>
        <v>1.0226038455893147</v>
      </c>
      <c r="K119" s="7">
        <f>J119*H119*首页!$B$12/P119</f>
        <v>0.69532757496605813</v>
      </c>
      <c r="L119" s="6">
        <f>首页!$B$9*0.0000000567*((C119^4-D119^4)/(C119-D119))</f>
        <v>7.7687338005019564</v>
      </c>
      <c r="M119" s="6">
        <f>IF(首页!$B$13="自然对流",IF(首页!$B$14="立式圆筒",首页!$B$10,PI()*B119/2),PI()*B119/2)</f>
        <v>55.2</v>
      </c>
      <c r="N119" s="7">
        <f>IF(首页!$B$13="强制对流",首页!$B$11*M119/H119,0)</f>
        <v>0</v>
      </c>
      <c r="O119" s="6">
        <f>IF(首页!$B$13="自然对流",IF(首页!$B$14="立式圆筒",(0.825+0.3063*I119^(1/6))^2+0.87*(M119/B119),(0.752+0.303*I119^(1/6))^2),0.3+SQRT((0.592*N119^0.5)^2+(0.0262*N119^0.8/(1-0.5/N119^0.1))^2))</f>
        <v>10157.2075029349</v>
      </c>
      <c r="P119" s="6">
        <f t="shared" si="14"/>
        <v>2.9510194925512497E-2</v>
      </c>
      <c r="Q119" s="6">
        <f t="shared" si="15"/>
        <v>5.4300937193928789</v>
      </c>
      <c r="R119" s="6">
        <f t="shared" si="16"/>
        <v>13.198827519894834</v>
      </c>
      <c r="S119" s="6">
        <f>B119*LN(B119/首页!$B$4)</f>
        <v>0.37051933647336499</v>
      </c>
      <c r="T119" s="6">
        <f>2*首页!$B$8*(E119-C119)/(R119*(C119-D119))</f>
        <v>7.0700059784119168E-2</v>
      </c>
      <c r="U119" t="str">
        <f>IF(首页!$B$13="自然对流","按自然对流公式", "按强制对流公式")</f>
        <v>按自然对流公式</v>
      </c>
      <c r="V119" s="6">
        <f t="shared" si="17"/>
        <v>0.29981927668924579</v>
      </c>
    </row>
    <row r="120" spans="1:22" x14ac:dyDescent="0.15">
      <c r="A120">
        <v>115</v>
      </c>
      <c r="B120" s="6">
        <f>首页!$B$4+2*A120/1000</f>
        <v>0.35</v>
      </c>
      <c r="C120" s="6">
        <f>首页!$B$7+273.15</f>
        <v>388.15</v>
      </c>
      <c r="D120" s="6">
        <f>首页!$B$6+273.15</f>
        <v>293.14999999999998</v>
      </c>
      <c r="E120" s="6">
        <f>首页!$B$5+273.15</f>
        <v>1373.15</v>
      </c>
      <c r="F120" s="6">
        <f t="shared" si="9"/>
        <v>95</v>
      </c>
      <c r="G120" s="6">
        <f t="shared" si="10"/>
        <v>340.65</v>
      </c>
      <c r="H120" s="6">
        <f t="shared" si="11"/>
        <v>1.9926207055139041E-5</v>
      </c>
      <c r="I120" s="7">
        <f t="shared" si="12"/>
        <v>1158916576932337.8</v>
      </c>
      <c r="J120" s="6">
        <f t="shared" si="13"/>
        <v>1.0226038455893147</v>
      </c>
      <c r="K120" s="7">
        <f>J120*H120*首页!$B$12/P120</f>
        <v>0.69532757496605813</v>
      </c>
      <c r="L120" s="6">
        <f>首页!$B$9*0.0000000567*((C120^4-D120^4)/(C120-D120))</f>
        <v>7.7687338005019564</v>
      </c>
      <c r="M120" s="6">
        <f>IF(首页!$B$13="自然对流",IF(首页!$B$14="立式圆筒",首页!$B$10,PI()*B120/2),PI()*B120/2)</f>
        <v>55.2</v>
      </c>
      <c r="N120" s="7">
        <f>IF(首页!$B$13="强制对流",首页!$B$11*M120/H120,0)</f>
        <v>0</v>
      </c>
      <c r="O120" s="6">
        <f>IF(首页!$B$13="自然对流",IF(首页!$B$14="立式圆筒",(0.825+0.3063*I120^(1/6))^2+0.87*(M120/B120),(0.752+0.303*I120^(1/6))^2),0.3+SQRT((0.592*N120^0.5)^2+(0.0262*N120^0.8/(1-0.5/N120^0.1))^2))</f>
        <v>10156.418931506329</v>
      </c>
      <c r="P120" s="6">
        <f t="shared" si="14"/>
        <v>2.9510194925512497E-2</v>
      </c>
      <c r="Q120" s="6">
        <f t="shared" si="15"/>
        <v>5.4296721451796577</v>
      </c>
      <c r="R120" s="6">
        <f t="shared" si="16"/>
        <v>13.198405945681614</v>
      </c>
      <c r="S120" s="6">
        <f>B120*LN(B120/首页!$B$4)</f>
        <v>0.37465449409549467</v>
      </c>
      <c r="T120" s="6">
        <f>2*首页!$B$8*(E120-C120)/(R120*(C120-D120))</f>
        <v>7.0702318035774772E-2</v>
      </c>
      <c r="U120" t="str">
        <f>IF(首页!$B$13="自然对流","按自然对流公式", "按强制对流公式")</f>
        <v>按自然对流公式</v>
      </c>
      <c r="V120" s="6">
        <f t="shared" si="17"/>
        <v>0.30395217605971991</v>
      </c>
    </row>
    <row r="121" spans="1:22" x14ac:dyDescent="0.15">
      <c r="A121">
        <v>116</v>
      </c>
      <c r="B121" s="6">
        <f>首页!$B$4+2*A121/1000</f>
        <v>0.35199999999999998</v>
      </c>
      <c r="C121" s="6">
        <f>首页!$B$7+273.15</f>
        <v>388.15</v>
      </c>
      <c r="D121" s="6">
        <f>首页!$B$6+273.15</f>
        <v>293.14999999999998</v>
      </c>
      <c r="E121" s="6">
        <f>首页!$B$5+273.15</f>
        <v>1373.15</v>
      </c>
      <c r="F121" s="6">
        <f t="shared" si="9"/>
        <v>95</v>
      </c>
      <c r="G121" s="6">
        <f t="shared" si="10"/>
        <v>340.65</v>
      </c>
      <c r="H121" s="6">
        <f t="shared" si="11"/>
        <v>1.9926207055139041E-5</v>
      </c>
      <c r="I121" s="7">
        <f t="shared" si="12"/>
        <v>1158916576932337.8</v>
      </c>
      <c r="J121" s="6">
        <f t="shared" si="13"/>
        <v>1.0226038455893147</v>
      </c>
      <c r="K121" s="7">
        <f>J121*H121*首页!$B$12/P121</f>
        <v>0.69532757496605813</v>
      </c>
      <c r="L121" s="6">
        <f>首页!$B$9*0.0000000567*((C121^4-D121^4)/(C121-D121))</f>
        <v>7.7687338005019564</v>
      </c>
      <c r="M121" s="6">
        <f>IF(首页!$B$13="自然对流",IF(首页!$B$14="立式圆筒",首页!$B$10,PI()*B121/2),PI()*B121/2)</f>
        <v>55.2</v>
      </c>
      <c r="N121" s="7">
        <f>IF(首页!$B$13="强制对流",首页!$B$11*M121/H121,0)</f>
        <v>0</v>
      </c>
      <c r="O121" s="6">
        <f>IF(首页!$B$13="自然对流",IF(首页!$B$14="立式圆筒",(0.825+0.3063*I121^(1/6))^2+0.87*(M121/B121),(0.752+0.303*I121^(1/6))^2),0.3+SQRT((0.592*N121^0.5)^2+(0.0262*N121^0.8/(1-0.5/N121^0.1))^2))</f>
        <v>10155.639321116718</v>
      </c>
      <c r="P121" s="6">
        <f t="shared" si="14"/>
        <v>2.9510194925512497E-2</v>
      </c>
      <c r="Q121" s="6">
        <f t="shared" si="15"/>
        <v>5.429255361582495</v>
      </c>
      <c r="R121" s="6">
        <f t="shared" si="16"/>
        <v>13.19798916208445</v>
      </c>
      <c r="S121" s="6">
        <f>B121*LN(B121/首页!$B$4)</f>
        <v>0.37880108035124993</v>
      </c>
      <c r="T121" s="6">
        <f>2*首页!$B$8*(E121-C121)/(R121*(C121-D121))</f>
        <v>7.0704550767297494E-2</v>
      </c>
      <c r="U121" t="str">
        <f>IF(首页!$B$13="自然对流","按自然对流公式", "按强制对流公式")</f>
        <v>按自然对流公式</v>
      </c>
      <c r="V121" s="6">
        <f t="shared" si="17"/>
        <v>0.30809652958395245</v>
      </c>
    </row>
    <row r="122" spans="1:22" x14ac:dyDescent="0.15">
      <c r="A122">
        <v>117</v>
      </c>
      <c r="B122" s="6">
        <f>首页!$B$4+2*A122/1000</f>
        <v>0.35399999999999998</v>
      </c>
      <c r="C122" s="6">
        <f>首页!$B$7+273.15</f>
        <v>388.15</v>
      </c>
      <c r="D122" s="6">
        <f>首页!$B$6+273.15</f>
        <v>293.14999999999998</v>
      </c>
      <c r="E122" s="6">
        <f>首页!$B$5+273.15</f>
        <v>1373.15</v>
      </c>
      <c r="F122" s="6">
        <f t="shared" si="9"/>
        <v>95</v>
      </c>
      <c r="G122" s="6">
        <f t="shared" si="10"/>
        <v>340.65</v>
      </c>
      <c r="H122" s="6">
        <f t="shared" si="11"/>
        <v>1.9926207055139041E-5</v>
      </c>
      <c r="I122" s="7">
        <f t="shared" si="12"/>
        <v>1158916576932337.8</v>
      </c>
      <c r="J122" s="6">
        <f t="shared" si="13"/>
        <v>1.0226038455893147</v>
      </c>
      <c r="K122" s="7">
        <f>J122*H122*首页!$B$12/P122</f>
        <v>0.69532757496605813</v>
      </c>
      <c r="L122" s="6">
        <f>首页!$B$9*0.0000000567*((C122^4-D122^4)/(C122-D122))</f>
        <v>7.7687338005019564</v>
      </c>
      <c r="M122" s="6">
        <f>IF(首页!$B$13="自然对流",IF(首页!$B$14="立式圆筒",首页!$B$10,PI()*B122/2),PI()*B122/2)</f>
        <v>55.2</v>
      </c>
      <c r="N122" s="7">
        <f>IF(首页!$B$13="强制对流",首页!$B$11*M122/H122,0)</f>
        <v>0</v>
      </c>
      <c r="O122" s="6">
        <f>IF(首页!$B$13="自然对流",IF(首页!$B$14="立式圆筒",(0.825+0.3063*I122^(1/6))^2+0.87*(M122/B122),(0.752+0.303*I122^(1/6))^2),0.3+SQRT((0.592*N122^0.5)^2+(0.0262*N122^0.8/(1-0.5/N122^0.1))^2))</f>
        <v>10154.868519884052</v>
      </c>
      <c r="P122" s="6">
        <f t="shared" si="14"/>
        <v>2.9510194925512497E-2</v>
      </c>
      <c r="Q122" s="6">
        <f t="shared" si="15"/>
        <v>5.4288432874045096</v>
      </c>
      <c r="R122" s="6">
        <f t="shared" si="16"/>
        <v>13.197577087906467</v>
      </c>
      <c r="S122" s="6">
        <f>B122*LN(B122/首页!$B$4)</f>
        <v>0.38295903030451184</v>
      </c>
      <c r="T122" s="6">
        <f>2*首页!$B$8*(E122-C122)/(R122*(C122-D122))</f>
        <v>7.0706758408854958E-2</v>
      </c>
      <c r="U122" t="str">
        <f>IF(首页!$B$13="自然对流","按自然对流公式", "按强制对流公式")</f>
        <v>按自然对流公式</v>
      </c>
      <c r="V122" s="6">
        <f t="shared" si="17"/>
        <v>0.31225227189565685</v>
      </c>
    </row>
    <row r="123" spans="1:22" x14ac:dyDescent="0.15">
      <c r="A123">
        <v>118</v>
      </c>
      <c r="B123" s="6">
        <f>首页!$B$4+2*A123/1000</f>
        <v>0.35599999999999998</v>
      </c>
      <c r="C123" s="6">
        <f>首页!$B$7+273.15</f>
        <v>388.15</v>
      </c>
      <c r="D123" s="6">
        <f>首页!$B$6+273.15</f>
        <v>293.14999999999998</v>
      </c>
      <c r="E123" s="6">
        <f>首页!$B$5+273.15</f>
        <v>1373.15</v>
      </c>
      <c r="F123" s="6">
        <f t="shared" si="9"/>
        <v>95</v>
      </c>
      <c r="G123" s="6">
        <f t="shared" si="10"/>
        <v>340.65</v>
      </c>
      <c r="H123" s="6">
        <f t="shared" si="11"/>
        <v>1.9926207055139041E-5</v>
      </c>
      <c r="I123" s="7">
        <f t="shared" si="12"/>
        <v>1158916576932337.8</v>
      </c>
      <c r="J123" s="6">
        <f t="shared" si="13"/>
        <v>1.0226038455893147</v>
      </c>
      <c r="K123" s="7">
        <f>J123*H123*首页!$B$12/P123</f>
        <v>0.69532757496605813</v>
      </c>
      <c r="L123" s="6">
        <f>首页!$B$9*0.0000000567*((C123^4-D123^4)/(C123-D123))</f>
        <v>7.7687338005019564</v>
      </c>
      <c r="M123" s="6">
        <f>IF(首页!$B$13="自然对流",IF(首页!$B$14="立式圆筒",首页!$B$10,PI()*B123/2),PI()*B123/2)</f>
        <v>55.2</v>
      </c>
      <c r="N123" s="7">
        <f>IF(首页!$B$13="强制对流",首页!$B$11*M123/H123,0)</f>
        <v>0</v>
      </c>
      <c r="O123" s="6">
        <f>IF(首页!$B$13="自然对流",IF(首页!$B$14="立式圆筒",(0.825+0.3063*I123^(1/6))^2+0.87*(M123/B123),(0.752+0.303*I123^(1/6))^2),0.3+SQRT((0.592*N123^0.5)^2+(0.0262*N123^0.8/(1-0.5/N123^0.1))^2))</f>
        <v>10154.106379339395</v>
      </c>
      <c r="P123" s="6">
        <f t="shared" si="14"/>
        <v>2.9510194925512497E-2</v>
      </c>
      <c r="Q123" s="6">
        <f t="shared" si="15"/>
        <v>5.4284358432734683</v>
      </c>
      <c r="R123" s="6">
        <f t="shared" si="16"/>
        <v>13.197169643775425</v>
      </c>
      <c r="S123" s="6">
        <f>B123*LN(B123/首页!$B$4)</f>
        <v>0.38712827975291442</v>
      </c>
      <c r="T123" s="6">
        <f>2*首页!$B$8*(E123-C123)/(R123*(C123-D123))</f>
        <v>7.0708941381000978E-2</v>
      </c>
      <c r="U123" t="str">
        <f>IF(首页!$B$13="自然对流","按自然对流公式", "按强制对流公式")</f>
        <v>按自然对流公式</v>
      </c>
      <c r="V123" s="6">
        <f t="shared" si="17"/>
        <v>0.31641933837191344</v>
      </c>
    </row>
    <row r="124" spans="1:22" x14ac:dyDescent="0.15">
      <c r="A124">
        <v>119</v>
      </c>
      <c r="B124" s="6">
        <f>首页!$B$4+2*A124/1000</f>
        <v>0.35799999999999998</v>
      </c>
      <c r="C124" s="6">
        <f>首页!$B$7+273.15</f>
        <v>388.15</v>
      </c>
      <c r="D124" s="6">
        <f>首页!$B$6+273.15</f>
        <v>293.14999999999998</v>
      </c>
      <c r="E124" s="6">
        <f>首页!$B$5+273.15</f>
        <v>1373.15</v>
      </c>
      <c r="F124" s="6">
        <f t="shared" si="9"/>
        <v>95</v>
      </c>
      <c r="G124" s="6">
        <f t="shared" si="10"/>
        <v>340.65</v>
      </c>
      <c r="H124" s="6">
        <f t="shared" si="11"/>
        <v>1.9926207055139041E-5</v>
      </c>
      <c r="I124" s="7">
        <f t="shared" si="12"/>
        <v>1158916576932337.8</v>
      </c>
      <c r="J124" s="6">
        <f t="shared" si="13"/>
        <v>1.0226038455893147</v>
      </c>
      <c r="K124" s="7">
        <f>J124*H124*首页!$B$12/P124</f>
        <v>0.69532757496605813</v>
      </c>
      <c r="L124" s="6">
        <f>首页!$B$9*0.0000000567*((C124^4-D124^4)/(C124-D124))</f>
        <v>7.7687338005019564</v>
      </c>
      <c r="M124" s="6">
        <f>IF(首页!$B$13="自然对流",IF(首页!$B$14="立式圆筒",首页!$B$10,PI()*B124/2),PI()*B124/2)</f>
        <v>55.2</v>
      </c>
      <c r="N124" s="7">
        <f>IF(首页!$B$13="强制对流",首页!$B$11*M124/H124,0)</f>
        <v>0</v>
      </c>
      <c r="O124" s="6">
        <f>IF(首页!$B$13="自然对流",IF(首页!$B$14="立式圆筒",(0.825+0.3063*I124^(1/6))^2+0.87*(M124/B124),(0.752+0.303*I124^(1/6))^2),0.3+SQRT((0.592*N124^0.5)^2+(0.0262*N124^0.8/(1-0.5/N124^0.1))^2))</f>
        <v>10153.352754331549</v>
      </c>
      <c r="P124" s="6">
        <f t="shared" si="14"/>
        <v>2.9510194925512497E-2</v>
      </c>
      <c r="Q124" s="6">
        <f t="shared" si="15"/>
        <v>5.4280329515908186</v>
      </c>
      <c r="R124" s="6">
        <f t="shared" si="16"/>
        <v>13.196766752092774</v>
      </c>
      <c r="S124" s="6">
        <f>B124*LN(B124/首页!$B$4)</f>
        <v>0.39130876521547819</v>
      </c>
      <c r="T124" s="6">
        <f>2*首页!$B$8*(E124-C124)/(R124*(C124-D124))</f>
        <v>7.0711100094942553E-2</v>
      </c>
      <c r="U124" t="str">
        <f>IF(首页!$B$13="自然对流","按自然对流公式", "按强制对流公式")</f>
        <v>按自然对流公式</v>
      </c>
      <c r="V124" s="6">
        <f t="shared" si="17"/>
        <v>0.32059766512053567</v>
      </c>
    </row>
    <row r="125" spans="1:22" x14ac:dyDescent="0.15">
      <c r="A125">
        <v>120</v>
      </c>
      <c r="B125" s="6">
        <f>首页!$B$4+2*A125/1000</f>
        <v>0.36</v>
      </c>
      <c r="C125" s="6">
        <f>首页!$B$7+273.15</f>
        <v>388.15</v>
      </c>
      <c r="D125" s="6">
        <f>首页!$B$6+273.15</f>
        <v>293.14999999999998</v>
      </c>
      <c r="E125" s="6">
        <f>首页!$B$5+273.15</f>
        <v>1373.15</v>
      </c>
      <c r="F125" s="6">
        <f t="shared" si="9"/>
        <v>95</v>
      </c>
      <c r="G125" s="6">
        <f t="shared" si="10"/>
        <v>340.65</v>
      </c>
      <c r="H125" s="6">
        <f t="shared" si="11"/>
        <v>1.9926207055139041E-5</v>
      </c>
      <c r="I125" s="7">
        <f t="shared" si="12"/>
        <v>1158916576932337.8</v>
      </c>
      <c r="J125" s="6">
        <f t="shared" si="13"/>
        <v>1.0226038455893147</v>
      </c>
      <c r="K125" s="7">
        <f>J125*H125*首页!$B$12/P125</f>
        <v>0.69532757496605813</v>
      </c>
      <c r="L125" s="6">
        <f>首页!$B$9*0.0000000567*((C125^4-D125^4)/(C125-D125))</f>
        <v>7.7687338005019564</v>
      </c>
      <c r="M125" s="6">
        <f>IF(首页!$B$13="自然对流",IF(首页!$B$14="立式圆筒",首页!$B$10,PI()*B125/2),PI()*B125/2)</f>
        <v>55.2</v>
      </c>
      <c r="N125" s="7">
        <f>IF(首页!$B$13="强制对流",首页!$B$11*M125/H125,0)</f>
        <v>0</v>
      </c>
      <c r="O125" s="6">
        <f>IF(首页!$B$13="自然对流",IF(首页!$B$14="立式圆筒",(0.825+0.3063*I125^(1/6))^2+0.87*(M125/B125),(0.752+0.303*I125^(1/6))^2),0.3+SQRT((0.592*N125^0.5)^2+(0.0262*N125^0.8/(1-0.5/N125^0.1))^2))</f>
        <v>10152.607502934899</v>
      </c>
      <c r="P125" s="6">
        <f t="shared" si="14"/>
        <v>2.9510194925512497E-2</v>
      </c>
      <c r="Q125" s="6">
        <f t="shared" si="15"/>
        <v>5.4276345364824188</v>
      </c>
      <c r="R125" s="6">
        <f t="shared" si="16"/>
        <v>13.196368336984374</v>
      </c>
      <c r="S125" s="6">
        <f>B125*LN(B125/首页!$B$4)</f>
        <v>0.39550042392051948</v>
      </c>
      <c r="T125" s="6">
        <f>2*首页!$B$8*(E125-C125)/(R125*(C125-D125))</f>
        <v>7.0713234952798146E-2</v>
      </c>
      <c r="U125" t="str">
        <f>IF(首页!$B$13="自然对流","按自然对流公式", "按强制对流公式")</f>
        <v>按自然对流公式</v>
      </c>
      <c r="V125" s="6">
        <f t="shared" si="17"/>
        <v>0.32478718896772135</v>
      </c>
    </row>
    <row r="126" spans="1:22" x14ac:dyDescent="0.15">
      <c r="A126">
        <v>121</v>
      </c>
      <c r="B126" s="6">
        <f>首页!$B$4+2*A126/1000</f>
        <v>0.36199999999999999</v>
      </c>
      <c r="C126" s="6">
        <f>首页!$B$7+273.15</f>
        <v>388.15</v>
      </c>
      <c r="D126" s="6">
        <f>首页!$B$6+273.15</f>
        <v>293.14999999999998</v>
      </c>
      <c r="E126" s="6">
        <f>首页!$B$5+273.15</f>
        <v>1373.15</v>
      </c>
      <c r="F126" s="6">
        <f t="shared" si="9"/>
        <v>95</v>
      </c>
      <c r="G126" s="6">
        <f t="shared" si="10"/>
        <v>340.65</v>
      </c>
      <c r="H126" s="6">
        <f t="shared" si="11"/>
        <v>1.9926207055139041E-5</v>
      </c>
      <c r="I126" s="7">
        <f t="shared" si="12"/>
        <v>1158916576932337.8</v>
      </c>
      <c r="J126" s="6">
        <f t="shared" si="13"/>
        <v>1.0226038455893147</v>
      </c>
      <c r="K126" s="7">
        <f>J126*H126*首页!$B$12/P126</f>
        <v>0.69532757496605813</v>
      </c>
      <c r="L126" s="6">
        <f>首页!$B$9*0.0000000567*((C126^4-D126^4)/(C126-D126))</f>
        <v>7.7687338005019564</v>
      </c>
      <c r="M126" s="6">
        <f>IF(首页!$B$13="自然对流",IF(首页!$B$14="立式圆筒",首页!$B$10,PI()*B126/2),PI()*B126/2)</f>
        <v>55.2</v>
      </c>
      <c r="N126" s="7">
        <f>IF(首页!$B$13="强制对流",首页!$B$11*M126/H126,0)</f>
        <v>0</v>
      </c>
      <c r="O126" s="6">
        <f>IF(首页!$B$13="自然对流",IF(首页!$B$14="立式圆筒",(0.825+0.3063*I126^(1/6))^2+0.87*(M126/B126),(0.752+0.303*I126^(1/6))^2),0.3+SQRT((0.592*N126^0.5)^2+(0.0262*N126^0.8/(1-0.5/N126^0.1))^2))</f>
        <v>10151.870486360314</v>
      </c>
      <c r="P126" s="6">
        <f t="shared" si="14"/>
        <v>2.9510194925512497E-2</v>
      </c>
      <c r="Q126" s="6">
        <f t="shared" si="15"/>
        <v>5.4272405237509096</v>
      </c>
      <c r="R126" s="6">
        <f t="shared" si="16"/>
        <v>13.195974324252866</v>
      </c>
      <c r="S126" s="6">
        <f>B126*LN(B126/首页!$B$4)</f>
        <v>0.39970319379382846</v>
      </c>
      <c r="T126" s="6">
        <f>2*首页!$B$8*(E126-C126)/(R126*(C126-D126))</f>
        <v>7.0715346347847333E-2</v>
      </c>
      <c r="U126" t="str">
        <f>IF(首页!$B$13="自然对流","按自然对流公式", "按强制对流公式")</f>
        <v>按自然对流公式</v>
      </c>
      <c r="V126" s="6">
        <f t="shared" si="17"/>
        <v>0.32898784744598114</v>
      </c>
    </row>
    <row r="127" spans="1:22" x14ac:dyDescent="0.15">
      <c r="A127">
        <v>122</v>
      </c>
      <c r="B127" s="6">
        <f>首页!$B$4+2*A127/1000</f>
        <v>0.36399999999999999</v>
      </c>
      <c r="C127" s="6">
        <f>首页!$B$7+273.15</f>
        <v>388.15</v>
      </c>
      <c r="D127" s="6">
        <f>首页!$B$6+273.15</f>
        <v>293.14999999999998</v>
      </c>
      <c r="E127" s="6">
        <f>首页!$B$5+273.15</f>
        <v>1373.15</v>
      </c>
      <c r="F127" s="6">
        <f t="shared" si="9"/>
        <v>95</v>
      </c>
      <c r="G127" s="6">
        <f t="shared" si="10"/>
        <v>340.65</v>
      </c>
      <c r="H127" s="6">
        <f t="shared" si="11"/>
        <v>1.9926207055139041E-5</v>
      </c>
      <c r="I127" s="7">
        <f t="shared" si="12"/>
        <v>1158916576932337.8</v>
      </c>
      <c r="J127" s="6">
        <f t="shared" si="13"/>
        <v>1.0226038455893147</v>
      </c>
      <c r="K127" s="7">
        <f>J127*H127*首页!$B$12/P127</f>
        <v>0.69532757496605813</v>
      </c>
      <c r="L127" s="6">
        <f>首页!$B$9*0.0000000567*((C127^4-D127^4)/(C127-D127))</f>
        <v>7.7687338005019564</v>
      </c>
      <c r="M127" s="6">
        <f>IF(首页!$B$13="自然对流",IF(首页!$B$14="立式圆筒",首页!$B$10,PI()*B127/2),PI()*B127/2)</f>
        <v>55.2</v>
      </c>
      <c r="N127" s="7">
        <f>IF(首页!$B$13="强制对流",首页!$B$11*M127/H127,0)</f>
        <v>0</v>
      </c>
      <c r="O127" s="6">
        <f>IF(首页!$B$13="自然对流",IF(首页!$B$14="立式圆筒",(0.825+0.3063*I127^(1/6))^2+0.87*(M127/B127),(0.752+0.303*I127^(1/6))^2),0.3+SQRT((0.592*N127^0.5)^2+(0.0262*N127^0.8/(1-0.5/N127^0.1))^2))</f>
        <v>10151.141568868965</v>
      </c>
      <c r="P127" s="6">
        <f t="shared" si="14"/>
        <v>2.9510194925512497E-2</v>
      </c>
      <c r="Q127" s="6">
        <f t="shared" si="15"/>
        <v>5.4268508408296352</v>
      </c>
      <c r="R127" s="6">
        <f t="shared" si="16"/>
        <v>13.195584641331592</v>
      </c>
      <c r="S127" s="6">
        <f>B127*LN(B127/首页!$B$4)</f>
        <v>0.4039170134471089</v>
      </c>
      <c r="T127" s="6">
        <f>2*首页!$B$8*(E127-C127)/(R127*(C127-D127))</f>
        <v>7.0717434664772483E-2</v>
      </c>
      <c r="U127" t="str">
        <f>IF(首页!$B$13="自然对流","按自然对流公式", "按强制对流公式")</f>
        <v>按自然对流公式</v>
      </c>
      <c r="V127" s="6">
        <f t="shared" si="17"/>
        <v>0.33319957878233641</v>
      </c>
    </row>
    <row r="128" spans="1:22" x14ac:dyDescent="0.15">
      <c r="A128">
        <v>123</v>
      </c>
      <c r="B128" s="6">
        <f>首页!$B$4+2*A128/1000</f>
        <v>0.36599999999999999</v>
      </c>
      <c r="C128" s="6">
        <f>首页!$B$7+273.15</f>
        <v>388.15</v>
      </c>
      <c r="D128" s="6">
        <f>首页!$B$6+273.15</f>
        <v>293.14999999999998</v>
      </c>
      <c r="E128" s="6">
        <f>首页!$B$5+273.15</f>
        <v>1373.15</v>
      </c>
      <c r="F128" s="6">
        <f t="shared" si="9"/>
        <v>95</v>
      </c>
      <c r="G128" s="6">
        <f t="shared" si="10"/>
        <v>340.65</v>
      </c>
      <c r="H128" s="6">
        <f t="shared" si="11"/>
        <v>1.9926207055139041E-5</v>
      </c>
      <c r="I128" s="7">
        <f t="shared" si="12"/>
        <v>1158916576932337.8</v>
      </c>
      <c r="J128" s="6">
        <f t="shared" si="13"/>
        <v>1.0226038455893147</v>
      </c>
      <c r="K128" s="7">
        <f>J128*H128*首页!$B$12/P128</f>
        <v>0.69532757496605813</v>
      </c>
      <c r="L128" s="6">
        <f>首页!$B$9*0.0000000567*((C128^4-D128^4)/(C128-D128))</f>
        <v>7.7687338005019564</v>
      </c>
      <c r="M128" s="6">
        <f>IF(首页!$B$13="自然对流",IF(首页!$B$14="立式圆筒",首页!$B$10,PI()*B128/2),PI()*B128/2)</f>
        <v>55.2</v>
      </c>
      <c r="N128" s="7">
        <f>IF(首页!$B$13="强制对流",首页!$B$11*M128/H128,0)</f>
        <v>0</v>
      </c>
      <c r="O128" s="6">
        <f>IF(首页!$B$13="自然对流",IF(首页!$B$14="立式圆筒",(0.825+0.3063*I128^(1/6))^2+0.87*(M128/B128),(0.752+0.303*I128^(1/6))^2),0.3+SQRT((0.592*N128^0.5)^2+(0.0262*N128^0.8/(1-0.5/N128^0.1))^2))</f>
        <v>10150.420617688998</v>
      </c>
      <c r="P128" s="6">
        <f t="shared" si="14"/>
        <v>2.9510194925512497E-2</v>
      </c>
      <c r="Q128" s="6">
        <f t="shared" si="15"/>
        <v>5.4264654167381021</v>
      </c>
      <c r="R128" s="6">
        <f t="shared" si="16"/>
        <v>13.195199217240059</v>
      </c>
      <c r="S128" s="6">
        <f>B128*LN(B128/首页!$B$4)</f>
        <v>0.40814182216667122</v>
      </c>
      <c r="T128" s="6">
        <f>2*首页!$B$8*(E128-C128)/(R128*(C128-D128))</f>
        <v>7.0719500279892239E-2</v>
      </c>
      <c r="U128" t="str">
        <f>IF(首页!$B$13="自然对流","按自然对流公式", "按强制对流公式")</f>
        <v>按自然对流公式</v>
      </c>
      <c r="V128" s="6">
        <f t="shared" si="17"/>
        <v>0.33742232188677901</v>
      </c>
    </row>
    <row r="129" spans="1:22" x14ac:dyDescent="0.15">
      <c r="A129">
        <v>124</v>
      </c>
      <c r="B129" s="6">
        <f>首页!$B$4+2*A129/1000</f>
        <v>0.36799999999999999</v>
      </c>
      <c r="C129" s="6">
        <f>首页!$B$7+273.15</f>
        <v>388.15</v>
      </c>
      <c r="D129" s="6">
        <f>首页!$B$6+273.15</f>
        <v>293.14999999999998</v>
      </c>
      <c r="E129" s="6">
        <f>首页!$B$5+273.15</f>
        <v>1373.15</v>
      </c>
      <c r="F129" s="6">
        <f t="shared" si="9"/>
        <v>95</v>
      </c>
      <c r="G129" s="6">
        <f t="shared" si="10"/>
        <v>340.65</v>
      </c>
      <c r="H129" s="6">
        <f t="shared" si="11"/>
        <v>1.9926207055139041E-5</v>
      </c>
      <c r="I129" s="7">
        <f t="shared" si="12"/>
        <v>1158916576932337.8</v>
      </c>
      <c r="J129" s="6">
        <f t="shared" si="13"/>
        <v>1.0226038455893147</v>
      </c>
      <c r="K129" s="7">
        <f>J129*H129*首页!$B$12/P129</f>
        <v>0.69532757496605813</v>
      </c>
      <c r="L129" s="6">
        <f>首页!$B$9*0.0000000567*((C129^4-D129^4)/(C129-D129))</f>
        <v>7.7687338005019564</v>
      </c>
      <c r="M129" s="6">
        <f>IF(首页!$B$13="自然对流",IF(首页!$B$14="立式圆筒",首页!$B$10,PI()*B129/2),PI()*B129/2)</f>
        <v>55.2</v>
      </c>
      <c r="N129" s="7">
        <f>IF(首页!$B$13="强制对流",首页!$B$11*M129/H129,0)</f>
        <v>0</v>
      </c>
      <c r="O129" s="6">
        <f>IF(首页!$B$13="自然对流",IF(首页!$B$14="立式圆筒",(0.825+0.3063*I129^(1/6))^2+0.87*(M129/B129),(0.752+0.303*I129^(1/6))^2),0.3+SQRT((0.592*N129^0.5)^2+(0.0262*N129^0.8/(1-0.5/N129^0.1))^2))</f>
        <v>10149.7075029349</v>
      </c>
      <c r="P129" s="6">
        <f t="shared" si="14"/>
        <v>2.9510194925512497E-2</v>
      </c>
      <c r="Q129" s="6">
        <f t="shared" si="15"/>
        <v>5.4260841820388688</v>
      </c>
      <c r="R129" s="6">
        <f t="shared" si="16"/>
        <v>13.194817982540826</v>
      </c>
      <c r="S129" s="6">
        <f>B129*LN(B129/首页!$B$4)</f>
        <v>0.41237755990237368</v>
      </c>
      <c r="T129" s="6">
        <f>2*首页!$B$8*(E129-C129)/(R129*(C129-D129))</f>
        <v>7.0721543561387656E-2</v>
      </c>
      <c r="U129" t="str">
        <f>IF(首页!$B$13="自然对流","按自然对流公式", "按强制对流公式")</f>
        <v>按自然对流公式</v>
      </c>
      <c r="V129" s="6">
        <f t="shared" si="17"/>
        <v>0.34165601634098602</v>
      </c>
    </row>
    <row r="130" spans="1:22" x14ac:dyDescent="0.15">
      <c r="A130">
        <v>125</v>
      </c>
      <c r="B130" s="6">
        <f>首页!$B$4+2*A130/1000</f>
        <v>0.37</v>
      </c>
      <c r="C130" s="6">
        <f>首页!$B$7+273.15</f>
        <v>388.15</v>
      </c>
      <c r="D130" s="6">
        <f>首页!$B$6+273.15</f>
        <v>293.14999999999998</v>
      </c>
      <c r="E130" s="6">
        <f>首页!$B$5+273.15</f>
        <v>1373.15</v>
      </c>
      <c r="F130" s="6">
        <f t="shared" si="9"/>
        <v>95</v>
      </c>
      <c r="G130" s="6">
        <f t="shared" si="10"/>
        <v>340.65</v>
      </c>
      <c r="H130" s="6">
        <f t="shared" si="11"/>
        <v>1.9926207055139041E-5</v>
      </c>
      <c r="I130" s="7">
        <f t="shared" si="12"/>
        <v>1158916576932337.8</v>
      </c>
      <c r="J130" s="6">
        <f t="shared" si="13"/>
        <v>1.0226038455893147</v>
      </c>
      <c r="K130" s="7">
        <f>J130*H130*首页!$B$12/P130</f>
        <v>0.69532757496605813</v>
      </c>
      <c r="L130" s="6">
        <f>首页!$B$9*0.0000000567*((C130^4-D130^4)/(C130-D130))</f>
        <v>7.7687338005019564</v>
      </c>
      <c r="M130" s="6">
        <f>IF(首页!$B$13="自然对流",IF(首页!$B$14="立式圆筒",首页!$B$10,PI()*B130/2),PI()*B130/2)</f>
        <v>55.2</v>
      </c>
      <c r="N130" s="7">
        <f>IF(首页!$B$13="强制对流",首页!$B$11*M130/H130,0)</f>
        <v>0</v>
      </c>
      <c r="O130" s="6">
        <f>IF(首页!$B$13="自然对流",IF(首页!$B$14="立式圆筒",(0.825+0.3063*I130^(1/6))^2+0.87*(M130/B130),(0.752+0.303*I130^(1/6))^2),0.3+SQRT((0.592*N130^0.5)^2+(0.0262*N130^0.8/(1-0.5/N130^0.1))^2))</f>
        <v>10149.002097529494</v>
      </c>
      <c r="P130" s="6">
        <f t="shared" si="14"/>
        <v>2.9510194925512497E-2</v>
      </c>
      <c r="Q130" s="6">
        <f t="shared" si="15"/>
        <v>5.4257070687958429</v>
      </c>
      <c r="R130" s="6">
        <f t="shared" si="16"/>
        <v>13.1944408692978</v>
      </c>
      <c r="S130" s="6">
        <f>B130*LN(B130/首页!$B$4)</f>
        <v>0.41662416725680296</v>
      </c>
      <c r="T130" s="6">
        <f>2*首页!$B$8*(E130-C130)/(R130*(C130-D130))</f>
        <v>7.0723564869521013E-2</v>
      </c>
      <c r="U130" t="str">
        <f>IF(首页!$B$13="自然对流","按自然对流公式", "按强制对流公式")</f>
        <v>按自然对流公式</v>
      </c>
      <c r="V130" s="6">
        <f t="shared" si="17"/>
        <v>0.34590060238728193</v>
      </c>
    </row>
    <row r="131" spans="1:22" x14ac:dyDescent="0.15">
      <c r="A131">
        <v>126</v>
      </c>
      <c r="B131" s="6">
        <f>首页!$B$4+2*A131/1000</f>
        <v>0.372</v>
      </c>
      <c r="C131" s="6">
        <f>首页!$B$7+273.15</f>
        <v>388.15</v>
      </c>
      <c r="D131" s="6">
        <f>首页!$B$6+273.15</f>
        <v>293.14999999999998</v>
      </c>
      <c r="E131" s="6">
        <f>首页!$B$5+273.15</f>
        <v>1373.15</v>
      </c>
      <c r="F131" s="6">
        <f t="shared" si="9"/>
        <v>95</v>
      </c>
      <c r="G131" s="6">
        <f t="shared" si="10"/>
        <v>340.65</v>
      </c>
      <c r="H131" s="6">
        <f t="shared" si="11"/>
        <v>1.9926207055139041E-5</v>
      </c>
      <c r="I131" s="7">
        <f t="shared" si="12"/>
        <v>1158916576932337.8</v>
      </c>
      <c r="J131" s="6">
        <f t="shared" si="13"/>
        <v>1.0226038455893147</v>
      </c>
      <c r="K131" s="7">
        <f>J131*H131*首页!$B$12/P131</f>
        <v>0.69532757496605813</v>
      </c>
      <c r="L131" s="6">
        <f>首页!$B$9*0.0000000567*((C131^4-D131^4)/(C131-D131))</f>
        <v>7.7687338005019564</v>
      </c>
      <c r="M131" s="6">
        <f>IF(首页!$B$13="自然对流",IF(首页!$B$14="立式圆筒",首页!$B$10,PI()*B131/2),PI()*B131/2)</f>
        <v>55.2</v>
      </c>
      <c r="N131" s="7">
        <f>IF(首页!$B$13="强制对流",首页!$B$11*M131/H131,0)</f>
        <v>0</v>
      </c>
      <c r="O131" s="6">
        <f>IF(首页!$B$13="自然对流",IF(首页!$B$14="立式圆筒",(0.825+0.3063*I131^(1/6))^2+0.87*(M131/B131),(0.752+0.303*I131^(1/6))^2),0.3+SQRT((0.592*N131^0.5)^2+(0.0262*N131^0.8/(1-0.5/N131^0.1))^2))</f>
        <v>10148.304277128449</v>
      </c>
      <c r="P131" s="6">
        <f t="shared" si="14"/>
        <v>2.9510194925512497E-2</v>
      </c>
      <c r="Q131" s="6">
        <f t="shared" si="15"/>
        <v>5.4253340105339252</v>
      </c>
      <c r="R131" s="6">
        <f t="shared" si="16"/>
        <v>13.194067811035882</v>
      </c>
      <c r="S131" s="6">
        <f>B131*LN(B131/首页!$B$4)</f>
        <v>0.4208815854746894</v>
      </c>
      <c r="T131" s="6">
        <f>2*首页!$B$8*(E131-C131)/(R131*(C131-D131))</f>
        <v>7.0725564556847517E-2</v>
      </c>
      <c r="U131" t="str">
        <f>IF(首页!$B$13="自然对流","按自然对流公式", "按强制对流公式")</f>
        <v>按自然对流公式</v>
      </c>
      <c r="V131" s="6">
        <f t="shared" si="17"/>
        <v>0.35015602091784187</v>
      </c>
    </row>
    <row r="132" spans="1:22" x14ac:dyDescent="0.15">
      <c r="A132">
        <v>127</v>
      </c>
      <c r="B132" s="6">
        <f>首页!$B$4+2*A132/1000</f>
        <v>0.374</v>
      </c>
      <c r="C132" s="6">
        <f>首页!$B$7+273.15</f>
        <v>388.15</v>
      </c>
      <c r="D132" s="6">
        <f>首页!$B$6+273.15</f>
        <v>293.14999999999998</v>
      </c>
      <c r="E132" s="6">
        <f>首页!$B$5+273.15</f>
        <v>1373.15</v>
      </c>
      <c r="F132" s="6">
        <f t="shared" si="9"/>
        <v>95</v>
      </c>
      <c r="G132" s="6">
        <f t="shared" si="10"/>
        <v>340.65</v>
      </c>
      <c r="H132" s="6">
        <f t="shared" si="11"/>
        <v>1.9926207055139041E-5</v>
      </c>
      <c r="I132" s="7">
        <f t="shared" si="12"/>
        <v>1158916576932337.8</v>
      </c>
      <c r="J132" s="6">
        <f t="shared" si="13"/>
        <v>1.0226038455893147</v>
      </c>
      <c r="K132" s="7">
        <f>J132*H132*首页!$B$12/P132</f>
        <v>0.69532757496605813</v>
      </c>
      <c r="L132" s="6">
        <f>首页!$B$9*0.0000000567*((C132^4-D132^4)/(C132-D132))</f>
        <v>7.7687338005019564</v>
      </c>
      <c r="M132" s="6">
        <f>IF(首页!$B$13="自然对流",IF(首页!$B$14="立式圆筒",首页!$B$10,PI()*B132/2),PI()*B132/2)</f>
        <v>55.2</v>
      </c>
      <c r="N132" s="7">
        <f>IF(首页!$B$13="强制对流",首页!$B$11*M132/H132,0)</f>
        <v>0</v>
      </c>
      <c r="O132" s="6">
        <f>IF(首页!$B$13="自然对流",IF(首页!$B$14="立式圆筒",(0.825+0.3063*I132^(1/6))^2+0.87*(M132/B132),(0.752+0.303*I132^(1/6))^2),0.3+SQRT((0.592*N132^0.5)^2+(0.0262*N132^0.8/(1-0.5/N132^0.1))^2))</f>
        <v>10147.613920047199</v>
      </c>
      <c r="P132" s="6">
        <f t="shared" si="14"/>
        <v>2.9510194925512497E-2</v>
      </c>
      <c r="Q132" s="6">
        <f t="shared" si="15"/>
        <v>5.4249649421999422</v>
      </c>
      <c r="R132" s="6">
        <f t="shared" si="16"/>
        <v>13.193698742701898</v>
      </c>
      <c r="S132" s="6">
        <f>B132*LN(B132/首页!$B$4)</f>
        <v>0.42514975643254976</v>
      </c>
      <c r="T132" s="6">
        <f>2*首页!$B$8*(E132-C132)/(R132*(C132-D132))</f>
        <v>7.0727542968420362E-2</v>
      </c>
      <c r="U132" t="str">
        <f>IF(首页!$B$13="自然对流","按自然对流公式", "按强制对流公式")</f>
        <v>按自然对流公式</v>
      </c>
      <c r="V132" s="6">
        <f t="shared" si="17"/>
        <v>0.35442221346412939</v>
      </c>
    </row>
    <row r="133" spans="1:22" x14ac:dyDescent="0.15">
      <c r="A133">
        <v>128</v>
      </c>
      <c r="B133" s="6">
        <f>首页!$B$4+2*A133/1000</f>
        <v>0.376</v>
      </c>
      <c r="C133" s="6">
        <f>首页!$B$7+273.15</f>
        <v>388.15</v>
      </c>
      <c r="D133" s="6">
        <f>首页!$B$6+273.15</f>
        <v>293.14999999999998</v>
      </c>
      <c r="E133" s="6">
        <f>首页!$B$5+273.15</f>
        <v>1373.15</v>
      </c>
      <c r="F133" s="6">
        <f t="shared" ref="F133:F196" si="18">C133-D133</f>
        <v>95</v>
      </c>
      <c r="G133" s="6">
        <f t="shared" ref="G133:G196" si="19">(C133+D133)/2</f>
        <v>340.65</v>
      </c>
      <c r="H133" s="6">
        <f t="shared" ref="H133:H196" si="20">0.0000000042113*G133^2.5/(112+G133)</f>
        <v>1.9926207055139041E-5</v>
      </c>
      <c r="I133" s="7">
        <f t="shared" ref="I133:I196" si="21">9.81*M133^3*F133/(H133^2*G133)</f>
        <v>1158916576932337.8</v>
      </c>
      <c r="J133" s="6">
        <f t="shared" ref="J133:J196" si="22">348.35/G133</f>
        <v>1.0226038455893147</v>
      </c>
      <c r="K133" s="7">
        <f>J133*H133*首页!$B$12/P133</f>
        <v>0.69532757496605813</v>
      </c>
      <c r="L133" s="6">
        <f>首页!$B$9*0.0000000567*((C133^4-D133^4)/(C133-D133))</f>
        <v>7.7687338005019564</v>
      </c>
      <c r="M133" s="6">
        <f>IF(首页!$B$13="自然对流",IF(首页!$B$14="立式圆筒",首页!$B$10,PI()*B133/2),PI()*B133/2)</f>
        <v>55.2</v>
      </c>
      <c r="N133" s="7">
        <f>IF(首页!$B$13="强制对流",首页!$B$11*M133/H133,0)</f>
        <v>0</v>
      </c>
      <c r="O133" s="6">
        <f>IF(首页!$B$13="自然对流",IF(首页!$B$14="立式圆筒",(0.825+0.3063*I133^(1/6))^2+0.87*(M133/B133),(0.752+0.303*I133^(1/6))^2),0.3+SQRT((0.592*N133^0.5)^2+(0.0262*N133^0.8/(1-0.5/N133^0.1))^2))</f>
        <v>10146.930907190219</v>
      </c>
      <c r="P133" s="6">
        <f t="shared" ref="P133:P196" si="23">0.0243+0.000078421*(G133-273)-0.000000020755*(G133-273)^2</f>
        <v>2.9510194925512497E-2</v>
      </c>
      <c r="Q133" s="6">
        <f t="shared" ref="Q133:Q196" si="24">O133*P133/M133</f>
        <v>5.424599800124831</v>
      </c>
      <c r="R133" s="6">
        <f t="shared" ref="R133:R196" si="25">L133+Q133</f>
        <v>13.193333600626787</v>
      </c>
      <c r="S133" s="6">
        <f>B133*LN(B133/首页!$B$4)</f>
        <v>0.42942862262855108</v>
      </c>
      <c r="T133" s="6">
        <f>2*首页!$B$8*(E133-C133)/(R133*(C133-D133))</f>
        <v>7.0729500441989113E-2</v>
      </c>
      <c r="U133" t="str">
        <f>IF(首页!$B$13="自然对流","按自然对流公式", "按强制对流公式")</f>
        <v>按自然对流公式</v>
      </c>
      <c r="V133" s="6">
        <f t="shared" ref="V133:V196" si="26">ABS(S133-T133)</f>
        <v>0.35869912218656197</v>
      </c>
    </row>
    <row r="134" spans="1:22" x14ac:dyDescent="0.15">
      <c r="A134">
        <v>129</v>
      </c>
      <c r="B134" s="6">
        <f>首页!$B$4+2*A134/1000</f>
        <v>0.378</v>
      </c>
      <c r="C134" s="6">
        <f>首页!$B$7+273.15</f>
        <v>388.15</v>
      </c>
      <c r="D134" s="6">
        <f>首页!$B$6+273.15</f>
        <v>293.14999999999998</v>
      </c>
      <c r="E134" s="6">
        <f>首页!$B$5+273.15</f>
        <v>1373.15</v>
      </c>
      <c r="F134" s="6">
        <f t="shared" si="18"/>
        <v>95</v>
      </c>
      <c r="G134" s="6">
        <f t="shared" si="19"/>
        <v>340.65</v>
      </c>
      <c r="H134" s="6">
        <f t="shared" si="20"/>
        <v>1.9926207055139041E-5</v>
      </c>
      <c r="I134" s="7">
        <f t="shared" si="21"/>
        <v>1158916576932337.8</v>
      </c>
      <c r="J134" s="6">
        <f t="shared" si="22"/>
        <v>1.0226038455893147</v>
      </c>
      <c r="K134" s="7">
        <f>J134*H134*首页!$B$12/P134</f>
        <v>0.69532757496605813</v>
      </c>
      <c r="L134" s="6">
        <f>首页!$B$9*0.0000000567*((C134^4-D134^4)/(C134-D134))</f>
        <v>7.7687338005019564</v>
      </c>
      <c r="M134" s="6">
        <f>IF(首页!$B$13="自然对流",IF(首页!$B$14="立式圆筒",首页!$B$10,PI()*B134/2),PI()*B134/2)</f>
        <v>55.2</v>
      </c>
      <c r="N134" s="7">
        <f>IF(首页!$B$13="强制对流",首页!$B$11*M134/H134,0)</f>
        <v>0</v>
      </c>
      <c r="O134" s="6">
        <f>IF(首页!$B$13="自然对流",IF(首页!$B$14="立式圆筒",(0.825+0.3063*I134^(1/6))^2+0.87*(M134/B134),(0.752+0.303*I134^(1/6))^2),0.3+SQRT((0.592*N134^0.5)^2+(0.0262*N134^0.8/(1-0.5/N134^0.1))^2))</f>
        <v>10146.255121982518</v>
      </c>
      <c r="P134" s="6">
        <f t="shared" si="23"/>
        <v>2.9510194925512497E-2</v>
      </c>
      <c r="Q134" s="6">
        <f t="shared" si="24"/>
        <v>5.4242385219870233</v>
      </c>
      <c r="R134" s="6">
        <f t="shared" si="25"/>
        <v>13.192972322488981</v>
      </c>
      <c r="S134" s="6">
        <f>B134*LN(B134/首页!$B$4)</f>
        <v>0.43371812717259078</v>
      </c>
      <c r="T134" s="6">
        <f>2*首页!$B$8*(E134-C134)/(R134*(C134-D134))</f>
        <v>7.0731437308192049E-2</v>
      </c>
      <c r="U134" t="str">
        <f>IF(首页!$B$13="自然对流","按自然对流公式", "按强制对流公式")</f>
        <v>按自然对流公式</v>
      </c>
      <c r="V134" s="6">
        <f t="shared" si="26"/>
        <v>0.36298668986439875</v>
      </c>
    </row>
    <row r="135" spans="1:22" x14ac:dyDescent="0.15">
      <c r="A135">
        <v>130</v>
      </c>
      <c r="B135" s="6">
        <f>首页!$B$4+2*A135/1000</f>
        <v>0.38</v>
      </c>
      <c r="C135" s="6">
        <f>首页!$B$7+273.15</f>
        <v>388.15</v>
      </c>
      <c r="D135" s="6">
        <f>首页!$B$6+273.15</f>
        <v>293.14999999999998</v>
      </c>
      <c r="E135" s="6">
        <f>首页!$B$5+273.15</f>
        <v>1373.15</v>
      </c>
      <c r="F135" s="6">
        <f t="shared" si="18"/>
        <v>95</v>
      </c>
      <c r="G135" s="6">
        <f t="shared" si="19"/>
        <v>340.65</v>
      </c>
      <c r="H135" s="6">
        <f t="shared" si="20"/>
        <v>1.9926207055139041E-5</v>
      </c>
      <c r="I135" s="7">
        <f t="shared" si="21"/>
        <v>1158916576932337.8</v>
      </c>
      <c r="J135" s="6">
        <f t="shared" si="22"/>
        <v>1.0226038455893147</v>
      </c>
      <c r="K135" s="7">
        <f>J135*H135*首页!$B$12/P135</f>
        <v>0.69532757496605813</v>
      </c>
      <c r="L135" s="6">
        <f>首页!$B$9*0.0000000567*((C135^4-D135^4)/(C135-D135))</f>
        <v>7.7687338005019564</v>
      </c>
      <c r="M135" s="6">
        <f>IF(首页!$B$13="自然对流",IF(首页!$B$14="立式圆筒",首页!$B$10,PI()*B135/2),PI()*B135/2)</f>
        <v>55.2</v>
      </c>
      <c r="N135" s="7">
        <f>IF(首页!$B$13="强制对流",首页!$B$11*M135/H135,0)</f>
        <v>0</v>
      </c>
      <c r="O135" s="6">
        <f>IF(首页!$B$13="自然对流",IF(首页!$B$14="立式圆筒",(0.825+0.3063*I135^(1/6))^2+0.87*(M135/B135),(0.752+0.303*I135^(1/6))^2),0.3+SQRT((0.592*N135^0.5)^2+(0.0262*N135^0.8/(1-0.5/N135^0.1))^2))</f>
        <v>10145.586450303321</v>
      </c>
      <c r="P135" s="6">
        <f t="shared" si="23"/>
        <v>2.9510194925512497E-2</v>
      </c>
      <c r="Q135" s="6">
        <f t="shared" si="24"/>
        <v>5.4238810467769811</v>
      </c>
      <c r="R135" s="6">
        <f t="shared" si="25"/>
        <v>13.192614847278938</v>
      </c>
      <c r="S135" s="6">
        <f>B135*LN(B135/首页!$B$4)</f>
        <v>0.43801821377658651</v>
      </c>
      <c r="T135" s="6">
        <f>2*首页!$B$8*(E135-C135)/(R135*(C135-D135))</f>
        <v>7.0733353890742298E-2</v>
      </c>
      <c r="U135" t="str">
        <f>IF(首页!$B$13="自然对流","按自然对流公式", "按强制对流公式")</f>
        <v>按自然对流公式</v>
      </c>
      <c r="V135" s="6">
        <f t="shared" si="26"/>
        <v>0.36728485988584419</v>
      </c>
    </row>
    <row r="136" spans="1:22" x14ac:dyDescent="0.15">
      <c r="A136">
        <v>131</v>
      </c>
      <c r="B136" s="6">
        <f>首页!$B$4+2*A136/1000</f>
        <v>0.38200000000000001</v>
      </c>
      <c r="C136" s="6">
        <f>首页!$B$7+273.15</f>
        <v>388.15</v>
      </c>
      <c r="D136" s="6">
        <f>首页!$B$6+273.15</f>
        <v>293.14999999999998</v>
      </c>
      <c r="E136" s="6">
        <f>首页!$B$5+273.15</f>
        <v>1373.15</v>
      </c>
      <c r="F136" s="6">
        <f t="shared" si="18"/>
        <v>95</v>
      </c>
      <c r="G136" s="6">
        <f t="shared" si="19"/>
        <v>340.65</v>
      </c>
      <c r="H136" s="6">
        <f t="shared" si="20"/>
        <v>1.9926207055139041E-5</v>
      </c>
      <c r="I136" s="7">
        <f t="shared" si="21"/>
        <v>1158916576932337.8</v>
      </c>
      <c r="J136" s="6">
        <f t="shared" si="22"/>
        <v>1.0226038455893147</v>
      </c>
      <c r="K136" s="7">
        <f>J136*H136*首页!$B$12/P136</f>
        <v>0.69532757496605813</v>
      </c>
      <c r="L136" s="6">
        <f>首页!$B$9*0.0000000567*((C136^4-D136^4)/(C136-D136))</f>
        <v>7.7687338005019564</v>
      </c>
      <c r="M136" s="6">
        <f>IF(首页!$B$13="自然对流",IF(首页!$B$14="立式圆筒",首页!$B$10,PI()*B136/2),PI()*B136/2)</f>
        <v>55.2</v>
      </c>
      <c r="N136" s="7">
        <f>IF(首页!$B$13="强制对流",首页!$B$11*M136/H136,0)</f>
        <v>0</v>
      </c>
      <c r="O136" s="6">
        <f>IF(首页!$B$13="自然对流",IF(首页!$B$14="立式圆筒",(0.825+0.3063*I136^(1/6))^2+0.87*(M136/B136),(0.752+0.303*I136^(1/6))^2),0.3+SQRT((0.592*N136^0.5)^2+(0.0262*N136^0.8/(1-0.5/N136^0.1))^2))</f>
        <v>10144.92478042181</v>
      </c>
      <c r="P136" s="6">
        <f t="shared" si="23"/>
        <v>2.9510194925512497E-2</v>
      </c>
      <c r="Q136" s="6">
        <f t="shared" si="24"/>
        <v>5.4235273147628567</v>
      </c>
      <c r="R136" s="6">
        <f t="shared" si="25"/>
        <v>13.192261115264813</v>
      </c>
      <c r="S136" s="6">
        <f>B136*LN(B136/首页!$B$4)</f>
        <v>0.4423288267449702</v>
      </c>
      <c r="T136" s="6">
        <f>2*首页!$B$8*(E136-C136)/(R136*(C136-D136))</f>
        <v>7.073525050660813E-2</v>
      </c>
      <c r="U136" t="str">
        <f>IF(首页!$B$13="自然对流","按自然对流公式", "按强制对流公式")</f>
        <v>按自然对流公式</v>
      </c>
      <c r="V136" s="6">
        <f t="shared" si="26"/>
        <v>0.37159357623836209</v>
      </c>
    </row>
    <row r="137" spans="1:22" x14ac:dyDescent="0.15">
      <c r="A137">
        <v>132</v>
      </c>
      <c r="B137" s="6">
        <f>首页!$B$4+2*A137/1000</f>
        <v>0.38400000000000001</v>
      </c>
      <c r="C137" s="6">
        <f>首页!$B$7+273.15</f>
        <v>388.15</v>
      </c>
      <c r="D137" s="6">
        <f>首页!$B$6+273.15</f>
        <v>293.14999999999998</v>
      </c>
      <c r="E137" s="6">
        <f>首页!$B$5+273.15</f>
        <v>1373.15</v>
      </c>
      <c r="F137" s="6">
        <f t="shared" si="18"/>
        <v>95</v>
      </c>
      <c r="G137" s="6">
        <f t="shared" si="19"/>
        <v>340.65</v>
      </c>
      <c r="H137" s="6">
        <f t="shared" si="20"/>
        <v>1.9926207055139041E-5</v>
      </c>
      <c r="I137" s="7">
        <f t="shared" si="21"/>
        <v>1158916576932337.8</v>
      </c>
      <c r="J137" s="6">
        <f t="shared" si="22"/>
        <v>1.0226038455893147</v>
      </c>
      <c r="K137" s="7">
        <f>J137*H137*首页!$B$12/P137</f>
        <v>0.69532757496605813</v>
      </c>
      <c r="L137" s="6">
        <f>首页!$B$9*0.0000000567*((C137^4-D137^4)/(C137-D137))</f>
        <v>7.7687338005019564</v>
      </c>
      <c r="M137" s="6">
        <f>IF(首页!$B$13="自然对流",IF(首页!$B$14="立式圆筒",首页!$B$10,PI()*B137/2),PI()*B137/2)</f>
        <v>55.2</v>
      </c>
      <c r="N137" s="7">
        <f>IF(首页!$B$13="强制对流",首页!$B$11*M137/H137,0)</f>
        <v>0</v>
      </c>
      <c r="O137" s="6">
        <f>IF(首页!$B$13="自然对流",IF(首页!$B$14="立式圆筒",(0.825+0.3063*I137^(1/6))^2+0.87*(M137/B137),(0.752+0.303*I137^(1/6))^2),0.3+SQRT((0.592*N137^0.5)^2+(0.0262*N137^0.8/(1-0.5/N137^0.1))^2))</f>
        <v>10144.2700029349</v>
      </c>
      <c r="P137" s="6">
        <f t="shared" si="23"/>
        <v>2.9510194925512497E-2</v>
      </c>
      <c r="Q137" s="6">
        <f t="shared" si="24"/>
        <v>5.4231772674572127</v>
      </c>
      <c r="R137" s="6">
        <f t="shared" si="25"/>
        <v>13.191911067959168</v>
      </c>
      <c r="S137" s="6">
        <f>B137*LN(B137/首页!$B$4)</f>
        <v>0.44664991096538148</v>
      </c>
      <c r="T137" s="6">
        <f>2*首页!$B$8*(E137-C137)/(R137*(C137-D137))</f>
        <v>7.0737127466187863E-2</v>
      </c>
      <c r="U137" t="str">
        <f>IF(首页!$B$13="自然对流","按自然对流公式", "按强制对流公式")</f>
        <v>按自然对流公式</v>
      </c>
      <c r="V137" s="6">
        <f t="shared" si="26"/>
        <v>0.3759127834991936</v>
      </c>
    </row>
    <row r="138" spans="1:22" x14ac:dyDescent="0.15">
      <c r="A138">
        <v>133</v>
      </c>
      <c r="B138" s="6">
        <f>首页!$B$4+2*A138/1000</f>
        <v>0.38600000000000001</v>
      </c>
      <c r="C138" s="6">
        <f>首页!$B$7+273.15</f>
        <v>388.15</v>
      </c>
      <c r="D138" s="6">
        <f>首页!$B$6+273.15</f>
        <v>293.14999999999998</v>
      </c>
      <c r="E138" s="6">
        <f>首页!$B$5+273.15</f>
        <v>1373.15</v>
      </c>
      <c r="F138" s="6">
        <f t="shared" si="18"/>
        <v>95</v>
      </c>
      <c r="G138" s="6">
        <f t="shared" si="19"/>
        <v>340.65</v>
      </c>
      <c r="H138" s="6">
        <f t="shared" si="20"/>
        <v>1.9926207055139041E-5</v>
      </c>
      <c r="I138" s="7">
        <f t="shared" si="21"/>
        <v>1158916576932337.8</v>
      </c>
      <c r="J138" s="6">
        <f t="shared" si="22"/>
        <v>1.0226038455893147</v>
      </c>
      <c r="K138" s="7">
        <f>J138*H138*首页!$B$12/P138</f>
        <v>0.69532757496605813</v>
      </c>
      <c r="L138" s="6">
        <f>首页!$B$9*0.0000000567*((C138^4-D138^4)/(C138-D138))</f>
        <v>7.7687338005019564</v>
      </c>
      <c r="M138" s="6">
        <f>IF(首页!$B$13="自然对流",IF(首页!$B$14="立式圆筒",首页!$B$10,PI()*B138/2),PI()*B138/2)</f>
        <v>55.2</v>
      </c>
      <c r="N138" s="7">
        <f>IF(首页!$B$13="强制对流",首页!$B$11*M138/H138,0)</f>
        <v>0</v>
      </c>
      <c r="O138" s="6">
        <f>IF(首页!$B$13="自然对流",IF(首页!$B$14="立式圆筒",(0.825+0.3063*I138^(1/6))^2+0.87*(M138/B138),(0.752+0.303*I138^(1/6))^2),0.3+SQRT((0.592*N138^0.5)^2+(0.0262*N138^0.8/(1-0.5/N138^0.1))^2))</f>
        <v>10143.62201070692</v>
      </c>
      <c r="P138" s="6">
        <f t="shared" si="23"/>
        <v>2.9510194925512497E-2</v>
      </c>
      <c r="Q138" s="6">
        <f t="shared" si="24"/>
        <v>5.4228308475847866</v>
      </c>
      <c r="R138" s="6">
        <f t="shared" si="25"/>
        <v>13.191564648086743</v>
      </c>
      <c r="S138" s="6">
        <f>B138*LN(B138/首页!$B$4)</f>
        <v>0.45098141189955498</v>
      </c>
      <c r="T138" s="6">
        <f>2*首页!$B$8*(E138-C138)/(R138*(C138-D138))</f>
        <v>7.073898507347906E-2</v>
      </c>
      <c r="U138" t="str">
        <f>IF(首页!$B$13="自然对流","按自然对流公式", "按强制对流公式")</f>
        <v>按自然对流公式</v>
      </c>
      <c r="V138" s="6">
        <f t="shared" si="26"/>
        <v>0.3802424268260759</v>
      </c>
    </row>
    <row r="139" spans="1:22" x14ac:dyDescent="0.15">
      <c r="A139">
        <v>134</v>
      </c>
      <c r="B139" s="6">
        <f>首页!$B$4+2*A139/1000</f>
        <v>0.38800000000000001</v>
      </c>
      <c r="C139" s="6">
        <f>首页!$B$7+273.15</f>
        <v>388.15</v>
      </c>
      <c r="D139" s="6">
        <f>首页!$B$6+273.15</f>
        <v>293.14999999999998</v>
      </c>
      <c r="E139" s="6">
        <f>首页!$B$5+273.15</f>
        <v>1373.15</v>
      </c>
      <c r="F139" s="6">
        <f t="shared" si="18"/>
        <v>95</v>
      </c>
      <c r="G139" s="6">
        <f t="shared" si="19"/>
        <v>340.65</v>
      </c>
      <c r="H139" s="6">
        <f t="shared" si="20"/>
        <v>1.9926207055139041E-5</v>
      </c>
      <c r="I139" s="7">
        <f t="shared" si="21"/>
        <v>1158916576932337.8</v>
      </c>
      <c r="J139" s="6">
        <f t="shared" si="22"/>
        <v>1.0226038455893147</v>
      </c>
      <c r="K139" s="7">
        <f>J139*H139*首页!$B$12/P139</f>
        <v>0.69532757496605813</v>
      </c>
      <c r="L139" s="6">
        <f>首页!$B$9*0.0000000567*((C139^4-D139^4)/(C139-D139))</f>
        <v>7.7687338005019564</v>
      </c>
      <c r="M139" s="6">
        <f>IF(首页!$B$13="自然对流",IF(首页!$B$14="立式圆筒",首页!$B$10,PI()*B139/2),PI()*B139/2)</f>
        <v>55.2</v>
      </c>
      <c r="N139" s="7">
        <f>IF(首页!$B$13="强制对流",首页!$B$11*M139/H139,0)</f>
        <v>0</v>
      </c>
      <c r="O139" s="6">
        <f>IF(首页!$B$13="自然对流",IF(首页!$B$14="立式圆筒",(0.825+0.3063*I139^(1/6))^2+0.87*(M139/B139),(0.752+0.303*I139^(1/6))^2),0.3+SQRT((0.592*N139^0.5)^2+(0.0262*N139^0.8/(1-0.5/N139^0.1))^2))</f>
        <v>10142.980698811189</v>
      </c>
      <c r="P139" s="6">
        <f t="shared" si="23"/>
        <v>2.9510194925512497E-2</v>
      </c>
      <c r="Q139" s="6">
        <f t="shared" si="24"/>
        <v>5.4224879990512518</v>
      </c>
      <c r="R139" s="6">
        <f t="shared" si="25"/>
        <v>13.191221799553208</v>
      </c>
      <c r="S139" s="6">
        <f>B139*LN(B139/首页!$B$4)</f>
        <v>0.45532327557439622</v>
      </c>
      <c r="T139" s="6">
        <f>2*首页!$B$8*(E139-C139)/(R139*(C139-D139))</f>
        <v>7.0740823626242774E-2</v>
      </c>
      <c r="U139" t="str">
        <f>IF(首页!$B$13="自然对流","按自然对流公式", "按强制对流公式")</f>
        <v>按自然对流公式</v>
      </c>
      <c r="V139" s="6">
        <f t="shared" si="26"/>
        <v>0.38458245194815344</v>
      </c>
    </row>
    <row r="140" spans="1:22" x14ac:dyDescent="0.15">
      <c r="A140">
        <v>135</v>
      </c>
      <c r="B140" s="6">
        <f>首页!$B$4+2*A140/1000</f>
        <v>0.39</v>
      </c>
      <c r="C140" s="6">
        <f>首页!$B$7+273.15</f>
        <v>388.15</v>
      </c>
      <c r="D140" s="6">
        <f>首页!$B$6+273.15</f>
        <v>293.14999999999998</v>
      </c>
      <c r="E140" s="6">
        <f>首页!$B$5+273.15</f>
        <v>1373.15</v>
      </c>
      <c r="F140" s="6">
        <f t="shared" si="18"/>
        <v>95</v>
      </c>
      <c r="G140" s="6">
        <f t="shared" si="19"/>
        <v>340.65</v>
      </c>
      <c r="H140" s="6">
        <f t="shared" si="20"/>
        <v>1.9926207055139041E-5</v>
      </c>
      <c r="I140" s="7">
        <f t="shared" si="21"/>
        <v>1158916576932337.8</v>
      </c>
      <c r="J140" s="6">
        <f t="shared" si="22"/>
        <v>1.0226038455893147</v>
      </c>
      <c r="K140" s="7">
        <f>J140*H140*首页!$B$12/P140</f>
        <v>0.69532757496605813</v>
      </c>
      <c r="L140" s="6">
        <f>首页!$B$9*0.0000000567*((C140^4-D140^4)/(C140-D140))</f>
        <v>7.7687338005019564</v>
      </c>
      <c r="M140" s="6">
        <f>IF(首页!$B$13="自然对流",IF(首页!$B$14="立式圆筒",首页!$B$10,PI()*B140/2),PI()*B140/2)</f>
        <v>55.2</v>
      </c>
      <c r="N140" s="7">
        <f>IF(首页!$B$13="强制对流",首页!$B$11*M140/H140,0)</f>
        <v>0</v>
      </c>
      <c r="O140" s="6">
        <f>IF(首页!$B$13="自然对流",IF(首页!$B$14="立式圆筒",(0.825+0.3063*I140^(1/6))^2+0.87*(M140/B140),(0.752+0.303*I140^(1/6))^2),0.3+SQRT((0.592*N140^0.5)^2+(0.0262*N140^0.8/(1-0.5/N140^0.1))^2))</f>
        <v>10142.345964473361</v>
      </c>
      <c r="P140" s="6">
        <f t="shared" si="23"/>
        <v>2.9510194925512497E-2</v>
      </c>
      <c r="Q140" s="6">
        <f t="shared" si="24"/>
        <v>5.4221486669129337</v>
      </c>
      <c r="R140" s="6">
        <f t="shared" si="25"/>
        <v>13.190882467414891</v>
      </c>
      <c r="S140" s="6">
        <f>B140*LN(B140/首页!$B$4)</f>
        <v>0.459675448573242</v>
      </c>
      <c r="T140" s="6">
        <f>2*首页!$B$8*(E140-C140)/(R140*(C140-D140))</f>
        <v>7.0742643416162557E-2</v>
      </c>
      <c r="U140" t="str">
        <f>IF(首页!$B$13="自然对流","按自然对流公式", "按强制对流公式")</f>
        <v>按自然对流公式</v>
      </c>
      <c r="V140" s="6">
        <f t="shared" si="26"/>
        <v>0.38893280515707945</v>
      </c>
    </row>
    <row r="141" spans="1:22" x14ac:dyDescent="0.15">
      <c r="A141">
        <v>136</v>
      </c>
      <c r="B141" s="6">
        <f>首页!$B$4+2*A141/1000</f>
        <v>0.39200000000000002</v>
      </c>
      <c r="C141" s="6">
        <f>首页!$B$7+273.15</f>
        <v>388.15</v>
      </c>
      <c r="D141" s="6">
        <f>首页!$B$6+273.15</f>
        <v>293.14999999999998</v>
      </c>
      <c r="E141" s="6">
        <f>首页!$B$5+273.15</f>
        <v>1373.15</v>
      </c>
      <c r="F141" s="6">
        <f t="shared" si="18"/>
        <v>95</v>
      </c>
      <c r="G141" s="6">
        <f t="shared" si="19"/>
        <v>340.65</v>
      </c>
      <c r="H141" s="6">
        <f t="shared" si="20"/>
        <v>1.9926207055139041E-5</v>
      </c>
      <c r="I141" s="7">
        <f t="shared" si="21"/>
        <v>1158916576932337.8</v>
      </c>
      <c r="J141" s="6">
        <f t="shared" si="22"/>
        <v>1.0226038455893147</v>
      </c>
      <c r="K141" s="7">
        <f>J141*H141*首页!$B$12/P141</f>
        <v>0.69532757496605813</v>
      </c>
      <c r="L141" s="6">
        <f>首页!$B$9*0.0000000567*((C141^4-D141^4)/(C141-D141))</f>
        <v>7.7687338005019564</v>
      </c>
      <c r="M141" s="6">
        <f>IF(首页!$B$13="自然对流",IF(首页!$B$14="立式圆筒",首页!$B$10,PI()*B141/2),PI()*B141/2)</f>
        <v>55.2</v>
      </c>
      <c r="N141" s="7">
        <f>IF(首页!$B$13="强制对流",首页!$B$11*M141/H141,0)</f>
        <v>0</v>
      </c>
      <c r="O141" s="6">
        <f>IF(首页!$B$13="自然对流",IF(首页!$B$14="立式圆筒",(0.825+0.3063*I141^(1/6))^2+0.87*(M141/B141),(0.752+0.303*I141^(1/6))^2),0.3+SQRT((0.592*N141^0.5)^2+(0.0262*N141^0.8/(1-0.5/N141^0.1))^2))</f>
        <v>10141.717707016533</v>
      </c>
      <c r="P141" s="6">
        <f t="shared" si="23"/>
        <v>2.9510194925512497E-2</v>
      </c>
      <c r="Q141" s="6">
        <f t="shared" si="24"/>
        <v>5.4218127973474548</v>
      </c>
      <c r="R141" s="6">
        <f t="shared" si="25"/>
        <v>13.190546597849412</v>
      </c>
      <c r="S141" s="6">
        <f>B141*LN(B141/首页!$B$4)</f>
        <v>0.46403787802729934</v>
      </c>
      <c r="T141" s="6">
        <f>2*首页!$B$8*(E141-C141)/(R141*(C141-D141))</f>
        <v>7.0744444728998893E-2</v>
      </c>
      <c r="U141" t="str">
        <f>IF(首页!$B$13="自然对流","按自然对流公式", "按强制对流公式")</f>
        <v>按自然对流公式</v>
      </c>
      <c r="V141" s="6">
        <f t="shared" si="26"/>
        <v>0.39329343329830047</v>
      </c>
    </row>
    <row r="142" spans="1:22" x14ac:dyDescent="0.15">
      <c r="A142">
        <v>137</v>
      </c>
      <c r="B142" s="6">
        <f>首页!$B$4+2*A142/1000</f>
        <v>0.39400000000000002</v>
      </c>
      <c r="C142" s="6">
        <f>首页!$B$7+273.15</f>
        <v>388.15</v>
      </c>
      <c r="D142" s="6">
        <f>首页!$B$6+273.15</f>
        <v>293.14999999999998</v>
      </c>
      <c r="E142" s="6">
        <f>首页!$B$5+273.15</f>
        <v>1373.15</v>
      </c>
      <c r="F142" s="6">
        <f t="shared" si="18"/>
        <v>95</v>
      </c>
      <c r="G142" s="6">
        <f t="shared" si="19"/>
        <v>340.65</v>
      </c>
      <c r="H142" s="6">
        <f t="shared" si="20"/>
        <v>1.9926207055139041E-5</v>
      </c>
      <c r="I142" s="7">
        <f t="shared" si="21"/>
        <v>1158916576932337.8</v>
      </c>
      <c r="J142" s="6">
        <f t="shared" si="22"/>
        <v>1.0226038455893147</v>
      </c>
      <c r="K142" s="7">
        <f>J142*H142*首页!$B$12/P142</f>
        <v>0.69532757496605813</v>
      </c>
      <c r="L142" s="6">
        <f>首页!$B$9*0.0000000567*((C142^4-D142^4)/(C142-D142))</f>
        <v>7.7687338005019564</v>
      </c>
      <c r="M142" s="6">
        <f>IF(首页!$B$13="自然对流",IF(首页!$B$14="立式圆筒",首页!$B$10,PI()*B142/2),PI()*B142/2)</f>
        <v>55.2</v>
      </c>
      <c r="N142" s="7">
        <f>IF(首页!$B$13="强制对流",首页!$B$11*M142/H142,0)</f>
        <v>0</v>
      </c>
      <c r="O142" s="6">
        <f>IF(首页!$B$13="自然对流",IF(首页!$B$14="立式圆筒",(0.825+0.3063*I142^(1/6))^2+0.87*(M142/B142),(0.752+0.303*I142^(1/6))^2),0.3+SQRT((0.592*N142^0.5)^2+(0.0262*N142^0.8/(1-0.5/N142^0.1))^2))</f>
        <v>10141.095827807996</v>
      </c>
      <c r="P142" s="6">
        <f t="shared" si="23"/>
        <v>2.9510194925512497E-2</v>
      </c>
      <c r="Q142" s="6">
        <f t="shared" si="24"/>
        <v>5.4214803376252805</v>
      </c>
      <c r="R142" s="6">
        <f t="shared" si="25"/>
        <v>13.190214138127237</v>
      </c>
      <c r="S142" s="6">
        <f>B142*LN(B142/首页!$B$4)</f>
        <v>0.46841051160725983</v>
      </c>
      <c r="T142" s="6">
        <f>2*首页!$B$8*(E142-C142)/(R142*(C142-D142))</f>
        <v>7.0746227844738621E-2</v>
      </c>
      <c r="U142" t="str">
        <f>IF(首页!$B$13="自然对流","按自然对流公式", "按强制对流公式")</f>
        <v>按自然对流公式</v>
      </c>
      <c r="V142" s="6">
        <f t="shared" si="26"/>
        <v>0.39766428376252122</v>
      </c>
    </row>
    <row r="143" spans="1:22" x14ac:dyDescent="0.15">
      <c r="A143">
        <v>138</v>
      </c>
      <c r="B143" s="6">
        <f>首页!$B$4+2*A143/1000</f>
        <v>0.39600000000000002</v>
      </c>
      <c r="C143" s="6">
        <f>首页!$B$7+273.15</f>
        <v>388.15</v>
      </c>
      <c r="D143" s="6">
        <f>首页!$B$6+273.15</f>
        <v>293.14999999999998</v>
      </c>
      <c r="E143" s="6">
        <f>首页!$B$5+273.15</f>
        <v>1373.15</v>
      </c>
      <c r="F143" s="6">
        <f t="shared" si="18"/>
        <v>95</v>
      </c>
      <c r="G143" s="6">
        <f t="shared" si="19"/>
        <v>340.65</v>
      </c>
      <c r="H143" s="6">
        <f t="shared" si="20"/>
        <v>1.9926207055139041E-5</v>
      </c>
      <c r="I143" s="7">
        <f t="shared" si="21"/>
        <v>1158916576932337.8</v>
      </c>
      <c r="J143" s="6">
        <f t="shared" si="22"/>
        <v>1.0226038455893147</v>
      </c>
      <c r="K143" s="7">
        <f>J143*H143*首页!$B$12/P143</f>
        <v>0.69532757496605813</v>
      </c>
      <c r="L143" s="6">
        <f>首页!$B$9*0.0000000567*((C143^4-D143^4)/(C143-D143))</f>
        <v>7.7687338005019564</v>
      </c>
      <c r="M143" s="6">
        <f>IF(首页!$B$13="自然对流",IF(首页!$B$14="立式圆筒",首页!$B$10,PI()*B143/2),PI()*B143/2)</f>
        <v>55.2</v>
      </c>
      <c r="N143" s="7">
        <f>IF(首页!$B$13="强制对流",首页!$B$11*M143/H143,0)</f>
        <v>0</v>
      </c>
      <c r="O143" s="6">
        <f>IF(首页!$B$13="自然对流",IF(首页!$B$14="立式圆筒",(0.825+0.3063*I143^(1/6))^2+0.87*(M143/B143),(0.752+0.303*I143^(1/6))^2),0.3+SQRT((0.592*N143^0.5)^2+(0.0262*N143^0.8/(1-0.5/N143^0.1))^2))</f>
        <v>10140.480230207628</v>
      </c>
      <c r="P143" s="6">
        <f t="shared" si="23"/>
        <v>2.9510194925512497E-2</v>
      </c>
      <c r="Q143" s="6">
        <f t="shared" si="24"/>
        <v>5.4211512360821184</v>
      </c>
      <c r="R143" s="6">
        <f t="shared" si="25"/>
        <v>13.189885036584075</v>
      </c>
      <c r="S143" s="6">
        <f>B143*LN(B143/首页!$B$4)</f>
        <v>0.47279329751508409</v>
      </c>
      <c r="T143" s="6">
        <f>2*首页!$B$8*(E143-C143)/(R143*(C143-D143))</f>
        <v>7.0747993037740084E-2</v>
      </c>
      <c r="U143" t="str">
        <f>IF(首页!$B$13="自然对流","按自然对流公式", "按强制对流公式")</f>
        <v>按自然对流公式</v>
      </c>
      <c r="V143" s="6">
        <f t="shared" si="26"/>
        <v>0.40204530447734399</v>
      </c>
    </row>
    <row r="144" spans="1:22" x14ac:dyDescent="0.15">
      <c r="A144">
        <v>139</v>
      </c>
      <c r="B144" s="6">
        <f>首页!$B$4+2*A144/1000</f>
        <v>0.39800000000000002</v>
      </c>
      <c r="C144" s="6">
        <f>首页!$B$7+273.15</f>
        <v>388.15</v>
      </c>
      <c r="D144" s="6">
        <f>首页!$B$6+273.15</f>
        <v>293.14999999999998</v>
      </c>
      <c r="E144" s="6">
        <f>首页!$B$5+273.15</f>
        <v>1373.15</v>
      </c>
      <c r="F144" s="6">
        <f t="shared" si="18"/>
        <v>95</v>
      </c>
      <c r="G144" s="6">
        <f t="shared" si="19"/>
        <v>340.65</v>
      </c>
      <c r="H144" s="6">
        <f t="shared" si="20"/>
        <v>1.9926207055139041E-5</v>
      </c>
      <c r="I144" s="7">
        <f t="shared" si="21"/>
        <v>1158916576932337.8</v>
      </c>
      <c r="J144" s="6">
        <f t="shared" si="22"/>
        <v>1.0226038455893147</v>
      </c>
      <c r="K144" s="7">
        <f>J144*H144*首页!$B$12/P144</f>
        <v>0.69532757496605813</v>
      </c>
      <c r="L144" s="6">
        <f>首页!$B$9*0.0000000567*((C144^4-D144^4)/(C144-D144))</f>
        <v>7.7687338005019564</v>
      </c>
      <c r="M144" s="6">
        <f>IF(首页!$B$13="自然对流",IF(首页!$B$14="立式圆筒",首页!$B$10,PI()*B144/2),PI()*B144/2)</f>
        <v>55.2</v>
      </c>
      <c r="N144" s="7">
        <f>IF(首页!$B$13="强制对流",首页!$B$11*M144/H144,0)</f>
        <v>0</v>
      </c>
      <c r="O144" s="6">
        <f>IF(首页!$B$13="自然对流",IF(首页!$B$14="立式圆筒",(0.825+0.3063*I144^(1/6))^2+0.87*(M144/B144),(0.752+0.303*I144^(1/6))^2),0.3+SQRT((0.592*N144^0.5)^2+(0.0262*N144^0.8/(1-0.5/N144^0.1))^2))</f>
        <v>10139.870819517815</v>
      </c>
      <c r="P144" s="6">
        <f t="shared" si="23"/>
        <v>2.9510194925512497E-2</v>
      </c>
      <c r="Q144" s="6">
        <f t="shared" si="24"/>
        <v>5.4208254420921529</v>
      </c>
      <c r="R144" s="6">
        <f t="shared" si="25"/>
        <v>13.189559242594109</v>
      </c>
      <c r="S144" s="6">
        <f>B144*LN(B144/首页!$B$4)</f>
        <v>0.47718618447595196</v>
      </c>
      <c r="T144" s="6">
        <f>2*首页!$B$8*(E144-C144)/(R144*(C144-D144))</f>
        <v>7.0749740576873874E-2</v>
      </c>
      <c r="U144" t="str">
        <f>IF(首页!$B$13="自然对流","按自然对流公式", "按强制对流公式")</f>
        <v>按自然对流公式</v>
      </c>
      <c r="V144" s="6">
        <f t="shared" si="26"/>
        <v>0.40643644389907807</v>
      </c>
    </row>
    <row r="145" spans="1:22" x14ac:dyDescent="0.15">
      <c r="A145">
        <v>140</v>
      </c>
      <c r="B145" s="6">
        <f>首页!$B$4+2*A145/1000</f>
        <v>0.4</v>
      </c>
      <c r="C145" s="6">
        <f>首页!$B$7+273.15</f>
        <v>388.15</v>
      </c>
      <c r="D145" s="6">
        <f>首页!$B$6+273.15</f>
        <v>293.14999999999998</v>
      </c>
      <c r="E145" s="6">
        <f>首页!$B$5+273.15</f>
        <v>1373.15</v>
      </c>
      <c r="F145" s="6">
        <f t="shared" si="18"/>
        <v>95</v>
      </c>
      <c r="G145" s="6">
        <f t="shared" si="19"/>
        <v>340.65</v>
      </c>
      <c r="H145" s="6">
        <f t="shared" si="20"/>
        <v>1.9926207055139041E-5</v>
      </c>
      <c r="I145" s="7">
        <f t="shared" si="21"/>
        <v>1158916576932337.8</v>
      </c>
      <c r="J145" s="6">
        <f t="shared" si="22"/>
        <v>1.0226038455893147</v>
      </c>
      <c r="K145" s="7">
        <f>J145*H145*首页!$B$12/P145</f>
        <v>0.69532757496605813</v>
      </c>
      <c r="L145" s="6">
        <f>首页!$B$9*0.0000000567*((C145^4-D145^4)/(C145-D145))</f>
        <v>7.7687338005019564</v>
      </c>
      <c r="M145" s="6">
        <f>IF(首页!$B$13="自然对流",IF(首页!$B$14="立式圆筒",首页!$B$10,PI()*B145/2),PI()*B145/2)</f>
        <v>55.2</v>
      </c>
      <c r="N145" s="7">
        <f>IF(首页!$B$13="强制对流",首页!$B$11*M145/H145,0)</f>
        <v>0</v>
      </c>
      <c r="O145" s="6">
        <f>IF(首页!$B$13="自然对流",IF(首页!$B$14="立式圆筒",(0.825+0.3063*I145^(1/6))^2+0.87*(M145/B145),(0.752+0.303*I145^(1/6))^2),0.3+SQRT((0.592*N145^0.5)^2+(0.0262*N145^0.8/(1-0.5/N145^0.1))^2))</f>
        <v>10139.267502934899</v>
      </c>
      <c r="P145" s="6">
        <f t="shared" si="23"/>
        <v>2.9510194925512497E-2</v>
      </c>
      <c r="Q145" s="6">
        <f t="shared" si="24"/>
        <v>5.4205029060420875</v>
      </c>
      <c r="R145" s="6">
        <f t="shared" si="25"/>
        <v>13.189236706544044</v>
      </c>
      <c r="S145" s="6">
        <f>B145*LN(B145/首页!$B$4)</f>
        <v>0.48158912173037449</v>
      </c>
      <c r="T145" s="6">
        <f>2*首页!$B$8*(E145-C145)/(R145*(C145-D145))</f>
        <v>7.0751470725659321E-2</v>
      </c>
      <c r="U145" t="str">
        <f>IF(首页!$B$13="自然对流","按自然对流公式", "按强制对流公式")</f>
        <v>按自然对流公式</v>
      </c>
      <c r="V145" s="6">
        <f t="shared" si="26"/>
        <v>0.41083765100471514</v>
      </c>
    </row>
    <row r="146" spans="1:22" x14ac:dyDescent="0.15">
      <c r="A146">
        <v>141</v>
      </c>
      <c r="B146" s="6">
        <f>首页!$B$4+2*A146/1000</f>
        <v>0.40199999999999997</v>
      </c>
      <c r="C146" s="6">
        <f>首页!$B$7+273.15</f>
        <v>388.15</v>
      </c>
      <c r="D146" s="6">
        <f>首页!$B$6+273.15</f>
        <v>293.14999999999998</v>
      </c>
      <c r="E146" s="6">
        <f>首页!$B$5+273.15</f>
        <v>1373.15</v>
      </c>
      <c r="F146" s="6">
        <f t="shared" si="18"/>
        <v>95</v>
      </c>
      <c r="G146" s="6">
        <f t="shared" si="19"/>
        <v>340.65</v>
      </c>
      <c r="H146" s="6">
        <f t="shared" si="20"/>
        <v>1.9926207055139041E-5</v>
      </c>
      <c r="I146" s="7">
        <f t="shared" si="21"/>
        <v>1158916576932337.8</v>
      </c>
      <c r="J146" s="6">
        <f t="shared" si="22"/>
        <v>1.0226038455893147</v>
      </c>
      <c r="K146" s="7">
        <f>J146*H146*首页!$B$12/P146</f>
        <v>0.69532757496605813</v>
      </c>
      <c r="L146" s="6">
        <f>首页!$B$9*0.0000000567*((C146^4-D146^4)/(C146-D146))</f>
        <v>7.7687338005019564</v>
      </c>
      <c r="M146" s="6">
        <f>IF(首页!$B$13="自然对流",IF(首页!$B$14="立式圆筒",首页!$B$10,PI()*B146/2),PI()*B146/2)</f>
        <v>55.2</v>
      </c>
      <c r="N146" s="7">
        <f>IF(首页!$B$13="强制对流",首页!$B$11*M146/H146,0)</f>
        <v>0</v>
      </c>
      <c r="O146" s="6">
        <f>IF(首页!$B$13="自然对流",IF(首页!$B$14="立式圆筒",(0.825+0.3063*I146^(1/6))^2+0.87*(M146/B146),(0.752+0.303*I146^(1/6))^2),0.3+SQRT((0.592*N146^0.5)^2+(0.0262*N146^0.8/(1-0.5/N146^0.1))^2))</f>
        <v>10138.670189502063</v>
      </c>
      <c r="P146" s="6">
        <f t="shared" si="23"/>
        <v>2.9510194925512497E-2</v>
      </c>
      <c r="Q146" s="6">
        <f t="shared" si="24"/>
        <v>5.4201835793059523</v>
      </c>
      <c r="R146" s="6">
        <f t="shared" si="25"/>
        <v>13.188917379807908</v>
      </c>
      <c r="S146" s="6">
        <f>B146*LN(B146/首页!$B$4)</f>
        <v>0.48600205902646387</v>
      </c>
      <c r="T146" s="6">
        <f>2*首页!$B$8*(E146-C146)/(R146*(C146-D146))</f>
        <v>7.0753183742397016E-2</v>
      </c>
      <c r="U146" t="str">
        <f>IF(首页!$B$13="自然对流","按自然对流公式", "按强制对流公式")</f>
        <v>按自然对流公式</v>
      </c>
      <c r="V146" s="6">
        <f t="shared" si="26"/>
        <v>0.41524887528406684</v>
      </c>
    </row>
    <row r="147" spans="1:22" x14ac:dyDescent="0.15">
      <c r="A147">
        <v>142</v>
      </c>
      <c r="B147" s="6">
        <f>首页!$B$4+2*A147/1000</f>
        <v>0.40399999999999997</v>
      </c>
      <c r="C147" s="6">
        <f>首页!$B$7+273.15</f>
        <v>388.15</v>
      </c>
      <c r="D147" s="6">
        <f>首页!$B$6+273.15</f>
        <v>293.14999999999998</v>
      </c>
      <c r="E147" s="6">
        <f>首页!$B$5+273.15</f>
        <v>1373.15</v>
      </c>
      <c r="F147" s="6">
        <f t="shared" si="18"/>
        <v>95</v>
      </c>
      <c r="G147" s="6">
        <f t="shared" si="19"/>
        <v>340.65</v>
      </c>
      <c r="H147" s="6">
        <f t="shared" si="20"/>
        <v>1.9926207055139041E-5</v>
      </c>
      <c r="I147" s="7">
        <f t="shared" si="21"/>
        <v>1158916576932337.8</v>
      </c>
      <c r="J147" s="6">
        <f t="shared" si="22"/>
        <v>1.0226038455893147</v>
      </c>
      <c r="K147" s="7">
        <f>J147*H147*首页!$B$12/P147</f>
        <v>0.69532757496605813</v>
      </c>
      <c r="L147" s="6">
        <f>首页!$B$9*0.0000000567*((C147^4-D147^4)/(C147-D147))</f>
        <v>7.7687338005019564</v>
      </c>
      <c r="M147" s="6">
        <f>IF(首页!$B$13="自然对流",IF(首页!$B$14="立式圆筒",首页!$B$10,PI()*B147/2),PI()*B147/2)</f>
        <v>55.2</v>
      </c>
      <c r="N147" s="7">
        <f>IF(首页!$B$13="强制对流",首页!$B$11*M147/H147,0)</f>
        <v>0</v>
      </c>
      <c r="O147" s="6">
        <f>IF(首页!$B$13="自然对流",IF(首页!$B$14="立式圆筒",(0.825+0.3063*I147^(1/6))^2+0.87*(M147/B147),(0.752+0.303*I147^(1/6))^2),0.3+SQRT((0.592*N147^0.5)^2+(0.0262*N147^0.8/(1-0.5/N147^0.1))^2))</f>
        <v>10138.078790063613</v>
      </c>
      <c r="P147" s="6">
        <f t="shared" si="23"/>
        <v>2.9510194925512497E-2</v>
      </c>
      <c r="Q147" s="6">
        <f t="shared" si="24"/>
        <v>5.419867414220672</v>
      </c>
      <c r="R147" s="6">
        <f t="shared" si="25"/>
        <v>13.188601214722627</v>
      </c>
      <c r="S147" s="6">
        <f>B147*LN(B147/首页!$B$4)</f>
        <v>0.49042494661235797</v>
      </c>
      <c r="T147" s="6">
        <f>2*首页!$B$8*(E147-C147)/(R147*(C147-D147))</f>
        <v>7.0754879880297272E-2</v>
      </c>
      <c r="U147" t="str">
        <f>IF(首页!$B$13="自然对流","按自然对流公式", "按强制对流公式")</f>
        <v>按自然对流公式</v>
      </c>
      <c r="V147" s="6">
        <f t="shared" si="26"/>
        <v>0.4196700667320607</v>
      </c>
    </row>
    <row r="148" spans="1:22" x14ac:dyDescent="0.15">
      <c r="A148">
        <v>143</v>
      </c>
      <c r="B148" s="6">
        <f>首页!$B$4+2*A148/1000</f>
        <v>0.40599999999999997</v>
      </c>
      <c r="C148" s="6">
        <f>首页!$B$7+273.15</f>
        <v>388.15</v>
      </c>
      <c r="D148" s="6">
        <f>首页!$B$6+273.15</f>
        <v>293.14999999999998</v>
      </c>
      <c r="E148" s="6">
        <f>首页!$B$5+273.15</f>
        <v>1373.15</v>
      </c>
      <c r="F148" s="6">
        <f t="shared" si="18"/>
        <v>95</v>
      </c>
      <c r="G148" s="6">
        <f t="shared" si="19"/>
        <v>340.65</v>
      </c>
      <c r="H148" s="6">
        <f t="shared" si="20"/>
        <v>1.9926207055139041E-5</v>
      </c>
      <c r="I148" s="7">
        <f t="shared" si="21"/>
        <v>1158916576932337.8</v>
      </c>
      <c r="J148" s="6">
        <f t="shared" si="22"/>
        <v>1.0226038455893147</v>
      </c>
      <c r="K148" s="7">
        <f>J148*H148*首页!$B$12/P148</f>
        <v>0.69532757496605813</v>
      </c>
      <c r="L148" s="6">
        <f>首页!$B$9*0.0000000567*((C148^4-D148^4)/(C148-D148))</f>
        <v>7.7687338005019564</v>
      </c>
      <c r="M148" s="6">
        <f>IF(首页!$B$13="自然对流",IF(首页!$B$14="立式圆筒",首页!$B$10,PI()*B148/2),PI()*B148/2)</f>
        <v>55.2</v>
      </c>
      <c r="N148" s="7">
        <f>IF(首页!$B$13="强制对流",首页!$B$11*M148/H148,0)</f>
        <v>0</v>
      </c>
      <c r="O148" s="6">
        <f>IF(首页!$B$13="自然对流",IF(首页!$B$14="立式圆筒",(0.825+0.3063*I148^(1/6))^2+0.87*(M148/B148),(0.752+0.303*I148^(1/6))^2),0.3+SQRT((0.592*N148^0.5)^2+(0.0262*N148^0.8/(1-0.5/N148^0.1))^2))</f>
        <v>10137.493217220614</v>
      </c>
      <c r="P148" s="6">
        <f t="shared" si="23"/>
        <v>2.9510194925512497E-2</v>
      </c>
      <c r="Q148" s="6">
        <f t="shared" si="24"/>
        <v>5.4195543640623383</v>
      </c>
      <c r="R148" s="6">
        <f t="shared" si="25"/>
        <v>13.188288164564295</v>
      </c>
      <c r="S148" s="6">
        <f>B148*LN(B148/首页!$B$4)</f>
        <v>0.49485773522879278</v>
      </c>
      <c r="T148" s="6">
        <f>2*首页!$B$8*(E148-C148)/(R148*(C148-D148))</f>
        <v>7.0756559387605042E-2</v>
      </c>
      <c r="U148" t="str">
        <f>IF(首页!$B$13="自然对流","按自然对流公式", "按强制对流公式")</f>
        <v>按自然对流公式</v>
      </c>
      <c r="V148" s="6">
        <f t="shared" si="26"/>
        <v>0.42410117584118773</v>
      </c>
    </row>
    <row r="149" spans="1:22" x14ac:dyDescent="0.15">
      <c r="A149">
        <v>144</v>
      </c>
      <c r="B149" s="6">
        <f>首页!$B$4+2*A149/1000</f>
        <v>0.40799999999999997</v>
      </c>
      <c r="C149" s="6">
        <f>首页!$B$7+273.15</f>
        <v>388.15</v>
      </c>
      <c r="D149" s="6">
        <f>首页!$B$6+273.15</f>
        <v>293.14999999999998</v>
      </c>
      <c r="E149" s="6">
        <f>首页!$B$5+273.15</f>
        <v>1373.15</v>
      </c>
      <c r="F149" s="6">
        <f t="shared" si="18"/>
        <v>95</v>
      </c>
      <c r="G149" s="6">
        <f t="shared" si="19"/>
        <v>340.65</v>
      </c>
      <c r="H149" s="6">
        <f t="shared" si="20"/>
        <v>1.9926207055139041E-5</v>
      </c>
      <c r="I149" s="7">
        <f t="shared" si="21"/>
        <v>1158916576932337.8</v>
      </c>
      <c r="J149" s="6">
        <f t="shared" si="22"/>
        <v>1.0226038455893147</v>
      </c>
      <c r="K149" s="7">
        <f>J149*H149*首页!$B$12/P149</f>
        <v>0.69532757496605813</v>
      </c>
      <c r="L149" s="6">
        <f>首页!$B$9*0.0000000567*((C149^4-D149^4)/(C149-D149))</f>
        <v>7.7687338005019564</v>
      </c>
      <c r="M149" s="6">
        <f>IF(首页!$B$13="自然对流",IF(首页!$B$14="立式圆筒",首页!$B$10,PI()*B149/2),PI()*B149/2)</f>
        <v>55.2</v>
      </c>
      <c r="N149" s="7">
        <f>IF(首页!$B$13="强制对流",首页!$B$11*M149/H149,0)</f>
        <v>0</v>
      </c>
      <c r="O149" s="6">
        <f>IF(首页!$B$13="自然对流",IF(首页!$B$14="立式圆筒",(0.825+0.3063*I149^(1/6))^2+0.87*(M149/B149),(0.752+0.303*I149^(1/6))^2),0.3+SQRT((0.592*N149^0.5)^2+(0.0262*N149^0.8/(1-0.5/N149^0.1))^2))</f>
        <v>10136.91338528784</v>
      </c>
      <c r="P149" s="6">
        <f t="shared" si="23"/>
        <v>2.9510194925512497E-2</v>
      </c>
      <c r="Q149" s="6">
        <f t="shared" si="24"/>
        <v>5.4192443830232051</v>
      </c>
      <c r="R149" s="6">
        <f t="shared" si="25"/>
        <v>13.187978183525161</v>
      </c>
      <c r="S149" s="6">
        <f>B149*LN(B149/首页!$B$4)</f>
        <v>0.49930037610182315</v>
      </c>
      <c r="T149" s="6">
        <f>2*首页!$B$8*(E149-C149)/(R149*(C149-D149))</f>
        <v>7.0758222507720889E-2</v>
      </c>
      <c r="U149" t="str">
        <f>IF(首页!$B$13="自然对流","按自然对流公式", "按强制对流公式")</f>
        <v>按自然对流公式</v>
      </c>
      <c r="V149" s="6">
        <f t="shared" si="26"/>
        <v>0.42854215359410225</v>
      </c>
    </row>
    <row r="150" spans="1:22" x14ac:dyDescent="0.15">
      <c r="A150">
        <v>145</v>
      </c>
      <c r="B150" s="6">
        <f>首页!$B$4+2*A150/1000</f>
        <v>0.41</v>
      </c>
      <c r="C150" s="6">
        <f>首页!$B$7+273.15</f>
        <v>388.15</v>
      </c>
      <c r="D150" s="6">
        <f>首页!$B$6+273.15</f>
        <v>293.14999999999998</v>
      </c>
      <c r="E150" s="6">
        <f>首页!$B$5+273.15</f>
        <v>1373.15</v>
      </c>
      <c r="F150" s="6">
        <f t="shared" si="18"/>
        <v>95</v>
      </c>
      <c r="G150" s="6">
        <f t="shared" si="19"/>
        <v>340.65</v>
      </c>
      <c r="H150" s="6">
        <f t="shared" si="20"/>
        <v>1.9926207055139041E-5</v>
      </c>
      <c r="I150" s="7">
        <f t="shared" si="21"/>
        <v>1158916576932337.8</v>
      </c>
      <c r="J150" s="6">
        <f t="shared" si="22"/>
        <v>1.0226038455893147</v>
      </c>
      <c r="K150" s="7">
        <f>J150*H150*首页!$B$12/P150</f>
        <v>0.69532757496605813</v>
      </c>
      <c r="L150" s="6">
        <f>首页!$B$9*0.0000000567*((C150^4-D150^4)/(C150-D150))</f>
        <v>7.7687338005019564</v>
      </c>
      <c r="M150" s="6">
        <f>IF(首页!$B$13="自然对流",IF(首页!$B$14="立式圆筒",首页!$B$10,PI()*B150/2),PI()*B150/2)</f>
        <v>55.2</v>
      </c>
      <c r="N150" s="7">
        <f>IF(首页!$B$13="强制对流",首页!$B$11*M150/H150,0)</f>
        <v>0</v>
      </c>
      <c r="O150" s="6">
        <f>IF(首页!$B$13="自然对流",IF(首页!$B$14="立式圆筒",(0.825+0.3063*I150^(1/6))^2+0.87*(M150/B150),(0.752+0.303*I150^(1/6))^2),0.3+SQRT((0.592*N150^0.5)^2+(0.0262*N150^0.8/(1-0.5/N150^0.1))^2))</f>
        <v>10136.339210251974</v>
      </c>
      <c r="P150" s="6">
        <f t="shared" si="23"/>
        <v>2.9510194925512497E-2</v>
      </c>
      <c r="Q150" s="6">
        <f t="shared" si="24"/>
        <v>5.4189374261893315</v>
      </c>
      <c r="R150" s="6">
        <f t="shared" si="25"/>
        <v>13.187671226691288</v>
      </c>
      <c r="S150" s="6">
        <f>B150*LN(B150/首页!$B$4)</f>
        <v>0.50375282093568596</v>
      </c>
      <c r="T150" s="6">
        <f>2*首页!$B$8*(E150-C150)/(R150*(C150-D150))</f>
        <v>7.0759869479318685E-2</v>
      </c>
      <c r="U150" t="str">
        <f>IF(首页!$B$13="自然对流","按自然对流公式", "按强制对流公式")</f>
        <v>按自然对流公式</v>
      </c>
      <c r="V150" s="6">
        <f t="shared" si="26"/>
        <v>0.43299295145636729</v>
      </c>
    </row>
    <row r="151" spans="1:22" x14ac:dyDescent="0.15">
      <c r="A151">
        <v>146</v>
      </c>
      <c r="B151" s="6">
        <f>首页!$B$4+2*A151/1000</f>
        <v>0.41199999999999998</v>
      </c>
      <c r="C151" s="6">
        <f>首页!$B$7+273.15</f>
        <v>388.15</v>
      </c>
      <c r="D151" s="6">
        <f>首页!$B$6+273.15</f>
        <v>293.14999999999998</v>
      </c>
      <c r="E151" s="6">
        <f>首页!$B$5+273.15</f>
        <v>1373.15</v>
      </c>
      <c r="F151" s="6">
        <f t="shared" si="18"/>
        <v>95</v>
      </c>
      <c r="G151" s="6">
        <f t="shared" si="19"/>
        <v>340.65</v>
      </c>
      <c r="H151" s="6">
        <f t="shared" si="20"/>
        <v>1.9926207055139041E-5</v>
      </c>
      <c r="I151" s="7">
        <f t="shared" si="21"/>
        <v>1158916576932337.8</v>
      </c>
      <c r="J151" s="6">
        <f t="shared" si="22"/>
        <v>1.0226038455893147</v>
      </c>
      <c r="K151" s="7">
        <f>J151*H151*首页!$B$12/P151</f>
        <v>0.69532757496605813</v>
      </c>
      <c r="L151" s="6">
        <f>首页!$B$9*0.0000000567*((C151^4-D151^4)/(C151-D151))</f>
        <v>7.7687338005019564</v>
      </c>
      <c r="M151" s="6">
        <f>IF(首页!$B$13="自然对流",IF(首页!$B$14="立式圆筒",首页!$B$10,PI()*B151/2),PI()*B151/2)</f>
        <v>55.2</v>
      </c>
      <c r="N151" s="7">
        <f>IF(首页!$B$13="强制对流",首页!$B$11*M151/H151,0)</f>
        <v>0</v>
      </c>
      <c r="O151" s="6">
        <f>IF(首页!$B$13="自然对流",IF(首页!$B$14="立式圆筒",(0.825+0.3063*I151^(1/6))^2+0.87*(M151/B151),(0.752+0.303*I151^(1/6))^2),0.3+SQRT((0.592*N151^0.5)^2+(0.0262*N151^0.8/(1-0.5/N151^0.1))^2))</f>
        <v>10135.770609731017</v>
      </c>
      <c r="P151" s="6">
        <f t="shared" si="23"/>
        <v>2.9510194925512497E-2</v>
      </c>
      <c r="Q151" s="6">
        <f t="shared" si="24"/>
        <v>5.418633449518893</v>
      </c>
      <c r="R151" s="6">
        <f t="shared" si="25"/>
        <v>13.187367250020849</v>
      </c>
      <c r="S151" s="6">
        <f>B151*LN(B151/首页!$B$4)</f>
        <v>0.50821502190580192</v>
      </c>
      <c r="T151" s="6">
        <f>2*首页!$B$8*(E151-C151)/(R151*(C151-D151))</f>
        <v>7.0761500536459757E-2</v>
      </c>
      <c r="U151" t="str">
        <f>IF(首页!$B$13="自然对流","按自然对流公式", "按强制对流公式")</f>
        <v>按自然对流公式</v>
      </c>
      <c r="V151" s="6">
        <f t="shared" si="26"/>
        <v>0.43745352136934218</v>
      </c>
    </row>
    <row r="152" spans="1:22" x14ac:dyDescent="0.15">
      <c r="A152">
        <v>147</v>
      </c>
      <c r="B152" s="6">
        <f>首页!$B$4+2*A152/1000</f>
        <v>0.41399999999999998</v>
      </c>
      <c r="C152" s="6">
        <f>首页!$B$7+273.15</f>
        <v>388.15</v>
      </c>
      <c r="D152" s="6">
        <f>首页!$B$6+273.15</f>
        <v>293.14999999999998</v>
      </c>
      <c r="E152" s="6">
        <f>首页!$B$5+273.15</f>
        <v>1373.15</v>
      </c>
      <c r="F152" s="6">
        <f t="shared" si="18"/>
        <v>95</v>
      </c>
      <c r="G152" s="6">
        <f t="shared" si="19"/>
        <v>340.65</v>
      </c>
      <c r="H152" s="6">
        <f t="shared" si="20"/>
        <v>1.9926207055139041E-5</v>
      </c>
      <c r="I152" s="7">
        <f t="shared" si="21"/>
        <v>1158916576932337.8</v>
      </c>
      <c r="J152" s="6">
        <f t="shared" si="22"/>
        <v>1.0226038455893147</v>
      </c>
      <c r="K152" s="7">
        <f>J152*H152*首页!$B$12/P152</f>
        <v>0.69532757496605813</v>
      </c>
      <c r="L152" s="6">
        <f>首页!$B$9*0.0000000567*((C152^4-D152^4)/(C152-D152))</f>
        <v>7.7687338005019564</v>
      </c>
      <c r="M152" s="6">
        <f>IF(首页!$B$13="自然对流",IF(首页!$B$14="立式圆筒",首页!$B$10,PI()*B152/2),PI()*B152/2)</f>
        <v>55.2</v>
      </c>
      <c r="N152" s="7">
        <f>IF(首页!$B$13="强制对流",首页!$B$11*M152/H152,0)</f>
        <v>0</v>
      </c>
      <c r="O152" s="6">
        <f>IF(首页!$B$13="自然对流",IF(首页!$B$14="立式圆筒",(0.825+0.3063*I152^(1/6))^2+0.87*(M152/B152),(0.752+0.303*I152^(1/6))^2),0.3+SQRT((0.592*N152^0.5)^2+(0.0262*N152^0.8/(1-0.5/N152^0.1))^2))</f>
        <v>10135.2075029349</v>
      </c>
      <c r="P152" s="6">
        <f t="shared" si="23"/>
        <v>2.9510194925512497E-2</v>
      </c>
      <c r="Q152" s="6">
        <f t="shared" si="24"/>
        <v>5.418332409821117</v>
      </c>
      <c r="R152" s="6">
        <f t="shared" si="25"/>
        <v>13.187066210323074</v>
      </c>
      <c r="S152" s="6">
        <f>B152*LN(B152/首页!$B$4)</f>
        <v>0.51268693165191304</v>
      </c>
      <c r="T152" s="6">
        <f>2*首页!$B$8*(E152-C152)/(R152*(C152-D152))</f>
        <v>7.0763115908703739E-2</v>
      </c>
      <c r="U152" t="str">
        <f>IF(首页!$B$13="自然对流","按自然对流公式", "按强制对流公式")</f>
        <v>按自然对流公式</v>
      </c>
      <c r="V152" s="6">
        <f t="shared" si="26"/>
        <v>0.44192381574320927</v>
      </c>
    </row>
    <row r="153" spans="1:22" x14ac:dyDescent="0.15">
      <c r="A153">
        <v>148</v>
      </c>
      <c r="B153" s="6">
        <f>首页!$B$4+2*A153/1000</f>
        <v>0.41599999999999998</v>
      </c>
      <c r="C153" s="6">
        <f>首页!$B$7+273.15</f>
        <v>388.15</v>
      </c>
      <c r="D153" s="6">
        <f>首页!$B$6+273.15</f>
        <v>293.14999999999998</v>
      </c>
      <c r="E153" s="6">
        <f>首页!$B$5+273.15</f>
        <v>1373.15</v>
      </c>
      <c r="F153" s="6">
        <f t="shared" si="18"/>
        <v>95</v>
      </c>
      <c r="G153" s="6">
        <f t="shared" si="19"/>
        <v>340.65</v>
      </c>
      <c r="H153" s="6">
        <f t="shared" si="20"/>
        <v>1.9926207055139041E-5</v>
      </c>
      <c r="I153" s="7">
        <f t="shared" si="21"/>
        <v>1158916576932337.8</v>
      </c>
      <c r="J153" s="6">
        <f t="shared" si="22"/>
        <v>1.0226038455893147</v>
      </c>
      <c r="K153" s="7">
        <f>J153*H153*首页!$B$12/P153</f>
        <v>0.69532757496605813</v>
      </c>
      <c r="L153" s="6">
        <f>首页!$B$9*0.0000000567*((C153^4-D153^4)/(C153-D153))</f>
        <v>7.7687338005019564</v>
      </c>
      <c r="M153" s="6">
        <f>IF(首页!$B$13="自然对流",IF(首页!$B$14="立式圆筒",首页!$B$10,PI()*B153/2),PI()*B153/2)</f>
        <v>55.2</v>
      </c>
      <c r="N153" s="7">
        <f>IF(首页!$B$13="强制对流",首页!$B$11*M153/H153,0)</f>
        <v>0</v>
      </c>
      <c r="O153" s="6">
        <f>IF(首页!$B$13="自然对流",IF(首页!$B$14="立式圆筒",(0.825+0.3063*I153^(1/6))^2+0.87*(M153/B153),(0.752+0.303*I153^(1/6))^2),0.3+SQRT((0.592*N153^0.5)^2+(0.0262*N153^0.8/(1-0.5/N153^0.1))^2))</f>
        <v>10134.649810627208</v>
      </c>
      <c r="P153" s="6">
        <f t="shared" si="23"/>
        <v>2.9510194925512497E-2</v>
      </c>
      <c r="Q153" s="6">
        <f t="shared" si="24"/>
        <v>5.4180342647358195</v>
      </c>
      <c r="R153" s="6">
        <f t="shared" si="25"/>
        <v>13.186768065237775</v>
      </c>
      <c r="S153" s="6">
        <f>B153*LN(B153/首页!$B$4)</f>
        <v>0.51716850327135433</v>
      </c>
      <c r="T153" s="6">
        <f>2*首页!$B$8*(E153-C153)/(R153*(C153-D153))</f>
        <v>7.0764715821216351E-2</v>
      </c>
      <c r="U153" t="str">
        <f>IF(首页!$B$13="自然对流","按自然对流公式", "按强制对流公式")</f>
        <v>按自然对流公式</v>
      </c>
      <c r="V153" s="6">
        <f t="shared" si="26"/>
        <v>0.44640378745013798</v>
      </c>
    </row>
    <row r="154" spans="1:22" x14ac:dyDescent="0.15">
      <c r="A154">
        <v>149</v>
      </c>
      <c r="B154" s="6">
        <f>首页!$B$4+2*A154/1000</f>
        <v>0.41799999999999998</v>
      </c>
      <c r="C154" s="6">
        <f>首页!$B$7+273.15</f>
        <v>388.15</v>
      </c>
      <c r="D154" s="6">
        <f>首页!$B$6+273.15</f>
        <v>293.14999999999998</v>
      </c>
      <c r="E154" s="6">
        <f>首页!$B$5+273.15</f>
        <v>1373.15</v>
      </c>
      <c r="F154" s="6">
        <f t="shared" si="18"/>
        <v>95</v>
      </c>
      <c r="G154" s="6">
        <f t="shared" si="19"/>
        <v>340.65</v>
      </c>
      <c r="H154" s="6">
        <f t="shared" si="20"/>
        <v>1.9926207055139041E-5</v>
      </c>
      <c r="I154" s="7">
        <f t="shared" si="21"/>
        <v>1158916576932337.8</v>
      </c>
      <c r="J154" s="6">
        <f t="shared" si="22"/>
        <v>1.0226038455893147</v>
      </c>
      <c r="K154" s="7">
        <f>J154*H154*首页!$B$12/P154</f>
        <v>0.69532757496605813</v>
      </c>
      <c r="L154" s="6">
        <f>首页!$B$9*0.0000000567*((C154^4-D154^4)/(C154-D154))</f>
        <v>7.7687338005019564</v>
      </c>
      <c r="M154" s="6">
        <f>IF(首页!$B$13="自然对流",IF(首页!$B$14="立式圆筒",首页!$B$10,PI()*B154/2),PI()*B154/2)</f>
        <v>55.2</v>
      </c>
      <c r="N154" s="7">
        <f>IF(首页!$B$13="强制对流",首页!$B$11*M154/H154,0)</f>
        <v>0</v>
      </c>
      <c r="O154" s="6">
        <f>IF(首页!$B$13="自然对流",IF(首页!$B$14="立式圆筒",(0.825+0.3063*I154^(1/6))^2+0.87*(M154/B154),(0.752+0.303*I154^(1/6))^2),0.3+SQRT((0.592*N154^0.5)^2+(0.0262*N154^0.8/(1-0.5/N154^0.1))^2))</f>
        <v>10134.097455088009</v>
      </c>
      <c r="P154" s="6">
        <f t="shared" si="23"/>
        <v>2.9510194925512497E-2</v>
      </c>
      <c r="Q154" s="6">
        <f t="shared" si="24"/>
        <v>5.4177389727135372</v>
      </c>
      <c r="R154" s="6">
        <f t="shared" si="25"/>
        <v>13.186472773215494</v>
      </c>
      <c r="S154" s="6">
        <f>B154*LN(B154/首页!$B$4)</f>
        <v>0.52165969031245285</v>
      </c>
      <c r="T154" s="6">
        <f>2*首页!$B$8*(E154-C154)/(R154*(C154-D154))</f>
        <v>7.0766300494874007E-2</v>
      </c>
      <c r="U154" t="str">
        <f>IF(首页!$B$13="自然对流","按自然对流公式", "按强制对流公式")</f>
        <v>按自然对流公式</v>
      </c>
      <c r="V154" s="6">
        <f t="shared" si="26"/>
        <v>0.45089338981757887</v>
      </c>
    </row>
    <row r="155" spans="1:22" x14ac:dyDescent="0.15">
      <c r="A155">
        <v>150</v>
      </c>
      <c r="B155" s="6">
        <f>首页!$B$4+2*A155/1000</f>
        <v>0.42</v>
      </c>
      <c r="C155" s="6">
        <f>首页!$B$7+273.15</f>
        <v>388.15</v>
      </c>
      <c r="D155" s="6">
        <f>首页!$B$6+273.15</f>
        <v>293.14999999999998</v>
      </c>
      <c r="E155" s="6">
        <f>首页!$B$5+273.15</f>
        <v>1373.15</v>
      </c>
      <c r="F155" s="6">
        <f t="shared" si="18"/>
        <v>95</v>
      </c>
      <c r="G155" s="6">
        <f t="shared" si="19"/>
        <v>340.65</v>
      </c>
      <c r="H155" s="6">
        <f t="shared" si="20"/>
        <v>1.9926207055139041E-5</v>
      </c>
      <c r="I155" s="7">
        <f t="shared" si="21"/>
        <v>1158916576932337.8</v>
      </c>
      <c r="J155" s="6">
        <f t="shared" si="22"/>
        <v>1.0226038455893147</v>
      </c>
      <c r="K155" s="7">
        <f>J155*H155*首页!$B$12/P155</f>
        <v>0.69532757496605813</v>
      </c>
      <c r="L155" s="6">
        <f>首页!$B$9*0.0000000567*((C155^4-D155^4)/(C155-D155))</f>
        <v>7.7687338005019564</v>
      </c>
      <c r="M155" s="6">
        <f>IF(首页!$B$13="自然对流",IF(首页!$B$14="立式圆筒",首页!$B$10,PI()*B155/2),PI()*B155/2)</f>
        <v>55.2</v>
      </c>
      <c r="N155" s="7">
        <f>IF(首页!$B$13="强制对流",首页!$B$11*M155/H155,0)</f>
        <v>0</v>
      </c>
      <c r="O155" s="6">
        <f>IF(首页!$B$13="自然对流",IF(首页!$B$14="立式圆筒",(0.825+0.3063*I155^(1/6))^2+0.87*(M155/B155),(0.752+0.303*I155^(1/6))^2),0.3+SQRT((0.592*N155^0.5)^2+(0.0262*N155^0.8/(1-0.5/N155^0.1))^2))</f>
        <v>10133.550360077757</v>
      </c>
      <c r="P155" s="6">
        <f t="shared" si="23"/>
        <v>2.9510194925512497E-2</v>
      </c>
      <c r="Q155" s="6">
        <f t="shared" si="24"/>
        <v>5.4174464929962305</v>
      </c>
      <c r="R155" s="6">
        <f t="shared" si="25"/>
        <v>13.186180293498186</v>
      </c>
      <c r="S155" s="6">
        <f>B155*LN(B155/首页!$B$4)</f>
        <v>0.52616044676805451</v>
      </c>
      <c r="T155" s="6">
        <f>2*首页!$B$8*(E155-C155)/(R155*(C155-D155))</f>
        <v>7.0767870146365416E-2</v>
      </c>
      <c r="U155" t="str">
        <f>IF(首页!$B$13="自然对流","按自然对流公式", "按强制对流公式")</f>
        <v>按自然对流公式</v>
      </c>
      <c r="V155" s="6">
        <f t="shared" si="26"/>
        <v>0.45539257662168908</v>
      </c>
    </row>
    <row r="156" spans="1:22" x14ac:dyDescent="0.15">
      <c r="A156">
        <v>151</v>
      </c>
      <c r="B156" s="6">
        <f>首页!$B$4+2*A156/1000</f>
        <v>0.42199999999999999</v>
      </c>
      <c r="C156" s="6">
        <f>首页!$B$7+273.15</f>
        <v>388.15</v>
      </c>
      <c r="D156" s="6">
        <f>首页!$B$6+273.15</f>
        <v>293.14999999999998</v>
      </c>
      <c r="E156" s="6">
        <f>首页!$B$5+273.15</f>
        <v>1373.15</v>
      </c>
      <c r="F156" s="6">
        <f t="shared" si="18"/>
        <v>95</v>
      </c>
      <c r="G156" s="6">
        <f t="shared" si="19"/>
        <v>340.65</v>
      </c>
      <c r="H156" s="6">
        <f t="shared" si="20"/>
        <v>1.9926207055139041E-5</v>
      </c>
      <c r="I156" s="7">
        <f t="shared" si="21"/>
        <v>1158916576932337.8</v>
      </c>
      <c r="J156" s="6">
        <f t="shared" si="22"/>
        <v>1.0226038455893147</v>
      </c>
      <c r="K156" s="7">
        <f>J156*H156*首页!$B$12/P156</f>
        <v>0.69532757496605813</v>
      </c>
      <c r="L156" s="6">
        <f>首页!$B$9*0.0000000567*((C156^4-D156^4)/(C156-D156))</f>
        <v>7.7687338005019564</v>
      </c>
      <c r="M156" s="6">
        <f>IF(首页!$B$13="自然对流",IF(首页!$B$14="立式圆筒",首页!$B$10,PI()*B156/2),PI()*B156/2)</f>
        <v>55.2</v>
      </c>
      <c r="N156" s="7">
        <f>IF(首页!$B$13="强制对流",首页!$B$11*M156/H156,0)</f>
        <v>0</v>
      </c>
      <c r="O156" s="6">
        <f>IF(首页!$B$13="自然对流",IF(首页!$B$14="立式圆筒",(0.825+0.3063*I156^(1/6))^2+0.87*(M156/B156),(0.752+0.303*I156^(1/6))^2),0.3+SQRT((0.592*N156^0.5)^2+(0.0262*N156^0.8/(1-0.5/N156^0.1))^2))</f>
        <v>10133.008450802199</v>
      </c>
      <c r="P156" s="6">
        <f t="shared" si="23"/>
        <v>2.9510194925512497E-2</v>
      </c>
      <c r="Q156" s="6">
        <f t="shared" si="24"/>
        <v>5.4171567855985199</v>
      </c>
      <c r="R156" s="6">
        <f t="shared" si="25"/>
        <v>13.185890586100477</v>
      </c>
      <c r="S156" s="6">
        <f>B156*LN(B156/首页!$B$4)</f>
        <v>0.53067072706917351</v>
      </c>
      <c r="T156" s="6">
        <f>2*首页!$B$8*(E156-C156)/(R156*(C156-D156))</f>
        <v>7.0769424988290391E-2</v>
      </c>
      <c r="U156" t="str">
        <f>IF(首页!$B$13="自然对流","按自然对流公式", "按强制对流公式")</f>
        <v>按自然对流公式</v>
      </c>
      <c r="V156" s="6">
        <f t="shared" si="26"/>
        <v>0.45990130208088309</v>
      </c>
    </row>
    <row r="157" spans="1:22" x14ac:dyDescent="0.15">
      <c r="A157">
        <v>152</v>
      </c>
      <c r="B157" s="6">
        <f>首页!$B$4+2*A157/1000</f>
        <v>0.42399999999999999</v>
      </c>
      <c r="C157" s="6">
        <f>首页!$B$7+273.15</f>
        <v>388.15</v>
      </c>
      <c r="D157" s="6">
        <f>首页!$B$6+273.15</f>
        <v>293.14999999999998</v>
      </c>
      <c r="E157" s="6">
        <f>首页!$B$5+273.15</f>
        <v>1373.15</v>
      </c>
      <c r="F157" s="6">
        <f t="shared" si="18"/>
        <v>95</v>
      </c>
      <c r="G157" s="6">
        <f t="shared" si="19"/>
        <v>340.65</v>
      </c>
      <c r="H157" s="6">
        <f t="shared" si="20"/>
        <v>1.9926207055139041E-5</v>
      </c>
      <c r="I157" s="7">
        <f t="shared" si="21"/>
        <v>1158916576932337.8</v>
      </c>
      <c r="J157" s="6">
        <f t="shared" si="22"/>
        <v>1.0226038455893147</v>
      </c>
      <c r="K157" s="7">
        <f>J157*H157*首页!$B$12/P157</f>
        <v>0.69532757496605813</v>
      </c>
      <c r="L157" s="6">
        <f>首页!$B$9*0.0000000567*((C157^4-D157^4)/(C157-D157))</f>
        <v>7.7687338005019564</v>
      </c>
      <c r="M157" s="6">
        <f>IF(首页!$B$13="自然对流",IF(首页!$B$14="立式圆筒",首页!$B$10,PI()*B157/2),PI()*B157/2)</f>
        <v>55.2</v>
      </c>
      <c r="N157" s="7">
        <f>IF(首页!$B$13="强制对流",首页!$B$11*M157/H157,0)</f>
        <v>0</v>
      </c>
      <c r="O157" s="6">
        <f>IF(首页!$B$13="自然对流",IF(首页!$B$14="立式圆筒",(0.825+0.3063*I157^(1/6))^2+0.87*(M157/B157),(0.752+0.303*I157^(1/6))^2),0.3+SQRT((0.592*N157^0.5)^2+(0.0262*N157^0.8/(1-0.5/N157^0.1))^2))</f>
        <v>10132.471653878296</v>
      </c>
      <c r="P157" s="6">
        <f t="shared" si="23"/>
        <v>2.9510194925512497E-2</v>
      </c>
      <c r="Q157" s="6">
        <f t="shared" si="24"/>
        <v>5.416869811289466</v>
      </c>
      <c r="R157" s="6">
        <f t="shared" si="25"/>
        <v>13.185603611791421</v>
      </c>
      <c r="S157" s="6">
        <f>B157*LN(B157/首页!$B$4)</f>
        <v>0.53519048607876252</v>
      </c>
      <c r="T157" s="6">
        <f>2*首页!$B$8*(E157-C157)/(R157*(C157-D157))</f>
        <v>7.0770965229255939E-2</v>
      </c>
      <c r="U157" t="str">
        <f>IF(首页!$B$13="自然对流","按自然对流公式", "按强制对流公式")</f>
        <v>按自然对流公式</v>
      </c>
      <c r="V157" s="6">
        <f t="shared" si="26"/>
        <v>0.46441952084950655</v>
      </c>
    </row>
    <row r="158" spans="1:22" x14ac:dyDescent="0.15">
      <c r="A158">
        <v>153</v>
      </c>
      <c r="B158" s="6">
        <f>首页!$B$4+2*A158/1000</f>
        <v>0.42599999999999999</v>
      </c>
      <c r="C158" s="6">
        <f>首页!$B$7+273.15</f>
        <v>388.15</v>
      </c>
      <c r="D158" s="6">
        <f>首页!$B$6+273.15</f>
        <v>293.14999999999998</v>
      </c>
      <c r="E158" s="6">
        <f>首页!$B$5+273.15</f>
        <v>1373.15</v>
      </c>
      <c r="F158" s="6">
        <f t="shared" si="18"/>
        <v>95</v>
      </c>
      <c r="G158" s="6">
        <f t="shared" si="19"/>
        <v>340.65</v>
      </c>
      <c r="H158" s="6">
        <f t="shared" si="20"/>
        <v>1.9926207055139041E-5</v>
      </c>
      <c r="I158" s="7">
        <f t="shared" si="21"/>
        <v>1158916576932337.8</v>
      </c>
      <c r="J158" s="6">
        <f t="shared" si="22"/>
        <v>1.0226038455893147</v>
      </c>
      <c r="K158" s="7">
        <f>J158*H158*首页!$B$12/P158</f>
        <v>0.69532757496605813</v>
      </c>
      <c r="L158" s="6">
        <f>首页!$B$9*0.0000000567*((C158^4-D158^4)/(C158-D158))</f>
        <v>7.7687338005019564</v>
      </c>
      <c r="M158" s="6">
        <f>IF(首页!$B$13="自然对流",IF(首页!$B$14="立式圆筒",首页!$B$10,PI()*B158/2),PI()*B158/2)</f>
        <v>55.2</v>
      </c>
      <c r="N158" s="7">
        <f>IF(首页!$B$13="强制对流",首页!$B$11*M158/H158,0)</f>
        <v>0</v>
      </c>
      <c r="O158" s="6">
        <f>IF(首页!$B$13="自然对流",IF(首页!$B$14="立式圆筒",(0.825+0.3063*I158^(1/6))^2+0.87*(M158/B158),(0.752+0.303*I158^(1/6))^2),0.3+SQRT((0.592*N158^0.5)^2+(0.0262*N158^0.8/(1-0.5/N158^0.1))^2))</f>
        <v>10131.939897301098</v>
      </c>
      <c r="P158" s="6">
        <f t="shared" si="23"/>
        <v>2.9510194925512497E-2</v>
      </c>
      <c r="Q158" s="6">
        <f t="shared" si="24"/>
        <v>5.4165855315748637</v>
      </c>
      <c r="R158" s="6">
        <f t="shared" si="25"/>
        <v>13.185319332076819</v>
      </c>
      <c r="S158" s="6">
        <f>B158*LN(B158/首页!$B$4)</f>
        <v>0.53971967908560026</v>
      </c>
      <c r="T158" s="6">
        <f>2*首页!$B$8*(E158-C158)/(R158*(C158-D158))</f>
        <v>7.0772491073969351E-2</v>
      </c>
      <c r="U158" t="str">
        <f>IF(首页!$B$13="自然对流","按自然对流公式", "按强制对流公式")</f>
        <v>按自然对流公式</v>
      </c>
      <c r="V158" s="6">
        <f t="shared" si="26"/>
        <v>0.46894718801163093</v>
      </c>
    </row>
    <row r="159" spans="1:22" x14ac:dyDescent="0.15">
      <c r="A159">
        <v>154</v>
      </c>
      <c r="B159" s="6">
        <f>首页!$B$4+2*A159/1000</f>
        <v>0.42799999999999999</v>
      </c>
      <c r="C159" s="6">
        <f>首页!$B$7+273.15</f>
        <v>388.15</v>
      </c>
      <c r="D159" s="6">
        <f>首页!$B$6+273.15</f>
        <v>293.14999999999998</v>
      </c>
      <c r="E159" s="6">
        <f>首页!$B$5+273.15</f>
        <v>1373.15</v>
      </c>
      <c r="F159" s="6">
        <f t="shared" si="18"/>
        <v>95</v>
      </c>
      <c r="G159" s="6">
        <f t="shared" si="19"/>
        <v>340.65</v>
      </c>
      <c r="H159" s="6">
        <f t="shared" si="20"/>
        <v>1.9926207055139041E-5</v>
      </c>
      <c r="I159" s="7">
        <f t="shared" si="21"/>
        <v>1158916576932337.8</v>
      </c>
      <c r="J159" s="6">
        <f t="shared" si="22"/>
        <v>1.0226038455893147</v>
      </c>
      <c r="K159" s="7">
        <f>J159*H159*首页!$B$12/P159</f>
        <v>0.69532757496605813</v>
      </c>
      <c r="L159" s="6">
        <f>首页!$B$9*0.0000000567*((C159^4-D159^4)/(C159-D159))</f>
        <v>7.7687338005019564</v>
      </c>
      <c r="M159" s="6">
        <f>IF(首页!$B$13="自然对流",IF(首页!$B$14="立式圆筒",首页!$B$10,PI()*B159/2),PI()*B159/2)</f>
        <v>55.2</v>
      </c>
      <c r="N159" s="7">
        <f>IF(首页!$B$13="强制对流",首页!$B$11*M159/H159,0)</f>
        <v>0</v>
      </c>
      <c r="O159" s="6">
        <f>IF(首页!$B$13="自然对流",IF(首页!$B$14="立式圆筒",(0.825+0.3063*I159^(1/6))^2+0.87*(M159/B159),(0.752+0.303*I159^(1/6))^2),0.3+SQRT((0.592*N159^0.5)^2+(0.0262*N159^0.8/(1-0.5/N159^0.1))^2))</f>
        <v>10131.413110411535</v>
      </c>
      <c r="P159" s="6">
        <f t="shared" si="23"/>
        <v>2.9510194925512497E-2</v>
      </c>
      <c r="Q159" s="6">
        <f t="shared" si="24"/>
        <v>5.416303908680022</v>
      </c>
      <c r="R159" s="6">
        <f t="shared" si="25"/>
        <v>13.185037709181978</v>
      </c>
      <c r="S159" s="6">
        <f>B159*LN(B159/首页!$B$4)</f>
        <v>0.54425826179829329</v>
      </c>
      <c r="T159" s="6">
        <f>2*首页!$B$8*(E159-C159)/(R159*(C159-D159))</f>
        <v>7.0774002723329094E-2</v>
      </c>
      <c r="U159" t="str">
        <f>IF(首页!$B$13="自然对流","按自然对流公式", "按强制对流公式")</f>
        <v>按自然对流公式</v>
      </c>
      <c r="V159" s="6">
        <f t="shared" si="26"/>
        <v>0.47348425907496416</v>
      </c>
    </row>
    <row r="160" spans="1:22" x14ac:dyDescent="0.15">
      <c r="A160">
        <v>155</v>
      </c>
      <c r="B160" s="6">
        <f>首页!$B$4+2*A160/1000</f>
        <v>0.43</v>
      </c>
      <c r="C160" s="6">
        <f>首页!$B$7+273.15</f>
        <v>388.15</v>
      </c>
      <c r="D160" s="6">
        <f>首页!$B$6+273.15</f>
        <v>293.14999999999998</v>
      </c>
      <c r="E160" s="6">
        <f>首页!$B$5+273.15</f>
        <v>1373.15</v>
      </c>
      <c r="F160" s="6">
        <f t="shared" si="18"/>
        <v>95</v>
      </c>
      <c r="G160" s="6">
        <f t="shared" si="19"/>
        <v>340.65</v>
      </c>
      <c r="H160" s="6">
        <f t="shared" si="20"/>
        <v>1.9926207055139041E-5</v>
      </c>
      <c r="I160" s="7">
        <f t="shared" si="21"/>
        <v>1158916576932337.8</v>
      </c>
      <c r="J160" s="6">
        <f t="shared" si="22"/>
        <v>1.0226038455893147</v>
      </c>
      <c r="K160" s="7">
        <f>J160*H160*首页!$B$12/P160</f>
        <v>0.69532757496605813</v>
      </c>
      <c r="L160" s="6">
        <f>首页!$B$9*0.0000000567*((C160^4-D160^4)/(C160-D160))</f>
        <v>7.7687338005019564</v>
      </c>
      <c r="M160" s="6">
        <f>IF(首页!$B$13="自然对流",IF(首页!$B$14="立式圆筒",首页!$B$10,PI()*B160/2),PI()*B160/2)</f>
        <v>55.2</v>
      </c>
      <c r="N160" s="7">
        <f>IF(首页!$B$13="强制对流",首页!$B$11*M160/H160,0)</f>
        <v>0</v>
      </c>
      <c r="O160" s="6">
        <f>IF(首页!$B$13="自然对流",IF(首页!$B$14="立式圆筒",(0.825+0.3063*I160^(1/6))^2+0.87*(M160/B160),(0.752+0.303*I160^(1/6))^2),0.3+SQRT((0.592*N160^0.5)^2+(0.0262*N160^0.8/(1-0.5/N160^0.1))^2))</f>
        <v>10130.891223865132</v>
      </c>
      <c r="P160" s="6">
        <f t="shared" si="23"/>
        <v>2.9510194925512497E-2</v>
      </c>
      <c r="Q160" s="6">
        <f t="shared" si="24"/>
        <v>5.4160249055330416</v>
      </c>
      <c r="R160" s="6">
        <f t="shared" si="25"/>
        <v>13.184758706034998</v>
      </c>
      <c r="S160" s="6">
        <f>B160*LN(B160/首页!$B$4)</f>
        <v>0.54880619033939171</v>
      </c>
      <c r="T160" s="6">
        <f>2*首页!$B$8*(E160-C160)/(R160*(C160-D160))</f>
        <v>7.0775500374512898E-2</v>
      </c>
      <c r="U160" t="str">
        <f>IF(首页!$B$13="自然对流","按自然对流公式", "按强制对流公式")</f>
        <v>按自然对流公式</v>
      </c>
      <c r="V160" s="6">
        <f t="shared" si="26"/>
        <v>0.4780306899648788</v>
      </c>
    </row>
    <row r="161" spans="1:22" x14ac:dyDescent="0.15">
      <c r="A161">
        <v>156</v>
      </c>
      <c r="B161" s="6">
        <f>首页!$B$4+2*A161/1000</f>
        <v>0.432</v>
      </c>
      <c r="C161" s="6">
        <f>首页!$B$7+273.15</f>
        <v>388.15</v>
      </c>
      <c r="D161" s="6">
        <f>首页!$B$6+273.15</f>
        <v>293.14999999999998</v>
      </c>
      <c r="E161" s="6">
        <f>首页!$B$5+273.15</f>
        <v>1373.15</v>
      </c>
      <c r="F161" s="6">
        <f t="shared" si="18"/>
        <v>95</v>
      </c>
      <c r="G161" s="6">
        <f t="shared" si="19"/>
        <v>340.65</v>
      </c>
      <c r="H161" s="6">
        <f t="shared" si="20"/>
        <v>1.9926207055139041E-5</v>
      </c>
      <c r="I161" s="7">
        <f t="shared" si="21"/>
        <v>1158916576932337.8</v>
      </c>
      <c r="J161" s="6">
        <f t="shared" si="22"/>
        <v>1.0226038455893147</v>
      </c>
      <c r="K161" s="7">
        <f>J161*H161*首页!$B$12/P161</f>
        <v>0.69532757496605813</v>
      </c>
      <c r="L161" s="6">
        <f>首页!$B$9*0.0000000567*((C161^4-D161^4)/(C161-D161))</f>
        <v>7.7687338005019564</v>
      </c>
      <c r="M161" s="6">
        <f>IF(首页!$B$13="自然对流",IF(首页!$B$14="立式圆筒",首页!$B$10,PI()*B161/2),PI()*B161/2)</f>
        <v>55.2</v>
      </c>
      <c r="N161" s="7">
        <f>IF(首页!$B$13="强制对流",首页!$B$11*M161/H161,0)</f>
        <v>0</v>
      </c>
      <c r="O161" s="6">
        <f>IF(首页!$B$13="自然对流",IF(首页!$B$14="立式圆筒",(0.825+0.3063*I161^(1/6))^2+0.87*(M161/B161),(0.752+0.303*I161^(1/6))^2),0.3+SQRT((0.592*N161^0.5)^2+(0.0262*N161^0.8/(1-0.5/N161^0.1))^2))</f>
        <v>10130.374169601566</v>
      </c>
      <c r="P161" s="6">
        <f t="shared" si="23"/>
        <v>2.9510194925512497E-2</v>
      </c>
      <c r="Q161" s="6">
        <f t="shared" si="24"/>
        <v>5.4157484857485327</v>
      </c>
      <c r="R161" s="6">
        <f t="shared" si="25"/>
        <v>13.184482286250489</v>
      </c>
      <c r="S161" s="6">
        <f>B161*LN(B161/首页!$B$4)</f>
        <v>0.5533634212396118</v>
      </c>
      <c r="T161" s="6">
        <f>2*首页!$B$8*(E161-C161)/(R161*(C161-D161))</f>
        <v>7.0776984221063502E-2</v>
      </c>
      <c r="U161" t="str">
        <f>IF(首页!$B$13="自然对流","按自然对流公式", "按强制对流公式")</f>
        <v>按自然对流公式</v>
      </c>
      <c r="V161" s="6">
        <f t="shared" si="26"/>
        <v>0.48258643701854831</v>
      </c>
    </row>
    <row r="162" spans="1:22" x14ac:dyDescent="0.15">
      <c r="A162">
        <v>157</v>
      </c>
      <c r="B162" s="6">
        <f>首页!$B$4+2*A162/1000</f>
        <v>0.434</v>
      </c>
      <c r="C162" s="6">
        <f>首页!$B$7+273.15</f>
        <v>388.15</v>
      </c>
      <c r="D162" s="6">
        <f>首页!$B$6+273.15</f>
        <v>293.14999999999998</v>
      </c>
      <c r="E162" s="6">
        <f>首页!$B$5+273.15</f>
        <v>1373.15</v>
      </c>
      <c r="F162" s="6">
        <f t="shared" si="18"/>
        <v>95</v>
      </c>
      <c r="G162" s="6">
        <f t="shared" si="19"/>
        <v>340.65</v>
      </c>
      <c r="H162" s="6">
        <f t="shared" si="20"/>
        <v>1.9926207055139041E-5</v>
      </c>
      <c r="I162" s="7">
        <f t="shared" si="21"/>
        <v>1158916576932337.8</v>
      </c>
      <c r="J162" s="6">
        <f t="shared" si="22"/>
        <v>1.0226038455893147</v>
      </c>
      <c r="K162" s="7">
        <f>J162*H162*首页!$B$12/P162</f>
        <v>0.69532757496605813</v>
      </c>
      <c r="L162" s="6">
        <f>首页!$B$9*0.0000000567*((C162^4-D162^4)/(C162-D162))</f>
        <v>7.7687338005019564</v>
      </c>
      <c r="M162" s="6">
        <f>IF(首页!$B$13="自然对流",IF(首页!$B$14="立式圆筒",首页!$B$10,PI()*B162/2),PI()*B162/2)</f>
        <v>55.2</v>
      </c>
      <c r="N162" s="7">
        <f>IF(首页!$B$13="强制对流",首页!$B$11*M162/H162,0)</f>
        <v>0</v>
      </c>
      <c r="O162" s="6">
        <f>IF(首页!$B$13="自然对流",IF(首页!$B$14="立式圆筒",(0.825+0.3063*I162^(1/6))^2+0.87*(M162/B162),(0.752+0.303*I162^(1/6))^2),0.3+SQRT((0.592*N162^0.5)^2+(0.0262*N162^0.8/(1-0.5/N162^0.1))^2))</f>
        <v>10129.861880815084</v>
      </c>
      <c r="P162" s="6">
        <f t="shared" si="23"/>
        <v>2.9510194925512497E-2</v>
      </c>
      <c r="Q162" s="6">
        <f t="shared" si="24"/>
        <v>5.4154746136118064</v>
      </c>
      <c r="R162" s="6">
        <f t="shared" si="25"/>
        <v>13.184208414113762</v>
      </c>
      <c r="S162" s="6">
        <f>B162*LN(B162/首页!$B$4)</f>
        <v>0.55792991143216775</v>
      </c>
      <c r="T162" s="6">
        <f>2*首页!$B$8*(E162-C162)/(R162*(C162-D162))</f>
        <v>7.0778454452972081E-2</v>
      </c>
      <c r="U162" t="str">
        <f>IF(首页!$B$13="自然对流","按自然对流公式", "按强制对流公式")</f>
        <v>按自然对流公式</v>
      </c>
      <c r="V162" s="6">
        <f t="shared" si="26"/>
        <v>0.48715145697919565</v>
      </c>
    </row>
    <row r="163" spans="1:22" x14ac:dyDescent="0.15">
      <c r="A163">
        <v>158</v>
      </c>
      <c r="B163" s="6">
        <f>首页!$B$4+2*A163/1000</f>
        <v>0.436</v>
      </c>
      <c r="C163" s="6">
        <f>首页!$B$7+273.15</f>
        <v>388.15</v>
      </c>
      <c r="D163" s="6">
        <f>首页!$B$6+273.15</f>
        <v>293.14999999999998</v>
      </c>
      <c r="E163" s="6">
        <f>首页!$B$5+273.15</f>
        <v>1373.15</v>
      </c>
      <c r="F163" s="6">
        <f t="shared" si="18"/>
        <v>95</v>
      </c>
      <c r="G163" s="6">
        <f t="shared" si="19"/>
        <v>340.65</v>
      </c>
      <c r="H163" s="6">
        <f t="shared" si="20"/>
        <v>1.9926207055139041E-5</v>
      </c>
      <c r="I163" s="7">
        <f t="shared" si="21"/>
        <v>1158916576932337.8</v>
      </c>
      <c r="J163" s="6">
        <f t="shared" si="22"/>
        <v>1.0226038455893147</v>
      </c>
      <c r="K163" s="7">
        <f>J163*H163*首页!$B$12/P163</f>
        <v>0.69532757496605813</v>
      </c>
      <c r="L163" s="6">
        <f>首页!$B$9*0.0000000567*((C163^4-D163^4)/(C163-D163))</f>
        <v>7.7687338005019564</v>
      </c>
      <c r="M163" s="6">
        <f>IF(首页!$B$13="自然对流",IF(首页!$B$14="立式圆筒",首页!$B$10,PI()*B163/2),PI()*B163/2)</f>
        <v>55.2</v>
      </c>
      <c r="N163" s="7">
        <f>IF(首页!$B$13="强制对流",首页!$B$11*M163/H163,0)</f>
        <v>0</v>
      </c>
      <c r="O163" s="6">
        <f>IF(首页!$B$13="自然对流",IF(首页!$B$14="立式圆筒",(0.825+0.3063*I163^(1/6))^2+0.87*(M163/B163),(0.752+0.303*I163^(1/6))^2),0.3+SQRT((0.592*N163^0.5)^2+(0.0262*N163^0.8/(1-0.5/N163^0.1))^2))</f>
        <v>10129.354291925725</v>
      </c>
      <c r="P163" s="6">
        <f t="shared" si="23"/>
        <v>2.9510194925512497E-2</v>
      </c>
      <c r="Q163" s="6">
        <f t="shared" si="24"/>
        <v>5.415203254063492</v>
      </c>
      <c r="R163" s="6">
        <f t="shared" si="25"/>
        <v>13.183937054565448</v>
      </c>
      <c r="S163" s="6">
        <f>B163*LN(B163/首页!$B$4)</f>
        <v>0.56250561824720691</v>
      </c>
      <c r="T163" s="6">
        <f>2*首页!$B$8*(E163-C163)/(R163*(C163-D163))</f>
        <v>7.077991125675924E-2</v>
      </c>
      <c r="U163" t="str">
        <f>IF(首页!$B$13="自然对流","按自然对流公式", "按强制对流公式")</f>
        <v>按自然对流公式</v>
      </c>
      <c r="V163" s="6">
        <f t="shared" si="26"/>
        <v>0.49172570699044765</v>
      </c>
    </row>
    <row r="164" spans="1:22" x14ac:dyDescent="0.15">
      <c r="A164">
        <v>159</v>
      </c>
      <c r="B164" s="6">
        <f>首页!$B$4+2*A164/1000</f>
        <v>0.438</v>
      </c>
      <c r="C164" s="6">
        <f>首页!$B$7+273.15</f>
        <v>388.15</v>
      </c>
      <c r="D164" s="6">
        <f>首页!$B$6+273.15</f>
        <v>293.14999999999998</v>
      </c>
      <c r="E164" s="6">
        <f>首页!$B$5+273.15</f>
        <v>1373.15</v>
      </c>
      <c r="F164" s="6">
        <f t="shared" si="18"/>
        <v>95</v>
      </c>
      <c r="G164" s="6">
        <f t="shared" si="19"/>
        <v>340.65</v>
      </c>
      <c r="H164" s="6">
        <f t="shared" si="20"/>
        <v>1.9926207055139041E-5</v>
      </c>
      <c r="I164" s="7">
        <f t="shared" si="21"/>
        <v>1158916576932337.8</v>
      </c>
      <c r="J164" s="6">
        <f t="shared" si="22"/>
        <v>1.0226038455893147</v>
      </c>
      <c r="K164" s="7">
        <f>J164*H164*首页!$B$12/P164</f>
        <v>0.69532757496605813</v>
      </c>
      <c r="L164" s="6">
        <f>首页!$B$9*0.0000000567*((C164^4-D164^4)/(C164-D164))</f>
        <v>7.7687338005019564</v>
      </c>
      <c r="M164" s="6">
        <f>IF(首页!$B$13="自然对流",IF(首页!$B$14="立式圆筒",首页!$B$10,PI()*B164/2),PI()*B164/2)</f>
        <v>55.2</v>
      </c>
      <c r="N164" s="7">
        <f>IF(首页!$B$13="强制对流",首页!$B$11*M164/H164,0)</f>
        <v>0</v>
      </c>
      <c r="O164" s="6">
        <f>IF(首页!$B$13="自然对流",IF(首页!$B$14="立式圆筒",(0.825+0.3063*I164^(1/6))^2+0.87*(M164/B164),(0.752+0.303*I164^(1/6))^2),0.3+SQRT((0.592*N164^0.5)^2+(0.0262*N164^0.8/(1-0.5/N164^0.1))^2))</f>
        <v>10128.851338551338</v>
      </c>
      <c r="P164" s="6">
        <f t="shared" si="23"/>
        <v>2.9510194925512497E-2</v>
      </c>
      <c r="Q164" s="6">
        <f t="shared" si="24"/>
        <v>5.4149343726845673</v>
      </c>
      <c r="R164" s="6">
        <f t="shared" si="25"/>
        <v>13.183668173186524</v>
      </c>
      <c r="S164" s="6">
        <f>B164*LN(B164/首页!$B$4)</f>
        <v>0.56709049940634737</v>
      </c>
      <c r="T164" s="6">
        <f>2*首页!$B$8*(E164-C164)/(R164*(C164-D164))</f>
        <v>7.0781354815554018E-2</v>
      </c>
      <c r="U164" t="str">
        <f>IF(首页!$B$13="自然对流","按自然对流公式", "按强制对流公式")</f>
        <v>按自然对流公式</v>
      </c>
      <c r="V164" s="6">
        <f t="shared" si="26"/>
        <v>0.49630914459079334</v>
      </c>
    </row>
    <row r="165" spans="1:22" x14ac:dyDescent="0.15">
      <c r="A165">
        <v>160</v>
      </c>
      <c r="B165" s="6">
        <f>首页!$B$4+2*A165/1000</f>
        <v>0.44</v>
      </c>
      <c r="C165" s="6">
        <f>首页!$B$7+273.15</f>
        <v>388.15</v>
      </c>
      <c r="D165" s="6">
        <f>首页!$B$6+273.15</f>
        <v>293.14999999999998</v>
      </c>
      <c r="E165" s="6">
        <f>首页!$B$5+273.15</f>
        <v>1373.15</v>
      </c>
      <c r="F165" s="6">
        <f t="shared" si="18"/>
        <v>95</v>
      </c>
      <c r="G165" s="6">
        <f t="shared" si="19"/>
        <v>340.65</v>
      </c>
      <c r="H165" s="6">
        <f t="shared" si="20"/>
        <v>1.9926207055139041E-5</v>
      </c>
      <c r="I165" s="7">
        <f t="shared" si="21"/>
        <v>1158916576932337.8</v>
      </c>
      <c r="J165" s="6">
        <f t="shared" si="22"/>
        <v>1.0226038455893147</v>
      </c>
      <c r="K165" s="7">
        <f>J165*H165*首页!$B$12/P165</f>
        <v>0.69532757496605813</v>
      </c>
      <c r="L165" s="6">
        <f>首页!$B$9*0.0000000567*((C165^4-D165^4)/(C165-D165))</f>
        <v>7.7687338005019564</v>
      </c>
      <c r="M165" s="6">
        <f>IF(首页!$B$13="自然对流",IF(首页!$B$14="立式圆筒",首页!$B$10,PI()*B165/2),PI()*B165/2)</f>
        <v>55.2</v>
      </c>
      <c r="N165" s="7">
        <f>IF(首页!$B$13="强制对流",首页!$B$11*M165/H165,0)</f>
        <v>0</v>
      </c>
      <c r="O165" s="6">
        <f>IF(首页!$B$13="自然对流",IF(首页!$B$14="立式圆筒",(0.825+0.3063*I165^(1/6))^2+0.87*(M165/B165),(0.752+0.303*I165^(1/6))^2),0.3+SQRT((0.592*N165^0.5)^2+(0.0262*N165^0.8/(1-0.5/N165^0.1))^2))</f>
        <v>10128.352957480354</v>
      </c>
      <c r="P165" s="6">
        <f t="shared" si="23"/>
        <v>2.9510194925512497E-2</v>
      </c>
      <c r="Q165" s="6">
        <f t="shared" si="24"/>
        <v>5.4146679356818153</v>
      </c>
      <c r="R165" s="6">
        <f t="shared" si="25"/>
        <v>13.183401736183772</v>
      </c>
      <c r="S165" s="6">
        <f>B165*LN(B165/首页!$B$4)</f>
        <v>0.57168451301731482</v>
      </c>
      <c r="T165" s="6">
        <f>2*首页!$B$8*(E165-C165)/(R165*(C165-D165))</f>
        <v>7.0782785309170551E-2</v>
      </c>
      <c r="U165" t="str">
        <f>IF(首页!$B$13="自然对流","按自然对流公式", "按强制对流公式")</f>
        <v>按自然对流公式</v>
      </c>
      <c r="V165" s="6">
        <f t="shared" si="26"/>
        <v>0.50090172770814423</v>
      </c>
    </row>
    <row r="166" spans="1:22" x14ac:dyDescent="0.15">
      <c r="A166">
        <v>161</v>
      </c>
      <c r="B166" s="6">
        <f>首页!$B$4+2*A166/1000</f>
        <v>0.442</v>
      </c>
      <c r="C166" s="6">
        <f>首页!$B$7+273.15</f>
        <v>388.15</v>
      </c>
      <c r="D166" s="6">
        <f>首页!$B$6+273.15</f>
        <v>293.14999999999998</v>
      </c>
      <c r="E166" s="6">
        <f>首页!$B$5+273.15</f>
        <v>1373.15</v>
      </c>
      <c r="F166" s="6">
        <f t="shared" si="18"/>
        <v>95</v>
      </c>
      <c r="G166" s="6">
        <f t="shared" si="19"/>
        <v>340.65</v>
      </c>
      <c r="H166" s="6">
        <f t="shared" si="20"/>
        <v>1.9926207055139041E-5</v>
      </c>
      <c r="I166" s="7">
        <f t="shared" si="21"/>
        <v>1158916576932337.8</v>
      </c>
      <c r="J166" s="6">
        <f t="shared" si="22"/>
        <v>1.0226038455893147</v>
      </c>
      <c r="K166" s="7">
        <f>J166*H166*首页!$B$12/P166</f>
        <v>0.69532757496605813</v>
      </c>
      <c r="L166" s="6">
        <f>首页!$B$9*0.0000000567*((C166^4-D166^4)/(C166-D166))</f>
        <v>7.7687338005019564</v>
      </c>
      <c r="M166" s="6">
        <f>IF(首页!$B$13="自然对流",IF(首页!$B$14="立式圆筒",首页!$B$10,PI()*B166/2),PI()*B166/2)</f>
        <v>55.2</v>
      </c>
      <c r="N166" s="7">
        <f>IF(首页!$B$13="强制对流",首页!$B$11*M166/H166,0)</f>
        <v>0</v>
      </c>
      <c r="O166" s="6">
        <f>IF(首页!$B$13="自然对流",IF(首页!$B$14="立式圆筒",(0.825+0.3063*I166^(1/6))^2+0.87*(M166/B166),(0.752+0.303*I166^(1/6))^2),0.3+SQRT((0.592*N166^0.5)^2+(0.0262*N166^0.8/(1-0.5/N166^0.1))^2))</f>
        <v>10127.859086645307</v>
      </c>
      <c r="P166" s="6">
        <f t="shared" si="23"/>
        <v>2.9510194925512497E-2</v>
      </c>
      <c r="Q166" s="6">
        <f t="shared" si="24"/>
        <v>5.4144039098736583</v>
      </c>
      <c r="R166" s="6">
        <f t="shared" si="25"/>
        <v>13.183137710375615</v>
      </c>
      <c r="S166" s="6">
        <f>B166*LN(B166/首页!$B$4)</f>
        <v>0.5762876175686783</v>
      </c>
      <c r="T166" s="6">
        <f>2*首页!$B$8*(E166-C166)/(R166*(C166-D166))</f>
        <v>7.0784202914182762E-2</v>
      </c>
      <c r="U166" t="str">
        <f>IF(首页!$B$13="自然对流","按自然对流公式", "按强制对流公式")</f>
        <v>按自然对流公式</v>
      </c>
      <c r="V166" s="6">
        <f t="shared" si="26"/>
        <v>0.50550341465449555</v>
      </c>
    </row>
    <row r="167" spans="1:22" x14ac:dyDescent="0.15">
      <c r="A167">
        <v>162</v>
      </c>
      <c r="B167" s="6">
        <f>首页!$B$4+2*A167/1000</f>
        <v>0.44400000000000001</v>
      </c>
      <c r="C167" s="6">
        <f>首页!$B$7+273.15</f>
        <v>388.15</v>
      </c>
      <c r="D167" s="6">
        <f>首页!$B$6+273.15</f>
        <v>293.14999999999998</v>
      </c>
      <c r="E167" s="6">
        <f>首页!$B$5+273.15</f>
        <v>1373.15</v>
      </c>
      <c r="F167" s="6">
        <f t="shared" si="18"/>
        <v>95</v>
      </c>
      <c r="G167" s="6">
        <f t="shared" si="19"/>
        <v>340.65</v>
      </c>
      <c r="H167" s="6">
        <f t="shared" si="20"/>
        <v>1.9926207055139041E-5</v>
      </c>
      <c r="I167" s="7">
        <f t="shared" si="21"/>
        <v>1158916576932337.8</v>
      </c>
      <c r="J167" s="6">
        <f t="shared" si="22"/>
        <v>1.0226038455893147</v>
      </c>
      <c r="K167" s="7">
        <f>J167*H167*首页!$B$12/P167</f>
        <v>0.69532757496605813</v>
      </c>
      <c r="L167" s="6">
        <f>首页!$B$9*0.0000000567*((C167^4-D167^4)/(C167-D167))</f>
        <v>7.7687338005019564</v>
      </c>
      <c r="M167" s="6">
        <f>IF(首页!$B$13="自然对流",IF(首页!$B$14="立式圆筒",首页!$B$10,PI()*B167/2),PI()*B167/2)</f>
        <v>55.2</v>
      </c>
      <c r="N167" s="7">
        <f>IF(首页!$B$13="强制对流",首页!$B$11*M167/H167,0)</f>
        <v>0</v>
      </c>
      <c r="O167" s="6">
        <f>IF(首页!$B$13="自然对流",IF(首页!$B$14="立式圆筒",(0.825+0.3063*I167^(1/6))^2+0.87*(M167/B167),(0.752+0.303*I167^(1/6))^2),0.3+SQRT((0.592*N167^0.5)^2+(0.0262*N167^0.8/(1-0.5/N167^0.1))^2))</f>
        <v>10127.369665097061</v>
      </c>
      <c r="P167" s="6">
        <f t="shared" si="23"/>
        <v>2.9510194925512497E-2</v>
      </c>
      <c r="Q167" s="6">
        <f t="shared" si="24"/>
        <v>5.4141422626763855</v>
      </c>
      <c r="R167" s="6">
        <f t="shared" si="25"/>
        <v>13.182876063178341</v>
      </c>
      <c r="S167" s="6">
        <f>B167*LN(B167/首页!$B$4)</f>
        <v>0.58089977192467945</v>
      </c>
      <c r="T167" s="6">
        <f>2*首页!$B$8*(E167-C167)/(R167*(C167-D167))</f>
        <v>7.0785607803997008E-2</v>
      </c>
      <c r="U167" t="str">
        <f>IF(首页!$B$13="自然对流","按自然对流公式", "按强制对流公式")</f>
        <v>按自然对流公式</v>
      </c>
      <c r="V167" s="6">
        <f t="shared" si="26"/>
        <v>0.51011416412068245</v>
      </c>
    </row>
    <row r="168" spans="1:22" x14ac:dyDescent="0.15">
      <c r="A168">
        <v>163</v>
      </c>
      <c r="B168" s="6">
        <f>首页!$B$4+2*A168/1000</f>
        <v>0.44600000000000001</v>
      </c>
      <c r="C168" s="6">
        <f>首页!$B$7+273.15</f>
        <v>388.15</v>
      </c>
      <c r="D168" s="6">
        <f>首页!$B$6+273.15</f>
        <v>293.14999999999998</v>
      </c>
      <c r="E168" s="6">
        <f>首页!$B$5+273.15</f>
        <v>1373.15</v>
      </c>
      <c r="F168" s="6">
        <f t="shared" si="18"/>
        <v>95</v>
      </c>
      <c r="G168" s="6">
        <f t="shared" si="19"/>
        <v>340.65</v>
      </c>
      <c r="H168" s="6">
        <f t="shared" si="20"/>
        <v>1.9926207055139041E-5</v>
      </c>
      <c r="I168" s="7">
        <f t="shared" si="21"/>
        <v>1158916576932337.8</v>
      </c>
      <c r="J168" s="6">
        <f t="shared" si="22"/>
        <v>1.0226038455893147</v>
      </c>
      <c r="K168" s="7">
        <f>J168*H168*首页!$B$12/P168</f>
        <v>0.69532757496605813</v>
      </c>
      <c r="L168" s="6">
        <f>首页!$B$9*0.0000000567*((C168^4-D168^4)/(C168-D168))</f>
        <v>7.7687338005019564</v>
      </c>
      <c r="M168" s="6">
        <f>IF(首页!$B$13="自然对流",IF(首页!$B$14="立式圆筒",首页!$B$10,PI()*B168/2),PI()*B168/2)</f>
        <v>55.2</v>
      </c>
      <c r="N168" s="7">
        <f>IF(首页!$B$13="强制对流",首页!$B$11*M168/H168,0)</f>
        <v>0</v>
      </c>
      <c r="O168" s="6">
        <f>IF(首页!$B$13="自然对流",IF(首页!$B$14="立式圆筒",(0.825+0.3063*I168^(1/6))^2+0.87*(M168/B168),(0.752+0.303*I168^(1/6))^2),0.3+SQRT((0.592*N168^0.5)^2+(0.0262*N168^0.8/(1-0.5/N168^0.1))^2))</f>
        <v>10126.884632979743</v>
      </c>
      <c r="P168" s="6">
        <f t="shared" si="23"/>
        <v>2.9510194925512497E-2</v>
      </c>
      <c r="Q168" s="6">
        <f t="shared" si="24"/>
        <v>5.4138829620907485</v>
      </c>
      <c r="R168" s="6">
        <f t="shared" si="25"/>
        <v>13.182616762592705</v>
      </c>
      <c r="S168" s="6">
        <f>B168*LN(B168/首页!$B$4)</f>
        <v>0.58552093532015614</v>
      </c>
      <c r="T168" s="6">
        <f>2*首页!$B$8*(E168-C168)/(R168*(C168-D168))</f>
        <v>7.0787000148922807E-2</v>
      </c>
      <c r="U168" t="str">
        <f>IF(首页!$B$13="自然对流","按自然对流公式", "按强制对流公式")</f>
        <v>按自然对流公式</v>
      </c>
      <c r="V168" s="6">
        <f t="shared" si="26"/>
        <v>0.51473393517123334</v>
      </c>
    </row>
    <row r="169" spans="1:22" x14ac:dyDescent="0.15">
      <c r="A169">
        <v>164</v>
      </c>
      <c r="B169" s="6">
        <f>首页!$B$4+2*A169/1000</f>
        <v>0.44800000000000001</v>
      </c>
      <c r="C169" s="6">
        <f>首页!$B$7+273.15</f>
        <v>388.15</v>
      </c>
      <c r="D169" s="6">
        <f>首页!$B$6+273.15</f>
        <v>293.14999999999998</v>
      </c>
      <c r="E169" s="6">
        <f>首页!$B$5+273.15</f>
        <v>1373.15</v>
      </c>
      <c r="F169" s="6">
        <f t="shared" si="18"/>
        <v>95</v>
      </c>
      <c r="G169" s="6">
        <f t="shared" si="19"/>
        <v>340.65</v>
      </c>
      <c r="H169" s="6">
        <f t="shared" si="20"/>
        <v>1.9926207055139041E-5</v>
      </c>
      <c r="I169" s="7">
        <f t="shared" si="21"/>
        <v>1158916576932337.8</v>
      </c>
      <c r="J169" s="6">
        <f t="shared" si="22"/>
        <v>1.0226038455893147</v>
      </c>
      <c r="K169" s="7">
        <f>J169*H169*首页!$B$12/P169</f>
        <v>0.69532757496605813</v>
      </c>
      <c r="L169" s="6">
        <f>首页!$B$9*0.0000000567*((C169^4-D169^4)/(C169-D169))</f>
        <v>7.7687338005019564</v>
      </c>
      <c r="M169" s="6">
        <f>IF(首页!$B$13="自然对流",IF(首页!$B$14="立式圆筒",首页!$B$10,PI()*B169/2),PI()*B169/2)</f>
        <v>55.2</v>
      </c>
      <c r="N169" s="7">
        <f>IF(首页!$B$13="强制对流",首页!$B$11*M169/H169,0)</f>
        <v>0</v>
      </c>
      <c r="O169" s="6">
        <f>IF(首页!$B$13="自然对流",IF(首页!$B$14="立式圆筒",(0.825+0.3063*I169^(1/6))^2+0.87*(M169/B169),(0.752+0.303*I169^(1/6))^2),0.3+SQRT((0.592*N169^0.5)^2+(0.0262*N169^0.8/(1-0.5/N169^0.1))^2))</f>
        <v>10126.403931506329</v>
      </c>
      <c r="P169" s="6">
        <f t="shared" si="23"/>
        <v>2.9510194925512497E-2</v>
      </c>
      <c r="Q169" s="6">
        <f t="shared" si="24"/>
        <v>5.4136259766889099</v>
      </c>
      <c r="R169" s="6">
        <f t="shared" si="25"/>
        <v>13.182359777190866</v>
      </c>
      <c r="S169" s="6">
        <f>B169*LN(B169/首页!$B$4)</f>
        <v>0.59015106735555678</v>
      </c>
      <c r="T169" s="6">
        <f>2*首页!$B$8*(E169-C169)/(R169*(C169-D169))</f>
        <v>7.0788380116241695E-2</v>
      </c>
      <c r="U169" t="str">
        <f>IF(首页!$B$13="自然对流","按自然对流公式", "按强制对流公式")</f>
        <v>按自然对流公式</v>
      </c>
      <c r="V169" s="6">
        <f t="shared" si="26"/>
        <v>0.51936268723931511</v>
      </c>
    </row>
    <row r="170" spans="1:22" x14ac:dyDescent="0.15">
      <c r="A170">
        <v>165</v>
      </c>
      <c r="B170" s="6">
        <f>首页!$B$4+2*A170/1000</f>
        <v>0.45</v>
      </c>
      <c r="C170" s="6">
        <f>首页!$B$7+273.15</f>
        <v>388.15</v>
      </c>
      <c r="D170" s="6">
        <f>首页!$B$6+273.15</f>
        <v>293.14999999999998</v>
      </c>
      <c r="E170" s="6">
        <f>首页!$B$5+273.15</f>
        <v>1373.15</v>
      </c>
      <c r="F170" s="6">
        <f t="shared" si="18"/>
        <v>95</v>
      </c>
      <c r="G170" s="6">
        <f t="shared" si="19"/>
        <v>340.65</v>
      </c>
      <c r="H170" s="6">
        <f t="shared" si="20"/>
        <v>1.9926207055139041E-5</v>
      </c>
      <c r="I170" s="7">
        <f t="shared" si="21"/>
        <v>1158916576932337.8</v>
      </c>
      <c r="J170" s="6">
        <f t="shared" si="22"/>
        <v>1.0226038455893147</v>
      </c>
      <c r="K170" s="7">
        <f>J170*H170*首页!$B$12/P170</f>
        <v>0.69532757496605813</v>
      </c>
      <c r="L170" s="6">
        <f>首页!$B$9*0.0000000567*((C170^4-D170^4)/(C170-D170))</f>
        <v>7.7687338005019564</v>
      </c>
      <c r="M170" s="6">
        <f>IF(首页!$B$13="自然对流",IF(首页!$B$14="立式圆筒",首页!$B$10,PI()*B170/2),PI()*B170/2)</f>
        <v>55.2</v>
      </c>
      <c r="N170" s="7">
        <f>IF(首页!$B$13="强制对流",首页!$B$11*M170/H170,0)</f>
        <v>0</v>
      </c>
      <c r="O170" s="6">
        <f>IF(首页!$B$13="自然对流",IF(首页!$B$14="立式圆筒",(0.825+0.3063*I170^(1/6))^2+0.87*(M170/B170),(0.752+0.303*I170^(1/6))^2),0.3+SQRT((0.592*N170^0.5)^2+(0.0262*N170^0.8/(1-0.5/N170^0.1))^2))</f>
        <v>10125.927502934899</v>
      </c>
      <c r="P170" s="6">
        <f t="shared" si="23"/>
        <v>2.9510194925512497E-2</v>
      </c>
      <c r="Q170" s="6">
        <f t="shared" si="24"/>
        <v>5.4133712756017554</v>
      </c>
      <c r="R170" s="6">
        <f t="shared" si="25"/>
        <v>13.182105076103712</v>
      </c>
      <c r="S170" s="6">
        <f>B170*LN(B170/首页!$B$4)</f>
        <v>0.59479012799204378</v>
      </c>
      <c r="T170" s="6">
        <f>2*首页!$B$8*(E170-C170)/(R170*(C170-D170))</f>
        <v>7.0789747870274103E-2</v>
      </c>
      <c r="U170" t="str">
        <f>IF(首页!$B$13="自然对流","按自然对流公式", "按强制对流公式")</f>
        <v>按自然对流公式</v>
      </c>
      <c r="V170" s="6">
        <f t="shared" si="26"/>
        <v>0.52400038012176964</v>
      </c>
    </row>
    <row r="171" spans="1:22" x14ac:dyDescent="0.15">
      <c r="A171">
        <v>166</v>
      </c>
      <c r="B171" s="6">
        <f>首页!$B$4+2*A171/1000</f>
        <v>0.45200000000000001</v>
      </c>
      <c r="C171" s="6">
        <f>首页!$B$7+273.15</f>
        <v>388.15</v>
      </c>
      <c r="D171" s="6">
        <f>首页!$B$6+273.15</f>
        <v>293.14999999999998</v>
      </c>
      <c r="E171" s="6">
        <f>首页!$B$5+273.15</f>
        <v>1373.15</v>
      </c>
      <c r="F171" s="6">
        <f t="shared" si="18"/>
        <v>95</v>
      </c>
      <c r="G171" s="6">
        <f t="shared" si="19"/>
        <v>340.65</v>
      </c>
      <c r="H171" s="6">
        <f t="shared" si="20"/>
        <v>1.9926207055139041E-5</v>
      </c>
      <c r="I171" s="7">
        <f t="shared" si="21"/>
        <v>1158916576932337.8</v>
      </c>
      <c r="J171" s="6">
        <f t="shared" si="22"/>
        <v>1.0226038455893147</v>
      </c>
      <c r="K171" s="7">
        <f>J171*H171*首页!$B$12/P171</f>
        <v>0.69532757496605813</v>
      </c>
      <c r="L171" s="6">
        <f>首页!$B$9*0.0000000567*((C171^4-D171^4)/(C171-D171))</f>
        <v>7.7687338005019564</v>
      </c>
      <c r="M171" s="6">
        <f>IF(首页!$B$13="自然对流",IF(首页!$B$14="立式圆筒",首页!$B$10,PI()*B171/2),PI()*B171/2)</f>
        <v>55.2</v>
      </c>
      <c r="N171" s="7">
        <f>IF(首页!$B$13="强制对流",首页!$B$11*M171/H171,0)</f>
        <v>0</v>
      </c>
      <c r="O171" s="6">
        <f>IF(首页!$B$13="自然对流",IF(首页!$B$14="立式圆筒",(0.825+0.3063*I171^(1/6))^2+0.87*(M171/B171),(0.752+0.303*I171^(1/6))^2),0.3+SQRT((0.592*N171^0.5)^2+(0.0262*N171^0.8/(1-0.5/N171^0.1))^2))</f>
        <v>10125.455290545518</v>
      </c>
      <c r="P171" s="6">
        <f t="shared" si="23"/>
        <v>2.9510194925512497E-2</v>
      </c>
      <c r="Q171" s="6">
        <f t="shared" si="24"/>
        <v>5.413118828506521</v>
      </c>
      <c r="R171" s="6">
        <f t="shared" si="25"/>
        <v>13.181852629008478</v>
      </c>
      <c r="S171" s="6">
        <f>B171*LN(B171/首页!$B$4)</f>
        <v>0.59943807754668377</v>
      </c>
      <c r="T171" s="6">
        <f>2*首页!$B$8*(E171-C171)/(R171*(C171-D171))</f>
        <v>7.0791103572444739E-2</v>
      </c>
      <c r="U171" t="str">
        <f>IF(首页!$B$13="自然对流","按自然对流公式", "按强制对流公式")</f>
        <v>按自然对流公式</v>
      </c>
      <c r="V171" s="6">
        <f t="shared" si="26"/>
        <v>0.52864697397423899</v>
      </c>
    </row>
    <row r="172" spans="1:22" x14ac:dyDescent="0.15">
      <c r="A172">
        <v>167</v>
      </c>
      <c r="B172" s="6">
        <f>首页!$B$4+2*A172/1000</f>
        <v>0.45400000000000001</v>
      </c>
      <c r="C172" s="6">
        <f>首页!$B$7+273.15</f>
        <v>388.15</v>
      </c>
      <c r="D172" s="6">
        <f>首页!$B$6+273.15</f>
        <v>293.14999999999998</v>
      </c>
      <c r="E172" s="6">
        <f>首页!$B$5+273.15</f>
        <v>1373.15</v>
      </c>
      <c r="F172" s="6">
        <f t="shared" si="18"/>
        <v>95</v>
      </c>
      <c r="G172" s="6">
        <f t="shared" si="19"/>
        <v>340.65</v>
      </c>
      <c r="H172" s="6">
        <f t="shared" si="20"/>
        <v>1.9926207055139041E-5</v>
      </c>
      <c r="I172" s="7">
        <f t="shared" si="21"/>
        <v>1158916576932337.8</v>
      </c>
      <c r="J172" s="6">
        <f t="shared" si="22"/>
        <v>1.0226038455893147</v>
      </c>
      <c r="K172" s="7">
        <f>J172*H172*首页!$B$12/P172</f>
        <v>0.69532757496605813</v>
      </c>
      <c r="L172" s="6">
        <f>首页!$B$9*0.0000000567*((C172^4-D172^4)/(C172-D172))</f>
        <v>7.7687338005019564</v>
      </c>
      <c r="M172" s="6">
        <f>IF(首页!$B$13="自然对流",IF(首页!$B$14="立式圆筒",首页!$B$10,PI()*B172/2),PI()*B172/2)</f>
        <v>55.2</v>
      </c>
      <c r="N172" s="7">
        <f>IF(首页!$B$13="强制对流",首页!$B$11*M172/H172,0)</f>
        <v>0</v>
      </c>
      <c r="O172" s="6">
        <f>IF(首页!$B$13="自然对流",IF(首页!$B$14="立式圆筒",(0.825+0.3063*I172^(1/6))^2+0.87*(M172/B172),(0.752+0.303*I172^(1/6))^2),0.3+SQRT((0.592*N172^0.5)^2+(0.0262*N172^0.8/(1-0.5/N172^0.1))^2))</f>
        <v>10124.987238617719</v>
      </c>
      <c r="P172" s="6">
        <f t="shared" si="23"/>
        <v>2.9510194925512497E-2</v>
      </c>
      <c r="Q172" s="6">
        <f t="shared" si="24"/>
        <v>5.4128686056147712</v>
      </c>
      <c r="R172" s="6">
        <f t="shared" si="25"/>
        <v>13.181602406116728</v>
      </c>
      <c r="S172" s="6">
        <f>B172*LN(B172/首页!$B$4)</f>
        <v>0.60409487668772321</v>
      </c>
      <c r="T172" s="6">
        <f>2*首页!$B$8*(E172-C172)/(R172*(C172-D172))</f>
        <v>7.0792447381345991E-2</v>
      </c>
      <c r="U172" t="str">
        <f>IF(首页!$B$13="自然对流","按自然对流公式", "按强制对流公式")</f>
        <v>按自然对流公式</v>
      </c>
      <c r="V172" s="6">
        <f t="shared" si="26"/>
        <v>0.53330242930637728</v>
      </c>
    </row>
    <row r="173" spans="1:22" x14ac:dyDescent="0.15">
      <c r="A173">
        <v>168</v>
      </c>
      <c r="B173" s="6">
        <f>首页!$B$4+2*A173/1000</f>
        <v>0.45600000000000002</v>
      </c>
      <c r="C173" s="6">
        <f>首页!$B$7+273.15</f>
        <v>388.15</v>
      </c>
      <c r="D173" s="6">
        <f>首页!$B$6+273.15</f>
        <v>293.14999999999998</v>
      </c>
      <c r="E173" s="6">
        <f>首页!$B$5+273.15</f>
        <v>1373.15</v>
      </c>
      <c r="F173" s="6">
        <f t="shared" si="18"/>
        <v>95</v>
      </c>
      <c r="G173" s="6">
        <f t="shared" si="19"/>
        <v>340.65</v>
      </c>
      <c r="H173" s="6">
        <f t="shared" si="20"/>
        <v>1.9926207055139041E-5</v>
      </c>
      <c r="I173" s="7">
        <f t="shared" si="21"/>
        <v>1158916576932337.8</v>
      </c>
      <c r="J173" s="6">
        <f t="shared" si="22"/>
        <v>1.0226038455893147</v>
      </c>
      <c r="K173" s="7">
        <f>J173*H173*首页!$B$12/P173</f>
        <v>0.69532757496605813</v>
      </c>
      <c r="L173" s="6">
        <f>首页!$B$9*0.0000000567*((C173^4-D173^4)/(C173-D173))</f>
        <v>7.7687338005019564</v>
      </c>
      <c r="M173" s="6">
        <f>IF(首页!$B$13="自然对流",IF(首页!$B$14="立式圆筒",首页!$B$10,PI()*B173/2),PI()*B173/2)</f>
        <v>55.2</v>
      </c>
      <c r="N173" s="7">
        <f>IF(首页!$B$13="强制对流",首页!$B$11*M173/H173,0)</f>
        <v>0</v>
      </c>
      <c r="O173" s="6">
        <f>IF(首页!$B$13="自然对流",IF(首页!$B$14="立式圆筒",(0.825+0.3063*I173^(1/6))^2+0.87*(M173/B173),(0.752+0.303*I173^(1/6))^2),0.3+SQRT((0.592*N173^0.5)^2+(0.0262*N173^0.8/(1-0.5/N173^0.1))^2))</f>
        <v>10124.523292408585</v>
      </c>
      <c r="P173" s="6">
        <f t="shared" si="23"/>
        <v>2.9510194925512497E-2</v>
      </c>
      <c r="Q173" s="6">
        <f t="shared" si="24"/>
        <v>5.4126205776606682</v>
      </c>
      <c r="R173" s="6">
        <f t="shared" si="25"/>
        <v>13.181354378162624</v>
      </c>
      <c r="S173" s="6">
        <f>B173*LN(B173/首页!$B$4)</f>
        <v>0.60876048642994718</v>
      </c>
      <c r="T173" s="6">
        <f>2*首页!$B$8*(E173-C173)/(R173*(C173-D173))</f>
        <v>7.0793779452799827E-2</v>
      </c>
      <c r="U173" t="str">
        <f>IF(首页!$B$13="自然对流","按自然对流公式", "按强制对流公式")</f>
        <v>按自然对流公式</v>
      </c>
      <c r="V173" s="6">
        <f t="shared" si="26"/>
        <v>0.53796670697714732</v>
      </c>
    </row>
    <row r="174" spans="1:22" x14ac:dyDescent="0.15">
      <c r="A174">
        <v>169</v>
      </c>
      <c r="B174" s="6">
        <f>首页!$B$4+2*A174/1000</f>
        <v>0.45800000000000002</v>
      </c>
      <c r="C174" s="6">
        <f>首页!$B$7+273.15</f>
        <v>388.15</v>
      </c>
      <c r="D174" s="6">
        <f>首页!$B$6+273.15</f>
        <v>293.14999999999998</v>
      </c>
      <c r="E174" s="6">
        <f>首页!$B$5+273.15</f>
        <v>1373.15</v>
      </c>
      <c r="F174" s="6">
        <f t="shared" si="18"/>
        <v>95</v>
      </c>
      <c r="G174" s="6">
        <f t="shared" si="19"/>
        <v>340.65</v>
      </c>
      <c r="H174" s="6">
        <f t="shared" si="20"/>
        <v>1.9926207055139041E-5</v>
      </c>
      <c r="I174" s="7">
        <f t="shared" si="21"/>
        <v>1158916576932337.8</v>
      </c>
      <c r="J174" s="6">
        <f t="shared" si="22"/>
        <v>1.0226038455893147</v>
      </c>
      <c r="K174" s="7">
        <f>J174*H174*首页!$B$12/P174</f>
        <v>0.69532757496605813</v>
      </c>
      <c r="L174" s="6">
        <f>首页!$B$9*0.0000000567*((C174^4-D174^4)/(C174-D174))</f>
        <v>7.7687338005019564</v>
      </c>
      <c r="M174" s="6">
        <f>IF(首页!$B$13="自然对流",IF(首页!$B$14="立式圆筒",首页!$B$10,PI()*B174/2),PI()*B174/2)</f>
        <v>55.2</v>
      </c>
      <c r="N174" s="7">
        <f>IF(首页!$B$13="强制对流",首页!$B$11*M174/H174,0)</f>
        <v>0</v>
      </c>
      <c r="O174" s="6">
        <f>IF(首页!$B$13="自然对流",IF(首页!$B$14="立式圆筒",(0.825+0.3063*I174^(1/6))^2+0.87*(M174/B174),(0.752+0.303*I174^(1/6))^2),0.3+SQRT((0.592*N174^0.5)^2+(0.0262*N174^0.8/(1-0.5/N174^0.1))^2))</f>
        <v>10124.063398131406</v>
      </c>
      <c r="P174" s="6">
        <f t="shared" si="23"/>
        <v>2.9510194925512497E-2</v>
      </c>
      <c r="Q174" s="6">
        <f t="shared" si="24"/>
        <v>5.4123747158895688</v>
      </c>
      <c r="R174" s="6">
        <f t="shared" si="25"/>
        <v>13.181108516391525</v>
      </c>
      <c r="S174" s="6">
        <f>B174*LN(B174/首页!$B$4)</f>
        <v>0.61343486813011971</v>
      </c>
      <c r="T174" s="6">
        <f>2*首页!$B$8*(E174-C174)/(R174*(C174-D174))</f>
        <v>7.0795099939917991E-2</v>
      </c>
      <c r="U174" t="str">
        <f>IF(首页!$B$13="自然对流","按自然对流公式", "按强制对流公式")</f>
        <v>按自然对流公式</v>
      </c>
      <c r="V174" s="6">
        <f t="shared" si="26"/>
        <v>0.54263976819020177</v>
      </c>
    </row>
    <row r="175" spans="1:22" x14ac:dyDescent="0.15">
      <c r="A175">
        <v>170</v>
      </c>
      <c r="B175" s="6">
        <f>首页!$B$4+2*A175/1000</f>
        <v>0.46</v>
      </c>
      <c r="C175" s="6">
        <f>首页!$B$7+273.15</f>
        <v>388.15</v>
      </c>
      <c r="D175" s="6">
        <f>首页!$B$6+273.15</f>
        <v>293.14999999999998</v>
      </c>
      <c r="E175" s="6">
        <f>首页!$B$5+273.15</f>
        <v>1373.15</v>
      </c>
      <c r="F175" s="6">
        <f t="shared" si="18"/>
        <v>95</v>
      </c>
      <c r="G175" s="6">
        <f t="shared" si="19"/>
        <v>340.65</v>
      </c>
      <c r="H175" s="6">
        <f t="shared" si="20"/>
        <v>1.9926207055139041E-5</v>
      </c>
      <c r="I175" s="7">
        <f t="shared" si="21"/>
        <v>1158916576932337.8</v>
      </c>
      <c r="J175" s="6">
        <f t="shared" si="22"/>
        <v>1.0226038455893147</v>
      </c>
      <c r="K175" s="7">
        <f>J175*H175*首页!$B$12/P175</f>
        <v>0.69532757496605813</v>
      </c>
      <c r="L175" s="6">
        <f>首页!$B$9*0.0000000567*((C175^4-D175^4)/(C175-D175))</f>
        <v>7.7687338005019564</v>
      </c>
      <c r="M175" s="6">
        <f>IF(首页!$B$13="自然对流",IF(首页!$B$14="立式圆筒",首页!$B$10,PI()*B175/2),PI()*B175/2)</f>
        <v>55.2</v>
      </c>
      <c r="N175" s="7">
        <f>IF(首页!$B$13="强制对流",首页!$B$11*M175/H175,0)</f>
        <v>0</v>
      </c>
      <c r="O175" s="6">
        <f>IF(首页!$B$13="自然对流",IF(首页!$B$14="立式圆筒",(0.825+0.3063*I175^(1/6))^2+0.87*(M175/B175),(0.752+0.303*I175^(1/6))^2),0.3+SQRT((0.592*N175^0.5)^2+(0.0262*N175^0.8/(1-0.5/N175^0.1))^2))</f>
        <v>10123.607502934899</v>
      </c>
      <c r="P175" s="6">
        <f t="shared" si="23"/>
        <v>2.9510194925512497E-2</v>
      </c>
      <c r="Q175" s="6">
        <f t="shared" si="24"/>
        <v>5.4121309920469143</v>
      </c>
      <c r="R175" s="6">
        <f t="shared" si="25"/>
        <v>13.180864792548871</v>
      </c>
      <c r="S175" s="6">
        <f>B175*LN(B175/首页!$B$4)</f>
        <v>0.61811798348250357</v>
      </c>
      <c r="T175" s="6">
        <f>2*首页!$B$8*(E175-C175)/(R175*(C175-D175))</f>
        <v>7.0796408993160712E-2</v>
      </c>
      <c r="U175" t="str">
        <f>IF(首页!$B$13="自然对流","按自然对流公式", "按强制对流公式")</f>
        <v>按自然对流公式</v>
      </c>
      <c r="V175" s="6">
        <f t="shared" si="26"/>
        <v>0.54732157448934282</v>
      </c>
    </row>
    <row r="176" spans="1:22" x14ac:dyDescent="0.15">
      <c r="A176">
        <v>171</v>
      </c>
      <c r="B176" s="6">
        <f>首页!$B$4+2*A176/1000</f>
        <v>0.46200000000000002</v>
      </c>
      <c r="C176" s="6">
        <f>首页!$B$7+273.15</f>
        <v>388.15</v>
      </c>
      <c r="D176" s="6">
        <f>首页!$B$6+273.15</f>
        <v>293.14999999999998</v>
      </c>
      <c r="E176" s="6">
        <f>首页!$B$5+273.15</f>
        <v>1373.15</v>
      </c>
      <c r="F176" s="6">
        <f t="shared" si="18"/>
        <v>95</v>
      </c>
      <c r="G176" s="6">
        <f t="shared" si="19"/>
        <v>340.65</v>
      </c>
      <c r="H176" s="6">
        <f t="shared" si="20"/>
        <v>1.9926207055139041E-5</v>
      </c>
      <c r="I176" s="7">
        <f t="shared" si="21"/>
        <v>1158916576932337.8</v>
      </c>
      <c r="J176" s="6">
        <f t="shared" si="22"/>
        <v>1.0226038455893147</v>
      </c>
      <c r="K176" s="7">
        <f>J176*H176*首页!$B$12/P176</f>
        <v>0.69532757496605813</v>
      </c>
      <c r="L176" s="6">
        <f>首页!$B$9*0.0000000567*((C176^4-D176^4)/(C176-D176))</f>
        <v>7.7687338005019564</v>
      </c>
      <c r="M176" s="6">
        <f>IF(首页!$B$13="自然对流",IF(首页!$B$14="立式圆筒",首页!$B$10,PI()*B176/2),PI()*B176/2)</f>
        <v>55.2</v>
      </c>
      <c r="N176" s="7">
        <f>IF(首页!$B$13="强制对流",首页!$B$11*M176/H176,0)</f>
        <v>0</v>
      </c>
      <c r="O176" s="6">
        <f>IF(首页!$B$13="自然对流",IF(首页!$B$14="立式圆筒",(0.825+0.3063*I176^(1/6))^2+0.87*(M176/B176),(0.752+0.303*I176^(1/6))^2),0.3+SQRT((0.592*N176^0.5)^2+(0.0262*N176^0.8/(1-0.5/N176^0.1))^2))</f>
        <v>10123.155554882951</v>
      </c>
      <c r="P176" s="6">
        <f t="shared" si="23"/>
        <v>2.9510194925512497E-2</v>
      </c>
      <c r="Q176" s="6">
        <f t="shared" si="24"/>
        <v>5.4118893783674009</v>
      </c>
      <c r="R176" s="6">
        <f t="shared" si="25"/>
        <v>13.180623178869357</v>
      </c>
      <c r="S176" s="6">
        <f>B176*LN(B176/首页!$B$4)</f>
        <v>0.62280979451445817</v>
      </c>
      <c r="T176" s="6">
        <f>2*首页!$B$8*(E176-C176)/(R176*(C176-D176))</f>
        <v>7.0797706760393778E-2</v>
      </c>
      <c r="U176" t="str">
        <f>IF(首页!$B$13="自然对流","按自然对流公式", "按强制对流公式")</f>
        <v>按自然对流公式</v>
      </c>
      <c r="V176" s="6">
        <f t="shared" si="26"/>
        <v>0.55201208775406441</v>
      </c>
    </row>
    <row r="177" spans="1:22" x14ac:dyDescent="0.15">
      <c r="A177">
        <v>172</v>
      </c>
      <c r="B177" s="6">
        <f>首页!$B$4+2*A177/1000</f>
        <v>0.46399999999999997</v>
      </c>
      <c r="C177" s="6">
        <f>首页!$B$7+273.15</f>
        <v>388.15</v>
      </c>
      <c r="D177" s="6">
        <f>首页!$B$6+273.15</f>
        <v>293.14999999999998</v>
      </c>
      <c r="E177" s="6">
        <f>首页!$B$5+273.15</f>
        <v>1373.15</v>
      </c>
      <c r="F177" s="6">
        <f t="shared" si="18"/>
        <v>95</v>
      </c>
      <c r="G177" s="6">
        <f t="shared" si="19"/>
        <v>340.65</v>
      </c>
      <c r="H177" s="6">
        <f t="shared" si="20"/>
        <v>1.9926207055139041E-5</v>
      </c>
      <c r="I177" s="7">
        <f t="shared" si="21"/>
        <v>1158916576932337.8</v>
      </c>
      <c r="J177" s="6">
        <f t="shared" si="22"/>
        <v>1.0226038455893147</v>
      </c>
      <c r="K177" s="7">
        <f>J177*H177*首页!$B$12/P177</f>
        <v>0.69532757496605813</v>
      </c>
      <c r="L177" s="6">
        <f>首页!$B$9*0.0000000567*((C177^4-D177^4)/(C177-D177))</f>
        <v>7.7687338005019564</v>
      </c>
      <c r="M177" s="6">
        <f>IF(首页!$B$13="自然对流",IF(首页!$B$14="立式圆筒",首页!$B$10,PI()*B177/2),PI()*B177/2)</f>
        <v>55.2</v>
      </c>
      <c r="N177" s="7">
        <f>IF(首页!$B$13="强制对流",首页!$B$11*M177/H177,0)</f>
        <v>0</v>
      </c>
      <c r="O177" s="6">
        <f>IF(首页!$B$13="自然对流",IF(首页!$B$14="立式圆筒",(0.825+0.3063*I177^(1/6))^2+0.87*(M177/B177),(0.752+0.303*I177^(1/6))^2),0.3+SQRT((0.592*N177^0.5)^2+(0.0262*N177^0.8/(1-0.5/N177^0.1))^2))</f>
        <v>10122.7075029349</v>
      </c>
      <c r="P177" s="6">
        <f t="shared" si="23"/>
        <v>2.9510194925512497E-2</v>
      </c>
      <c r="Q177" s="6">
        <f t="shared" si="24"/>
        <v>5.4116498475644335</v>
      </c>
      <c r="R177" s="6">
        <f t="shared" si="25"/>
        <v>13.180383648066389</v>
      </c>
      <c r="S177" s="6">
        <f>B177*LN(B177/首页!$B$4)</f>
        <v>0.62751026358211304</v>
      </c>
      <c r="T177" s="6">
        <f>2*首页!$B$8*(E177-C177)/(R177*(C177-D177))</f>
        <v>7.0798993386944384E-2</v>
      </c>
      <c r="U177" t="str">
        <f>IF(首页!$B$13="自然对流","按自然对流公式", "按强制对流公式")</f>
        <v>按自然对流公式</v>
      </c>
      <c r="V177" s="6">
        <f t="shared" si="26"/>
        <v>0.55671127019516864</v>
      </c>
    </row>
    <row r="178" spans="1:22" x14ac:dyDescent="0.15">
      <c r="A178">
        <v>173</v>
      </c>
      <c r="B178" s="6">
        <f>首页!$B$4+2*A178/1000</f>
        <v>0.46599999999999997</v>
      </c>
      <c r="C178" s="6">
        <f>首页!$B$7+273.15</f>
        <v>388.15</v>
      </c>
      <c r="D178" s="6">
        <f>首页!$B$6+273.15</f>
        <v>293.14999999999998</v>
      </c>
      <c r="E178" s="6">
        <f>首页!$B$5+273.15</f>
        <v>1373.15</v>
      </c>
      <c r="F178" s="6">
        <f t="shared" si="18"/>
        <v>95</v>
      </c>
      <c r="G178" s="6">
        <f t="shared" si="19"/>
        <v>340.65</v>
      </c>
      <c r="H178" s="6">
        <f t="shared" si="20"/>
        <v>1.9926207055139041E-5</v>
      </c>
      <c r="I178" s="7">
        <f t="shared" si="21"/>
        <v>1158916576932337.8</v>
      </c>
      <c r="J178" s="6">
        <f t="shared" si="22"/>
        <v>1.0226038455893147</v>
      </c>
      <c r="K178" s="7">
        <f>J178*H178*首页!$B$12/P178</f>
        <v>0.69532757496605813</v>
      </c>
      <c r="L178" s="6">
        <f>首页!$B$9*0.0000000567*((C178^4-D178^4)/(C178-D178))</f>
        <v>7.7687338005019564</v>
      </c>
      <c r="M178" s="6">
        <f>IF(首页!$B$13="自然对流",IF(首页!$B$14="立式圆筒",首页!$B$10,PI()*B178/2),PI()*B178/2)</f>
        <v>55.2</v>
      </c>
      <c r="N178" s="7">
        <f>IF(首页!$B$13="强制对流",首页!$B$11*M178/H178,0)</f>
        <v>0</v>
      </c>
      <c r="O178" s="6">
        <f>IF(首页!$B$13="自然对流",IF(首页!$B$14="立式圆筒",(0.825+0.3063*I178^(1/6))^2+0.87*(M178/B178),(0.752+0.303*I178^(1/6))^2),0.3+SQRT((0.592*N178^0.5)^2+(0.0262*N178^0.8/(1-0.5/N178^0.1))^2))</f>
        <v>10122.263296926316</v>
      </c>
      <c r="P178" s="6">
        <f t="shared" si="23"/>
        <v>2.9510194925512497E-2</v>
      </c>
      <c r="Q178" s="6">
        <f t="shared" si="24"/>
        <v>5.4114123728198615</v>
      </c>
      <c r="R178" s="6">
        <f t="shared" si="25"/>
        <v>13.180146173321818</v>
      </c>
      <c r="S178" s="6">
        <f>B178*LN(B178/首页!$B$4)</f>
        <v>0.63221935336611756</v>
      </c>
      <c r="T178" s="6">
        <f>2*首页!$B$8*(E178-C178)/(R178*(C178-D178))</f>
        <v>7.0800269015655129E-2</v>
      </c>
      <c r="U178" t="str">
        <f>IF(首页!$B$13="自然对流","按自然对流公式", "按强制对流公式")</f>
        <v>按自然对流公式</v>
      </c>
      <c r="V178" s="6">
        <f t="shared" si="26"/>
        <v>0.56141908435046239</v>
      </c>
    </row>
    <row r="179" spans="1:22" x14ac:dyDescent="0.15">
      <c r="A179">
        <v>174</v>
      </c>
      <c r="B179" s="6">
        <f>首页!$B$4+2*A179/1000</f>
        <v>0.46799999999999997</v>
      </c>
      <c r="C179" s="6">
        <f>首页!$B$7+273.15</f>
        <v>388.15</v>
      </c>
      <c r="D179" s="6">
        <f>首页!$B$6+273.15</f>
        <v>293.14999999999998</v>
      </c>
      <c r="E179" s="6">
        <f>首页!$B$5+273.15</f>
        <v>1373.15</v>
      </c>
      <c r="F179" s="6">
        <f t="shared" si="18"/>
        <v>95</v>
      </c>
      <c r="G179" s="6">
        <f t="shared" si="19"/>
        <v>340.65</v>
      </c>
      <c r="H179" s="6">
        <f t="shared" si="20"/>
        <v>1.9926207055139041E-5</v>
      </c>
      <c r="I179" s="7">
        <f t="shared" si="21"/>
        <v>1158916576932337.8</v>
      </c>
      <c r="J179" s="6">
        <f t="shared" si="22"/>
        <v>1.0226038455893147</v>
      </c>
      <c r="K179" s="7">
        <f>J179*H179*首页!$B$12/P179</f>
        <v>0.69532757496605813</v>
      </c>
      <c r="L179" s="6">
        <f>首页!$B$9*0.0000000567*((C179^4-D179^4)/(C179-D179))</f>
        <v>7.7687338005019564</v>
      </c>
      <c r="M179" s="6">
        <f>IF(首页!$B$13="自然对流",IF(首页!$B$14="立式圆筒",首页!$B$10,PI()*B179/2),PI()*B179/2)</f>
        <v>55.2</v>
      </c>
      <c r="N179" s="7">
        <f>IF(首页!$B$13="强制对流",首页!$B$11*M179/H179,0)</f>
        <v>0</v>
      </c>
      <c r="O179" s="6">
        <f>IF(首页!$B$13="自然对流",IF(首页!$B$14="立式圆筒",(0.825+0.3063*I179^(1/6))^2+0.87*(M179/B179),(0.752+0.303*I179^(1/6))^2),0.3+SQRT((0.592*N179^0.5)^2+(0.0262*N179^0.8/(1-0.5/N179^0.1))^2))</f>
        <v>10121.822887550285</v>
      </c>
      <c r="P179" s="6">
        <f t="shared" si="23"/>
        <v>2.9510194925512497E-2</v>
      </c>
      <c r="Q179" s="6">
        <f t="shared" si="24"/>
        <v>5.411176927773961</v>
      </c>
      <c r="R179" s="6">
        <f t="shared" si="25"/>
        <v>13.179910728275917</v>
      </c>
      <c r="S179" s="6">
        <f>B179*LN(B179/首页!$B$4)</f>
        <v>0.63693702686746101</v>
      </c>
      <c r="T179" s="6">
        <f>2*首页!$B$8*(E179-C179)/(R179*(C179-D179))</f>
        <v>7.0801533786937113E-2</v>
      </c>
      <c r="U179" t="str">
        <f>IF(首页!$B$13="自然对流","按自然对流公式", "按强制对流公式")</f>
        <v>按自然对流公式</v>
      </c>
      <c r="V179" s="6">
        <f t="shared" si="26"/>
        <v>0.56613549308052391</v>
      </c>
    </row>
    <row r="180" spans="1:22" x14ac:dyDescent="0.15">
      <c r="A180">
        <v>175</v>
      </c>
      <c r="B180" s="6">
        <f>首页!$B$4+2*A180/1000</f>
        <v>0.47</v>
      </c>
      <c r="C180" s="6">
        <f>首页!$B$7+273.15</f>
        <v>388.15</v>
      </c>
      <c r="D180" s="6">
        <f>首页!$B$6+273.15</f>
        <v>293.14999999999998</v>
      </c>
      <c r="E180" s="6">
        <f>首页!$B$5+273.15</f>
        <v>1373.15</v>
      </c>
      <c r="F180" s="6">
        <f t="shared" si="18"/>
        <v>95</v>
      </c>
      <c r="G180" s="6">
        <f t="shared" si="19"/>
        <v>340.65</v>
      </c>
      <c r="H180" s="6">
        <f t="shared" si="20"/>
        <v>1.9926207055139041E-5</v>
      </c>
      <c r="I180" s="7">
        <f t="shared" si="21"/>
        <v>1158916576932337.8</v>
      </c>
      <c r="J180" s="6">
        <f t="shared" si="22"/>
        <v>1.0226038455893147</v>
      </c>
      <c r="K180" s="7">
        <f>J180*H180*首页!$B$12/P180</f>
        <v>0.69532757496605813</v>
      </c>
      <c r="L180" s="6">
        <f>首页!$B$9*0.0000000567*((C180^4-D180^4)/(C180-D180))</f>
        <v>7.7687338005019564</v>
      </c>
      <c r="M180" s="6">
        <f>IF(首页!$B$13="自然对流",IF(首页!$B$14="立式圆筒",首页!$B$10,PI()*B180/2),PI()*B180/2)</f>
        <v>55.2</v>
      </c>
      <c r="N180" s="7">
        <f>IF(首页!$B$13="强制对流",首页!$B$11*M180/H180,0)</f>
        <v>0</v>
      </c>
      <c r="O180" s="6">
        <f>IF(首页!$B$13="自然对流",IF(首页!$B$14="立式圆筒",(0.825+0.3063*I180^(1/6))^2+0.87*(M180/B180),(0.752+0.303*I180^(1/6))^2),0.3+SQRT((0.592*N180^0.5)^2+(0.0262*N180^0.8/(1-0.5/N180^0.1))^2))</f>
        <v>10121.386226339155</v>
      </c>
      <c r="P180" s="6">
        <f t="shared" si="23"/>
        <v>2.9510194925512497E-2</v>
      </c>
      <c r="Q180" s="6">
        <f t="shared" si="24"/>
        <v>5.4109434865156851</v>
      </c>
      <c r="R180" s="6">
        <f t="shared" si="25"/>
        <v>13.179677287017642</v>
      </c>
      <c r="S180" s="6">
        <f>B180*LN(B180/首页!$B$4)</f>
        <v>0.64166324740336733</v>
      </c>
      <c r="T180" s="6">
        <f>2*首页!$B$8*(E180-C180)/(R180*(C180-D180))</f>
        <v>7.080278783882131E-2</v>
      </c>
      <c r="U180" t="str">
        <f>IF(首页!$B$13="自然对流","按自然对流公式", "按强制对流公式")</f>
        <v>按自然对流公式</v>
      </c>
      <c r="V180" s="6">
        <f t="shared" si="26"/>
        <v>0.57086045956454601</v>
      </c>
    </row>
    <row r="181" spans="1:22" x14ac:dyDescent="0.15">
      <c r="A181">
        <v>176</v>
      </c>
      <c r="B181" s="6">
        <f>首页!$B$4+2*A181/1000</f>
        <v>0.47199999999999998</v>
      </c>
      <c r="C181" s="6">
        <f>首页!$B$7+273.15</f>
        <v>388.15</v>
      </c>
      <c r="D181" s="6">
        <f>首页!$B$6+273.15</f>
        <v>293.14999999999998</v>
      </c>
      <c r="E181" s="6">
        <f>首页!$B$5+273.15</f>
        <v>1373.15</v>
      </c>
      <c r="F181" s="6">
        <f t="shared" si="18"/>
        <v>95</v>
      </c>
      <c r="G181" s="6">
        <f t="shared" si="19"/>
        <v>340.65</v>
      </c>
      <c r="H181" s="6">
        <f t="shared" si="20"/>
        <v>1.9926207055139041E-5</v>
      </c>
      <c r="I181" s="7">
        <f t="shared" si="21"/>
        <v>1158916576932337.8</v>
      </c>
      <c r="J181" s="6">
        <f t="shared" si="22"/>
        <v>1.0226038455893147</v>
      </c>
      <c r="K181" s="7">
        <f>J181*H181*首页!$B$12/P181</f>
        <v>0.69532757496605813</v>
      </c>
      <c r="L181" s="6">
        <f>首页!$B$9*0.0000000567*((C181^4-D181^4)/(C181-D181))</f>
        <v>7.7687338005019564</v>
      </c>
      <c r="M181" s="6">
        <f>IF(首页!$B$13="自然对流",IF(首页!$B$14="立式圆筒",首页!$B$10,PI()*B181/2),PI()*B181/2)</f>
        <v>55.2</v>
      </c>
      <c r="N181" s="7">
        <f>IF(首页!$B$13="强制对流",首页!$B$11*M181/H181,0)</f>
        <v>0</v>
      </c>
      <c r="O181" s="6">
        <f>IF(首页!$B$13="自然对流",IF(首页!$B$14="立式圆筒",(0.825+0.3063*I181^(1/6))^2+0.87*(M181/B181),(0.752+0.303*I181^(1/6))^2),0.3+SQRT((0.592*N181^0.5)^2+(0.0262*N181^0.8/(1-0.5/N181^0.1))^2))</f>
        <v>10120.953265646764</v>
      </c>
      <c r="P181" s="6">
        <f t="shared" si="23"/>
        <v>2.9510194925512497E-2</v>
      </c>
      <c r="Q181" s="6">
        <f t="shared" si="24"/>
        <v>5.4107120235731561</v>
      </c>
      <c r="R181" s="6">
        <f t="shared" si="25"/>
        <v>13.179445824075113</v>
      </c>
      <c r="S181" s="6">
        <f>B181*LN(B181/首页!$B$4)</f>
        <v>0.64639797860325643</v>
      </c>
      <c r="T181" s="6">
        <f>2*首页!$B$8*(E181-C181)/(R181*(C181-D181))</f>
        <v>7.0804031307008908E-2</v>
      </c>
      <c r="U181" t="str">
        <f>IF(首页!$B$13="自然对流","按自然对流公式", "按强制对流公式")</f>
        <v>按自然对流公式</v>
      </c>
      <c r="V181" s="6">
        <f t="shared" si="26"/>
        <v>0.57559394729624747</v>
      </c>
    </row>
    <row r="182" spans="1:22" x14ac:dyDescent="0.15">
      <c r="A182">
        <v>177</v>
      </c>
      <c r="B182" s="6">
        <f>首页!$B$4+2*A182/1000</f>
        <v>0.47399999999999998</v>
      </c>
      <c r="C182" s="6">
        <f>首页!$B$7+273.15</f>
        <v>388.15</v>
      </c>
      <c r="D182" s="6">
        <f>首页!$B$6+273.15</f>
        <v>293.14999999999998</v>
      </c>
      <c r="E182" s="6">
        <f>首页!$B$5+273.15</f>
        <v>1373.15</v>
      </c>
      <c r="F182" s="6">
        <f t="shared" si="18"/>
        <v>95</v>
      </c>
      <c r="G182" s="6">
        <f t="shared" si="19"/>
        <v>340.65</v>
      </c>
      <c r="H182" s="6">
        <f t="shared" si="20"/>
        <v>1.9926207055139041E-5</v>
      </c>
      <c r="I182" s="7">
        <f t="shared" si="21"/>
        <v>1158916576932337.8</v>
      </c>
      <c r="J182" s="6">
        <f t="shared" si="22"/>
        <v>1.0226038455893147</v>
      </c>
      <c r="K182" s="7">
        <f>J182*H182*首页!$B$12/P182</f>
        <v>0.69532757496605813</v>
      </c>
      <c r="L182" s="6">
        <f>首页!$B$9*0.0000000567*((C182^4-D182^4)/(C182-D182))</f>
        <v>7.7687338005019564</v>
      </c>
      <c r="M182" s="6">
        <f>IF(首页!$B$13="自然对流",IF(首页!$B$14="立式圆筒",首页!$B$10,PI()*B182/2),PI()*B182/2)</f>
        <v>55.2</v>
      </c>
      <c r="N182" s="7">
        <f>IF(首页!$B$13="强制对流",首页!$B$11*M182/H182,0)</f>
        <v>0</v>
      </c>
      <c r="O182" s="6">
        <f>IF(首页!$B$13="自然对流",IF(首页!$B$14="立式圆筒",(0.825+0.3063*I182^(1/6))^2+0.87*(M182/B182),(0.752+0.303*I182^(1/6))^2),0.3+SQRT((0.592*N182^0.5)^2+(0.0262*N182^0.8/(1-0.5/N182^0.1))^2))</f>
        <v>10120.523958631102</v>
      </c>
      <c r="P182" s="6">
        <f t="shared" si="23"/>
        <v>2.9510194925512497E-2</v>
      </c>
      <c r="Q182" s="6">
        <f t="shared" si="24"/>
        <v>5.4104825139044053</v>
      </c>
      <c r="R182" s="6">
        <f t="shared" si="25"/>
        <v>13.179216314406361</v>
      </c>
      <c r="S182" s="6">
        <f>B182*LN(B182/首页!$B$4)</f>
        <v>0.65114118440477642</v>
      </c>
      <c r="T182" s="6">
        <f>2*首页!$B$8*(E182-C182)/(R182*(C182-D182))</f>
        <v>7.0805264324920139E-2</v>
      </c>
      <c r="U182" t="str">
        <f>IF(首页!$B$13="自然对流","按自然对流公式", "按强制对流公式")</f>
        <v>按自然对流公式</v>
      </c>
      <c r="V182" s="6">
        <f t="shared" si="26"/>
        <v>0.58033592007985624</v>
      </c>
    </row>
    <row r="183" spans="1:22" x14ac:dyDescent="0.15">
      <c r="A183">
        <v>178</v>
      </c>
      <c r="B183" s="6">
        <f>首页!$B$4+2*A183/1000</f>
        <v>0.47599999999999998</v>
      </c>
      <c r="C183" s="6">
        <f>首页!$B$7+273.15</f>
        <v>388.15</v>
      </c>
      <c r="D183" s="6">
        <f>首页!$B$6+273.15</f>
        <v>293.14999999999998</v>
      </c>
      <c r="E183" s="6">
        <f>首页!$B$5+273.15</f>
        <v>1373.15</v>
      </c>
      <c r="F183" s="6">
        <f t="shared" si="18"/>
        <v>95</v>
      </c>
      <c r="G183" s="6">
        <f t="shared" si="19"/>
        <v>340.65</v>
      </c>
      <c r="H183" s="6">
        <f t="shared" si="20"/>
        <v>1.9926207055139041E-5</v>
      </c>
      <c r="I183" s="7">
        <f t="shared" si="21"/>
        <v>1158916576932337.8</v>
      </c>
      <c r="J183" s="6">
        <f t="shared" si="22"/>
        <v>1.0226038455893147</v>
      </c>
      <c r="K183" s="7">
        <f>J183*H183*首页!$B$12/P183</f>
        <v>0.69532757496605813</v>
      </c>
      <c r="L183" s="6">
        <f>首页!$B$9*0.0000000567*((C183^4-D183^4)/(C183-D183))</f>
        <v>7.7687338005019564</v>
      </c>
      <c r="M183" s="6">
        <f>IF(首页!$B$13="自然对流",IF(首页!$B$14="立式圆筒",首页!$B$10,PI()*B183/2),PI()*B183/2)</f>
        <v>55.2</v>
      </c>
      <c r="N183" s="7">
        <f>IF(首页!$B$13="强制对流",首页!$B$11*M183/H183,0)</f>
        <v>0</v>
      </c>
      <c r="O183" s="6">
        <f>IF(首页!$B$13="自然对流",IF(首页!$B$14="立式圆筒",(0.825+0.3063*I183^(1/6))^2+0.87*(M183/B183),(0.752+0.303*I183^(1/6))^2),0.3+SQRT((0.592*N183^0.5)^2+(0.0262*N183^0.8/(1-0.5/N183^0.1))^2))</f>
        <v>10120.09825923742</v>
      </c>
      <c r="P183" s="6">
        <f t="shared" si="23"/>
        <v>2.9510194925512497E-2</v>
      </c>
      <c r="Q183" s="6">
        <f t="shared" si="24"/>
        <v>5.410254932888332</v>
      </c>
      <c r="R183" s="6">
        <f t="shared" si="25"/>
        <v>13.178988733390288</v>
      </c>
      <c r="S183" s="6">
        <f>B183*LN(B183/首页!$B$4)</f>
        <v>0.65589282904990198</v>
      </c>
      <c r="T183" s="6">
        <f>2*首页!$B$8*(E183-C183)/(R183*(C183-D183))</f>
        <v>7.0806487023742065E-2</v>
      </c>
      <c r="U183" t="str">
        <f>IF(首页!$B$13="自然对流","按自然对流公式", "按强制对流公式")</f>
        <v>按自然对流公式</v>
      </c>
      <c r="V183" s="6">
        <f t="shared" si="26"/>
        <v>0.58508634202615994</v>
      </c>
    </row>
    <row r="184" spans="1:22" x14ac:dyDescent="0.15">
      <c r="A184">
        <v>179</v>
      </c>
      <c r="B184" s="6">
        <f>首页!$B$4+2*A184/1000</f>
        <v>0.47799999999999998</v>
      </c>
      <c r="C184" s="6">
        <f>首页!$B$7+273.15</f>
        <v>388.15</v>
      </c>
      <c r="D184" s="6">
        <f>首页!$B$6+273.15</f>
        <v>293.14999999999998</v>
      </c>
      <c r="E184" s="6">
        <f>首页!$B$5+273.15</f>
        <v>1373.15</v>
      </c>
      <c r="F184" s="6">
        <f t="shared" si="18"/>
        <v>95</v>
      </c>
      <c r="G184" s="6">
        <f t="shared" si="19"/>
        <v>340.65</v>
      </c>
      <c r="H184" s="6">
        <f t="shared" si="20"/>
        <v>1.9926207055139041E-5</v>
      </c>
      <c r="I184" s="7">
        <f t="shared" si="21"/>
        <v>1158916576932337.8</v>
      </c>
      <c r="J184" s="6">
        <f t="shared" si="22"/>
        <v>1.0226038455893147</v>
      </c>
      <c r="K184" s="7">
        <f>J184*H184*首页!$B$12/P184</f>
        <v>0.69532757496605813</v>
      </c>
      <c r="L184" s="6">
        <f>首页!$B$9*0.0000000567*((C184^4-D184^4)/(C184-D184))</f>
        <v>7.7687338005019564</v>
      </c>
      <c r="M184" s="6">
        <f>IF(首页!$B$13="自然对流",IF(首页!$B$14="立式圆筒",首页!$B$10,PI()*B184/2),PI()*B184/2)</f>
        <v>55.2</v>
      </c>
      <c r="N184" s="7">
        <f>IF(首页!$B$13="强制对流",首页!$B$11*M184/H184,0)</f>
        <v>0</v>
      </c>
      <c r="O184" s="6">
        <f>IF(首页!$B$13="自然对流",IF(首页!$B$14="立式圆筒",(0.825+0.3063*I184^(1/6))^2+0.87*(M184/B184),(0.752+0.303*I184^(1/6))^2),0.3+SQRT((0.592*N184^0.5)^2+(0.0262*N184^0.8/(1-0.5/N184^0.1))^2))</f>
        <v>10119.676122181761</v>
      </c>
      <c r="P184" s="6">
        <f t="shared" si="23"/>
        <v>2.9510194925512497E-2</v>
      </c>
      <c r="Q184" s="6">
        <f t="shared" si="24"/>
        <v>5.4100292563159087</v>
      </c>
      <c r="R184" s="6">
        <f t="shared" si="25"/>
        <v>13.178763056817864</v>
      </c>
      <c r="S184" s="6">
        <f>B184*LN(B184/首页!$B$4)</f>
        <v>0.66065287708109788</v>
      </c>
      <c r="T184" s="6">
        <f>2*首页!$B$8*(E184-C184)/(R184*(C184-D184))</f>
        <v>7.080769953247508E-2</v>
      </c>
      <c r="U184" t="str">
        <f>IF(首页!$B$13="自然对流","按自然对流公式", "按强制对流公式")</f>
        <v>按自然对流公式</v>
      </c>
      <c r="V184" s="6">
        <f t="shared" si="26"/>
        <v>0.58984517754862276</v>
      </c>
    </row>
    <row r="185" spans="1:22" x14ac:dyDescent="0.15">
      <c r="A185">
        <v>180</v>
      </c>
      <c r="B185" s="6">
        <f>首页!$B$4+2*A185/1000</f>
        <v>0.48</v>
      </c>
      <c r="C185" s="6">
        <f>首页!$B$7+273.15</f>
        <v>388.15</v>
      </c>
      <c r="D185" s="6">
        <f>首页!$B$6+273.15</f>
        <v>293.14999999999998</v>
      </c>
      <c r="E185" s="6">
        <f>首页!$B$5+273.15</f>
        <v>1373.15</v>
      </c>
      <c r="F185" s="6">
        <f t="shared" si="18"/>
        <v>95</v>
      </c>
      <c r="G185" s="6">
        <f t="shared" si="19"/>
        <v>340.65</v>
      </c>
      <c r="H185" s="6">
        <f t="shared" si="20"/>
        <v>1.9926207055139041E-5</v>
      </c>
      <c r="I185" s="7">
        <f t="shared" si="21"/>
        <v>1158916576932337.8</v>
      </c>
      <c r="J185" s="6">
        <f t="shared" si="22"/>
        <v>1.0226038455893147</v>
      </c>
      <c r="K185" s="7">
        <f>J185*H185*首页!$B$12/P185</f>
        <v>0.69532757496605813</v>
      </c>
      <c r="L185" s="6">
        <f>首页!$B$9*0.0000000567*((C185^4-D185^4)/(C185-D185))</f>
        <v>7.7687338005019564</v>
      </c>
      <c r="M185" s="6">
        <f>IF(首页!$B$13="自然对流",IF(首页!$B$14="立式圆筒",首页!$B$10,PI()*B185/2),PI()*B185/2)</f>
        <v>55.2</v>
      </c>
      <c r="N185" s="7">
        <f>IF(首页!$B$13="强制对流",首页!$B$11*M185/H185,0)</f>
        <v>0</v>
      </c>
      <c r="O185" s="6">
        <f>IF(首页!$B$13="自然对流",IF(首页!$B$14="立式圆筒",(0.825+0.3063*I185^(1/6))^2+0.87*(M185/B185),(0.752+0.303*I185^(1/6))^2),0.3+SQRT((0.592*N185^0.5)^2+(0.0262*N185^0.8/(1-0.5/N185^0.1))^2))</f>
        <v>10119.257502934899</v>
      </c>
      <c r="P185" s="6">
        <f t="shared" si="23"/>
        <v>2.9510194925512497E-2</v>
      </c>
      <c r="Q185" s="6">
        <f t="shared" si="24"/>
        <v>5.4098054603815893</v>
      </c>
      <c r="R185" s="6">
        <f t="shared" si="25"/>
        <v>13.178539260883547</v>
      </c>
      <c r="S185" s="6">
        <f>B185*LN(B185/首页!$B$4)</f>
        <v>0.6654212933375474</v>
      </c>
      <c r="T185" s="6">
        <f>2*首页!$B$8*(E185-C185)/(R185*(C185-D185))</f>
        <v>7.0808901977978345E-2</v>
      </c>
      <c r="U185" t="str">
        <f>IF(首页!$B$13="自然对流","按自然对流公式", "按强制对流公式")</f>
        <v>按自然对流公式</v>
      </c>
      <c r="V185" s="6">
        <f t="shared" si="26"/>
        <v>0.59461239135956911</v>
      </c>
    </row>
    <row r="186" spans="1:22" x14ac:dyDescent="0.15">
      <c r="A186">
        <v>181</v>
      </c>
      <c r="B186" s="6">
        <f>首页!$B$4+2*A186/1000</f>
        <v>0.48199999999999998</v>
      </c>
      <c r="C186" s="6">
        <f>首页!$B$7+273.15</f>
        <v>388.15</v>
      </c>
      <c r="D186" s="6">
        <f>首页!$B$6+273.15</f>
        <v>293.14999999999998</v>
      </c>
      <c r="E186" s="6">
        <f>首页!$B$5+273.15</f>
        <v>1373.15</v>
      </c>
      <c r="F186" s="6">
        <f t="shared" si="18"/>
        <v>95</v>
      </c>
      <c r="G186" s="6">
        <f t="shared" si="19"/>
        <v>340.65</v>
      </c>
      <c r="H186" s="6">
        <f t="shared" si="20"/>
        <v>1.9926207055139041E-5</v>
      </c>
      <c r="I186" s="7">
        <f t="shared" si="21"/>
        <v>1158916576932337.8</v>
      </c>
      <c r="J186" s="6">
        <f t="shared" si="22"/>
        <v>1.0226038455893147</v>
      </c>
      <c r="K186" s="7">
        <f>J186*H186*首页!$B$12/P186</f>
        <v>0.69532757496605813</v>
      </c>
      <c r="L186" s="6">
        <f>首页!$B$9*0.0000000567*((C186^4-D186^4)/(C186-D186))</f>
        <v>7.7687338005019564</v>
      </c>
      <c r="M186" s="6">
        <f>IF(首页!$B$13="自然对流",IF(首页!$B$14="立式圆筒",首页!$B$10,PI()*B186/2),PI()*B186/2)</f>
        <v>55.2</v>
      </c>
      <c r="N186" s="7">
        <f>IF(首页!$B$13="强制对流",首页!$B$11*M186/H186,0)</f>
        <v>0</v>
      </c>
      <c r="O186" s="6">
        <f>IF(首页!$B$13="自然对流",IF(首页!$B$14="立式圆筒",(0.825+0.3063*I186^(1/6))^2+0.87*(M186/B186),(0.752+0.303*I186^(1/6))^2),0.3+SQRT((0.592*N186^0.5)^2+(0.0262*N186^0.8/(1-0.5/N186^0.1))^2))</f>
        <v>10118.842357706684</v>
      </c>
      <c r="P186" s="6">
        <f t="shared" si="23"/>
        <v>2.9510194925512497E-2</v>
      </c>
      <c r="Q186" s="6">
        <f t="shared" si="24"/>
        <v>5.4095835216749402</v>
      </c>
      <c r="R186" s="6">
        <f t="shared" si="25"/>
        <v>13.178317322176897</v>
      </c>
      <c r="S186" s="6">
        <f>B186*LN(B186/首页!$B$4)</f>
        <v>0.67019804295144314</v>
      </c>
      <c r="T186" s="6">
        <f>2*首页!$B$8*(E186-C186)/(R186*(C186-D186))</f>
        <v>7.0810094485013964E-2</v>
      </c>
      <c r="U186" t="str">
        <f>IF(首页!$B$13="自然对流","按自然对流公式", "按强制对流公式")</f>
        <v>按自然对流公式</v>
      </c>
      <c r="V186" s="6">
        <f t="shared" si="26"/>
        <v>0.59938794846642918</v>
      </c>
    </row>
    <row r="187" spans="1:22" x14ac:dyDescent="0.15">
      <c r="A187">
        <v>182</v>
      </c>
      <c r="B187" s="6">
        <f>首页!$B$4+2*A187/1000</f>
        <v>0.48399999999999999</v>
      </c>
      <c r="C187" s="6">
        <f>首页!$B$7+273.15</f>
        <v>388.15</v>
      </c>
      <c r="D187" s="6">
        <f>首页!$B$6+273.15</f>
        <v>293.14999999999998</v>
      </c>
      <c r="E187" s="6">
        <f>首页!$B$5+273.15</f>
        <v>1373.15</v>
      </c>
      <c r="F187" s="6">
        <f t="shared" si="18"/>
        <v>95</v>
      </c>
      <c r="G187" s="6">
        <f t="shared" si="19"/>
        <v>340.65</v>
      </c>
      <c r="H187" s="6">
        <f t="shared" si="20"/>
        <v>1.9926207055139041E-5</v>
      </c>
      <c r="I187" s="7">
        <f t="shared" si="21"/>
        <v>1158916576932337.8</v>
      </c>
      <c r="J187" s="6">
        <f t="shared" si="22"/>
        <v>1.0226038455893147</v>
      </c>
      <c r="K187" s="7">
        <f>J187*H187*首页!$B$12/P187</f>
        <v>0.69532757496605813</v>
      </c>
      <c r="L187" s="6">
        <f>首页!$B$9*0.0000000567*((C187^4-D187^4)/(C187-D187))</f>
        <v>7.7687338005019564</v>
      </c>
      <c r="M187" s="6">
        <f>IF(首页!$B$13="自然对流",IF(首页!$B$14="立式圆筒",首页!$B$10,PI()*B187/2),PI()*B187/2)</f>
        <v>55.2</v>
      </c>
      <c r="N187" s="7">
        <f>IF(首页!$B$13="强制对流",首页!$B$11*M187/H187,0)</f>
        <v>0</v>
      </c>
      <c r="O187" s="6">
        <f>IF(首页!$B$13="自然对流",IF(首页!$B$14="立式圆筒",(0.825+0.3063*I187^(1/6))^2+0.87*(M187/B187),(0.752+0.303*I187^(1/6))^2),0.3+SQRT((0.592*N187^0.5)^2+(0.0262*N187^0.8/(1-0.5/N187^0.1))^2))</f>
        <v>10118.430643430767</v>
      </c>
      <c r="P187" s="6">
        <f t="shared" si="23"/>
        <v>2.9510194925512497E-2</v>
      </c>
      <c r="Q187" s="6">
        <f t="shared" si="24"/>
        <v>5.4093634171724769</v>
      </c>
      <c r="R187" s="6">
        <f t="shared" si="25"/>
        <v>13.178097217674434</v>
      </c>
      <c r="S187" s="6">
        <f>B187*LN(B187/首页!$B$4)</f>
        <v>0.67498309134433943</v>
      </c>
      <c r="T187" s="6">
        <f>2*首页!$B$8*(E187-C187)/(R187*(C187-D187))</f>
        <v>7.0811277176290127E-2</v>
      </c>
      <c r="U187" t="str">
        <f>IF(首页!$B$13="自然对流","按自然对流公式", "按强制对流公式")</f>
        <v>按自然对流公式</v>
      </c>
      <c r="V187" s="6">
        <f t="shared" si="26"/>
        <v>0.60417181416804933</v>
      </c>
    </row>
    <row r="188" spans="1:22" x14ac:dyDescent="0.15">
      <c r="A188">
        <v>183</v>
      </c>
      <c r="B188" s="6">
        <f>首页!$B$4+2*A188/1000</f>
        <v>0.48599999999999999</v>
      </c>
      <c r="C188" s="6">
        <f>首页!$B$7+273.15</f>
        <v>388.15</v>
      </c>
      <c r="D188" s="6">
        <f>首页!$B$6+273.15</f>
        <v>293.14999999999998</v>
      </c>
      <c r="E188" s="6">
        <f>首页!$B$5+273.15</f>
        <v>1373.15</v>
      </c>
      <c r="F188" s="6">
        <f t="shared" si="18"/>
        <v>95</v>
      </c>
      <c r="G188" s="6">
        <f t="shared" si="19"/>
        <v>340.65</v>
      </c>
      <c r="H188" s="6">
        <f t="shared" si="20"/>
        <v>1.9926207055139041E-5</v>
      </c>
      <c r="I188" s="7">
        <f t="shared" si="21"/>
        <v>1158916576932337.8</v>
      </c>
      <c r="J188" s="6">
        <f t="shared" si="22"/>
        <v>1.0226038455893147</v>
      </c>
      <c r="K188" s="7">
        <f>J188*H188*首页!$B$12/P188</f>
        <v>0.69532757496605813</v>
      </c>
      <c r="L188" s="6">
        <f>首页!$B$9*0.0000000567*((C188^4-D188^4)/(C188-D188))</f>
        <v>7.7687338005019564</v>
      </c>
      <c r="M188" s="6">
        <f>IF(首页!$B$13="自然对流",IF(首页!$B$14="立式圆筒",首页!$B$10,PI()*B188/2),PI()*B188/2)</f>
        <v>55.2</v>
      </c>
      <c r="N188" s="7">
        <f>IF(首页!$B$13="强制对流",首页!$B$11*M188/H188,0)</f>
        <v>0</v>
      </c>
      <c r="O188" s="6">
        <f>IF(首页!$B$13="自然对流",IF(首页!$B$14="立式圆筒",(0.825+0.3063*I188^(1/6))^2+0.87*(M188/B188),(0.752+0.303*I188^(1/6))^2),0.3+SQRT((0.592*N188^0.5)^2+(0.0262*N188^0.8/(1-0.5/N188^0.1))^2))</f>
        <v>10118.022317749716</v>
      </c>
      <c r="P188" s="6">
        <f t="shared" si="23"/>
        <v>2.9510194925512497E-2</v>
      </c>
      <c r="Q188" s="6">
        <f t="shared" si="24"/>
        <v>5.4091451242297071</v>
      </c>
      <c r="R188" s="6">
        <f t="shared" si="25"/>
        <v>13.177878924731663</v>
      </c>
      <c r="S188" s="6">
        <f>B188*LN(B188/首页!$B$4)</f>
        <v>0.67977640422356567</v>
      </c>
      <c r="T188" s="6">
        <f>2*首页!$B$8*(E188-C188)/(R188*(C188-D188))</f>
        <v>7.0812450172503288E-2</v>
      </c>
      <c r="U188" t="str">
        <f>IF(首页!$B$13="自然对流","按自然对流公式", "按强制对流公式")</f>
        <v>按自然对流公式</v>
      </c>
      <c r="V188" s="6">
        <f t="shared" si="26"/>
        <v>0.60896395405106241</v>
      </c>
    </row>
    <row r="189" spans="1:22" x14ac:dyDescent="0.15">
      <c r="A189">
        <v>184</v>
      </c>
      <c r="B189" s="6">
        <f>首页!$B$4+2*A189/1000</f>
        <v>0.48799999999999999</v>
      </c>
      <c r="C189" s="6">
        <f>首页!$B$7+273.15</f>
        <v>388.15</v>
      </c>
      <c r="D189" s="6">
        <f>首页!$B$6+273.15</f>
        <v>293.14999999999998</v>
      </c>
      <c r="E189" s="6">
        <f>首页!$B$5+273.15</f>
        <v>1373.15</v>
      </c>
      <c r="F189" s="6">
        <f t="shared" si="18"/>
        <v>95</v>
      </c>
      <c r="G189" s="6">
        <f t="shared" si="19"/>
        <v>340.65</v>
      </c>
      <c r="H189" s="6">
        <f t="shared" si="20"/>
        <v>1.9926207055139041E-5</v>
      </c>
      <c r="I189" s="7">
        <f t="shared" si="21"/>
        <v>1158916576932337.8</v>
      </c>
      <c r="J189" s="6">
        <f t="shared" si="22"/>
        <v>1.0226038455893147</v>
      </c>
      <c r="K189" s="7">
        <f>J189*H189*首页!$B$12/P189</f>
        <v>0.69532757496605813</v>
      </c>
      <c r="L189" s="6">
        <f>首页!$B$9*0.0000000567*((C189^4-D189^4)/(C189-D189))</f>
        <v>7.7687338005019564</v>
      </c>
      <c r="M189" s="6">
        <f>IF(首页!$B$13="自然对流",IF(首页!$B$14="立式圆筒",首页!$B$10,PI()*B189/2),PI()*B189/2)</f>
        <v>55.2</v>
      </c>
      <c r="N189" s="7">
        <f>IF(首页!$B$13="强制对流",首页!$B$11*M189/H189,0)</f>
        <v>0</v>
      </c>
      <c r="O189" s="6">
        <f>IF(首页!$B$13="自然对流",IF(首页!$B$14="立式圆筒",(0.825+0.3063*I189^(1/6))^2+0.87*(M189/B189),(0.752+0.303*I189^(1/6))^2),0.3+SQRT((0.592*N189^0.5)^2+(0.0262*N189^0.8/(1-0.5/N189^0.1))^2))</f>
        <v>10117.617339000473</v>
      </c>
      <c r="P189" s="6">
        <f t="shared" si="23"/>
        <v>2.9510194925512497E-2</v>
      </c>
      <c r="Q189" s="6">
        <f t="shared" si="24"/>
        <v>5.4089286205733513</v>
      </c>
      <c r="R189" s="6">
        <f t="shared" si="25"/>
        <v>13.177662421075308</v>
      </c>
      <c r="S189" s="6">
        <f>B189*LN(B189/首页!$B$4)</f>
        <v>0.68457794757869728</v>
      </c>
      <c r="T189" s="6">
        <f>2*首页!$B$8*(E189-C189)/(R189*(C189-D189))</f>
        <v>7.0813613592379129E-2</v>
      </c>
      <c r="U189" t="str">
        <f>IF(首页!$B$13="自然对流","按自然对流公式", "按强制对流公式")</f>
        <v>按自然对流公式</v>
      </c>
      <c r="V189" s="6">
        <f t="shared" si="26"/>
        <v>0.61376433398631813</v>
      </c>
    </row>
    <row r="190" spans="1:22" x14ac:dyDescent="0.15">
      <c r="A190">
        <v>185</v>
      </c>
      <c r="B190" s="6">
        <f>首页!$B$4+2*A190/1000</f>
        <v>0.49</v>
      </c>
      <c r="C190" s="6">
        <f>首页!$B$7+273.15</f>
        <v>388.15</v>
      </c>
      <c r="D190" s="6">
        <f>首页!$B$6+273.15</f>
        <v>293.14999999999998</v>
      </c>
      <c r="E190" s="6">
        <f>首页!$B$5+273.15</f>
        <v>1373.15</v>
      </c>
      <c r="F190" s="6">
        <f t="shared" si="18"/>
        <v>95</v>
      </c>
      <c r="G190" s="6">
        <f t="shared" si="19"/>
        <v>340.65</v>
      </c>
      <c r="H190" s="6">
        <f t="shared" si="20"/>
        <v>1.9926207055139041E-5</v>
      </c>
      <c r="I190" s="7">
        <f t="shared" si="21"/>
        <v>1158916576932337.8</v>
      </c>
      <c r="J190" s="6">
        <f t="shared" si="22"/>
        <v>1.0226038455893147</v>
      </c>
      <c r="K190" s="7">
        <f>J190*H190*首页!$B$12/P190</f>
        <v>0.69532757496605813</v>
      </c>
      <c r="L190" s="6">
        <f>首页!$B$9*0.0000000567*((C190^4-D190^4)/(C190-D190))</f>
        <v>7.7687338005019564</v>
      </c>
      <c r="M190" s="6">
        <f>IF(首页!$B$13="自然对流",IF(首页!$B$14="立式圆筒",首页!$B$10,PI()*B190/2),PI()*B190/2)</f>
        <v>55.2</v>
      </c>
      <c r="N190" s="7">
        <f>IF(首页!$B$13="强制对流",首页!$B$11*M190/H190,0)</f>
        <v>0</v>
      </c>
      <c r="O190" s="6">
        <f>IF(首页!$B$13="自然对流",IF(首页!$B$14="立式圆筒",(0.825+0.3063*I190^(1/6))^2+0.87*(M190/B190),(0.752+0.303*I190^(1/6))^2),0.3+SQRT((0.592*N190^0.5)^2+(0.0262*N190^0.8/(1-0.5/N190^0.1))^2))</f>
        <v>10117.215666200205</v>
      </c>
      <c r="P190" s="6">
        <f t="shared" si="23"/>
        <v>2.9510194925512497E-2</v>
      </c>
      <c r="Q190" s="6">
        <f t="shared" si="24"/>
        <v>5.4087138842937836</v>
      </c>
      <c r="R190" s="6">
        <f t="shared" si="25"/>
        <v>13.177447684795741</v>
      </c>
      <c r="S190" s="6">
        <f>B190*LN(B190/首页!$B$4)</f>
        <v>0.68938768767808689</v>
      </c>
      <c r="T190" s="6">
        <f>2*首页!$B$8*(E190-C190)/(R190*(C190-D190))</f>
        <v>7.0814767552712668E-2</v>
      </c>
      <c r="U190" t="str">
        <f>IF(首页!$B$13="自然对流","按自然对流公式", "按强制对流公式")</f>
        <v>按自然对流公式</v>
      </c>
      <c r="V190" s="6">
        <f t="shared" si="26"/>
        <v>0.61857292012537424</v>
      </c>
    </row>
    <row r="191" spans="1:22" x14ac:dyDescent="0.15">
      <c r="A191">
        <v>186</v>
      </c>
      <c r="B191" s="6">
        <f>首页!$B$4+2*A191/1000</f>
        <v>0.49199999999999999</v>
      </c>
      <c r="C191" s="6">
        <f>首页!$B$7+273.15</f>
        <v>388.15</v>
      </c>
      <c r="D191" s="6">
        <f>首页!$B$6+273.15</f>
        <v>293.14999999999998</v>
      </c>
      <c r="E191" s="6">
        <f>首页!$B$5+273.15</f>
        <v>1373.15</v>
      </c>
      <c r="F191" s="6">
        <f t="shared" si="18"/>
        <v>95</v>
      </c>
      <c r="G191" s="6">
        <f t="shared" si="19"/>
        <v>340.65</v>
      </c>
      <c r="H191" s="6">
        <f t="shared" si="20"/>
        <v>1.9926207055139041E-5</v>
      </c>
      <c r="I191" s="7">
        <f t="shared" si="21"/>
        <v>1158916576932337.8</v>
      </c>
      <c r="J191" s="6">
        <f t="shared" si="22"/>
        <v>1.0226038455893147</v>
      </c>
      <c r="K191" s="7">
        <f>J191*H191*首页!$B$12/P191</f>
        <v>0.69532757496605813</v>
      </c>
      <c r="L191" s="6">
        <f>首页!$B$9*0.0000000567*((C191^4-D191^4)/(C191-D191))</f>
        <v>7.7687338005019564</v>
      </c>
      <c r="M191" s="6">
        <f>IF(首页!$B$13="自然对流",IF(首页!$B$14="立式圆筒",首页!$B$10,PI()*B191/2),PI()*B191/2)</f>
        <v>55.2</v>
      </c>
      <c r="N191" s="7">
        <f>IF(首页!$B$13="强制对流",首页!$B$11*M191/H191,0)</f>
        <v>0</v>
      </c>
      <c r="O191" s="6">
        <f>IF(首页!$B$13="自然对流",IF(首页!$B$14="立式圆筒",(0.825+0.3063*I191^(1/6))^2+0.87*(M191/B191),(0.752+0.303*I191^(1/6))^2),0.3+SQRT((0.592*N191^0.5)^2+(0.0262*N191^0.8/(1-0.5/N191^0.1))^2))</f>
        <v>10116.817259032461</v>
      </c>
      <c r="P191" s="6">
        <f t="shared" si="23"/>
        <v>2.9510194925512497E-2</v>
      </c>
      <c r="Q191" s="6">
        <f t="shared" si="24"/>
        <v>5.4085008938376262</v>
      </c>
      <c r="R191" s="6">
        <f t="shared" si="25"/>
        <v>13.177234694339582</v>
      </c>
      <c r="S191" s="6">
        <f>B191*LN(B191/首页!$B$4)</f>
        <v>0.69420559106544899</v>
      </c>
      <c r="T191" s="6">
        <f>2*首页!$B$8*(E191-C191)/(R191*(C191-D191))</f>
        <v>7.081591216840738E-2</v>
      </c>
      <c r="U191" t="str">
        <f>IF(首页!$B$13="自然对流","按自然对流公式", "按强制对流公式")</f>
        <v>按自然对流公式</v>
      </c>
      <c r="V191" s="6">
        <f t="shared" si="26"/>
        <v>0.62338967889704167</v>
      </c>
    </row>
    <row r="192" spans="1:22" x14ac:dyDescent="0.15">
      <c r="A192">
        <v>187</v>
      </c>
      <c r="B192" s="6">
        <f>首页!$B$4+2*A192/1000</f>
        <v>0.49399999999999999</v>
      </c>
      <c r="C192" s="6">
        <f>首页!$B$7+273.15</f>
        <v>388.15</v>
      </c>
      <c r="D192" s="6">
        <f>首页!$B$6+273.15</f>
        <v>293.14999999999998</v>
      </c>
      <c r="E192" s="6">
        <f>首页!$B$5+273.15</f>
        <v>1373.15</v>
      </c>
      <c r="F192" s="6">
        <f t="shared" si="18"/>
        <v>95</v>
      </c>
      <c r="G192" s="6">
        <f t="shared" si="19"/>
        <v>340.65</v>
      </c>
      <c r="H192" s="6">
        <f t="shared" si="20"/>
        <v>1.9926207055139041E-5</v>
      </c>
      <c r="I192" s="7">
        <f t="shared" si="21"/>
        <v>1158916576932337.8</v>
      </c>
      <c r="J192" s="6">
        <f t="shared" si="22"/>
        <v>1.0226038455893147</v>
      </c>
      <c r="K192" s="7">
        <f>J192*H192*首页!$B$12/P192</f>
        <v>0.69532757496605813</v>
      </c>
      <c r="L192" s="6">
        <f>首页!$B$9*0.0000000567*((C192^4-D192^4)/(C192-D192))</f>
        <v>7.7687338005019564</v>
      </c>
      <c r="M192" s="6">
        <f>IF(首页!$B$13="自然对流",IF(首页!$B$14="立式圆筒",首页!$B$10,PI()*B192/2),PI()*B192/2)</f>
        <v>55.2</v>
      </c>
      <c r="N192" s="7">
        <f>IF(首页!$B$13="强制对流",首页!$B$11*M192/H192,0)</f>
        <v>0</v>
      </c>
      <c r="O192" s="6">
        <f>IF(首页!$B$13="自然对流",IF(首页!$B$14="立式圆筒",(0.825+0.3063*I192^(1/6))^2+0.87*(M192/B192),(0.752+0.303*I192^(1/6))^2),0.3+SQRT((0.592*N192^0.5)^2+(0.0262*N192^0.8/(1-0.5/N192^0.1))^2))</f>
        <v>10116.422077833686</v>
      </c>
      <c r="P192" s="6">
        <f t="shared" si="23"/>
        <v>2.9510194925512497E-2</v>
      </c>
      <c r="Q192" s="6">
        <f t="shared" si="24"/>
        <v>5.4082896280005475</v>
      </c>
      <c r="R192" s="6">
        <f t="shared" si="25"/>
        <v>13.177023428502505</v>
      </c>
      <c r="S192" s="6">
        <f>B192*LN(B192/首页!$B$4)</f>
        <v>0.69903162455650303</v>
      </c>
      <c r="T192" s="6">
        <f>2*首页!$B$8*(E192-C192)/(R192*(C192-D192))</f>
        <v>7.0817047552513182E-2</v>
      </c>
      <c r="U192" t="str">
        <f>IF(首页!$B$13="自然对流","按自然对流公式", "按强制对流公式")</f>
        <v>按自然对流公式</v>
      </c>
      <c r="V192" s="6">
        <f t="shared" si="26"/>
        <v>0.62821457700398986</v>
      </c>
    </row>
    <row r="193" spans="1:22" x14ac:dyDescent="0.15">
      <c r="A193">
        <v>188</v>
      </c>
      <c r="B193" s="6">
        <f>首页!$B$4+2*A193/1000</f>
        <v>0.496</v>
      </c>
      <c r="C193" s="6">
        <f>首页!$B$7+273.15</f>
        <v>388.15</v>
      </c>
      <c r="D193" s="6">
        <f>首页!$B$6+273.15</f>
        <v>293.14999999999998</v>
      </c>
      <c r="E193" s="6">
        <f>首页!$B$5+273.15</f>
        <v>1373.15</v>
      </c>
      <c r="F193" s="6">
        <f t="shared" si="18"/>
        <v>95</v>
      </c>
      <c r="G193" s="6">
        <f t="shared" si="19"/>
        <v>340.65</v>
      </c>
      <c r="H193" s="6">
        <f t="shared" si="20"/>
        <v>1.9926207055139041E-5</v>
      </c>
      <c r="I193" s="7">
        <f t="shared" si="21"/>
        <v>1158916576932337.8</v>
      </c>
      <c r="J193" s="6">
        <f t="shared" si="22"/>
        <v>1.0226038455893147</v>
      </c>
      <c r="K193" s="7">
        <f>J193*H193*首页!$B$12/P193</f>
        <v>0.69532757496605813</v>
      </c>
      <c r="L193" s="6">
        <f>首页!$B$9*0.0000000567*((C193^4-D193^4)/(C193-D193))</f>
        <v>7.7687338005019564</v>
      </c>
      <c r="M193" s="6">
        <f>IF(首页!$B$13="自然对流",IF(首页!$B$14="立式圆筒",首页!$B$10,PI()*B193/2),PI()*B193/2)</f>
        <v>55.2</v>
      </c>
      <c r="N193" s="7">
        <f>IF(首页!$B$13="强制对流",首页!$B$11*M193/H193,0)</f>
        <v>0</v>
      </c>
      <c r="O193" s="6">
        <f>IF(首页!$B$13="自然对流",IF(首页!$B$14="立式圆筒",(0.825+0.3063*I193^(1/6))^2+0.87*(M193/B193),(0.752+0.303*I193^(1/6))^2),0.3+SQRT((0.592*N193^0.5)^2+(0.0262*N193^0.8/(1-0.5/N193^0.1))^2))</f>
        <v>10116.030083580061</v>
      </c>
      <c r="P193" s="6">
        <f t="shared" si="23"/>
        <v>2.9510194925512497E-2</v>
      </c>
      <c r="Q193" s="6">
        <f t="shared" si="24"/>
        <v>5.4080800659202186</v>
      </c>
      <c r="R193" s="6">
        <f t="shared" si="25"/>
        <v>13.176813866422176</v>
      </c>
      <c r="S193" s="6">
        <f>B193*LN(B193/首页!$B$4)</f>
        <v>0.7038657552356693</v>
      </c>
      <c r="T193" s="6">
        <f>2*首页!$B$8*(E193-C193)/(R193*(C193-D193))</f>
        <v>7.0818173816263902E-2</v>
      </c>
      <c r="U193" t="str">
        <f>IF(首页!$B$13="自然对流","按自然对流公式", "按强制对流公式")</f>
        <v>按自然对流公式</v>
      </c>
      <c r="V193" s="6">
        <f t="shared" si="26"/>
        <v>0.63304758141940543</v>
      </c>
    </row>
    <row r="194" spans="1:22" x14ac:dyDescent="0.15">
      <c r="A194">
        <v>189</v>
      </c>
      <c r="B194" s="6">
        <f>首页!$B$4+2*A194/1000</f>
        <v>0.498</v>
      </c>
      <c r="C194" s="6">
        <f>首页!$B$7+273.15</f>
        <v>388.15</v>
      </c>
      <c r="D194" s="6">
        <f>首页!$B$6+273.15</f>
        <v>293.14999999999998</v>
      </c>
      <c r="E194" s="6">
        <f>首页!$B$5+273.15</f>
        <v>1373.15</v>
      </c>
      <c r="F194" s="6">
        <f t="shared" si="18"/>
        <v>95</v>
      </c>
      <c r="G194" s="6">
        <f t="shared" si="19"/>
        <v>340.65</v>
      </c>
      <c r="H194" s="6">
        <f t="shared" si="20"/>
        <v>1.9926207055139041E-5</v>
      </c>
      <c r="I194" s="7">
        <f t="shared" si="21"/>
        <v>1158916576932337.8</v>
      </c>
      <c r="J194" s="6">
        <f t="shared" si="22"/>
        <v>1.0226038455893147</v>
      </c>
      <c r="K194" s="7">
        <f>J194*H194*首页!$B$12/P194</f>
        <v>0.69532757496605813</v>
      </c>
      <c r="L194" s="6">
        <f>首页!$B$9*0.0000000567*((C194^4-D194^4)/(C194-D194))</f>
        <v>7.7687338005019564</v>
      </c>
      <c r="M194" s="6">
        <f>IF(首页!$B$13="自然对流",IF(首页!$B$14="立式圆筒",首页!$B$10,PI()*B194/2),PI()*B194/2)</f>
        <v>55.2</v>
      </c>
      <c r="N194" s="7">
        <f>IF(首页!$B$13="强制对流",首页!$B$11*M194/H194,0)</f>
        <v>0</v>
      </c>
      <c r="O194" s="6">
        <f>IF(首页!$B$13="自然对流",IF(首页!$B$14="立式圆筒",(0.825+0.3063*I194^(1/6))^2+0.87*(M194/B194),(0.752+0.303*I194^(1/6))^2),0.3+SQRT((0.592*N194^0.5)^2+(0.0262*N194^0.8/(1-0.5/N194^0.1))^2))</f>
        <v>10115.641237874659</v>
      </c>
      <c r="P194" s="6">
        <f t="shared" si="23"/>
        <v>2.9510194925512497E-2</v>
      </c>
      <c r="Q194" s="6">
        <f t="shared" si="24"/>
        <v>5.4078721870694517</v>
      </c>
      <c r="R194" s="6">
        <f t="shared" si="25"/>
        <v>13.176605987571408</v>
      </c>
      <c r="S194" s="6">
        <f>B194*LN(B194/首页!$B$4)</f>
        <v>0.70870795045281831</v>
      </c>
      <c r="T194" s="6">
        <f>2*首页!$B$8*(E194-C194)/(R194*(C194-D194))</f>
        <v>7.0819291069113416E-2</v>
      </c>
      <c r="U194" t="str">
        <f>IF(首页!$B$13="自然对流","按自然对流公式", "按强制对流公式")</f>
        <v>按自然对流公式</v>
      </c>
      <c r="V194" s="6">
        <f t="shared" si="26"/>
        <v>0.63788865938370487</v>
      </c>
    </row>
    <row r="195" spans="1:22" x14ac:dyDescent="0.15">
      <c r="A195">
        <v>190</v>
      </c>
      <c r="B195" s="6">
        <f>首页!$B$4+2*A195/1000</f>
        <v>0.5</v>
      </c>
      <c r="C195" s="6">
        <f>首页!$B$7+273.15</f>
        <v>388.15</v>
      </c>
      <c r="D195" s="6">
        <f>首页!$B$6+273.15</f>
        <v>293.14999999999998</v>
      </c>
      <c r="E195" s="6">
        <f>首页!$B$5+273.15</f>
        <v>1373.15</v>
      </c>
      <c r="F195" s="6">
        <f t="shared" si="18"/>
        <v>95</v>
      </c>
      <c r="G195" s="6">
        <f t="shared" si="19"/>
        <v>340.65</v>
      </c>
      <c r="H195" s="6">
        <f t="shared" si="20"/>
        <v>1.9926207055139041E-5</v>
      </c>
      <c r="I195" s="7">
        <f t="shared" si="21"/>
        <v>1158916576932337.8</v>
      </c>
      <c r="J195" s="6">
        <f t="shared" si="22"/>
        <v>1.0226038455893147</v>
      </c>
      <c r="K195" s="7">
        <f>J195*H195*首页!$B$12/P195</f>
        <v>0.69532757496605813</v>
      </c>
      <c r="L195" s="6">
        <f>首页!$B$9*0.0000000567*((C195^4-D195^4)/(C195-D195))</f>
        <v>7.7687338005019564</v>
      </c>
      <c r="M195" s="6">
        <f>IF(首页!$B$13="自然对流",IF(首页!$B$14="立式圆筒",首页!$B$10,PI()*B195/2),PI()*B195/2)</f>
        <v>55.2</v>
      </c>
      <c r="N195" s="7">
        <f>IF(首页!$B$13="强制对流",首页!$B$11*M195/H195,0)</f>
        <v>0</v>
      </c>
      <c r="O195" s="6">
        <f>IF(首页!$B$13="自然对流",IF(首页!$B$14="立式圆筒",(0.825+0.3063*I195^(1/6))^2+0.87*(M195/B195),(0.752+0.303*I195^(1/6))^2),0.3+SQRT((0.592*N195^0.5)^2+(0.0262*N195^0.8/(1-0.5/N195^0.1))^2))</f>
        <v>10115.255502934901</v>
      </c>
      <c r="P195" s="6">
        <f t="shared" si="23"/>
        <v>2.9510194925512497E-2</v>
      </c>
      <c r="Q195" s="6">
        <f t="shared" si="24"/>
        <v>5.4076659712494894</v>
      </c>
      <c r="R195" s="6">
        <f t="shared" si="25"/>
        <v>13.176399771751445</v>
      </c>
      <c r="S195" s="6">
        <f>B195*LN(B195/首页!$B$4)</f>
        <v>0.71355817782007291</v>
      </c>
      <c r="T195" s="6">
        <f>2*首页!$B$8*(E195-C195)/(R195*(C195-D195))</f>
        <v>7.0820399418771135E-2</v>
      </c>
      <c r="U195" t="str">
        <f>IF(首页!$B$13="自然对流","按自然对流公式", "按强制对流公式")</f>
        <v>按自然对流公式</v>
      </c>
      <c r="V195" s="6">
        <f t="shared" si="26"/>
        <v>0.64273777840130175</v>
      </c>
    </row>
    <row r="196" spans="1:22" x14ac:dyDescent="0.15">
      <c r="A196">
        <v>191</v>
      </c>
      <c r="B196" s="6">
        <f>首页!$B$4+2*A196/1000</f>
        <v>0.502</v>
      </c>
      <c r="C196" s="6">
        <f>首页!$B$7+273.15</f>
        <v>388.15</v>
      </c>
      <c r="D196" s="6">
        <f>首页!$B$6+273.15</f>
        <v>293.14999999999998</v>
      </c>
      <c r="E196" s="6">
        <f>首页!$B$5+273.15</f>
        <v>1373.15</v>
      </c>
      <c r="F196" s="6">
        <f t="shared" si="18"/>
        <v>95</v>
      </c>
      <c r="G196" s="6">
        <f t="shared" si="19"/>
        <v>340.65</v>
      </c>
      <c r="H196" s="6">
        <f t="shared" si="20"/>
        <v>1.9926207055139041E-5</v>
      </c>
      <c r="I196" s="7">
        <f t="shared" si="21"/>
        <v>1158916576932337.8</v>
      </c>
      <c r="J196" s="6">
        <f t="shared" si="22"/>
        <v>1.0226038455893147</v>
      </c>
      <c r="K196" s="7">
        <f>J196*H196*首页!$B$12/P196</f>
        <v>0.69532757496605813</v>
      </c>
      <c r="L196" s="6">
        <f>首页!$B$9*0.0000000567*((C196^4-D196^4)/(C196-D196))</f>
        <v>7.7687338005019564</v>
      </c>
      <c r="M196" s="6">
        <f>IF(首页!$B$13="自然对流",IF(首页!$B$14="立式圆筒",首页!$B$10,PI()*B196/2),PI()*B196/2)</f>
        <v>55.2</v>
      </c>
      <c r="N196" s="7">
        <f>IF(首页!$B$13="强制对流",首页!$B$11*M196/H196,0)</f>
        <v>0</v>
      </c>
      <c r="O196" s="6">
        <f>IF(首页!$B$13="自然对流",IF(首页!$B$14="立式圆筒",(0.825+0.3063*I196^(1/6))^2+0.87*(M196/B196),(0.752+0.303*I196^(1/6))^2),0.3+SQRT((0.592*N196^0.5)^2+(0.0262*N196^0.8/(1-0.5/N196^0.1))^2))</f>
        <v>10114.872841580318</v>
      </c>
      <c r="P196" s="6">
        <f t="shared" si="23"/>
        <v>2.9510194925512497E-2</v>
      </c>
      <c r="Q196" s="6">
        <f t="shared" si="24"/>
        <v>5.4074613985834716</v>
      </c>
      <c r="R196" s="6">
        <f t="shared" si="25"/>
        <v>13.176195199085427</v>
      </c>
      <c r="S196" s="6">
        <f>B196*LN(B196/首页!$B$4)</f>
        <v>0.71841640520866101</v>
      </c>
      <c r="T196" s="6">
        <f>2*首页!$B$8*(E196-C196)/(R196*(C196-D196))</f>
        <v>7.0821498971236671E-2</v>
      </c>
      <c r="U196" t="str">
        <f>IF(首页!$B$13="自然对流","按自然对流公式", "按强制对流公式")</f>
        <v>按自然对流公式</v>
      </c>
      <c r="V196" s="6">
        <f t="shared" si="26"/>
        <v>0.64759490623742433</v>
      </c>
    </row>
    <row r="197" spans="1:22" x14ac:dyDescent="0.15">
      <c r="A197">
        <v>192</v>
      </c>
      <c r="B197" s="6">
        <f>首页!$B$4+2*A197/1000</f>
        <v>0.504</v>
      </c>
      <c r="C197" s="6">
        <f>首页!$B$7+273.15</f>
        <v>388.15</v>
      </c>
      <c r="D197" s="6">
        <f>首页!$B$6+273.15</f>
        <v>293.14999999999998</v>
      </c>
      <c r="E197" s="6">
        <f>首页!$B$5+273.15</f>
        <v>1373.15</v>
      </c>
      <c r="F197" s="6">
        <f t="shared" ref="F197:F260" si="27">C197-D197</f>
        <v>95</v>
      </c>
      <c r="G197" s="6">
        <f t="shared" ref="G197:G260" si="28">(C197+D197)/2</f>
        <v>340.65</v>
      </c>
      <c r="H197" s="6">
        <f t="shared" ref="H197:H260" si="29">0.0000000042113*G197^2.5/(112+G197)</f>
        <v>1.9926207055139041E-5</v>
      </c>
      <c r="I197" s="7">
        <f t="shared" ref="I197:I260" si="30">9.81*M197^3*F197/(H197^2*G197)</f>
        <v>1158916576932337.8</v>
      </c>
      <c r="J197" s="6">
        <f t="shared" ref="J197:J260" si="31">348.35/G197</f>
        <v>1.0226038455893147</v>
      </c>
      <c r="K197" s="7">
        <f>J197*H197*首页!$B$12/P197</f>
        <v>0.69532757496605813</v>
      </c>
      <c r="L197" s="6">
        <f>首页!$B$9*0.0000000567*((C197^4-D197^4)/(C197-D197))</f>
        <v>7.7687338005019564</v>
      </c>
      <c r="M197" s="6">
        <f>IF(首页!$B$13="自然对流",IF(首页!$B$14="立式圆筒",首页!$B$10,PI()*B197/2),PI()*B197/2)</f>
        <v>55.2</v>
      </c>
      <c r="N197" s="7">
        <f>IF(首页!$B$13="强制对流",首页!$B$11*M197/H197,0)</f>
        <v>0</v>
      </c>
      <c r="O197" s="6">
        <f>IF(首页!$B$13="自然对流",IF(首页!$B$14="立式圆筒",(0.825+0.3063*I197^(1/6))^2+0.87*(M197/B197),(0.752+0.303*I197^(1/6))^2),0.3+SQRT((0.592*N197^0.5)^2+(0.0262*N197^0.8/(1-0.5/N197^0.1))^2))</f>
        <v>10114.493217220614</v>
      </c>
      <c r="P197" s="6">
        <f t="shared" ref="P197:P260" si="32">0.0243+0.000078421*(G197-273)-0.000000020755*(G197-273)^2</f>
        <v>2.9510194925512497E-2</v>
      </c>
      <c r="Q197" s="6">
        <f t="shared" ref="Q197:Q260" si="33">O197*P197/M197</f>
        <v>5.4072584495100413</v>
      </c>
      <c r="R197" s="6">
        <f t="shared" ref="R197:R260" si="34">L197+Q197</f>
        <v>13.175992250011998</v>
      </c>
      <c r="S197" s="6">
        <f>B197*LN(B197/首页!$B$4)</f>
        <v>0.72328260074581863</v>
      </c>
      <c r="T197" s="6">
        <f>2*首页!$B$8*(E197-C197)/(R197*(C197-D197))</f>
        <v>7.0822589830833615E-2</v>
      </c>
      <c r="U197" t="str">
        <f>IF(首页!$B$13="自然对流","按自然对流公式", "按强制对流公式")</f>
        <v>按自然对流公式</v>
      </c>
      <c r="V197" s="6">
        <f t="shared" ref="V197:V260" si="35">ABS(S197-T197)</f>
        <v>0.65246001091498496</v>
      </c>
    </row>
    <row r="198" spans="1:22" x14ac:dyDescent="0.15">
      <c r="A198">
        <v>193</v>
      </c>
      <c r="B198" s="6">
        <f>首页!$B$4+2*A198/1000</f>
        <v>0.50600000000000001</v>
      </c>
      <c r="C198" s="6">
        <f>首页!$B$7+273.15</f>
        <v>388.15</v>
      </c>
      <c r="D198" s="6">
        <f>首页!$B$6+273.15</f>
        <v>293.14999999999998</v>
      </c>
      <c r="E198" s="6">
        <f>首页!$B$5+273.15</f>
        <v>1373.15</v>
      </c>
      <c r="F198" s="6">
        <f t="shared" si="27"/>
        <v>95</v>
      </c>
      <c r="G198" s="6">
        <f t="shared" si="28"/>
        <v>340.65</v>
      </c>
      <c r="H198" s="6">
        <f t="shared" si="29"/>
        <v>1.9926207055139041E-5</v>
      </c>
      <c r="I198" s="7">
        <f t="shared" si="30"/>
        <v>1158916576932337.8</v>
      </c>
      <c r="J198" s="6">
        <f t="shared" si="31"/>
        <v>1.0226038455893147</v>
      </c>
      <c r="K198" s="7">
        <f>J198*H198*首页!$B$12/P198</f>
        <v>0.69532757496605813</v>
      </c>
      <c r="L198" s="6">
        <f>首页!$B$9*0.0000000567*((C198^4-D198^4)/(C198-D198))</f>
        <v>7.7687338005019564</v>
      </c>
      <c r="M198" s="6">
        <f>IF(首页!$B$13="自然对流",IF(首页!$B$14="立式圆筒",首页!$B$10,PI()*B198/2),PI()*B198/2)</f>
        <v>55.2</v>
      </c>
      <c r="N198" s="7">
        <f>IF(首页!$B$13="强制对流",首页!$B$11*M198/H198,0)</f>
        <v>0</v>
      </c>
      <c r="O198" s="6">
        <f>IF(首页!$B$13="自然对流",IF(首页!$B$14="立式圆筒",(0.825+0.3063*I198^(1/6))^2+0.87*(M198/B198),(0.752+0.303*I198^(1/6))^2),0.3+SQRT((0.592*N198^0.5)^2+(0.0262*N198^0.8/(1-0.5/N198^0.1))^2))</f>
        <v>10114.11659384399</v>
      </c>
      <c r="P198" s="6">
        <f t="shared" si="32"/>
        <v>2.9510194925512497E-2</v>
      </c>
      <c r="Q198" s="6">
        <f t="shared" si="33"/>
        <v>5.4070571047771123</v>
      </c>
      <c r="R198" s="6">
        <f t="shared" si="34"/>
        <v>13.175790905279069</v>
      </c>
      <c r="S198" s="6">
        <f>B198*LN(B198/首页!$B$4)</f>
        <v>0.72815673281174231</v>
      </c>
      <c r="T198" s="6">
        <f>2*首页!$B$8*(E198-C198)/(R198*(C198-D198))</f>
        <v>7.0823672100242513E-2</v>
      </c>
      <c r="U198" t="str">
        <f>IF(首页!$B$13="自然对流","按自然对流公式", "按强制对流公式")</f>
        <v>按自然对流公式</v>
      </c>
      <c r="V198" s="6">
        <f t="shared" si="35"/>
        <v>0.65733306071149977</v>
      </c>
    </row>
    <row r="199" spans="1:22" x14ac:dyDescent="0.15">
      <c r="A199">
        <v>194</v>
      </c>
      <c r="B199" s="6">
        <f>首页!$B$4+2*A199/1000</f>
        <v>0.50800000000000001</v>
      </c>
      <c r="C199" s="6">
        <f>首页!$B$7+273.15</f>
        <v>388.15</v>
      </c>
      <c r="D199" s="6">
        <f>首页!$B$6+273.15</f>
        <v>293.14999999999998</v>
      </c>
      <c r="E199" s="6">
        <f>首页!$B$5+273.15</f>
        <v>1373.15</v>
      </c>
      <c r="F199" s="6">
        <f t="shared" si="27"/>
        <v>95</v>
      </c>
      <c r="G199" s="6">
        <f t="shared" si="28"/>
        <v>340.65</v>
      </c>
      <c r="H199" s="6">
        <f t="shared" si="29"/>
        <v>1.9926207055139041E-5</v>
      </c>
      <c r="I199" s="7">
        <f t="shared" si="30"/>
        <v>1158916576932337.8</v>
      </c>
      <c r="J199" s="6">
        <f t="shared" si="31"/>
        <v>1.0226038455893147</v>
      </c>
      <c r="K199" s="7">
        <f>J199*H199*首页!$B$12/P199</f>
        <v>0.69532757496605813</v>
      </c>
      <c r="L199" s="6">
        <f>首页!$B$9*0.0000000567*((C199^4-D199^4)/(C199-D199))</f>
        <v>7.7687338005019564</v>
      </c>
      <c r="M199" s="6">
        <f>IF(首页!$B$13="自然对流",IF(首页!$B$14="立式圆筒",首页!$B$10,PI()*B199/2),PI()*B199/2)</f>
        <v>55.2</v>
      </c>
      <c r="N199" s="7">
        <f>IF(首页!$B$13="强制对流",首页!$B$11*M199/H199,0)</f>
        <v>0</v>
      </c>
      <c r="O199" s="6">
        <f>IF(首页!$B$13="自然对流",IF(首页!$B$14="立式圆筒",(0.825+0.3063*I199^(1/6))^2+0.87*(M199/B199),(0.752+0.303*I199^(1/6))^2),0.3+SQRT((0.592*N199^0.5)^2+(0.0262*N199^0.8/(1-0.5/N199^0.1))^2))</f>
        <v>10113.742936005767</v>
      </c>
      <c r="P199" s="6">
        <f t="shared" si="32"/>
        <v>2.9510194925512497E-2</v>
      </c>
      <c r="Q199" s="6">
        <f t="shared" si="33"/>
        <v>5.4068573454357836</v>
      </c>
      <c r="R199" s="6">
        <f t="shared" si="34"/>
        <v>13.175591145937741</v>
      </c>
      <c r="S199" s="6">
        <f>B199*LN(B199/首页!$B$4)</f>
        <v>0.73303877003658946</v>
      </c>
      <c r="T199" s="6">
        <f>2*首页!$B$8*(E199-C199)/(R199*(C199-D199))</f>
        <v>7.0824745880533085E-2</v>
      </c>
      <c r="U199" t="str">
        <f>IF(首页!$B$13="自然对流","按自然对流公式", "按强制对流公式")</f>
        <v>按自然对流公式</v>
      </c>
      <c r="V199" s="6">
        <f t="shared" si="35"/>
        <v>0.66221402415605635</v>
      </c>
    </row>
    <row r="200" spans="1:22" x14ac:dyDescent="0.15">
      <c r="A200">
        <v>195</v>
      </c>
      <c r="B200" s="6">
        <f>首页!$B$4+2*A200/1000</f>
        <v>0.51</v>
      </c>
      <c r="C200" s="6">
        <f>首页!$B$7+273.15</f>
        <v>388.15</v>
      </c>
      <c r="D200" s="6">
        <f>首页!$B$6+273.15</f>
        <v>293.14999999999998</v>
      </c>
      <c r="E200" s="6">
        <f>首页!$B$5+273.15</f>
        <v>1373.15</v>
      </c>
      <c r="F200" s="6">
        <f t="shared" si="27"/>
        <v>95</v>
      </c>
      <c r="G200" s="6">
        <f t="shared" si="28"/>
        <v>340.65</v>
      </c>
      <c r="H200" s="6">
        <f t="shared" si="29"/>
        <v>1.9926207055139041E-5</v>
      </c>
      <c r="I200" s="7">
        <f t="shared" si="30"/>
        <v>1158916576932337.8</v>
      </c>
      <c r="J200" s="6">
        <f t="shared" si="31"/>
        <v>1.0226038455893147</v>
      </c>
      <c r="K200" s="7">
        <f>J200*H200*首页!$B$12/P200</f>
        <v>0.69532757496605813</v>
      </c>
      <c r="L200" s="6">
        <f>首页!$B$9*0.0000000567*((C200^4-D200^4)/(C200-D200))</f>
        <v>7.7687338005019564</v>
      </c>
      <c r="M200" s="6">
        <f>IF(首页!$B$13="自然对流",IF(首页!$B$14="立式圆筒",首页!$B$10,PI()*B200/2),PI()*B200/2)</f>
        <v>55.2</v>
      </c>
      <c r="N200" s="7">
        <f>IF(首页!$B$13="强制对流",首页!$B$11*M200/H200,0)</f>
        <v>0</v>
      </c>
      <c r="O200" s="6">
        <f>IF(首页!$B$13="自然对流",IF(首页!$B$14="立式圆筒",(0.825+0.3063*I200^(1/6))^2+0.87*(M200/B200),(0.752+0.303*I200^(1/6))^2),0.3+SQRT((0.592*N200^0.5)^2+(0.0262*N200^0.8/(1-0.5/N200^0.1))^2))</f>
        <v>10113.372208817253</v>
      </c>
      <c r="P200" s="6">
        <f t="shared" si="32"/>
        <v>2.9510194925512497E-2</v>
      </c>
      <c r="Q200" s="6">
        <f t="shared" si="33"/>
        <v>5.4066591528343837</v>
      </c>
      <c r="R200" s="6">
        <f t="shared" si="34"/>
        <v>13.17539295333634</v>
      </c>
      <c r="S200" s="6">
        <f>B200*LN(B200/首页!$B$4)</f>
        <v>0.73792868129752598</v>
      </c>
      <c r="T200" s="6">
        <f>2*首页!$B$8*(E200-C200)/(R200*(C200-D200))</f>
        <v>7.0825811271195763E-2</v>
      </c>
      <c r="U200" t="str">
        <f>IF(首页!$B$13="自然对流","按自然对流公式", "按强制对流公式")</f>
        <v>按自然对流公式</v>
      </c>
      <c r="V200" s="6">
        <f t="shared" si="35"/>
        <v>0.66710287002633017</v>
      </c>
    </row>
    <row r="201" spans="1:22" x14ac:dyDescent="0.15">
      <c r="A201">
        <v>196</v>
      </c>
      <c r="B201" s="6">
        <f>首页!$B$4+2*A201/1000</f>
        <v>0.51200000000000001</v>
      </c>
      <c r="C201" s="6">
        <f>首页!$B$7+273.15</f>
        <v>388.15</v>
      </c>
      <c r="D201" s="6">
        <f>首页!$B$6+273.15</f>
        <v>293.14999999999998</v>
      </c>
      <c r="E201" s="6">
        <f>首页!$B$5+273.15</f>
        <v>1373.15</v>
      </c>
      <c r="F201" s="6">
        <f t="shared" si="27"/>
        <v>95</v>
      </c>
      <c r="G201" s="6">
        <f t="shared" si="28"/>
        <v>340.65</v>
      </c>
      <c r="H201" s="6">
        <f t="shared" si="29"/>
        <v>1.9926207055139041E-5</v>
      </c>
      <c r="I201" s="7">
        <f t="shared" si="30"/>
        <v>1158916576932337.8</v>
      </c>
      <c r="J201" s="6">
        <f t="shared" si="31"/>
        <v>1.0226038455893147</v>
      </c>
      <c r="K201" s="7">
        <f>J201*H201*首页!$B$12/P201</f>
        <v>0.69532757496605813</v>
      </c>
      <c r="L201" s="6">
        <f>首页!$B$9*0.0000000567*((C201^4-D201^4)/(C201-D201))</f>
        <v>7.7687338005019564</v>
      </c>
      <c r="M201" s="6">
        <f>IF(首页!$B$13="自然对流",IF(首页!$B$14="立式圆筒",首页!$B$10,PI()*B201/2),PI()*B201/2)</f>
        <v>55.2</v>
      </c>
      <c r="N201" s="7">
        <f>IF(首页!$B$13="强制对流",首页!$B$11*M201/H201,0)</f>
        <v>0</v>
      </c>
      <c r="O201" s="6">
        <f>IF(首页!$B$13="自然对流",IF(首页!$B$14="立式圆筒",(0.825+0.3063*I201^(1/6))^2+0.87*(M201/B201),(0.752+0.303*I201^(1/6))^2),0.3+SQRT((0.592*N201^0.5)^2+(0.0262*N201^0.8/(1-0.5/N201^0.1))^2))</f>
        <v>10113.0043779349</v>
      </c>
      <c r="P201" s="6">
        <f t="shared" si="32"/>
        <v>2.9510194925512497E-2</v>
      </c>
      <c r="Q201" s="6">
        <f t="shared" si="33"/>
        <v>5.406462508612683</v>
      </c>
      <c r="R201" s="6">
        <f t="shared" si="34"/>
        <v>13.175196309114639</v>
      </c>
      <c r="S201" s="6">
        <f>B201*LN(B201/首页!$B$4)</f>
        <v>0.74282643571582052</v>
      </c>
      <c r="T201" s="6">
        <f>2*首页!$B$8*(E201-C201)/(R201*(C201-D201))</f>
        <v>7.0826868370172283E-2</v>
      </c>
      <c r="U201" t="str">
        <f>IF(首页!$B$13="自然对流","按自然对流公式", "按强制对流公式")</f>
        <v>按自然对流公式</v>
      </c>
      <c r="V201" s="6">
        <f t="shared" si="35"/>
        <v>0.67199956734564825</v>
      </c>
    </row>
    <row r="202" spans="1:22" x14ac:dyDescent="0.15">
      <c r="A202">
        <v>197</v>
      </c>
      <c r="B202" s="6">
        <f>首页!$B$4+2*A202/1000</f>
        <v>0.51400000000000001</v>
      </c>
      <c r="C202" s="6">
        <f>首页!$B$7+273.15</f>
        <v>388.15</v>
      </c>
      <c r="D202" s="6">
        <f>首页!$B$6+273.15</f>
        <v>293.14999999999998</v>
      </c>
      <c r="E202" s="6">
        <f>首页!$B$5+273.15</f>
        <v>1373.15</v>
      </c>
      <c r="F202" s="6">
        <f t="shared" si="27"/>
        <v>95</v>
      </c>
      <c r="G202" s="6">
        <f t="shared" si="28"/>
        <v>340.65</v>
      </c>
      <c r="H202" s="6">
        <f t="shared" si="29"/>
        <v>1.9926207055139041E-5</v>
      </c>
      <c r="I202" s="7">
        <f t="shared" si="30"/>
        <v>1158916576932337.8</v>
      </c>
      <c r="J202" s="6">
        <f t="shared" si="31"/>
        <v>1.0226038455893147</v>
      </c>
      <c r="K202" s="7">
        <f>J202*H202*首页!$B$12/P202</f>
        <v>0.69532757496605813</v>
      </c>
      <c r="L202" s="6">
        <f>首页!$B$9*0.0000000567*((C202^4-D202^4)/(C202-D202))</f>
        <v>7.7687338005019564</v>
      </c>
      <c r="M202" s="6">
        <f>IF(首页!$B$13="自然对流",IF(首页!$B$14="立式圆筒",首页!$B$10,PI()*B202/2),PI()*B202/2)</f>
        <v>55.2</v>
      </c>
      <c r="N202" s="7">
        <f>IF(首页!$B$13="强制对流",首页!$B$11*M202/H202,0)</f>
        <v>0</v>
      </c>
      <c r="O202" s="6">
        <f>IF(首页!$B$13="自然对流",IF(首页!$B$14="立式圆筒",(0.825+0.3063*I202^(1/6))^2+0.87*(M202/B202),(0.752+0.303*I202^(1/6))^2),0.3+SQRT((0.592*N202^0.5)^2+(0.0262*N202^0.8/(1-0.5/N202^0.1))^2))</f>
        <v>10112.639409549685</v>
      </c>
      <c r="P202" s="6">
        <f t="shared" si="32"/>
        <v>2.9510194925512497E-2</v>
      </c>
      <c r="Q202" s="6">
        <f t="shared" si="33"/>
        <v>5.4062673946962105</v>
      </c>
      <c r="R202" s="6">
        <f t="shared" si="34"/>
        <v>13.175001195198167</v>
      </c>
      <c r="S202" s="6">
        <f>B202*LN(B202/首页!$B$4)</f>
        <v>0.74773200265398321</v>
      </c>
      <c r="T202" s="6">
        <f>2*首页!$B$8*(E202-C202)/(R202*(C202-D202))</f>
        <v>7.0827917273885793E-2</v>
      </c>
      <c r="U202" t="str">
        <f>IF(首页!$B$13="自然对流","按自然对流公式", "按强制对流公式")</f>
        <v>按自然对流公式</v>
      </c>
      <c r="V202" s="6">
        <f t="shared" si="35"/>
        <v>0.67690408538009739</v>
      </c>
    </row>
    <row r="203" spans="1:22" x14ac:dyDescent="0.15">
      <c r="A203">
        <v>198</v>
      </c>
      <c r="B203" s="6">
        <f>首页!$B$4+2*A203/1000</f>
        <v>0.51600000000000001</v>
      </c>
      <c r="C203" s="6">
        <f>首页!$B$7+273.15</f>
        <v>388.15</v>
      </c>
      <c r="D203" s="6">
        <f>首页!$B$6+273.15</f>
        <v>293.14999999999998</v>
      </c>
      <c r="E203" s="6">
        <f>首页!$B$5+273.15</f>
        <v>1373.15</v>
      </c>
      <c r="F203" s="6">
        <f t="shared" si="27"/>
        <v>95</v>
      </c>
      <c r="G203" s="6">
        <f t="shared" si="28"/>
        <v>340.65</v>
      </c>
      <c r="H203" s="6">
        <f t="shared" si="29"/>
        <v>1.9926207055139041E-5</v>
      </c>
      <c r="I203" s="7">
        <f t="shared" si="30"/>
        <v>1158916576932337.8</v>
      </c>
      <c r="J203" s="6">
        <f t="shared" si="31"/>
        <v>1.0226038455893147</v>
      </c>
      <c r="K203" s="7">
        <f>J203*H203*首页!$B$12/P203</f>
        <v>0.69532757496605813</v>
      </c>
      <c r="L203" s="6">
        <f>首页!$B$9*0.0000000567*((C203^4-D203^4)/(C203-D203))</f>
        <v>7.7687338005019564</v>
      </c>
      <c r="M203" s="6">
        <f>IF(首页!$B$13="自然对流",IF(首页!$B$14="立式圆筒",首页!$B$10,PI()*B203/2),PI()*B203/2)</f>
        <v>55.2</v>
      </c>
      <c r="N203" s="7">
        <f>IF(首页!$B$13="强制对流",首页!$B$11*M203/H203,0)</f>
        <v>0</v>
      </c>
      <c r="O203" s="6">
        <f>IF(首页!$B$13="自然对流",IF(首页!$B$14="立式圆筒",(0.825+0.3063*I203^(1/6))^2+0.87*(M203/B203),(0.752+0.303*I203^(1/6))^2),0.3+SQRT((0.592*N203^0.5)^2+(0.0262*N203^0.8/(1-0.5/N203^0.1))^2))</f>
        <v>10112.27727037676</v>
      </c>
      <c r="P203" s="6">
        <f t="shared" si="32"/>
        <v>2.9510194925512497E-2</v>
      </c>
      <c r="Q203" s="6">
        <f t="shared" si="33"/>
        <v>5.4060737932907177</v>
      </c>
      <c r="R203" s="6">
        <f t="shared" si="34"/>
        <v>13.174807593792675</v>
      </c>
      <c r="S203" s="6">
        <f>B203*LN(B203/首页!$B$4)</f>
        <v>0.75264535171295077</v>
      </c>
      <c r="T203" s="6">
        <f>2*首页!$B$8*(E203-C203)/(R203*(C203-D203))</f>
        <v>7.0828958077270174E-2</v>
      </c>
      <c r="U203" t="str">
        <f>IF(首页!$B$13="自然对流","按自然对流公式", "按强制对流公式")</f>
        <v>按自然对流公式</v>
      </c>
      <c r="V203" s="6">
        <f t="shared" si="35"/>
        <v>0.68181639363568058</v>
      </c>
    </row>
    <row r="204" spans="1:22" x14ac:dyDescent="0.15">
      <c r="A204">
        <v>199</v>
      </c>
      <c r="B204" s="6">
        <f>首页!$B$4+2*A204/1000</f>
        <v>0.51800000000000002</v>
      </c>
      <c r="C204" s="6">
        <f>首页!$B$7+273.15</f>
        <v>388.15</v>
      </c>
      <c r="D204" s="6">
        <f>首页!$B$6+273.15</f>
        <v>293.14999999999998</v>
      </c>
      <c r="E204" s="6">
        <f>首页!$B$5+273.15</f>
        <v>1373.15</v>
      </c>
      <c r="F204" s="6">
        <f t="shared" si="27"/>
        <v>95</v>
      </c>
      <c r="G204" s="6">
        <f t="shared" si="28"/>
        <v>340.65</v>
      </c>
      <c r="H204" s="6">
        <f t="shared" si="29"/>
        <v>1.9926207055139041E-5</v>
      </c>
      <c r="I204" s="7">
        <f t="shared" si="30"/>
        <v>1158916576932337.8</v>
      </c>
      <c r="J204" s="6">
        <f t="shared" si="31"/>
        <v>1.0226038455893147</v>
      </c>
      <c r="K204" s="7">
        <f>J204*H204*首页!$B$12/P204</f>
        <v>0.69532757496605813</v>
      </c>
      <c r="L204" s="6">
        <f>首页!$B$9*0.0000000567*((C204^4-D204^4)/(C204-D204))</f>
        <v>7.7687338005019564</v>
      </c>
      <c r="M204" s="6">
        <f>IF(首页!$B$13="自然对流",IF(首页!$B$14="立式圆筒",首页!$B$10,PI()*B204/2),PI()*B204/2)</f>
        <v>55.2</v>
      </c>
      <c r="N204" s="7">
        <f>IF(首页!$B$13="强制对流",首页!$B$11*M204/H204,0)</f>
        <v>0</v>
      </c>
      <c r="O204" s="6">
        <f>IF(首页!$B$13="自然对流",IF(首页!$B$14="立式圆筒",(0.825+0.3063*I204^(1/6))^2+0.87*(M204/B204),(0.752+0.303*I204^(1/6))^2),0.3+SQRT((0.592*N204^0.5)^2+(0.0262*N204^0.8/(1-0.5/N204^0.1))^2))</f>
        <v>10111.917927645325</v>
      </c>
      <c r="P204" s="6">
        <f t="shared" si="32"/>
        <v>2.9510194925512497E-2</v>
      </c>
      <c r="Q204" s="6">
        <f t="shared" si="33"/>
        <v>5.4058816868767741</v>
      </c>
      <c r="R204" s="6">
        <f t="shared" si="34"/>
        <v>13.17461548737873</v>
      </c>
      <c r="S204" s="6">
        <f>B204*LN(B204/首页!$B$4)</f>
        <v>0.75756645272931245</v>
      </c>
      <c r="T204" s="6">
        <f>2*首页!$B$8*(E204-C204)/(R204*(C204-D204))</f>
        <v>7.0829990873798682E-2</v>
      </c>
      <c r="U204" t="str">
        <f>IF(首页!$B$13="自然对流","按自然对流公式", "按强制对流公式")</f>
        <v>按自然对流公式</v>
      </c>
      <c r="V204" s="6">
        <f t="shared" si="35"/>
        <v>0.68673646185551374</v>
      </c>
    </row>
    <row r="205" spans="1:22" x14ac:dyDescent="0.15">
      <c r="A205">
        <v>200</v>
      </c>
      <c r="B205" s="6">
        <f>首页!$B$4+2*A205/1000</f>
        <v>0.52</v>
      </c>
      <c r="C205" s="6">
        <f>首页!$B$7+273.15</f>
        <v>388.15</v>
      </c>
      <c r="D205" s="6">
        <f>首页!$B$6+273.15</f>
        <v>293.14999999999998</v>
      </c>
      <c r="E205" s="6">
        <f>首页!$B$5+273.15</f>
        <v>1373.15</v>
      </c>
      <c r="F205" s="6">
        <f t="shared" si="27"/>
        <v>95</v>
      </c>
      <c r="G205" s="6">
        <f t="shared" si="28"/>
        <v>340.65</v>
      </c>
      <c r="H205" s="6">
        <f t="shared" si="29"/>
        <v>1.9926207055139041E-5</v>
      </c>
      <c r="I205" s="7">
        <f t="shared" si="30"/>
        <v>1158916576932337.8</v>
      </c>
      <c r="J205" s="6">
        <f t="shared" si="31"/>
        <v>1.0226038455893147</v>
      </c>
      <c r="K205" s="7">
        <f>J205*H205*首页!$B$12/P205</f>
        <v>0.69532757496605813</v>
      </c>
      <c r="L205" s="6">
        <f>首页!$B$9*0.0000000567*((C205^4-D205^4)/(C205-D205))</f>
        <v>7.7687338005019564</v>
      </c>
      <c r="M205" s="6">
        <f>IF(首页!$B$13="自然对流",IF(首页!$B$14="立式圆筒",首页!$B$10,PI()*B205/2),PI()*B205/2)</f>
        <v>55.2</v>
      </c>
      <c r="N205" s="7">
        <f>IF(首页!$B$13="强制对流",首页!$B$11*M205/H205,0)</f>
        <v>0</v>
      </c>
      <c r="O205" s="6">
        <f>IF(首页!$B$13="自然对流",IF(首页!$B$14="立式圆筒",(0.825+0.3063*I205^(1/6))^2+0.87*(M205/B205),(0.752+0.303*I205^(1/6))^2),0.3+SQRT((0.592*N205^0.5)^2+(0.0262*N205^0.8/(1-0.5/N205^0.1))^2))</f>
        <v>10111.561349088746</v>
      </c>
      <c r="P205" s="6">
        <f t="shared" si="32"/>
        <v>2.9510194925512497E-2</v>
      </c>
      <c r="Q205" s="6">
        <f t="shared" si="33"/>
        <v>5.405691058204475</v>
      </c>
      <c r="R205" s="6">
        <f t="shared" si="34"/>
        <v>13.174424858706431</v>
      </c>
      <c r="S205" s="6">
        <f>B205*LN(B205/首页!$B$4)</f>
        <v>0.76249527577258214</v>
      </c>
      <c r="T205" s="6">
        <f>2*首页!$B$8*(E205-C205)/(R205*(C205-D205))</f>
        <v>7.0831015755511859E-2</v>
      </c>
      <c r="U205" t="str">
        <f>IF(首页!$B$13="自然对流","按自然对流公式", "按强制对流公式")</f>
        <v>按自然对流公式</v>
      </c>
      <c r="V205" s="6">
        <f t="shared" si="35"/>
        <v>0.69166426001707026</v>
      </c>
    </row>
    <row r="206" spans="1:22" x14ac:dyDescent="0.15">
      <c r="A206">
        <v>201</v>
      </c>
      <c r="B206" s="6">
        <f>首页!$B$4+2*A206/1000</f>
        <v>0.52200000000000002</v>
      </c>
      <c r="C206" s="6">
        <f>首页!$B$7+273.15</f>
        <v>388.15</v>
      </c>
      <c r="D206" s="6">
        <f>首页!$B$6+273.15</f>
        <v>293.14999999999998</v>
      </c>
      <c r="E206" s="6">
        <f>首页!$B$5+273.15</f>
        <v>1373.15</v>
      </c>
      <c r="F206" s="6">
        <f t="shared" si="27"/>
        <v>95</v>
      </c>
      <c r="G206" s="6">
        <f t="shared" si="28"/>
        <v>340.65</v>
      </c>
      <c r="H206" s="6">
        <f t="shared" si="29"/>
        <v>1.9926207055139041E-5</v>
      </c>
      <c r="I206" s="7">
        <f t="shared" si="30"/>
        <v>1158916576932337.8</v>
      </c>
      <c r="J206" s="6">
        <f t="shared" si="31"/>
        <v>1.0226038455893147</v>
      </c>
      <c r="K206" s="7">
        <f>J206*H206*首页!$B$12/P206</f>
        <v>0.69532757496605813</v>
      </c>
      <c r="L206" s="6">
        <f>首页!$B$9*0.0000000567*((C206^4-D206^4)/(C206-D206))</f>
        <v>7.7687338005019564</v>
      </c>
      <c r="M206" s="6">
        <f>IF(首页!$B$13="自然对流",IF(首页!$B$14="立式圆筒",首页!$B$10,PI()*B206/2),PI()*B206/2)</f>
        <v>55.2</v>
      </c>
      <c r="N206" s="7">
        <f>IF(首页!$B$13="强制对流",首页!$B$11*M206/H206,0)</f>
        <v>0</v>
      </c>
      <c r="O206" s="6">
        <f>IF(首页!$B$13="自然对流",IF(首页!$B$14="立式圆筒",(0.825+0.3063*I206^(1/6))^2+0.87*(M206/B206),(0.752+0.303*I206^(1/6))^2),0.3+SQRT((0.592*N206^0.5)^2+(0.0262*N206^0.8/(1-0.5/N206^0.1))^2))</f>
        <v>10111.2075029349</v>
      </c>
      <c r="P206" s="6">
        <f t="shared" si="32"/>
        <v>2.9510194925512497E-2</v>
      </c>
      <c r="Q206" s="6">
        <f t="shared" si="33"/>
        <v>5.405501890288285</v>
      </c>
      <c r="R206" s="6">
        <f t="shared" si="34"/>
        <v>13.17423569079024</v>
      </c>
      <c r="S206" s="6">
        <f>B206*LN(B206/首页!$B$4)</f>
        <v>0.76743179114250948</v>
      </c>
      <c r="T206" s="6">
        <f>2*首页!$B$8*(E206-C206)/(R206*(C206-D206))</f>
        <v>7.0832032813044954E-2</v>
      </c>
      <c r="U206" t="str">
        <f>IF(首页!$B$13="自然对流","按自然对流公式", "按强制对流公式")</f>
        <v>按自然对流公式</v>
      </c>
      <c r="V206" s="6">
        <f t="shared" si="35"/>
        <v>0.69659975832946452</v>
      </c>
    </row>
    <row r="207" spans="1:22" x14ac:dyDescent="0.15">
      <c r="A207">
        <v>202</v>
      </c>
      <c r="B207" s="6">
        <f>首页!$B$4+2*A207/1000</f>
        <v>0.52400000000000002</v>
      </c>
      <c r="C207" s="6">
        <f>首页!$B$7+273.15</f>
        <v>388.15</v>
      </c>
      <c r="D207" s="6">
        <f>首页!$B$6+273.15</f>
        <v>293.14999999999998</v>
      </c>
      <c r="E207" s="6">
        <f>首页!$B$5+273.15</f>
        <v>1373.15</v>
      </c>
      <c r="F207" s="6">
        <f t="shared" si="27"/>
        <v>95</v>
      </c>
      <c r="G207" s="6">
        <f t="shared" si="28"/>
        <v>340.65</v>
      </c>
      <c r="H207" s="6">
        <f t="shared" si="29"/>
        <v>1.9926207055139041E-5</v>
      </c>
      <c r="I207" s="7">
        <f t="shared" si="30"/>
        <v>1158916576932337.8</v>
      </c>
      <c r="J207" s="6">
        <f t="shared" si="31"/>
        <v>1.0226038455893147</v>
      </c>
      <c r="K207" s="7">
        <f>J207*H207*首页!$B$12/P207</f>
        <v>0.69532757496605813</v>
      </c>
      <c r="L207" s="6">
        <f>首页!$B$9*0.0000000567*((C207^4-D207^4)/(C207-D207))</f>
        <v>7.7687338005019564</v>
      </c>
      <c r="M207" s="6">
        <f>IF(首页!$B$13="自然对流",IF(首页!$B$14="立式圆筒",首页!$B$10,PI()*B207/2),PI()*B207/2)</f>
        <v>55.2</v>
      </c>
      <c r="N207" s="7">
        <f>IF(首页!$B$13="强制对流",首页!$B$11*M207/H207,0)</f>
        <v>0</v>
      </c>
      <c r="O207" s="6">
        <f>IF(首页!$B$13="自然对流",IF(首页!$B$14="立式圆筒",(0.825+0.3063*I207^(1/6))^2+0.87*(M207/B207),(0.752+0.303*I207^(1/6))^2),0.3+SQRT((0.592*N207^0.5)^2+(0.0262*N207^0.8/(1-0.5/N207^0.1))^2))</f>
        <v>10110.856357896731</v>
      </c>
      <c r="P207" s="6">
        <f t="shared" si="32"/>
        <v>2.9510194925512497E-2</v>
      </c>
      <c r="Q207" s="6">
        <f t="shared" si="33"/>
        <v>5.4053141664019906</v>
      </c>
      <c r="R207" s="6">
        <f t="shared" si="34"/>
        <v>13.174047966903947</v>
      </c>
      <c r="S207" s="6">
        <f>B207*LN(B207/首页!$B$4)</f>
        <v>0.77237596936643416</v>
      </c>
      <c r="T207" s="6">
        <f>2*首页!$B$8*(E207-C207)/(R207*(C207-D207))</f>
        <v>7.0833042135654598E-2</v>
      </c>
      <c r="U207" t="str">
        <f>IF(首页!$B$13="自然对流","按自然对流公式", "按强制对流公式")</f>
        <v>按自然对流公式</v>
      </c>
      <c r="V207" s="6">
        <f t="shared" si="35"/>
        <v>0.7015429272307796</v>
      </c>
    </row>
    <row r="208" spans="1:22" x14ac:dyDescent="0.15">
      <c r="A208">
        <v>203</v>
      </c>
      <c r="B208" s="6">
        <f>首页!$B$4+2*A208/1000</f>
        <v>0.52600000000000002</v>
      </c>
      <c r="C208" s="6">
        <f>首页!$B$7+273.15</f>
        <v>388.15</v>
      </c>
      <c r="D208" s="6">
        <f>首页!$B$6+273.15</f>
        <v>293.14999999999998</v>
      </c>
      <c r="E208" s="6">
        <f>首页!$B$5+273.15</f>
        <v>1373.15</v>
      </c>
      <c r="F208" s="6">
        <f t="shared" si="27"/>
        <v>95</v>
      </c>
      <c r="G208" s="6">
        <f t="shared" si="28"/>
        <v>340.65</v>
      </c>
      <c r="H208" s="6">
        <f t="shared" si="29"/>
        <v>1.9926207055139041E-5</v>
      </c>
      <c r="I208" s="7">
        <f t="shared" si="30"/>
        <v>1158916576932337.8</v>
      </c>
      <c r="J208" s="6">
        <f t="shared" si="31"/>
        <v>1.0226038455893147</v>
      </c>
      <c r="K208" s="7">
        <f>J208*H208*首页!$B$12/P208</f>
        <v>0.69532757496605813</v>
      </c>
      <c r="L208" s="6">
        <f>首页!$B$9*0.0000000567*((C208^4-D208^4)/(C208-D208))</f>
        <v>7.7687338005019564</v>
      </c>
      <c r="M208" s="6">
        <f>IF(首页!$B$13="自然对流",IF(首页!$B$14="立式圆筒",首页!$B$10,PI()*B208/2),PI()*B208/2)</f>
        <v>55.2</v>
      </c>
      <c r="N208" s="7">
        <f>IF(首页!$B$13="强制对流",首页!$B$11*M208/H208,0)</f>
        <v>0</v>
      </c>
      <c r="O208" s="6">
        <f>IF(首页!$B$13="自然对流",IF(首页!$B$14="立式圆筒",(0.825+0.3063*I208^(1/6))^2+0.87*(M208/B208),(0.752+0.303*I208^(1/6))^2),0.3+SQRT((0.592*N208^0.5)^2+(0.0262*N208^0.8/(1-0.5/N208^0.1))^2))</f>
        <v>10110.507883163036</v>
      </c>
      <c r="P208" s="6">
        <f t="shared" si="32"/>
        <v>2.9510194925512497E-2</v>
      </c>
      <c r="Q208" s="6">
        <f t="shared" si="33"/>
        <v>5.405127870073767</v>
      </c>
      <c r="R208" s="6">
        <f t="shared" si="34"/>
        <v>13.173861670575723</v>
      </c>
      <c r="S208" s="6">
        <f>B208*LN(B208/首页!$B$4)</f>
        <v>0.77732778119667922</v>
      </c>
      <c r="T208" s="6">
        <f>2*首页!$B$8*(E208-C208)/(R208*(C208-D208))</f>
        <v>7.0834043811245015E-2</v>
      </c>
      <c r="U208" t="str">
        <f>IF(首页!$B$13="自然对流","按自然对流公式", "按强制对流公式")</f>
        <v>按自然对流公式</v>
      </c>
      <c r="V208" s="6">
        <f t="shared" si="35"/>
        <v>0.7064937373854342</v>
      </c>
    </row>
    <row r="209" spans="1:22" x14ac:dyDescent="0.15">
      <c r="A209">
        <v>204</v>
      </c>
      <c r="B209" s="6">
        <f>首页!$B$4+2*A209/1000</f>
        <v>0.52800000000000002</v>
      </c>
      <c r="C209" s="6">
        <f>首页!$B$7+273.15</f>
        <v>388.15</v>
      </c>
      <c r="D209" s="6">
        <f>首页!$B$6+273.15</f>
        <v>293.14999999999998</v>
      </c>
      <c r="E209" s="6">
        <f>首页!$B$5+273.15</f>
        <v>1373.15</v>
      </c>
      <c r="F209" s="6">
        <f t="shared" si="27"/>
        <v>95</v>
      </c>
      <c r="G209" s="6">
        <f t="shared" si="28"/>
        <v>340.65</v>
      </c>
      <c r="H209" s="6">
        <f t="shared" si="29"/>
        <v>1.9926207055139041E-5</v>
      </c>
      <c r="I209" s="7">
        <f t="shared" si="30"/>
        <v>1158916576932337.8</v>
      </c>
      <c r="J209" s="6">
        <f t="shared" si="31"/>
        <v>1.0226038455893147</v>
      </c>
      <c r="K209" s="7">
        <f>J209*H209*首页!$B$12/P209</f>
        <v>0.69532757496605813</v>
      </c>
      <c r="L209" s="6">
        <f>首页!$B$9*0.0000000567*((C209^4-D209^4)/(C209-D209))</f>
        <v>7.7687338005019564</v>
      </c>
      <c r="M209" s="6">
        <f>IF(首页!$B$13="自然对流",IF(首页!$B$14="立式圆筒",首页!$B$10,PI()*B209/2),PI()*B209/2)</f>
        <v>55.2</v>
      </c>
      <c r="N209" s="7">
        <f>IF(首页!$B$13="强制对流",首页!$B$11*M209/H209,0)</f>
        <v>0</v>
      </c>
      <c r="O209" s="6">
        <f>IF(首页!$B$13="自然对流",IF(首页!$B$14="立式圆筒",(0.825+0.3063*I209^(1/6))^2+0.87*(M209/B209),(0.752+0.303*I209^(1/6))^2),0.3+SQRT((0.592*N209^0.5)^2+(0.0262*N209^0.8/(1-0.5/N209^0.1))^2))</f>
        <v>10110.162048389446</v>
      </c>
      <c r="P209" s="6">
        <f t="shared" si="32"/>
        <v>2.9510194925512497E-2</v>
      </c>
      <c r="Q209" s="6">
        <f t="shared" si="33"/>
        <v>5.4049429850813633</v>
      </c>
      <c r="R209" s="6">
        <f t="shared" si="34"/>
        <v>13.17367678558332</v>
      </c>
      <c r="S209" s="6">
        <f>B209*LN(B209/首页!$B$4)</f>
        <v>0.78228719760798582</v>
      </c>
      <c r="T209" s="6">
        <f>2*首页!$B$8*(E209-C209)/(R209*(C209-D209))</f>
        <v>7.0835037926393354E-2</v>
      </c>
      <c r="U209" t="str">
        <f>IF(首页!$B$13="自然对流","按自然对流公式", "按强制对流公式")</f>
        <v>按自然对流公式</v>
      </c>
      <c r="V209" s="6">
        <f t="shared" si="35"/>
        <v>0.71145215968159248</v>
      </c>
    </row>
    <row r="210" spans="1:22" x14ac:dyDescent="0.15">
      <c r="A210">
        <v>205</v>
      </c>
      <c r="B210" s="6">
        <f>首页!$B$4+2*A210/1000</f>
        <v>0.53</v>
      </c>
      <c r="C210" s="6">
        <f>首页!$B$7+273.15</f>
        <v>388.15</v>
      </c>
      <c r="D210" s="6">
        <f>首页!$B$6+273.15</f>
        <v>293.14999999999998</v>
      </c>
      <c r="E210" s="6">
        <f>首页!$B$5+273.15</f>
        <v>1373.15</v>
      </c>
      <c r="F210" s="6">
        <f t="shared" si="27"/>
        <v>95</v>
      </c>
      <c r="G210" s="6">
        <f t="shared" si="28"/>
        <v>340.65</v>
      </c>
      <c r="H210" s="6">
        <f t="shared" si="29"/>
        <v>1.9926207055139041E-5</v>
      </c>
      <c r="I210" s="7">
        <f t="shared" si="30"/>
        <v>1158916576932337.8</v>
      </c>
      <c r="J210" s="6">
        <f t="shared" si="31"/>
        <v>1.0226038455893147</v>
      </c>
      <c r="K210" s="7">
        <f>J210*H210*首页!$B$12/P210</f>
        <v>0.69532757496605813</v>
      </c>
      <c r="L210" s="6">
        <f>首页!$B$9*0.0000000567*((C210^4-D210^4)/(C210-D210))</f>
        <v>7.7687338005019564</v>
      </c>
      <c r="M210" s="6">
        <f>IF(首页!$B$13="自然对流",IF(首页!$B$14="立式圆筒",首页!$B$10,PI()*B210/2),PI()*B210/2)</f>
        <v>55.2</v>
      </c>
      <c r="N210" s="7">
        <f>IF(首页!$B$13="强制对流",首页!$B$11*M210/H210,0)</f>
        <v>0</v>
      </c>
      <c r="O210" s="6">
        <f>IF(首页!$B$13="自然对流",IF(首页!$B$14="立式圆筒",(0.825+0.3063*I210^(1/6))^2+0.87*(M210/B210),(0.752+0.303*I210^(1/6))^2),0.3+SQRT((0.592*N210^0.5)^2+(0.0262*N210^0.8/(1-0.5/N210^0.1))^2))</f>
        <v>10109.818823689617</v>
      </c>
      <c r="P210" s="6">
        <f t="shared" si="32"/>
        <v>2.9510194925512497E-2</v>
      </c>
      <c r="Q210" s="6">
        <f t="shared" si="33"/>
        <v>5.4047594954473919</v>
      </c>
      <c r="R210" s="6">
        <f t="shared" si="34"/>
        <v>13.173493295949349</v>
      </c>
      <c r="S210" s="6">
        <f>B210*LN(B210/首页!$B$4)</f>
        <v>0.78725418979498452</v>
      </c>
      <c r="T210" s="6">
        <f>2*首页!$B$8*(E210-C210)/(R210*(C210-D210))</f>
        <v>7.0836024566374819E-2</v>
      </c>
      <c r="U210" t="str">
        <f>IF(首页!$B$13="自然对流","按自然对流公式", "按强制对流公式")</f>
        <v>按自然对流公式</v>
      </c>
      <c r="V210" s="6">
        <f t="shared" si="35"/>
        <v>0.71641816522860968</v>
      </c>
    </row>
    <row r="211" spans="1:22" x14ac:dyDescent="0.15">
      <c r="A211">
        <v>206</v>
      </c>
      <c r="B211" s="6">
        <f>首页!$B$4+2*A211/1000</f>
        <v>0.53200000000000003</v>
      </c>
      <c r="C211" s="6">
        <f>首页!$B$7+273.15</f>
        <v>388.15</v>
      </c>
      <c r="D211" s="6">
        <f>首页!$B$6+273.15</f>
        <v>293.14999999999998</v>
      </c>
      <c r="E211" s="6">
        <f>首页!$B$5+273.15</f>
        <v>1373.15</v>
      </c>
      <c r="F211" s="6">
        <f t="shared" si="27"/>
        <v>95</v>
      </c>
      <c r="G211" s="6">
        <f t="shared" si="28"/>
        <v>340.65</v>
      </c>
      <c r="H211" s="6">
        <f t="shared" si="29"/>
        <v>1.9926207055139041E-5</v>
      </c>
      <c r="I211" s="7">
        <f t="shared" si="30"/>
        <v>1158916576932337.8</v>
      </c>
      <c r="J211" s="6">
        <f t="shared" si="31"/>
        <v>1.0226038455893147</v>
      </c>
      <c r="K211" s="7">
        <f>J211*H211*首页!$B$12/P211</f>
        <v>0.69532757496605813</v>
      </c>
      <c r="L211" s="6">
        <f>首页!$B$9*0.0000000567*((C211^4-D211^4)/(C211-D211))</f>
        <v>7.7687338005019564</v>
      </c>
      <c r="M211" s="6">
        <f>IF(首页!$B$13="自然对流",IF(首页!$B$14="立式圆筒",首页!$B$10,PI()*B211/2),PI()*B211/2)</f>
        <v>55.2</v>
      </c>
      <c r="N211" s="7">
        <f>IF(首页!$B$13="强制对流",首页!$B$11*M211/H211,0)</f>
        <v>0</v>
      </c>
      <c r="O211" s="6">
        <f>IF(首页!$B$13="自然对流",IF(首页!$B$14="立式圆筒",(0.825+0.3063*I211^(1/6))^2+0.87*(M211/B211),(0.752+0.303*I211^(1/6))^2),0.3+SQRT((0.592*N211^0.5)^2+(0.0262*N211^0.8/(1-0.5/N211^0.1))^2))</f>
        <v>10109.478179626629</v>
      </c>
      <c r="P211" s="6">
        <f t="shared" si="32"/>
        <v>2.9510194925512497E-2</v>
      </c>
      <c r="Q211" s="6">
        <f t="shared" si="33"/>
        <v>5.4045773854347292</v>
      </c>
      <c r="R211" s="6">
        <f t="shared" si="34"/>
        <v>13.173311185936686</v>
      </c>
      <c r="S211" s="6">
        <f>B211*LN(B211/首页!$B$4)</f>
        <v>0.79222872916970644</v>
      </c>
      <c r="T211" s="6">
        <f>2*首页!$B$8*(E211-C211)/(R211*(C211-D211))</f>
        <v>7.0837003815186969E-2</v>
      </c>
      <c r="U211" t="str">
        <f>IF(首页!$B$13="自然对流","按自然对流公式", "按强制对流公式")</f>
        <v>按自然对流公式</v>
      </c>
      <c r="V211" s="6">
        <f t="shared" si="35"/>
        <v>0.72139172535451945</v>
      </c>
    </row>
    <row r="212" spans="1:22" x14ac:dyDescent="0.15">
      <c r="A212">
        <v>207</v>
      </c>
      <c r="B212" s="6">
        <f>首页!$B$4+2*A212/1000</f>
        <v>0.53400000000000003</v>
      </c>
      <c r="C212" s="6">
        <f>首页!$B$7+273.15</f>
        <v>388.15</v>
      </c>
      <c r="D212" s="6">
        <f>首页!$B$6+273.15</f>
        <v>293.14999999999998</v>
      </c>
      <c r="E212" s="6">
        <f>首页!$B$5+273.15</f>
        <v>1373.15</v>
      </c>
      <c r="F212" s="6">
        <f t="shared" si="27"/>
        <v>95</v>
      </c>
      <c r="G212" s="6">
        <f t="shared" si="28"/>
        <v>340.65</v>
      </c>
      <c r="H212" s="6">
        <f t="shared" si="29"/>
        <v>1.9926207055139041E-5</v>
      </c>
      <c r="I212" s="7">
        <f t="shared" si="30"/>
        <v>1158916576932337.8</v>
      </c>
      <c r="J212" s="6">
        <f t="shared" si="31"/>
        <v>1.0226038455893147</v>
      </c>
      <c r="K212" s="7">
        <f>J212*H212*首页!$B$12/P212</f>
        <v>0.69532757496605813</v>
      </c>
      <c r="L212" s="6">
        <f>首页!$B$9*0.0000000567*((C212^4-D212^4)/(C212-D212))</f>
        <v>7.7687338005019564</v>
      </c>
      <c r="M212" s="6">
        <f>IF(首页!$B$13="自然对流",IF(首页!$B$14="立式圆筒",首页!$B$10,PI()*B212/2),PI()*B212/2)</f>
        <v>55.2</v>
      </c>
      <c r="N212" s="7">
        <f>IF(首页!$B$13="强制对流",首页!$B$11*M212/H212,0)</f>
        <v>0</v>
      </c>
      <c r="O212" s="6">
        <f>IF(首页!$B$13="自然对流",IF(首页!$B$14="立式圆筒",(0.825+0.3063*I212^(1/6))^2+0.87*(M212/B212),(0.752+0.303*I212^(1/6))^2),0.3+SQRT((0.592*N212^0.5)^2+(0.0262*N212^0.8/(1-0.5/N212^0.1))^2))</f>
        <v>10109.140087204563</v>
      </c>
      <c r="P212" s="6">
        <f t="shared" si="32"/>
        <v>2.9510194925512497E-2</v>
      </c>
      <c r="Q212" s="6">
        <f t="shared" si="33"/>
        <v>5.4043966395420115</v>
      </c>
      <c r="R212" s="6">
        <f t="shared" si="34"/>
        <v>13.173130440043968</v>
      </c>
      <c r="S212" s="6">
        <f>B212*LN(B212/首页!$B$4)</f>
        <v>0.79721078735913153</v>
      </c>
      <c r="T212" s="6">
        <f>2*首页!$B$8*(E212-C212)/(R212*(C212-D212))</f>
        <v>7.0837975755573518E-2</v>
      </c>
      <c r="U212" t="str">
        <f>IF(首页!$B$13="自然对流","按自然对流公式", "按强制对流公式")</f>
        <v>按自然对流公式</v>
      </c>
      <c r="V212" s="6">
        <f t="shared" si="35"/>
        <v>0.72637281160355804</v>
      </c>
    </row>
    <row r="213" spans="1:22" x14ac:dyDescent="0.15">
      <c r="A213">
        <v>208</v>
      </c>
      <c r="B213" s="6">
        <f>首页!$B$4+2*A213/1000</f>
        <v>0.53600000000000003</v>
      </c>
      <c r="C213" s="6">
        <f>首页!$B$7+273.15</f>
        <v>388.15</v>
      </c>
      <c r="D213" s="6">
        <f>首页!$B$6+273.15</f>
        <v>293.14999999999998</v>
      </c>
      <c r="E213" s="6">
        <f>首页!$B$5+273.15</f>
        <v>1373.15</v>
      </c>
      <c r="F213" s="6">
        <f t="shared" si="27"/>
        <v>95</v>
      </c>
      <c r="G213" s="6">
        <f t="shared" si="28"/>
        <v>340.65</v>
      </c>
      <c r="H213" s="6">
        <f t="shared" si="29"/>
        <v>1.9926207055139041E-5</v>
      </c>
      <c r="I213" s="7">
        <f t="shared" si="30"/>
        <v>1158916576932337.8</v>
      </c>
      <c r="J213" s="6">
        <f t="shared" si="31"/>
        <v>1.0226038455893147</v>
      </c>
      <c r="K213" s="7">
        <f>J213*H213*首页!$B$12/P213</f>
        <v>0.69532757496605813</v>
      </c>
      <c r="L213" s="6">
        <f>首页!$B$9*0.0000000567*((C213^4-D213^4)/(C213-D213))</f>
        <v>7.7687338005019564</v>
      </c>
      <c r="M213" s="6">
        <f>IF(首页!$B$13="自然对流",IF(首页!$B$14="立式圆筒",首页!$B$10,PI()*B213/2),PI()*B213/2)</f>
        <v>55.2</v>
      </c>
      <c r="N213" s="7">
        <f>IF(首页!$B$13="强制对流",首页!$B$11*M213/H213,0)</f>
        <v>0</v>
      </c>
      <c r="O213" s="6">
        <f>IF(首页!$B$13="自然对流",IF(首页!$B$14="立式圆筒",(0.825+0.3063*I213^(1/6))^2+0.87*(M213/B213),(0.752+0.303*I213^(1/6))^2),0.3+SQRT((0.592*N213^0.5)^2+(0.0262*N213^0.8/(1-0.5/N213^0.1))^2))</f>
        <v>10108.804517860273</v>
      </c>
      <c r="P213" s="6">
        <f t="shared" si="32"/>
        <v>2.9510194925512497E-2</v>
      </c>
      <c r="Q213" s="6">
        <f t="shared" si="33"/>
        <v>5.4042172424992394</v>
      </c>
      <c r="R213" s="6">
        <f t="shared" si="34"/>
        <v>13.172951043001195</v>
      </c>
      <c r="S213" s="6">
        <f>B213*LN(B213/首页!$B$4)</f>
        <v>0.80220033620277331</v>
      </c>
      <c r="T213" s="6">
        <f>2*首页!$B$8*(E213-C213)/(R213*(C213-D213))</f>
        <v>7.0838940469047762E-2</v>
      </c>
      <c r="U213" t="str">
        <f>IF(首页!$B$13="自然对流","按自然对流公式", "按强制对流公式")</f>
        <v>按自然对流公式</v>
      </c>
      <c r="V213" s="6">
        <f t="shared" si="35"/>
        <v>0.73136139573372549</v>
      </c>
    </row>
    <row r="214" spans="1:22" x14ac:dyDescent="0.15">
      <c r="A214">
        <v>209</v>
      </c>
      <c r="B214" s="6">
        <f>首页!$B$4+2*A214/1000</f>
        <v>0.53800000000000003</v>
      </c>
      <c r="C214" s="6">
        <f>首页!$B$7+273.15</f>
        <v>388.15</v>
      </c>
      <c r="D214" s="6">
        <f>首页!$B$6+273.15</f>
        <v>293.14999999999998</v>
      </c>
      <c r="E214" s="6">
        <f>首页!$B$5+273.15</f>
        <v>1373.15</v>
      </c>
      <c r="F214" s="6">
        <f t="shared" si="27"/>
        <v>95</v>
      </c>
      <c r="G214" s="6">
        <f t="shared" si="28"/>
        <v>340.65</v>
      </c>
      <c r="H214" s="6">
        <f t="shared" si="29"/>
        <v>1.9926207055139041E-5</v>
      </c>
      <c r="I214" s="7">
        <f t="shared" si="30"/>
        <v>1158916576932337.8</v>
      </c>
      <c r="J214" s="6">
        <f t="shared" si="31"/>
        <v>1.0226038455893147</v>
      </c>
      <c r="K214" s="7">
        <f>J214*H214*首页!$B$12/P214</f>
        <v>0.69532757496605813</v>
      </c>
      <c r="L214" s="6">
        <f>首页!$B$9*0.0000000567*((C214^4-D214^4)/(C214-D214))</f>
        <v>7.7687338005019564</v>
      </c>
      <c r="M214" s="6">
        <f>IF(首页!$B$13="自然对流",IF(首页!$B$14="立式圆筒",首页!$B$10,PI()*B214/2),PI()*B214/2)</f>
        <v>55.2</v>
      </c>
      <c r="N214" s="7">
        <f>IF(首页!$B$13="强制对流",首页!$B$11*M214/H214,0)</f>
        <v>0</v>
      </c>
      <c r="O214" s="6">
        <f>IF(首页!$B$13="自然对流",IF(首页!$B$14="立式圆筒",(0.825+0.3063*I214^(1/6))^2+0.87*(M214/B214),(0.752+0.303*I214^(1/6))^2),0.3+SQRT((0.592*N214^0.5)^2+(0.0262*N214^0.8/(1-0.5/N214^0.1))^2))</f>
        <v>10108.471443455346</v>
      </c>
      <c r="P214" s="6">
        <f t="shared" si="32"/>
        <v>2.9510194925512497E-2</v>
      </c>
      <c r="Q214" s="6">
        <f t="shared" si="33"/>
        <v>5.404039179263477</v>
      </c>
      <c r="R214" s="6">
        <f t="shared" si="34"/>
        <v>13.172772979765433</v>
      </c>
      <c r="S214" s="6">
        <f>B214*LN(B214/首页!$B$4)</f>
        <v>0.80719734775029928</v>
      </c>
      <c r="T214" s="6">
        <f>2*首页!$B$8*(E214-C214)/(R214*(C214-D214))</f>
        <v>7.08398980359152E-2</v>
      </c>
      <c r="U214" t="str">
        <f>IF(首页!$B$13="自然对流","按自然对流公式", "按强制对流公式")</f>
        <v>按自然对流公式</v>
      </c>
      <c r="V214" s="6">
        <f t="shared" si="35"/>
        <v>0.7363574497143841</v>
      </c>
    </row>
    <row r="215" spans="1:22" x14ac:dyDescent="0.15">
      <c r="A215">
        <v>210</v>
      </c>
      <c r="B215" s="6">
        <f>首页!$B$4+2*A215/1000</f>
        <v>0.54</v>
      </c>
      <c r="C215" s="6">
        <f>首页!$B$7+273.15</f>
        <v>388.15</v>
      </c>
      <c r="D215" s="6">
        <f>首页!$B$6+273.15</f>
        <v>293.14999999999998</v>
      </c>
      <c r="E215" s="6">
        <f>首页!$B$5+273.15</f>
        <v>1373.15</v>
      </c>
      <c r="F215" s="6">
        <f t="shared" si="27"/>
        <v>95</v>
      </c>
      <c r="G215" s="6">
        <f t="shared" si="28"/>
        <v>340.65</v>
      </c>
      <c r="H215" s="6">
        <f t="shared" si="29"/>
        <v>1.9926207055139041E-5</v>
      </c>
      <c r="I215" s="7">
        <f t="shared" si="30"/>
        <v>1158916576932337.8</v>
      </c>
      <c r="J215" s="6">
        <f t="shared" si="31"/>
        <v>1.0226038455893147</v>
      </c>
      <c r="K215" s="7">
        <f>J215*H215*首页!$B$12/P215</f>
        <v>0.69532757496605813</v>
      </c>
      <c r="L215" s="6">
        <f>首页!$B$9*0.0000000567*((C215^4-D215^4)/(C215-D215))</f>
        <v>7.7687338005019564</v>
      </c>
      <c r="M215" s="6">
        <f>IF(首页!$B$13="自然对流",IF(首页!$B$14="立式圆筒",首页!$B$10,PI()*B215/2),PI()*B215/2)</f>
        <v>55.2</v>
      </c>
      <c r="N215" s="7">
        <f>IF(首页!$B$13="强制对流",首页!$B$11*M215/H215,0)</f>
        <v>0</v>
      </c>
      <c r="O215" s="6">
        <f>IF(首页!$B$13="自然对流",IF(首页!$B$14="立式圆筒",(0.825+0.3063*I215^(1/6))^2+0.87*(M215/B215),(0.752+0.303*I215^(1/6))^2),0.3+SQRT((0.592*N215^0.5)^2+(0.0262*N215^0.8/(1-0.5/N215^0.1))^2))</f>
        <v>10108.140836268232</v>
      </c>
      <c r="P215" s="6">
        <f t="shared" si="32"/>
        <v>2.9510194925512497E-2</v>
      </c>
      <c r="Q215" s="6">
        <f t="shared" si="33"/>
        <v>5.4038624350146458</v>
      </c>
      <c r="R215" s="6">
        <f t="shared" si="34"/>
        <v>13.172596235516602</v>
      </c>
      <c r="S215" s="6">
        <f>B215*LN(B215/首页!$B$4)</f>
        <v>0.81220179425918815</v>
      </c>
      <c r="T215" s="6">
        <f>2*首页!$B$8*(E215-C215)/(R215*(C215-D215))</f>
        <v>7.0840848535296028E-2</v>
      </c>
      <c r="U215" t="str">
        <f>IF(首页!$B$13="自然对流","按自然对流公式", "按强制对流公式")</f>
        <v>按自然对流公式</v>
      </c>
      <c r="V215" s="6">
        <f t="shared" si="35"/>
        <v>0.74136094572389211</v>
      </c>
    </row>
    <row r="216" spans="1:22" x14ac:dyDescent="0.15">
      <c r="A216">
        <v>211</v>
      </c>
      <c r="B216" s="6">
        <f>首页!$B$4+2*A216/1000</f>
        <v>0.54200000000000004</v>
      </c>
      <c r="C216" s="6">
        <f>首页!$B$7+273.15</f>
        <v>388.15</v>
      </c>
      <c r="D216" s="6">
        <f>首页!$B$6+273.15</f>
        <v>293.14999999999998</v>
      </c>
      <c r="E216" s="6">
        <f>首页!$B$5+273.15</f>
        <v>1373.15</v>
      </c>
      <c r="F216" s="6">
        <f t="shared" si="27"/>
        <v>95</v>
      </c>
      <c r="G216" s="6">
        <f t="shared" si="28"/>
        <v>340.65</v>
      </c>
      <c r="H216" s="6">
        <f t="shared" si="29"/>
        <v>1.9926207055139041E-5</v>
      </c>
      <c r="I216" s="7">
        <f t="shared" si="30"/>
        <v>1158916576932337.8</v>
      </c>
      <c r="J216" s="6">
        <f t="shared" si="31"/>
        <v>1.0226038455893147</v>
      </c>
      <c r="K216" s="7">
        <f>J216*H216*首页!$B$12/P216</f>
        <v>0.69532757496605813</v>
      </c>
      <c r="L216" s="6">
        <f>首页!$B$9*0.0000000567*((C216^4-D216^4)/(C216-D216))</f>
        <v>7.7687338005019564</v>
      </c>
      <c r="M216" s="6">
        <f>IF(首页!$B$13="自然对流",IF(首页!$B$14="立式圆筒",首页!$B$10,PI()*B216/2),PI()*B216/2)</f>
        <v>55.2</v>
      </c>
      <c r="N216" s="7">
        <f>IF(首页!$B$13="强制对流",首页!$B$11*M216/H216,0)</f>
        <v>0</v>
      </c>
      <c r="O216" s="6">
        <f>IF(首页!$B$13="自然对流",IF(首页!$B$14="立式圆筒",(0.825+0.3063*I216^(1/6))^2+0.87*(M216/B216),(0.752+0.303*I216^(1/6))^2),0.3+SQRT((0.592*N216^0.5)^2+(0.0262*N216^0.8/(1-0.5/N216^0.1))^2))</f>
        <v>10107.81266898656</v>
      </c>
      <c r="P216" s="6">
        <f t="shared" si="32"/>
        <v>2.9510194925512497E-2</v>
      </c>
      <c r="Q216" s="6">
        <f t="shared" si="33"/>
        <v>5.403686995151415</v>
      </c>
      <c r="R216" s="6">
        <f t="shared" si="34"/>
        <v>13.172420795653371</v>
      </c>
      <c r="S216" s="6">
        <f>B216*LN(B216/首页!$B$4)</f>
        <v>0.81721364819241948</v>
      </c>
      <c r="T216" s="6">
        <f>2*首页!$B$8*(E216-C216)/(R216*(C216-D216))</f>
        <v>7.084179204514672E-2</v>
      </c>
      <c r="U216" t="str">
        <f>IF(首页!$B$13="自然对流","按自然对流公式", "按强制对流公式")</f>
        <v>按自然对流公式</v>
      </c>
      <c r="V216" s="6">
        <f t="shared" si="35"/>
        <v>0.74637185614727275</v>
      </c>
    </row>
    <row r="217" spans="1:22" x14ac:dyDescent="0.15">
      <c r="A217">
        <v>212</v>
      </c>
      <c r="B217" s="6">
        <f>首页!$B$4+2*A217/1000</f>
        <v>0.54400000000000004</v>
      </c>
      <c r="C217" s="6">
        <f>首页!$B$7+273.15</f>
        <v>388.15</v>
      </c>
      <c r="D217" s="6">
        <f>首页!$B$6+273.15</f>
        <v>293.14999999999998</v>
      </c>
      <c r="E217" s="6">
        <f>首页!$B$5+273.15</f>
        <v>1373.15</v>
      </c>
      <c r="F217" s="6">
        <f t="shared" si="27"/>
        <v>95</v>
      </c>
      <c r="G217" s="6">
        <f t="shared" si="28"/>
        <v>340.65</v>
      </c>
      <c r="H217" s="6">
        <f t="shared" si="29"/>
        <v>1.9926207055139041E-5</v>
      </c>
      <c r="I217" s="7">
        <f t="shared" si="30"/>
        <v>1158916576932337.8</v>
      </c>
      <c r="J217" s="6">
        <f t="shared" si="31"/>
        <v>1.0226038455893147</v>
      </c>
      <c r="K217" s="7">
        <f>J217*H217*首页!$B$12/P217</f>
        <v>0.69532757496605813</v>
      </c>
      <c r="L217" s="6">
        <f>首页!$B$9*0.0000000567*((C217^4-D217^4)/(C217-D217))</f>
        <v>7.7687338005019564</v>
      </c>
      <c r="M217" s="6">
        <f>IF(首页!$B$13="自然对流",IF(首页!$B$14="立式圆筒",首页!$B$10,PI()*B217/2),PI()*B217/2)</f>
        <v>55.2</v>
      </c>
      <c r="N217" s="7">
        <f>IF(首页!$B$13="强制对流",首页!$B$11*M217/H217,0)</f>
        <v>0</v>
      </c>
      <c r="O217" s="6">
        <f>IF(首页!$B$13="自然对流",IF(首页!$B$14="立式圆筒",(0.825+0.3063*I217^(1/6))^2+0.87*(M217/B217),(0.752+0.303*I217^(1/6))^2),0.3+SQRT((0.592*N217^0.5)^2+(0.0262*N217^0.8/(1-0.5/N217^0.1))^2))</f>
        <v>10107.486914699606</v>
      </c>
      <c r="P217" s="6">
        <f t="shared" si="32"/>
        <v>2.9510194925512497E-2</v>
      </c>
      <c r="Q217" s="6">
        <f t="shared" si="33"/>
        <v>5.4035128452871781</v>
      </c>
      <c r="R217" s="6">
        <f t="shared" si="34"/>
        <v>13.172246645789134</v>
      </c>
      <c r="S217" s="6">
        <f>B217*LN(B217/首页!$B$4)</f>
        <v>0.82223288221619995</v>
      </c>
      <c r="T217" s="6">
        <f>2*首页!$B$8*(E217-C217)/(R217*(C217-D217))</f>
        <v>7.0842728642281499E-2</v>
      </c>
      <c r="U217" t="str">
        <f>IF(首页!$B$13="自然对流","按自然对流公式", "按强制对流公式")</f>
        <v>按自然对流公式</v>
      </c>
      <c r="V217" s="6">
        <f t="shared" si="35"/>
        <v>0.75139015357391847</v>
      </c>
    </row>
    <row r="218" spans="1:22" x14ac:dyDescent="0.15">
      <c r="A218">
        <v>213</v>
      </c>
      <c r="B218" s="6">
        <f>首页!$B$4+2*A218/1000</f>
        <v>0.54600000000000004</v>
      </c>
      <c r="C218" s="6">
        <f>首页!$B$7+273.15</f>
        <v>388.15</v>
      </c>
      <c r="D218" s="6">
        <f>首页!$B$6+273.15</f>
        <v>293.14999999999998</v>
      </c>
      <c r="E218" s="6">
        <f>首页!$B$5+273.15</f>
        <v>1373.15</v>
      </c>
      <c r="F218" s="6">
        <f t="shared" si="27"/>
        <v>95</v>
      </c>
      <c r="G218" s="6">
        <f t="shared" si="28"/>
        <v>340.65</v>
      </c>
      <c r="H218" s="6">
        <f t="shared" si="29"/>
        <v>1.9926207055139041E-5</v>
      </c>
      <c r="I218" s="7">
        <f t="shared" si="30"/>
        <v>1158916576932337.8</v>
      </c>
      <c r="J218" s="6">
        <f t="shared" si="31"/>
        <v>1.0226038455893147</v>
      </c>
      <c r="K218" s="7">
        <f>J218*H218*首页!$B$12/P218</f>
        <v>0.69532757496605813</v>
      </c>
      <c r="L218" s="6">
        <f>首页!$B$9*0.0000000567*((C218^4-D218^4)/(C218-D218))</f>
        <v>7.7687338005019564</v>
      </c>
      <c r="M218" s="6">
        <f>IF(首页!$B$13="自然对流",IF(首页!$B$14="立式圆筒",首页!$B$10,PI()*B218/2),PI()*B218/2)</f>
        <v>55.2</v>
      </c>
      <c r="N218" s="7">
        <f>IF(首页!$B$13="强制对流",首页!$B$11*M218/H218,0)</f>
        <v>0</v>
      </c>
      <c r="O218" s="6">
        <f>IF(首页!$B$13="自然对流",IF(首页!$B$14="立式圆筒",(0.825+0.3063*I218^(1/6))^2+0.87*(M218/B218),(0.752+0.303*I218^(1/6))^2),0.3+SQRT((0.592*N218^0.5)^2+(0.0262*N218^0.8/(1-0.5/N218^0.1))^2))</f>
        <v>10107.163546890944</v>
      </c>
      <c r="P218" s="6">
        <f t="shared" si="32"/>
        <v>2.9510194925512497E-2</v>
      </c>
      <c r="Q218" s="6">
        <f t="shared" si="33"/>
        <v>5.4033399712461234</v>
      </c>
      <c r="R218" s="6">
        <f t="shared" si="34"/>
        <v>13.17207377174808</v>
      </c>
      <c r="S218" s="6">
        <f>B218*LN(B218/首页!$B$4)</f>
        <v>0.82725946919772109</v>
      </c>
      <c r="T218" s="6">
        <f>2*首页!$B$8*(E218-C218)/(R218*(C218-D218))</f>
        <v>7.0843658402393067E-2</v>
      </c>
      <c r="U218" t="str">
        <f>IF(首页!$B$13="自然对流","按自然对流公式", "按强制对流公式")</f>
        <v>按自然对流公式</v>
      </c>
      <c r="V218" s="6">
        <f t="shared" si="35"/>
        <v>0.75641581079532805</v>
      </c>
    </row>
    <row r="219" spans="1:22" x14ac:dyDescent="0.15">
      <c r="A219">
        <v>214</v>
      </c>
      <c r="B219" s="6">
        <f>首页!$B$4+2*A219/1000</f>
        <v>0.54800000000000004</v>
      </c>
      <c r="C219" s="6">
        <f>首页!$B$7+273.15</f>
        <v>388.15</v>
      </c>
      <c r="D219" s="6">
        <f>首页!$B$6+273.15</f>
        <v>293.14999999999998</v>
      </c>
      <c r="E219" s="6">
        <f>首页!$B$5+273.15</f>
        <v>1373.15</v>
      </c>
      <c r="F219" s="6">
        <f t="shared" si="27"/>
        <v>95</v>
      </c>
      <c r="G219" s="6">
        <f t="shared" si="28"/>
        <v>340.65</v>
      </c>
      <c r="H219" s="6">
        <f t="shared" si="29"/>
        <v>1.9926207055139041E-5</v>
      </c>
      <c r="I219" s="7">
        <f t="shared" si="30"/>
        <v>1158916576932337.8</v>
      </c>
      <c r="J219" s="6">
        <f t="shared" si="31"/>
        <v>1.0226038455893147</v>
      </c>
      <c r="K219" s="7">
        <f>J219*H219*首页!$B$12/P219</f>
        <v>0.69532757496605813</v>
      </c>
      <c r="L219" s="6">
        <f>首页!$B$9*0.0000000567*((C219^4-D219^4)/(C219-D219))</f>
        <v>7.7687338005019564</v>
      </c>
      <c r="M219" s="6">
        <f>IF(首页!$B$13="自然对流",IF(首页!$B$14="立式圆筒",首页!$B$10,PI()*B219/2),PI()*B219/2)</f>
        <v>55.2</v>
      </c>
      <c r="N219" s="7">
        <f>IF(首页!$B$13="强制对流",首页!$B$11*M219/H219,0)</f>
        <v>0</v>
      </c>
      <c r="O219" s="6">
        <f>IF(首页!$B$13="自然对流",IF(首页!$B$14="立式圆筒",(0.825+0.3063*I219^(1/6))^2+0.87*(M219/B219),(0.752+0.303*I219^(1/6))^2),0.3+SQRT((0.592*N219^0.5)^2+(0.0262*N219^0.8/(1-0.5/N219^0.1))^2))</f>
        <v>10106.842539431251</v>
      </c>
      <c r="P219" s="6">
        <f t="shared" si="32"/>
        <v>2.9510194925512497E-2</v>
      </c>
      <c r="Q219" s="6">
        <f t="shared" si="33"/>
        <v>5.4031683590593822</v>
      </c>
      <c r="R219" s="6">
        <f t="shared" si="34"/>
        <v>13.171902159561338</v>
      </c>
      <c r="S219" s="6">
        <f>B219*LN(B219/首页!$B$4)</f>
        <v>0.83229338220295146</v>
      </c>
      <c r="T219" s="6">
        <f>2*首页!$B$8*(E219-C219)/(R219*(C219-D219))</f>
        <v>7.0844581400073117E-2</v>
      </c>
      <c r="U219" t="str">
        <f>IF(首页!$B$13="自然对流","按自然对流公式", "按强制对流公式")</f>
        <v>按自然对流公式</v>
      </c>
      <c r="V219" s="6">
        <f t="shared" si="35"/>
        <v>0.76144880080287836</v>
      </c>
    </row>
    <row r="220" spans="1:22" x14ac:dyDescent="0.15">
      <c r="A220">
        <v>215</v>
      </c>
      <c r="B220" s="6">
        <f>首页!$B$4+2*A220/1000</f>
        <v>0.55000000000000004</v>
      </c>
      <c r="C220" s="6">
        <f>首页!$B$7+273.15</f>
        <v>388.15</v>
      </c>
      <c r="D220" s="6">
        <f>首页!$B$6+273.15</f>
        <v>293.14999999999998</v>
      </c>
      <c r="E220" s="6">
        <f>首页!$B$5+273.15</f>
        <v>1373.15</v>
      </c>
      <c r="F220" s="6">
        <f t="shared" si="27"/>
        <v>95</v>
      </c>
      <c r="G220" s="6">
        <f t="shared" si="28"/>
        <v>340.65</v>
      </c>
      <c r="H220" s="6">
        <f t="shared" si="29"/>
        <v>1.9926207055139041E-5</v>
      </c>
      <c r="I220" s="7">
        <f t="shared" si="30"/>
        <v>1158916576932337.8</v>
      </c>
      <c r="J220" s="6">
        <f t="shared" si="31"/>
        <v>1.0226038455893147</v>
      </c>
      <c r="K220" s="7">
        <f>J220*H220*首页!$B$12/P220</f>
        <v>0.69532757496605813</v>
      </c>
      <c r="L220" s="6">
        <f>首页!$B$9*0.0000000567*((C220^4-D220^4)/(C220-D220))</f>
        <v>7.7687338005019564</v>
      </c>
      <c r="M220" s="6">
        <f>IF(首页!$B$13="自然对流",IF(首页!$B$14="立式圆筒",首页!$B$10,PI()*B220/2),PI()*B220/2)</f>
        <v>55.2</v>
      </c>
      <c r="N220" s="7">
        <f>IF(首页!$B$13="强制对流",首页!$B$11*M220/H220,0)</f>
        <v>0</v>
      </c>
      <c r="O220" s="6">
        <f>IF(首页!$B$13="自然对流",IF(首页!$B$14="立式圆筒",(0.825+0.3063*I220^(1/6))^2+0.87*(M220/B220),(0.752+0.303*I220^(1/6))^2),0.3+SQRT((0.592*N220^0.5)^2+(0.0262*N220^0.8/(1-0.5/N220^0.1))^2))</f>
        <v>10106.523866571264</v>
      </c>
      <c r="P220" s="6">
        <f t="shared" si="32"/>
        <v>2.9510194925512497E-2</v>
      </c>
      <c r="Q220" s="6">
        <f t="shared" si="33"/>
        <v>5.4029979949612725</v>
      </c>
      <c r="R220" s="6">
        <f t="shared" si="34"/>
        <v>13.171731795463229</v>
      </c>
      <c r="S220" s="6">
        <f>B220*LN(B220/首页!$B$4)</f>
        <v>0.83733459449445902</v>
      </c>
      <c r="T220" s="6">
        <f>2*首页!$B$8*(E220-C220)/(R220*(C220-D220))</f>
        <v>7.0845497708832181E-2</v>
      </c>
      <c r="U220" t="str">
        <f>IF(首页!$B$13="自然对流","按自然对流公式", "按强制对流公式")</f>
        <v>按自然对流公式</v>
      </c>
      <c r="V220" s="6">
        <f t="shared" si="35"/>
        <v>0.76648909678562682</v>
      </c>
    </row>
    <row r="221" spans="1:22" x14ac:dyDescent="0.15">
      <c r="A221">
        <v>216</v>
      </c>
      <c r="B221" s="6">
        <f>首页!$B$4+2*A221/1000</f>
        <v>0.55200000000000005</v>
      </c>
      <c r="C221" s="6">
        <f>首页!$B$7+273.15</f>
        <v>388.15</v>
      </c>
      <c r="D221" s="6">
        <f>首页!$B$6+273.15</f>
        <v>293.14999999999998</v>
      </c>
      <c r="E221" s="6">
        <f>首页!$B$5+273.15</f>
        <v>1373.15</v>
      </c>
      <c r="F221" s="6">
        <f t="shared" si="27"/>
        <v>95</v>
      </c>
      <c r="G221" s="6">
        <f t="shared" si="28"/>
        <v>340.65</v>
      </c>
      <c r="H221" s="6">
        <f t="shared" si="29"/>
        <v>1.9926207055139041E-5</v>
      </c>
      <c r="I221" s="7">
        <f t="shared" si="30"/>
        <v>1158916576932337.8</v>
      </c>
      <c r="J221" s="6">
        <f t="shared" si="31"/>
        <v>1.0226038455893147</v>
      </c>
      <c r="K221" s="7">
        <f>J221*H221*首页!$B$12/P221</f>
        <v>0.69532757496605813</v>
      </c>
      <c r="L221" s="6">
        <f>首页!$B$9*0.0000000567*((C221^4-D221^4)/(C221-D221))</f>
        <v>7.7687338005019564</v>
      </c>
      <c r="M221" s="6">
        <f>IF(首页!$B$13="自然对流",IF(首页!$B$14="立式圆筒",首页!$B$10,PI()*B221/2),PI()*B221/2)</f>
        <v>55.2</v>
      </c>
      <c r="N221" s="7">
        <f>IF(首页!$B$13="强制对流",首页!$B$11*M221/H221,0)</f>
        <v>0</v>
      </c>
      <c r="O221" s="6">
        <f>IF(首页!$B$13="自然对流",IF(首页!$B$14="立式圆筒",(0.825+0.3063*I221^(1/6))^2+0.87*(M221/B221),(0.752+0.303*I221^(1/6))^2),0.3+SQRT((0.592*N221^0.5)^2+(0.0262*N221^0.8/(1-0.5/N221^0.1))^2))</f>
        <v>10106.2075029349</v>
      </c>
      <c r="P221" s="6">
        <f t="shared" si="32"/>
        <v>2.9510194925512497E-2</v>
      </c>
      <c r="Q221" s="6">
        <f t="shared" si="33"/>
        <v>5.4028288653856116</v>
      </c>
      <c r="R221" s="6">
        <f t="shared" si="34"/>
        <v>13.171562665887567</v>
      </c>
      <c r="S221" s="6">
        <f>B221*LN(B221/首页!$B$4)</f>
        <v>0.84238307952926739</v>
      </c>
      <c r="T221" s="6">
        <f>2*首页!$B$8*(E221-C221)/(R221*(C221-D221))</f>
        <v>7.0846407401119194E-2</v>
      </c>
      <c r="U221" t="str">
        <f>IF(首页!$B$13="自然对流","按自然对流公式", "按强制对流公式")</f>
        <v>按自然对流公式</v>
      </c>
      <c r="V221" s="6">
        <f t="shared" si="35"/>
        <v>0.77153667212814825</v>
      </c>
    </row>
    <row r="222" spans="1:22" x14ac:dyDescent="0.15">
      <c r="A222">
        <v>217</v>
      </c>
      <c r="B222" s="6">
        <f>首页!$B$4+2*A222/1000</f>
        <v>0.55400000000000005</v>
      </c>
      <c r="C222" s="6">
        <f>首页!$B$7+273.15</f>
        <v>388.15</v>
      </c>
      <c r="D222" s="6">
        <f>首页!$B$6+273.15</f>
        <v>293.14999999999998</v>
      </c>
      <c r="E222" s="6">
        <f>首页!$B$5+273.15</f>
        <v>1373.15</v>
      </c>
      <c r="F222" s="6">
        <f t="shared" si="27"/>
        <v>95</v>
      </c>
      <c r="G222" s="6">
        <f t="shared" si="28"/>
        <v>340.65</v>
      </c>
      <c r="H222" s="6">
        <f t="shared" si="29"/>
        <v>1.9926207055139041E-5</v>
      </c>
      <c r="I222" s="7">
        <f t="shared" si="30"/>
        <v>1158916576932337.8</v>
      </c>
      <c r="J222" s="6">
        <f t="shared" si="31"/>
        <v>1.0226038455893147</v>
      </c>
      <c r="K222" s="7">
        <f>J222*H222*首页!$B$12/P222</f>
        <v>0.69532757496605813</v>
      </c>
      <c r="L222" s="6">
        <f>首页!$B$9*0.0000000567*((C222^4-D222^4)/(C222-D222))</f>
        <v>7.7687338005019564</v>
      </c>
      <c r="M222" s="6">
        <f>IF(首页!$B$13="自然对流",IF(首页!$B$14="立式圆筒",首页!$B$10,PI()*B222/2),PI()*B222/2)</f>
        <v>55.2</v>
      </c>
      <c r="N222" s="7">
        <f>IF(首页!$B$13="强制对流",首页!$B$11*M222/H222,0)</f>
        <v>0</v>
      </c>
      <c r="O222" s="6">
        <f>IF(首页!$B$13="自然对流",IF(首页!$B$14="立式圆筒",(0.825+0.3063*I222^(1/6))^2+0.87*(M222/B222),(0.752+0.303*I222^(1/6))^2),0.3+SQRT((0.592*N222^0.5)^2+(0.0262*N222^0.8/(1-0.5/N222^0.1))^2))</f>
        <v>10105.893423512518</v>
      </c>
      <c r="P222" s="6">
        <f t="shared" si="32"/>
        <v>2.9510194925512497E-2</v>
      </c>
      <c r="Q222" s="6">
        <f t="shared" si="33"/>
        <v>5.4026609569621229</v>
      </c>
      <c r="R222" s="6">
        <f t="shared" si="34"/>
        <v>13.171394757464078</v>
      </c>
      <c r="S222" s="6">
        <f>B222*LN(B222/首页!$B$4)</f>
        <v>0.84743881095674189</v>
      </c>
      <c r="T222" s="6">
        <f>2*首页!$B$8*(E222-C222)/(R222*(C222-D222))</f>
        <v>7.0847310548340536E-2</v>
      </c>
      <c r="U222" t="str">
        <f>IF(首页!$B$13="自然对流","按自然对流公式", "按强制对流公式")</f>
        <v>按自然对流公式</v>
      </c>
      <c r="V222" s="6">
        <f t="shared" si="35"/>
        <v>0.77659150040840141</v>
      </c>
    </row>
    <row r="223" spans="1:22" x14ac:dyDescent="0.15">
      <c r="A223">
        <v>218</v>
      </c>
      <c r="B223" s="6">
        <f>首页!$B$4+2*A223/1000</f>
        <v>0.55600000000000005</v>
      </c>
      <c r="C223" s="6">
        <f>首页!$B$7+273.15</f>
        <v>388.15</v>
      </c>
      <c r="D223" s="6">
        <f>首页!$B$6+273.15</f>
        <v>293.14999999999998</v>
      </c>
      <c r="E223" s="6">
        <f>首页!$B$5+273.15</f>
        <v>1373.15</v>
      </c>
      <c r="F223" s="6">
        <f t="shared" si="27"/>
        <v>95</v>
      </c>
      <c r="G223" s="6">
        <f t="shared" si="28"/>
        <v>340.65</v>
      </c>
      <c r="H223" s="6">
        <f t="shared" si="29"/>
        <v>1.9926207055139041E-5</v>
      </c>
      <c r="I223" s="7">
        <f t="shared" si="30"/>
        <v>1158916576932337.8</v>
      </c>
      <c r="J223" s="6">
        <f t="shared" si="31"/>
        <v>1.0226038455893147</v>
      </c>
      <c r="K223" s="7">
        <f>J223*H223*首页!$B$12/P223</f>
        <v>0.69532757496605813</v>
      </c>
      <c r="L223" s="6">
        <f>首页!$B$9*0.0000000567*((C223^4-D223^4)/(C223-D223))</f>
        <v>7.7687338005019564</v>
      </c>
      <c r="M223" s="6">
        <f>IF(首页!$B$13="自然对流",IF(首页!$B$14="立式圆筒",首页!$B$10,PI()*B223/2),PI()*B223/2)</f>
        <v>55.2</v>
      </c>
      <c r="N223" s="7">
        <f>IF(首页!$B$13="强制对流",首页!$B$11*M223/H223,0)</f>
        <v>0</v>
      </c>
      <c r="O223" s="6">
        <f>IF(首页!$B$13="自然对流",IF(首页!$B$14="立式圆筒",(0.825+0.3063*I223^(1/6))^2+0.87*(M223/B223),(0.752+0.303*I223^(1/6))^2),0.3+SQRT((0.592*N223^0.5)^2+(0.0262*N223^0.8/(1-0.5/N223^0.1))^2))</f>
        <v>10105.581603654324</v>
      </c>
      <c r="P223" s="6">
        <f t="shared" si="32"/>
        <v>2.9510194925512497E-2</v>
      </c>
      <c r="Q223" s="6">
        <f t="shared" si="33"/>
        <v>5.4024942565129033</v>
      </c>
      <c r="R223" s="6">
        <f t="shared" si="34"/>
        <v>13.17122805701486</v>
      </c>
      <c r="S223" s="6">
        <f>B223*LN(B223/首页!$B$4)</f>
        <v>0.85250176261650634</v>
      </c>
      <c r="T223" s="6">
        <f>2*首页!$B$8*(E223-C223)/(R223*(C223-D223))</f>
        <v>7.0848207220878853E-2</v>
      </c>
      <c r="U223" t="str">
        <f>IF(首页!$B$13="自然对流","按自然对流公式", "按强制对流公式")</f>
        <v>按自然对流公式</v>
      </c>
      <c r="V223" s="6">
        <f t="shared" si="35"/>
        <v>0.78165355539562753</v>
      </c>
    </row>
    <row r="224" spans="1:22" x14ac:dyDescent="0.15">
      <c r="A224">
        <v>219</v>
      </c>
      <c r="B224" s="6">
        <f>首页!$B$4+2*A224/1000</f>
        <v>0.55800000000000005</v>
      </c>
      <c r="C224" s="6">
        <f>首页!$B$7+273.15</f>
        <v>388.15</v>
      </c>
      <c r="D224" s="6">
        <f>首页!$B$6+273.15</f>
        <v>293.14999999999998</v>
      </c>
      <c r="E224" s="6">
        <f>首页!$B$5+273.15</f>
        <v>1373.15</v>
      </c>
      <c r="F224" s="6">
        <f t="shared" si="27"/>
        <v>95</v>
      </c>
      <c r="G224" s="6">
        <f t="shared" si="28"/>
        <v>340.65</v>
      </c>
      <c r="H224" s="6">
        <f t="shared" si="29"/>
        <v>1.9926207055139041E-5</v>
      </c>
      <c r="I224" s="7">
        <f t="shared" si="30"/>
        <v>1158916576932337.8</v>
      </c>
      <c r="J224" s="6">
        <f t="shared" si="31"/>
        <v>1.0226038455893147</v>
      </c>
      <c r="K224" s="7">
        <f>J224*H224*首页!$B$12/P224</f>
        <v>0.69532757496605813</v>
      </c>
      <c r="L224" s="6">
        <f>首页!$B$9*0.0000000567*((C224^4-D224^4)/(C224-D224))</f>
        <v>7.7687338005019564</v>
      </c>
      <c r="M224" s="6">
        <f>IF(首页!$B$13="自然对流",IF(首页!$B$14="立式圆筒",首页!$B$10,PI()*B224/2),PI()*B224/2)</f>
        <v>55.2</v>
      </c>
      <c r="N224" s="7">
        <f>IF(首页!$B$13="强制对流",首页!$B$11*M224/H224,0)</f>
        <v>0</v>
      </c>
      <c r="O224" s="6">
        <f>IF(首页!$B$13="自然对流",IF(首页!$B$14="立式圆筒",(0.825+0.3063*I224^(1/6))^2+0.87*(M224/B224),(0.752+0.303*I224^(1/6))^2),0.3+SQRT((0.592*N224^0.5)^2+(0.0262*N224^0.8/(1-0.5/N224^0.1))^2))</f>
        <v>10105.272019063932</v>
      </c>
      <c r="P224" s="6">
        <f t="shared" si="32"/>
        <v>2.9510194925512497E-2</v>
      </c>
      <c r="Q224" s="6">
        <f t="shared" si="33"/>
        <v>5.4023287510489828</v>
      </c>
      <c r="R224" s="6">
        <f t="shared" si="34"/>
        <v>13.171062551550939</v>
      </c>
      <c r="S224" s="6">
        <f>B224*LN(B224/首页!$B$4)</f>
        <v>0.85757190853638998</v>
      </c>
      <c r="T224" s="6">
        <f>2*首页!$B$8*(E224-C224)/(R224*(C224-D224))</f>
        <v>7.0849097488111121E-2</v>
      </c>
      <c r="U224" t="str">
        <f>IF(首页!$B$13="自然对流","按自然对流公式", "按强制对流公式")</f>
        <v>按自然对流公式</v>
      </c>
      <c r="V224" s="6">
        <f t="shared" si="35"/>
        <v>0.7867228110482789</v>
      </c>
    </row>
    <row r="225" spans="1:22" x14ac:dyDescent="0.15">
      <c r="A225">
        <v>220</v>
      </c>
      <c r="B225" s="6">
        <f>首页!$B$4+2*A225/1000</f>
        <v>0.56000000000000005</v>
      </c>
      <c r="C225" s="6">
        <f>首页!$B$7+273.15</f>
        <v>388.15</v>
      </c>
      <c r="D225" s="6">
        <f>首页!$B$6+273.15</f>
        <v>293.14999999999998</v>
      </c>
      <c r="E225" s="6">
        <f>首页!$B$5+273.15</f>
        <v>1373.15</v>
      </c>
      <c r="F225" s="6">
        <f t="shared" si="27"/>
        <v>95</v>
      </c>
      <c r="G225" s="6">
        <f t="shared" si="28"/>
        <v>340.65</v>
      </c>
      <c r="H225" s="6">
        <f t="shared" si="29"/>
        <v>1.9926207055139041E-5</v>
      </c>
      <c r="I225" s="7">
        <f t="shared" si="30"/>
        <v>1158916576932337.8</v>
      </c>
      <c r="J225" s="6">
        <f t="shared" si="31"/>
        <v>1.0226038455893147</v>
      </c>
      <c r="K225" s="7">
        <f>J225*H225*首页!$B$12/P225</f>
        <v>0.69532757496605813</v>
      </c>
      <c r="L225" s="6">
        <f>首页!$B$9*0.0000000567*((C225^4-D225^4)/(C225-D225))</f>
        <v>7.7687338005019564</v>
      </c>
      <c r="M225" s="6">
        <f>IF(首页!$B$13="自然对流",IF(首页!$B$14="立式圆筒",首页!$B$10,PI()*B225/2),PI()*B225/2)</f>
        <v>55.2</v>
      </c>
      <c r="N225" s="7">
        <f>IF(首页!$B$13="强制对流",首页!$B$11*M225/H225,0)</f>
        <v>0</v>
      </c>
      <c r="O225" s="6">
        <f>IF(首页!$B$13="自然对流",IF(首页!$B$14="立式圆筒",(0.825+0.3063*I225^(1/6))^2+0.87*(M225/B225),(0.752+0.303*I225^(1/6))^2),0.3+SQRT((0.592*N225^0.5)^2+(0.0262*N225^0.8/(1-0.5/N225^0.1))^2))</f>
        <v>10104.964645792043</v>
      </c>
      <c r="P225" s="6">
        <f t="shared" si="32"/>
        <v>2.9510194925512497E-2</v>
      </c>
      <c r="Q225" s="6">
        <f t="shared" si="33"/>
        <v>5.4021644277669472</v>
      </c>
      <c r="R225" s="6">
        <f t="shared" si="34"/>
        <v>13.170898228268904</v>
      </c>
      <c r="S225" s="6">
        <f>B225*LN(B225/首页!$B$4)</f>
        <v>0.86264922293040358</v>
      </c>
      <c r="T225" s="6">
        <f>2*首页!$B$8*(E225-C225)/(R225*(C225-D225))</f>
        <v>7.08499814184268E-2</v>
      </c>
      <c r="U225" t="str">
        <f>IF(首页!$B$13="自然对流","按自然对流公式", "按强制对流公式")</f>
        <v>按自然对流公式</v>
      </c>
      <c r="V225" s="6">
        <f t="shared" si="35"/>
        <v>0.79179924151197678</v>
      </c>
    </row>
    <row r="226" spans="1:22" x14ac:dyDescent="0.15">
      <c r="A226">
        <v>221</v>
      </c>
      <c r="B226" s="6">
        <f>首页!$B$4+2*A226/1000</f>
        <v>0.56200000000000006</v>
      </c>
      <c r="C226" s="6">
        <f>首页!$B$7+273.15</f>
        <v>388.15</v>
      </c>
      <c r="D226" s="6">
        <f>首页!$B$6+273.15</f>
        <v>293.14999999999998</v>
      </c>
      <c r="E226" s="6">
        <f>首页!$B$5+273.15</f>
        <v>1373.15</v>
      </c>
      <c r="F226" s="6">
        <f t="shared" si="27"/>
        <v>95</v>
      </c>
      <c r="G226" s="6">
        <f t="shared" si="28"/>
        <v>340.65</v>
      </c>
      <c r="H226" s="6">
        <f t="shared" si="29"/>
        <v>1.9926207055139041E-5</v>
      </c>
      <c r="I226" s="7">
        <f t="shared" si="30"/>
        <v>1158916576932337.8</v>
      </c>
      <c r="J226" s="6">
        <f t="shared" si="31"/>
        <v>1.0226038455893147</v>
      </c>
      <c r="K226" s="7">
        <f>J226*H226*首页!$B$12/P226</f>
        <v>0.69532757496605813</v>
      </c>
      <c r="L226" s="6">
        <f>首页!$B$9*0.0000000567*((C226^4-D226^4)/(C226-D226))</f>
        <v>7.7687338005019564</v>
      </c>
      <c r="M226" s="6">
        <f>IF(首页!$B$13="自然对流",IF(首页!$B$14="立式圆筒",首页!$B$10,PI()*B226/2),PI()*B226/2)</f>
        <v>55.2</v>
      </c>
      <c r="N226" s="7">
        <f>IF(首页!$B$13="强制对流",首页!$B$11*M226/H226,0)</f>
        <v>0</v>
      </c>
      <c r="O226" s="6">
        <f>IF(首页!$B$13="自然对流",IF(首页!$B$14="立式圆筒",(0.825+0.3063*I226^(1/6))^2+0.87*(M226/B226),(0.752+0.303*I226^(1/6))^2),0.3+SQRT((0.592*N226^0.5)^2+(0.0262*N226^0.8/(1-0.5/N226^0.1))^2))</f>
        <v>10104.659460230274</v>
      </c>
      <c r="P226" s="6">
        <f t="shared" si="32"/>
        <v>2.9510194925512497E-2</v>
      </c>
      <c r="Q226" s="6">
        <f t="shared" si="33"/>
        <v>5.402001274045638</v>
      </c>
      <c r="R226" s="6">
        <f t="shared" si="34"/>
        <v>13.170735074547594</v>
      </c>
      <c r="S226" s="6">
        <f>B226*LN(B226/首页!$B$4)</f>
        <v>0.86773368019674468</v>
      </c>
      <c r="T226" s="6">
        <f>2*首页!$B$8*(E226-C226)/(R226*(C226-D226))</f>
        <v>7.0850859079245085E-2</v>
      </c>
      <c r="U226" t="str">
        <f>IF(首页!$B$13="自然对流","按自然对流公式", "按强制对流公式")</f>
        <v>按自然对流公式</v>
      </c>
      <c r="V226" s="6">
        <f t="shared" si="35"/>
        <v>0.79688282111749964</v>
      </c>
    </row>
    <row r="227" spans="1:22" x14ac:dyDescent="0.15">
      <c r="A227">
        <v>222</v>
      </c>
      <c r="B227" s="6">
        <f>首页!$B$4+2*A227/1000</f>
        <v>0.56400000000000006</v>
      </c>
      <c r="C227" s="6">
        <f>首页!$B$7+273.15</f>
        <v>388.15</v>
      </c>
      <c r="D227" s="6">
        <f>首页!$B$6+273.15</f>
        <v>293.14999999999998</v>
      </c>
      <c r="E227" s="6">
        <f>首页!$B$5+273.15</f>
        <v>1373.15</v>
      </c>
      <c r="F227" s="6">
        <f t="shared" si="27"/>
        <v>95</v>
      </c>
      <c r="G227" s="6">
        <f t="shared" si="28"/>
        <v>340.65</v>
      </c>
      <c r="H227" s="6">
        <f t="shared" si="29"/>
        <v>1.9926207055139041E-5</v>
      </c>
      <c r="I227" s="7">
        <f t="shared" si="30"/>
        <v>1158916576932337.8</v>
      </c>
      <c r="J227" s="6">
        <f t="shared" si="31"/>
        <v>1.0226038455893147</v>
      </c>
      <c r="K227" s="7">
        <f>J227*H227*首页!$B$12/P227</f>
        <v>0.69532757496605813</v>
      </c>
      <c r="L227" s="6">
        <f>首页!$B$9*0.0000000567*((C227^4-D227^4)/(C227-D227))</f>
        <v>7.7687338005019564</v>
      </c>
      <c r="M227" s="6">
        <f>IF(首页!$B$13="自然对流",IF(首页!$B$14="立式圆筒",首页!$B$10,PI()*B227/2),PI()*B227/2)</f>
        <v>55.2</v>
      </c>
      <c r="N227" s="7">
        <f>IF(首页!$B$13="强制对流",首页!$B$11*M227/H227,0)</f>
        <v>0</v>
      </c>
      <c r="O227" s="6">
        <f>IF(首页!$B$13="自然对流",IF(首页!$B$14="立式圆筒",(0.825+0.3063*I227^(1/6))^2+0.87*(M227/B227),(0.752+0.303*I227^(1/6))^2),0.3+SQRT((0.592*N227^0.5)^2+(0.0262*N227^0.8/(1-0.5/N227^0.1))^2))</f>
        <v>10104.356439105113</v>
      </c>
      <c r="P227" s="6">
        <f t="shared" si="32"/>
        <v>2.9510194925512497E-2</v>
      </c>
      <c r="Q227" s="6">
        <f t="shared" si="33"/>
        <v>5.4018392774429209</v>
      </c>
      <c r="R227" s="6">
        <f t="shared" si="34"/>
        <v>13.170573077944876</v>
      </c>
      <c r="S227" s="6">
        <f>B227*LN(B227/首页!$B$4)</f>
        <v>0.87282525491583152</v>
      </c>
      <c r="T227" s="6">
        <f>2*首页!$B$8*(E227-C227)/(R227*(C227-D227))</f>
        <v>7.0851730537032268E-2</v>
      </c>
      <c r="U227" t="str">
        <f>IF(首页!$B$13="自然对流","按自然对流公式", "按强制对流公式")</f>
        <v>按自然对流公式</v>
      </c>
      <c r="V227" s="6">
        <f t="shared" si="35"/>
        <v>0.80197352437879921</v>
      </c>
    </row>
    <row r="228" spans="1:22" x14ac:dyDescent="0.15">
      <c r="A228">
        <v>223</v>
      </c>
      <c r="B228" s="6">
        <f>首页!$B$4+2*A228/1000</f>
        <v>0.56600000000000006</v>
      </c>
      <c r="C228" s="6">
        <f>首页!$B$7+273.15</f>
        <v>388.15</v>
      </c>
      <c r="D228" s="6">
        <f>首页!$B$6+273.15</f>
        <v>293.14999999999998</v>
      </c>
      <c r="E228" s="6">
        <f>首页!$B$5+273.15</f>
        <v>1373.15</v>
      </c>
      <c r="F228" s="6">
        <f t="shared" si="27"/>
        <v>95</v>
      </c>
      <c r="G228" s="6">
        <f t="shared" si="28"/>
        <v>340.65</v>
      </c>
      <c r="H228" s="6">
        <f t="shared" si="29"/>
        <v>1.9926207055139041E-5</v>
      </c>
      <c r="I228" s="7">
        <f t="shared" si="30"/>
        <v>1158916576932337.8</v>
      </c>
      <c r="J228" s="6">
        <f t="shared" si="31"/>
        <v>1.0226038455893147</v>
      </c>
      <c r="K228" s="7">
        <f>J228*H228*首页!$B$12/P228</f>
        <v>0.69532757496605813</v>
      </c>
      <c r="L228" s="6">
        <f>首页!$B$9*0.0000000567*((C228^4-D228^4)/(C228-D228))</f>
        <v>7.7687338005019564</v>
      </c>
      <c r="M228" s="6">
        <f>IF(首页!$B$13="自然对流",IF(首页!$B$14="立式圆筒",首页!$B$10,PI()*B228/2),PI()*B228/2)</f>
        <v>55.2</v>
      </c>
      <c r="N228" s="7">
        <f>IF(首页!$B$13="强制对流",首页!$B$11*M228/H228,0)</f>
        <v>0</v>
      </c>
      <c r="O228" s="6">
        <f>IF(首页!$B$13="自然对流",IF(首页!$B$14="立式圆筒",(0.825+0.3063*I228^(1/6))^2+0.87*(M228/B228),(0.752+0.303*I228^(1/6))^2),0.3+SQRT((0.592*N228^0.5)^2+(0.0262*N228^0.8/(1-0.5/N228^0.1))^2))</f>
        <v>10104.055559472003</v>
      </c>
      <c r="P228" s="6">
        <f t="shared" si="32"/>
        <v>2.9510194925512497E-2</v>
      </c>
      <c r="Q228" s="6">
        <f t="shared" si="33"/>
        <v>5.4016784256925181</v>
      </c>
      <c r="R228" s="6">
        <f t="shared" si="34"/>
        <v>13.170412226194475</v>
      </c>
      <c r="S228" s="6">
        <f>B228*LN(B228/首页!$B$4)</f>
        <v>0.87792392184836365</v>
      </c>
      <c r="T228" s="6">
        <f>2*首页!$B$8*(E228-C228)/(R228*(C228-D228))</f>
        <v>7.0852595857318401E-2</v>
      </c>
      <c r="U228" t="str">
        <f>IF(首页!$B$13="自然对流","按自然对流公式", "按强制对流公式")</f>
        <v>按自然对流公式</v>
      </c>
      <c r="V228" s="6">
        <f t="shared" si="35"/>
        <v>0.80707132599104525</v>
      </c>
    </row>
    <row r="229" spans="1:22" x14ac:dyDescent="0.15">
      <c r="A229">
        <v>224</v>
      </c>
      <c r="B229" s="6">
        <f>首页!$B$4+2*A229/1000</f>
        <v>0.56800000000000006</v>
      </c>
      <c r="C229" s="6">
        <f>首页!$B$7+273.15</f>
        <v>388.15</v>
      </c>
      <c r="D229" s="6">
        <f>首页!$B$6+273.15</f>
        <v>293.14999999999998</v>
      </c>
      <c r="E229" s="6">
        <f>首页!$B$5+273.15</f>
        <v>1373.15</v>
      </c>
      <c r="F229" s="6">
        <f t="shared" si="27"/>
        <v>95</v>
      </c>
      <c r="G229" s="6">
        <f t="shared" si="28"/>
        <v>340.65</v>
      </c>
      <c r="H229" s="6">
        <f t="shared" si="29"/>
        <v>1.9926207055139041E-5</v>
      </c>
      <c r="I229" s="7">
        <f t="shared" si="30"/>
        <v>1158916576932337.8</v>
      </c>
      <c r="J229" s="6">
        <f t="shared" si="31"/>
        <v>1.0226038455893147</v>
      </c>
      <c r="K229" s="7">
        <f>J229*H229*首页!$B$12/P229</f>
        <v>0.69532757496605813</v>
      </c>
      <c r="L229" s="6">
        <f>首页!$B$9*0.0000000567*((C229^4-D229^4)/(C229-D229))</f>
        <v>7.7687338005019564</v>
      </c>
      <c r="M229" s="6">
        <f>IF(首页!$B$13="自然对流",IF(首页!$B$14="立式圆筒",首页!$B$10,PI()*B229/2),PI()*B229/2)</f>
        <v>55.2</v>
      </c>
      <c r="N229" s="7">
        <f>IF(首页!$B$13="强制对流",首页!$B$11*M229/H229,0)</f>
        <v>0</v>
      </c>
      <c r="O229" s="6">
        <f>IF(首页!$B$13="自然对流",IF(首页!$B$14="立式圆筒",(0.825+0.3063*I229^(1/6))^2+0.87*(M229/B229),(0.752+0.303*I229^(1/6))^2),0.3+SQRT((0.592*N229^0.5)^2+(0.0262*N229^0.8/(1-0.5/N229^0.1))^2))</f>
        <v>10103.756798709548</v>
      </c>
      <c r="P229" s="6">
        <f t="shared" si="32"/>
        <v>2.9510194925512497E-2</v>
      </c>
      <c r="Q229" s="6">
        <f t="shared" si="33"/>
        <v>5.401518706700922</v>
      </c>
      <c r="R229" s="6">
        <f t="shared" si="34"/>
        <v>13.170252507202878</v>
      </c>
      <c r="S229" s="6">
        <f>B229*LN(B229/首页!$B$4)</f>
        <v>0.88302965593341209</v>
      </c>
      <c r="T229" s="6">
        <f>2*首页!$B$8*(E229-C229)/(R229*(C229-D229))</f>
        <v>7.0853455104713706E-2</v>
      </c>
      <c r="U229" t="str">
        <f>IF(首页!$B$13="自然对流","按自然对流公式", "按强制对流公式")</f>
        <v>按自然对流公式</v>
      </c>
      <c r="V229" s="6">
        <f t="shared" si="35"/>
        <v>0.81217620082869835</v>
      </c>
    </row>
    <row r="230" spans="1:22" x14ac:dyDescent="0.15">
      <c r="A230">
        <v>225</v>
      </c>
      <c r="B230" s="6">
        <f>首页!$B$4+2*A230/1000</f>
        <v>0.57000000000000006</v>
      </c>
      <c r="C230" s="6">
        <f>首页!$B$7+273.15</f>
        <v>388.15</v>
      </c>
      <c r="D230" s="6">
        <f>首页!$B$6+273.15</f>
        <v>293.14999999999998</v>
      </c>
      <c r="E230" s="6">
        <f>首页!$B$5+273.15</f>
        <v>1373.15</v>
      </c>
      <c r="F230" s="6">
        <f t="shared" si="27"/>
        <v>95</v>
      </c>
      <c r="G230" s="6">
        <f t="shared" si="28"/>
        <v>340.65</v>
      </c>
      <c r="H230" s="6">
        <f t="shared" si="29"/>
        <v>1.9926207055139041E-5</v>
      </c>
      <c r="I230" s="7">
        <f t="shared" si="30"/>
        <v>1158916576932337.8</v>
      </c>
      <c r="J230" s="6">
        <f t="shared" si="31"/>
        <v>1.0226038455893147</v>
      </c>
      <c r="K230" s="7">
        <f>J230*H230*首页!$B$12/P230</f>
        <v>0.69532757496605813</v>
      </c>
      <c r="L230" s="6">
        <f>首页!$B$9*0.0000000567*((C230^4-D230^4)/(C230-D230))</f>
        <v>7.7687338005019564</v>
      </c>
      <c r="M230" s="6">
        <f>IF(首页!$B$13="自然对流",IF(首页!$B$14="立式圆筒",首页!$B$10,PI()*B230/2),PI()*B230/2)</f>
        <v>55.2</v>
      </c>
      <c r="N230" s="7">
        <f>IF(首页!$B$13="强制对流",首页!$B$11*M230/H230,0)</f>
        <v>0</v>
      </c>
      <c r="O230" s="6">
        <f>IF(首页!$B$13="自然对流",IF(首页!$B$14="立式圆筒",(0.825+0.3063*I230^(1/6))^2+0.87*(M230/B230),(0.752+0.303*I230^(1/6))^2),0.3+SQRT((0.592*N230^0.5)^2+(0.0262*N230^0.8/(1-0.5/N230^0.1))^2))</f>
        <v>10103.460134513847</v>
      </c>
      <c r="P230" s="6">
        <f t="shared" si="32"/>
        <v>2.9510194925512497E-2</v>
      </c>
      <c r="Q230" s="6">
        <f t="shared" si="33"/>
        <v>5.4013601085443534</v>
      </c>
      <c r="R230" s="6">
        <f t="shared" si="34"/>
        <v>13.17009390904631</v>
      </c>
      <c r="S230" s="6">
        <f>B230*LN(B230/首页!$B$4)</f>
        <v>0.88814243228653367</v>
      </c>
      <c r="T230" s="6">
        <f>2*首页!$B$8*(E230-C230)/(R230*(C230-D230))</f>
        <v>7.0854308342924721E-2</v>
      </c>
      <c r="U230" t="str">
        <f>IF(首页!$B$13="自然对流","按自然对流公式", "按强制对流公式")</f>
        <v>按自然对流公式</v>
      </c>
      <c r="V230" s="6">
        <f t="shared" si="35"/>
        <v>0.81728812394360895</v>
      </c>
    </row>
    <row r="231" spans="1:22" x14ac:dyDescent="0.15">
      <c r="A231">
        <v>226</v>
      </c>
      <c r="B231" s="6">
        <f>首页!$B$4+2*A231/1000</f>
        <v>0.57200000000000006</v>
      </c>
      <c r="C231" s="6">
        <f>首页!$B$7+273.15</f>
        <v>388.15</v>
      </c>
      <c r="D231" s="6">
        <f>首页!$B$6+273.15</f>
        <v>293.14999999999998</v>
      </c>
      <c r="E231" s="6">
        <f>首页!$B$5+273.15</f>
        <v>1373.15</v>
      </c>
      <c r="F231" s="6">
        <f t="shared" si="27"/>
        <v>95</v>
      </c>
      <c r="G231" s="6">
        <f t="shared" si="28"/>
        <v>340.65</v>
      </c>
      <c r="H231" s="6">
        <f t="shared" si="29"/>
        <v>1.9926207055139041E-5</v>
      </c>
      <c r="I231" s="7">
        <f t="shared" si="30"/>
        <v>1158916576932337.8</v>
      </c>
      <c r="J231" s="6">
        <f t="shared" si="31"/>
        <v>1.0226038455893147</v>
      </c>
      <c r="K231" s="7">
        <f>J231*H231*首页!$B$12/P231</f>
        <v>0.69532757496605813</v>
      </c>
      <c r="L231" s="6">
        <f>首页!$B$9*0.0000000567*((C231^4-D231^4)/(C231-D231))</f>
        <v>7.7687338005019564</v>
      </c>
      <c r="M231" s="6">
        <f>IF(首页!$B$13="自然对流",IF(首页!$B$14="立式圆筒",首页!$B$10,PI()*B231/2),PI()*B231/2)</f>
        <v>55.2</v>
      </c>
      <c r="N231" s="7">
        <f>IF(首页!$B$13="强制对流",首页!$B$11*M231/H231,0)</f>
        <v>0</v>
      </c>
      <c r="O231" s="6">
        <f>IF(首页!$B$13="自然对流",IF(首页!$B$14="立式圆筒",(0.825+0.3063*I231^(1/6))^2+0.87*(M231/B231),(0.752+0.303*I231^(1/6))^2),0.3+SQRT((0.592*N231^0.5)^2+(0.0262*N231^0.8/(1-0.5/N231^0.1))^2))</f>
        <v>10103.165544892941</v>
      </c>
      <c r="P231" s="6">
        <f t="shared" si="32"/>
        <v>2.9510194925512497E-2</v>
      </c>
      <c r="Q231" s="6">
        <f t="shared" si="33"/>
        <v>5.4012026194658036</v>
      </c>
      <c r="R231" s="6">
        <f t="shared" si="34"/>
        <v>13.16993641996776</v>
      </c>
      <c r="S231" s="6">
        <f>B231*LN(B231/首页!$B$4)</f>
        <v>0.89326222619791429</v>
      </c>
      <c r="T231" s="6">
        <f>2*首页!$B$8*(E231-C231)/(R231*(C231-D231))</f>
        <v>7.0855155634770059E-2</v>
      </c>
      <c r="U231" t="str">
        <f>IF(首页!$B$13="自然对流","按自然对流公式", "按强制对流公式")</f>
        <v>按自然对流公式</v>
      </c>
      <c r="V231" s="6">
        <f t="shared" si="35"/>
        <v>0.82240707056314422</v>
      </c>
    </row>
    <row r="232" spans="1:22" x14ac:dyDescent="0.15">
      <c r="A232">
        <v>227</v>
      </c>
      <c r="B232" s="6">
        <f>首页!$B$4+2*A232/1000</f>
        <v>0.57400000000000007</v>
      </c>
      <c r="C232" s="6">
        <f>首页!$B$7+273.15</f>
        <v>388.15</v>
      </c>
      <c r="D232" s="6">
        <f>首页!$B$6+273.15</f>
        <v>293.14999999999998</v>
      </c>
      <c r="E232" s="6">
        <f>首页!$B$5+273.15</f>
        <v>1373.15</v>
      </c>
      <c r="F232" s="6">
        <f t="shared" si="27"/>
        <v>95</v>
      </c>
      <c r="G232" s="6">
        <f t="shared" si="28"/>
        <v>340.65</v>
      </c>
      <c r="H232" s="6">
        <f t="shared" si="29"/>
        <v>1.9926207055139041E-5</v>
      </c>
      <c r="I232" s="7">
        <f t="shared" si="30"/>
        <v>1158916576932337.8</v>
      </c>
      <c r="J232" s="6">
        <f t="shared" si="31"/>
        <v>1.0226038455893147</v>
      </c>
      <c r="K232" s="7">
        <f>J232*H232*首页!$B$12/P232</f>
        <v>0.69532757496605813</v>
      </c>
      <c r="L232" s="6">
        <f>首页!$B$9*0.0000000567*((C232^4-D232^4)/(C232-D232))</f>
        <v>7.7687338005019564</v>
      </c>
      <c r="M232" s="6">
        <f>IF(首页!$B$13="自然对流",IF(首页!$B$14="立式圆筒",首页!$B$10,PI()*B232/2),PI()*B232/2)</f>
        <v>55.2</v>
      </c>
      <c r="N232" s="7">
        <f>IF(首页!$B$13="强制对流",首页!$B$11*M232/H232,0)</f>
        <v>0</v>
      </c>
      <c r="O232" s="6">
        <f>IF(首页!$B$13="自然对流",IF(首页!$B$14="立式圆筒",(0.825+0.3063*I232^(1/6))^2+0.87*(M232/B232),(0.752+0.303*I232^(1/6))^2),0.3+SQRT((0.592*N232^0.5)^2+(0.0262*N232^0.8/(1-0.5/N232^0.1))^2))</f>
        <v>10102.873008161381</v>
      </c>
      <c r="P232" s="6">
        <f t="shared" si="32"/>
        <v>2.9510194925512497E-2</v>
      </c>
      <c r="Q232" s="6">
        <f t="shared" si="33"/>
        <v>5.4010462278721221</v>
      </c>
      <c r="R232" s="6">
        <f t="shared" si="34"/>
        <v>13.169780028374078</v>
      </c>
      <c r="S232" s="6">
        <f>B232*LN(B232/首页!$B$4)</f>
        <v>0.89838901313053687</v>
      </c>
      <c r="T232" s="6">
        <f>2*首页!$B$8*(E232-C232)/(R232*(C232-D232))</f>
        <v>7.0855997042195737E-2</v>
      </c>
      <c r="U232" t="str">
        <f>IF(首页!$B$13="自然对流","按自然对流公式", "按强制对流公式")</f>
        <v>按自然对流公式</v>
      </c>
      <c r="V232" s="6">
        <f t="shared" si="35"/>
        <v>0.82753301608834118</v>
      </c>
    </row>
    <row r="233" spans="1:22" x14ac:dyDescent="0.15">
      <c r="A233">
        <v>228</v>
      </c>
      <c r="B233" s="6">
        <f>首页!$B$4+2*A233/1000</f>
        <v>0.57600000000000007</v>
      </c>
      <c r="C233" s="6">
        <f>首页!$B$7+273.15</f>
        <v>388.15</v>
      </c>
      <c r="D233" s="6">
        <f>首页!$B$6+273.15</f>
        <v>293.14999999999998</v>
      </c>
      <c r="E233" s="6">
        <f>首页!$B$5+273.15</f>
        <v>1373.15</v>
      </c>
      <c r="F233" s="6">
        <f t="shared" si="27"/>
        <v>95</v>
      </c>
      <c r="G233" s="6">
        <f t="shared" si="28"/>
        <v>340.65</v>
      </c>
      <c r="H233" s="6">
        <f t="shared" si="29"/>
        <v>1.9926207055139041E-5</v>
      </c>
      <c r="I233" s="7">
        <f t="shared" si="30"/>
        <v>1158916576932337.8</v>
      </c>
      <c r="J233" s="6">
        <f t="shared" si="31"/>
        <v>1.0226038455893147</v>
      </c>
      <c r="K233" s="7">
        <f>J233*H233*首页!$B$12/P233</f>
        <v>0.69532757496605813</v>
      </c>
      <c r="L233" s="6">
        <f>首页!$B$9*0.0000000567*((C233^4-D233^4)/(C233-D233))</f>
        <v>7.7687338005019564</v>
      </c>
      <c r="M233" s="6">
        <f>IF(首页!$B$13="自然对流",IF(首页!$B$14="立式圆筒",首页!$B$10,PI()*B233/2),PI()*B233/2)</f>
        <v>55.2</v>
      </c>
      <c r="N233" s="7">
        <f>IF(首页!$B$13="强制对流",首页!$B$11*M233/H233,0)</f>
        <v>0</v>
      </c>
      <c r="O233" s="6">
        <f>IF(首页!$B$13="自然对流",IF(首页!$B$14="立式圆筒",(0.825+0.3063*I233^(1/6))^2+0.87*(M233/B233),(0.752+0.303*I233^(1/6))^2),0.3+SQRT((0.592*N233^0.5)^2+(0.0262*N233^0.8/(1-0.5/N233^0.1))^2))</f>
        <v>10102.5825029349</v>
      </c>
      <c r="P233" s="6">
        <f t="shared" si="32"/>
        <v>2.9510194925512497E-2</v>
      </c>
      <c r="Q233" s="6">
        <f t="shared" si="33"/>
        <v>5.4008909223311736</v>
      </c>
      <c r="R233" s="6">
        <f t="shared" si="34"/>
        <v>13.169624722833131</v>
      </c>
      <c r="S233" s="6">
        <f>B233*LN(B233/首页!$B$4)</f>
        <v>0.90352276871837511</v>
      </c>
      <c r="T233" s="6">
        <f>2*首页!$B$8*(E233-C233)/(R233*(C233-D233))</f>
        <v>7.085683262629032E-2</v>
      </c>
      <c r="U233" t="str">
        <f>IF(首页!$B$13="自然对流","按自然对流公式", "按强制对流公式")</f>
        <v>按自然对流公式</v>
      </c>
      <c r="V233" s="6">
        <f t="shared" si="35"/>
        <v>0.83266593609208484</v>
      </c>
    </row>
    <row r="234" spans="1:22" x14ac:dyDescent="0.15">
      <c r="A234">
        <v>229</v>
      </c>
      <c r="B234" s="6">
        <f>首页!$B$4+2*A234/1000</f>
        <v>0.57800000000000007</v>
      </c>
      <c r="C234" s="6">
        <f>首页!$B$7+273.15</f>
        <v>388.15</v>
      </c>
      <c r="D234" s="6">
        <f>首页!$B$6+273.15</f>
        <v>293.14999999999998</v>
      </c>
      <c r="E234" s="6">
        <f>首页!$B$5+273.15</f>
        <v>1373.15</v>
      </c>
      <c r="F234" s="6">
        <f t="shared" si="27"/>
        <v>95</v>
      </c>
      <c r="G234" s="6">
        <f t="shared" si="28"/>
        <v>340.65</v>
      </c>
      <c r="H234" s="6">
        <f t="shared" si="29"/>
        <v>1.9926207055139041E-5</v>
      </c>
      <c r="I234" s="7">
        <f t="shared" si="30"/>
        <v>1158916576932337.8</v>
      </c>
      <c r="J234" s="6">
        <f t="shared" si="31"/>
        <v>1.0226038455893147</v>
      </c>
      <c r="K234" s="7">
        <f>J234*H234*首页!$B$12/P234</f>
        <v>0.69532757496605813</v>
      </c>
      <c r="L234" s="6">
        <f>首页!$B$9*0.0000000567*((C234^4-D234^4)/(C234-D234))</f>
        <v>7.7687338005019564</v>
      </c>
      <c r="M234" s="6">
        <f>IF(首页!$B$13="自然对流",IF(首页!$B$14="立式圆筒",首页!$B$10,PI()*B234/2),PI()*B234/2)</f>
        <v>55.2</v>
      </c>
      <c r="N234" s="7">
        <f>IF(首页!$B$13="强制对流",首页!$B$11*M234/H234,0)</f>
        <v>0</v>
      </c>
      <c r="O234" s="6">
        <f>IF(首页!$B$13="自然对流",IF(首页!$B$14="立式圆筒",(0.825+0.3063*I234^(1/6))^2+0.87*(M234/B234),(0.752+0.303*I234^(1/6))^2),0.3+SQRT((0.592*N234^0.5)^2+(0.0262*N234^0.8/(1-0.5/N234^0.1))^2))</f>
        <v>10102.294008125211</v>
      </c>
      <c r="P234" s="6">
        <f t="shared" si="32"/>
        <v>2.9510194925512497E-2</v>
      </c>
      <c r="Q234" s="6">
        <f t="shared" si="33"/>
        <v>5.4007366915690564</v>
      </c>
      <c r="R234" s="6">
        <f t="shared" si="34"/>
        <v>13.169470492071014</v>
      </c>
      <c r="S234" s="6">
        <f>B234*LN(B234/首页!$B$4)</f>
        <v>0.90866346876461179</v>
      </c>
      <c r="T234" s="6">
        <f>2*首页!$B$8*(E234-C234)/(R234*(C234-D234))</f>
        <v>7.0857662447299727E-2</v>
      </c>
      <c r="U234" t="str">
        <f>IF(首页!$B$13="自然对流","按自然对流公式", "按强制对流公式")</f>
        <v>按自然对流公式</v>
      </c>
      <c r="V234" s="6">
        <f t="shared" si="35"/>
        <v>0.83780580631731205</v>
      </c>
    </row>
    <row r="235" spans="1:22" x14ac:dyDescent="0.15">
      <c r="A235">
        <v>230</v>
      </c>
      <c r="B235" s="6">
        <f>首页!$B$4+2*A235/1000</f>
        <v>0.58000000000000007</v>
      </c>
      <c r="C235" s="6">
        <f>首页!$B$7+273.15</f>
        <v>388.15</v>
      </c>
      <c r="D235" s="6">
        <f>首页!$B$6+273.15</f>
        <v>293.14999999999998</v>
      </c>
      <c r="E235" s="6">
        <f>首页!$B$5+273.15</f>
        <v>1373.15</v>
      </c>
      <c r="F235" s="6">
        <f t="shared" si="27"/>
        <v>95</v>
      </c>
      <c r="G235" s="6">
        <f t="shared" si="28"/>
        <v>340.65</v>
      </c>
      <c r="H235" s="6">
        <f t="shared" si="29"/>
        <v>1.9926207055139041E-5</v>
      </c>
      <c r="I235" s="7">
        <f t="shared" si="30"/>
        <v>1158916576932337.8</v>
      </c>
      <c r="J235" s="6">
        <f t="shared" si="31"/>
        <v>1.0226038455893147</v>
      </c>
      <c r="K235" s="7">
        <f>J235*H235*首页!$B$12/P235</f>
        <v>0.69532757496605813</v>
      </c>
      <c r="L235" s="6">
        <f>首页!$B$9*0.0000000567*((C235^4-D235^4)/(C235-D235))</f>
        <v>7.7687338005019564</v>
      </c>
      <c r="M235" s="6">
        <f>IF(首页!$B$13="自然对流",IF(首页!$B$14="立式圆筒",首页!$B$10,PI()*B235/2),PI()*B235/2)</f>
        <v>55.2</v>
      </c>
      <c r="N235" s="7">
        <f>IF(首页!$B$13="强制对流",首页!$B$11*M235/H235,0)</f>
        <v>0</v>
      </c>
      <c r="O235" s="6">
        <f>IF(首页!$B$13="自然对流",IF(首页!$B$14="立式圆筒",(0.825+0.3063*I235^(1/6))^2+0.87*(M235/B235),(0.752+0.303*I235^(1/6))^2),0.3+SQRT((0.592*N235^0.5)^2+(0.0262*N235^0.8/(1-0.5/N235^0.1))^2))</f>
        <v>10102.007502934899</v>
      </c>
      <c r="P235" s="6">
        <f t="shared" si="32"/>
        <v>2.9510194925512497E-2</v>
      </c>
      <c r="Q235" s="6">
        <f t="shared" si="33"/>
        <v>5.4005835244673657</v>
      </c>
      <c r="R235" s="6">
        <f t="shared" si="34"/>
        <v>13.169317324969322</v>
      </c>
      <c r="S235" s="6">
        <f>B235*LN(B235/首页!$B$4)</f>
        <v>0.91381108923988319</v>
      </c>
      <c r="T235" s="6">
        <f>2*首页!$B$8*(E235-C235)/(R235*(C235-D235))</f>
        <v>7.0858486564641721E-2</v>
      </c>
      <c r="U235" t="str">
        <f>IF(首页!$B$13="自然对流","按自然对流公式", "按强制对流公式")</f>
        <v>按自然对流公式</v>
      </c>
      <c r="V235" s="6">
        <f t="shared" si="35"/>
        <v>0.84295260267524141</v>
      </c>
    </row>
    <row r="236" spans="1:22" x14ac:dyDescent="0.15">
      <c r="A236">
        <v>231</v>
      </c>
      <c r="B236" s="6">
        <f>首页!$B$4+2*A236/1000</f>
        <v>0.58200000000000007</v>
      </c>
      <c r="C236" s="6">
        <f>首页!$B$7+273.15</f>
        <v>388.15</v>
      </c>
      <c r="D236" s="6">
        <f>首页!$B$6+273.15</f>
        <v>293.14999999999998</v>
      </c>
      <c r="E236" s="6">
        <f>首页!$B$5+273.15</f>
        <v>1373.15</v>
      </c>
      <c r="F236" s="6">
        <f t="shared" si="27"/>
        <v>95</v>
      </c>
      <c r="G236" s="6">
        <f t="shared" si="28"/>
        <v>340.65</v>
      </c>
      <c r="H236" s="6">
        <f t="shared" si="29"/>
        <v>1.9926207055139041E-5</v>
      </c>
      <c r="I236" s="7">
        <f t="shared" si="30"/>
        <v>1158916576932337.8</v>
      </c>
      <c r="J236" s="6">
        <f t="shared" si="31"/>
        <v>1.0226038455893147</v>
      </c>
      <c r="K236" s="7">
        <f>J236*H236*首页!$B$12/P236</f>
        <v>0.69532757496605813</v>
      </c>
      <c r="L236" s="6">
        <f>首页!$B$9*0.0000000567*((C236^4-D236^4)/(C236-D236))</f>
        <v>7.7687338005019564</v>
      </c>
      <c r="M236" s="6">
        <f>IF(首页!$B$13="自然对流",IF(首页!$B$14="立式圆筒",首页!$B$10,PI()*B236/2),PI()*B236/2)</f>
        <v>55.2</v>
      </c>
      <c r="N236" s="7">
        <f>IF(首页!$B$13="强制对流",首页!$B$11*M236/H236,0)</f>
        <v>0</v>
      </c>
      <c r="O236" s="6">
        <f>IF(首页!$B$13="自然对流",IF(首页!$B$14="立式圆筒",(0.825+0.3063*I236^(1/6))^2+0.87*(M236/B236),(0.752+0.303*I236^(1/6))^2),0.3+SQRT((0.592*N236^0.5)^2+(0.0262*N236^0.8/(1-0.5/N236^0.1))^2))</f>
        <v>10101.722966852425</v>
      </c>
      <c r="P236" s="6">
        <f t="shared" si="32"/>
        <v>2.9510194925512497E-2</v>
      </c>
      <c r="Q236" s="6">
        <f t="shared" si="33"/>
        <v>5.4004314100605342</v>
      </c>
      <c r="R236" s="6">
        <f t="shared" si="34"/>
        <v>13.16916521056249</v>
      </c>
      <c r="S236" s="6">
        <f>B236*LN(B236/首页!$B$4)</f>
        <v>0.91896560628054624</v>
      </c>
      <c r="T236" s="6">
        <f>2*首页!$B$8*(E236-C236)/(R236*(C236-D236))</f>
        <v>7.0859305036919992E-2</v>
      </c>
      <c r="U236" t="str">
        <f>IF(首页!$B$13="自然对流","按自然对流公式", "按强制对流公式")</f>
        <v>按自然对流公式</v>
      </c>
      <c r="V236" s="6">
        <f t="shared" si="35"/>
        <v>0.84810630124362629</v>
      </c>
    </row>
    <row r="237" spans="1:22" x14ac:dyDescent="0.15">
      <c r="A237">
        <v>232</v>
      </c>
      <c r="B237" s="6">
        <f>首页!$B$4+2*A237/1000</f>
        <v>0.58400000000000007</v>
      </c>
      <c r="C237" s="6">
        <f>首页!$B$7+273.15</f>
        <v>388.15</v>
      </c>
      <c r="D237" s="6">
        <f>首页!$B$6+273.15</f>
        <v>293.14999999999998</v>
      </c>
      <c r="E237" s="6">
        <f>首页!$B$5+273.15</f>
        <v>1373.15</v>
      </c>
      <c r="F237" s="6">
        <f t="shared" si="27"/>
        <v>95</v>
      </c>
      <c r="G237" s="6">
        <f t="shared" si="28"/>
        <v>340.65</v>
      </c>
      <c r="H237" s="6">
        <f t="shared" si="29"/>
        <v>1.9926207055139041E-5</v>
      </c>
      <c r="I237" s="7">
        <f t="shared" si="30"/>
        <v>1158916576932337.8</v>
      </c>
      <c r="J237" s="6">
        <f t="shared" si="31"/>
        <v>1.0226038455893147</v>
      </c>
      <c r="K237" s="7">
        <f>J237*H237*首页!$B$12/P237</f>
        <v>0.69532757496605813</v>
      </c>
      <c r="L237" s="6">
        <f>首页!$B$9*0.0000000567*((C237^4-D237^4)/(C237-D237))</f>
        <v>7.7687338005019564</v>
      </c>
      <c r="M237" s="6">
        <f>IF(首页!$B$13="自然对流",IF(首页!$B$14="立式圆筒",首页!$B$10,PI()*B237/2),PI()*B237/2)</f>
        <v>55.2</v>
      </c>
      <c r="N237" s="7">
        <f>IF(首页!$B$13="强制对流",首页!$B$11*M237/H237,0)</f>
        <v>0</v>
      </c>
      <c r="O237" s="6">
        <f>IF(首页!$B$13="自然对流",IF(首页!$B$14="立式圆筒",(0.825+0.3063*I237^(1/6))^2+0.87*(M237/B237),(0.752+0.303*I237^(1/6))^2),0.3+SQRT((0.592*N237^0.5)^2+(0.0262*N237^0.8/(1-0.5/N237^0.1))^2))</f>
        <v>10101.440379647229</v>
      </c>
      <c r="P237" s="6">
        <f t="shared" si="32"/>
        <v>2.9510194925512497E-2</v>
      </c>
      <c r="Q237" s="6">
        <f t="shared" si="33"/>
        <v>5.4002803375332009</v>
      </c>
      <c r="R237" s="6">
        <f t="shared" si="34"/>
        <v>13.169014138035157</v>
      </c>
      <c r="S237" s="6">
        <f>B237*LN(B237/首页!$B$4)</f>
        <v>0.92412699618696992</v>
      </c>
      <c r="T237" s="6">
        <f>2*首页!$B$8*(E237-C237)/(R237*(C237-D237))</f>
        <v>7.0860117921938179E-2</v>
      </c>
      <c r="U237" t="str">
        <f>IF(首页!$B$13="自然对流","按自然对流公式", "按强制对流公式")</f>
        <v>按自然对流公式</v>
      </c>
      <c r="V237" s="6">
        <f t="shared" si="35"/>
        <v>0.85326687826503178</v>
      </c>
    </row>
    <row r="238" spans="1:22" x14ac:dyDescent="0.15">
      <c r="A238">
        <v>233</v>
      </c>
      <c r="B238" s="6">
        <f>首页!$B$4+2*A238/1000</f>
        <v>0.58600000000000008</v>
      </c>
      <c r="C238" s="6">
        <f>首页!$B$7+273.15</f>
        <v>388.15</v>
      </c>
      <c r="D238" s="6">
        <f>首页!$B$6+273.15</f>
        <v>293.14999999999998</v>
      </c>
      <c r="E238" s="6">
        <f>首页!$B$5+273.15</f>
        <v>1373.15</v>
      </c>
      <c r="F238" s="6">
        <f t="shared" si="27"/>
        <v>95</v>
      </c>
      <c r="G238" s="6">
        <f t="shared" si="28"/>
        <v>340.65</v>
      </c>
      <c r="H238" s="6">
        <f t="shared" si="29"/>
        <v>1.9926207055139041E-5</v>
      </c>
      <c r="I238" s="7">
        <f t="shared" si="30"/>
        <v>1158916576932337.8</v>
      </c>
      <c r="J238" s="6">
        <f t="shared" si="31"/>
        <v>1.0226038455893147</v>
      </c>
      <c r="K238" s="7">
        <f>J238*H238*首页!$B$12/P238</f>
        <v>0.69532757496605813</v>
      </c>
      <c r="L238" s="6">
        <f>首页!$B$9*0.0000000567*((C238^4-D238^4)/(C238-D238))</f>
        <v>7.7687338005019564</v>
      </c>
      <c r="M238" s="6">
        <f>IF(首页!$B$13="自然对流",IF(首页!$B$14="立式圆筒",首页!$B$10,PI()*B238/2),PI()*B238/2)</f>
        <v>55.2</v>
      </c>
      <c r="N238" s="7">
        <f>IF(首页!$B$13="强制对流",首页!$B$11*M238/H238,0)</f>
        <v>0</v>
      </c>
      <c r="O238" s="6">
        <f>IF(首页!$B$13="自然对流",IF(首页!$B$14="立式圆筒",(0.825+0.3063*I238^(1/6))^2+0.87*(M238/B238),(0.752+0.303*I238^(1/6))^2),0.3+SQRT((0.592*N238^0.5)^2+(0.0262*N238^0.8/(1-0.5/N238^0.1))^2))</f>
        <v>10101.159721364935</v>
      </c>
      <c r="P238" s="6">
        <f t="shared" si="32"/>
        <v>2.9510194925512497E-2</v>
      </c>
      <c r="Q238" s="6">
        <f t="shared" si="33"/>
        <v>5.4001302962176574</v>
      </c>
      <c r="R238" s="6">
        <f t="shared" si="34"/>
        <v>13.168864096719613</v>
      </c>
      <c r="S238" s="6">
        <f>B238*LN(B238/首页!$B$4)</f>
        <v>0.92929523542185066</v>
      </c>
      <c r="T238" s="6">
        <f>2*首页!$B$8*(E238-C238)/(R238*(C238-D238))</f>
        <v>7.086092527671338E-2</v>
      </c>
      <c r="U238" t="str">
        <f>IF(首页!$B$13="自然对流","按自然对流公式", "按强制对流公式")</f>
        <v>按自然对流公式</v>
      </c>
      <c r="V238" s="6">
        <f t="shared" si="35"/>
        <v>0.85843431014513727</v>
      </c>
    </row>
    <row r="239" spans="1:22" x14ac:dyDescent="0.15">
      <c r="A239">
        <v>234</v>
      </c>
      <c r="B239" s="6">
        <f>首页!$B$4+2*A239/1000</f>
        <v>0.58800000000000008</v>
      </c>
      <c r="C239" s="6">
        <f>首页!$B$7+273.15</f>
        <v>388.15</v>
      </c>
      <c r="D239" s="6">
        <f>首页!$B$6+273.15</f>
        <v>293.14999999999998</v>
      </c>
      <c r="E239" s="6">
        <f>首页!$B$5+273.15</f>
        <v>1373.15</v>
      </c>
      <c r="F239" s="6">
        <f t="shared" si="27"/>
        <v>95</v>
      </c>
      <c r="G239" s="6">
        <f t="shared" si="28"/>
        <v>340.65</v>
      </c>
      <c r="H239" s="6">
        <f t="shared" si="29"/>
        <v>1.9926207055139041E-5</v>
      </c>
      <c r="I239" s="7">
        <f t="shared" si="30"/>
        <v>1158916576932337.8</v>
      </c>
      <c r="J239" s="6">
        <f t="shared" si="31"/>
        <v>1.0226038455893147</v>
      </c>
      <c r="K239" s="7">
        <f>J239*H239*首页!$B$12/P239</f>
        <v>0.69532757496605813</v>
      </c>
      <c r="L239" s="6">
        <f>首页!$B$9*0.0000000567*((C239^4-D239^4)/(C239-D239))</f>
        <v>7.7687338005019564</v>
      </c>
      <c r="M239" s="6">
        <f>IF(首页!$B$13="自然对流",IF(首页!$B$14="立式圆筒",首页!$B$10,PI()*B239/2),PI()*B239/2)</f>
        <v>55.2</v>
      </c>
      <c r="N239" s="7">
        <f>IF(首页!$B$13="强制对流",首页!$B$11*M239/H239,0)</f>
        <v>0</v>
      </c>
      <c r="O239" s="6">
        <f>IF(首页!$B$13="自然对流",IF(首页!$B$14="立式圆筒",(0.825+0.3063*I239^(1/6))^2+0.87*(M239/B239),(0.752+0.303*I239^(1/6))^2),0.3+SQRT((0.592*N239^0.5)^2+(0.0262*N239^0.8/(1-0.5/N239^0.1))^2))</f>
        <v>10100.880972322655</v>
      </c>
      <c r="P239" s="6">
        <f t="shared" si="32"/>
        <v>2.9510194925512497E-2</v>
      </c>
      <c r="Q239" s="6">
        <f t="shared" si="33"/>
        <v>5.3999812755913359</v>
      </c>
      <c r="R239" s="6">
        <f t="shared" si="34"/>
        <v>13.168715076093292</v>
      </c>
      <c r="S239" s="6">
        <f>B239*LN(B239/首页!$B$4)</f>
        <v>0.93447030060854985</v>
      </c>
      <c r="T239" s="6">
        <f>2*首页!$B$8*(E239-C239)/(R239*(C239-D239))</f>
        <v>7.0861727157489562E-2</v>
      </c>
      <c r="U239" t="str">
        <f>IF(首页!$B$13="自然对流","按自然对流公式", "按强制对流公式")</f>
        <v>按自然对流公式</v>
      </c>
      <c r="V239" s="6">
        <f t="shared" si="35"/>
        <v>0.86360857345106035</v>
      </c>
    </row>
    <row r="240" spans="1:22" x14ac:dyDescent="0.15">
      <c r="A240">
        <v>235</v>
      </c>
      <c r="B240" s="6">
        <f>首页!$B$4+2*A240/1000</f>
        <v>0.59</v>
      </c>
      <c r="C240" s="6">
        <f>首页!$B$7+273.15</f>
        <v>388.15</v>
      </c>
      <c r="D240" s="6">
        <f>首页!$B$6+273.15</f>
        <v>293.14999999999998</v>
      </c>
      <c r="E240" s="6">
        <f>首页!$B$5+273.15</f>
        <v>1373.15</v>
      </c>
      <c r="F240" s="6">
        <f t="shared" si="27"/>
        <v>95</v>
      </c>
      <c r="G240" s="6">
        <f t="shared" si="28"/>
        <v>340.65</v>
      </c>
      <c r="H240" s="6">
        <f t="shared" si="29"/>
        <v>1.9926207055139041E-5</v>
      </c>
      <c r="I240" s="7">
        <f t="shared" si="30"/>
        <v>1158916576932337.8</v>
      </c>
      <c r="J240" s="6">
        <f t="shared" si="31"/>
        <v>1.0226038455893147</v>
      </c>
      <c r="K240" s="7">
        <f>J240*H240*首页!$B$12/P240</f>
        <v>0.69532757496605813</v>
      </c>
      <c r="L240" s="6">
        <f>首页!$B$9*0.0000000567*((C240^4-D240^4)/(C240-D240))</f>
        <v>7.7687338005019564</v>
      </c>
      <c r="M240" s="6">
        <f>IF(首页!$B$13="自然对流",IF(首页!$B$14="立式圆筒",首页!$B$10,PI()*B240/2),PI()*B240/2)</f>
        <v>55.2</v>
      </c>
      <c r="N240" s="7">
        <f>IF(首页!$B$13="强制对流",首页!$B$11*M240/H240,0)</f>
        <v>0</v>
      </c>
      <c r="O240" s="6">
        <f>IF(首页!$B$13="自然对流",IF(首页!$B$14="立式圆筒",(0.825+0.3063*I240^(1/6))^2+0.87*(M240/B240),(0.752+0.303*I240^(1/6))^2),0.3+SQRT((0.592*N240^0.5)^2+(0.0262*N240^0.8/(1-0.5/N240^0.1))^2))</f>
        <v>10100.604113104391</v>
      </c>
      <c r="P240" s="6">
        <f t="shared" si="32"/>
        <v>2.9510194925512497E-2</v>
      </c>
      <c r="Q240" s="6">
        <f t="shared" si="33"/>
        <v>5.3998332652743448</v>
      </c>
      <c r="R240" s="6">
        <f t="shared" si="34"/>
        <v>13.168567065776301</v>
      </c>
      <c r="S240" s="6">
        <f>B240*LN(B240/首页!$B$4)</f>
        <v>0.93965216852945421</v>
      </c>
      <c r="T240" s="6">
        <f>2*首页!$B$8*(E240-C240)/(R240*(C240-D240))</f>
        <v>7.0862523619750525E-2</v>
      </c>
      <c r="U240" t="str">
        <f>IF(首页!$B$13="自然对流","按自然对流公式", "按强制对流公式")</f>
        <v>按自然对流公式</v>
      </c>
      <c r="V240" s="6">
        <f t="shared" si="35"/>
        <v>0.86878964490970367</v>
      </c>
    </row>
    <row r="241" spans="1:22" x14ac:dyDescent="0.15">
      <c r="A241">
        <v>236</v>
      </c>
      <c r="B241" s="6">
        <f>首页!$B$4+2*A241/1000</f>
        <v>0.59199999999999997</v>
      </c>
      <c r="C241" s="6">
        <f>首页!$B$7+273.15</f>
        <v>388.15</v>
      </c>
      <c r="D241" s="6">
        <f>首页!$B$6+273.15</f>
        <v>293.14999999999998</v>
      </c>
      <c r="E241" s="6">
        <f>首页!$B$5+273.15</f>
        <v>1373.15</v>
      </c>
      <c r="F241" s="6">
        <f t="shared" si="27"/>
        <v>95</v>
      </c>
      <c r="G241" s="6">
        <f t="shared" si="28"/>
        <v>340.65</v>
      </c>
      <c r="H241" s="6">
        <f t="shared" si="29"/>
        <v>1.9926207055139041E-5</v>
      </c>
      <c r="I241" s="7">
        <f t="shared" si="30"/>
        <v>1158916576932337.8</v>
      </c>
      <c r="J241" s="6">
        <f t="shared" si="31"/>
        <v>1.0226038455893147</v>
      </c>
      <c r="K241" s="7">
        <f>J241*H241*首页!$B$12/P241</f>
        <v>0.69532757496605813</v>
      </c>
      <c r="L241" s="6">
        <f>首页!$B$9*0.0000000567*((C241^4-D241^4)/(C241-D241))</f>
        <v>7.7687338005019564</v>
      </c>
      <c r="M241" s="6">
        <f>IF(首页!$B$13="自然对流",IF(首页!$B$14="立式圆筒",首页!$B$10,PI()*B241/2),PI()*B241/2)</f>
        <v>55.2</v>
      </c>
      <c r="N241" s="7">
        <f>IF(首页!$B$13="强制对流",首页!$B$11*M241/H241,0)</f>
        <v>0</v>
      </c>
      <c r="O241" s="6">
        <f>IF(首页!$B$13="自然对流",IF(首页!$B$14="立式圆筒",(0.825+0.3063*I241^(1/6))^2+0.87*(M241/B241),(0.752+0.303*I241^(1/6))^2),0.3+SQRT((0.592*N241^0.5)^2+(0.0262*N241^0.8/(1-0.5/N241^0.1))^2))</f>
        <v>10100.329124556521</v>
      </c>
      <c r="P241" s="6">
        <f t="shared" si="32"/>
        <v>2.9510194925512497E-2</v>
      </c>
      <c r="Q241" s="6">
        <f t="shared" si="33"/>
        <v>5.3996862550270635</v>
      </c>
      <c r="R241" s="6">
        <f t="shared" si="34"/>
        <v>13.168420055529019</v>
      </c>
      <c r="S241" s="6">
        <f>B241*LN(B241/首页!$B$4)</f>
        <v>0.94484081612436011</v>
      </c>
      <c r="T241" s="6">
        <f>2*首页!$B$8*(E241-C241)/(R241*(C241-D241))</f>
        <v>7.0863314718232845E-2</v>
      </c>
      <c r="U241" t="str">
        <f>IF(首页!$B$13="自然对流","按自然对流公式", "按强制对流公式")</f>
        <v>按自然对流公式</v>
      </c>
      <c r="V241" s="6">
        <f t="shared" si="35"/>
        <v>0.87397750140612729</v>
      </c>
    </row>
    <row r="242" spans="1:22" x14ac:dyDescent="0.15">
      <c r="A242">
        <v>237</v>
      </c>
      <c r="B242" s="6">
        <f>首页!$B$4+2*A242/1000</f>
        <v>0.59399999999999997</v>
      </c>
      <c r="C242" s="6">
        <f>首页!$B$7+273.15</f>
        <v>388.15</v>
      </c>
      <c r="D242" s="6">
        <f>首页!$B$6+273.15</f>
        <v>293.14999999999998</v>
      </c>
      <c r="E242" s="6">
        <f>首页!$B$5+273.15</f>
        <v>1373.15</v>
      </c>
      <c r="F242" s="6">
        <f t="shared" si="27"/>
        <v>95</v>
      </c>
      <c r="G242" s="6">
        <f t="shared" si="28"/>
        <v>340.65</v>
      </c>
      <c r="H242" s="6">
        <f t="shared" si="29"/>
        <v>1.9926207055139041E-5</v>
      </c>
      <c r="I242" s="7">
        <f t="shared" si="30"/>
        <v>1158916576932337.8</v>
      </c>
      <c r="J242" s="6">
        <f t="shared" si="31"/>
        <v>1.0226038455893147</v>
      </c>
      <c r="K242" s="7">
        <f>J242*H242*首页!$B$12/P242</f>
        <v>0.69532757496605813</v>
      </c>
      <c r="L242" s="6">
        <f>首页!$B$9*0.0000000567*((C242^4-D242^4)/(C242-D242))</f>
        <v>7.7687338005019564</v>
      </c>
      <c r="M242" s="6">
        <f>IF(首页!$B$13="自然对流",IF(首页!$B$14="立式圆筒",首页!$B$10,PI()*B242/2),PI()*B242/2)</f>
        <v>55.2</v>
      </c>
      <c r="N242" s="7">
        <f>IF(首页!$B$13="强制对流",首页!$B$11*M242/H242,0)</f>
        <v>0</v>
      </c>
      <c r="O242" s="6">
        <f>IF(首页!$B$13="自然对流",IF(首页!$B$14="立式圆筒",(0.825+0.3063*I242^(1/6))^2+0.87*(M242/B242),(0.752+0.303*I242^(1/6))^2),0.3+SQRT((0.592*N242^0.5)^2+(0.0262*N242^0.8/(1-0.5/N242^0.1))^2))</f>
        <v>10100.055987783384</v>
      </c>
      <c r="P242" s="6">
        <f t="shared" si="32"/>
        <v>2.9510194925512497E-2</v>
      </c>
      <c r="Q242" s="6">
        <f t="shared" si="33"/>
        <v>5.3995402347477768</v>
      </c>
      <c r="R242" s="6">
        <f t="shared" si="34"/>
        <v>13.168274035249734</v>
      </c>
      <c r="S242" s="6">
        <f>B242*LN(B242/首页!$B$4)</f>
        <v>0.9500362204888757</v>
      </c>
      <c r="T242" s="6">
        <f>2*首页!$B$8*(E242-C242)/(R242*(C242-D242))</f>
        <v>7.0864100506938227E-2</v>
      </c>
      <c r="U242" t="str">
        <f>IF(首页!$B$13="自然对流","按自然对流公式", "按强制对流公式")</f>
        <v>按自然对流公式</v>
      </c>
      <c r="V242" s="6">
        <f t="shared" si="35"/>
        <v>0.87917211998193745</v>
      </c>
    </row>
    <row r="243" spans="1:22" x14ac:dyDescent="0.15">
      <c r="A243">
        <v>238</v>
      </c>
      <c r="B243" s="6">
        <f>首页!$B$4+2*A243/1000</f>
        <v>0.59599999999999997</v>
      </c>
      <c r="C243" s="6">
        <f>首页!$B$7+273.15</f>
        <v>388.15</v>
      </c>
      <c r="D243" s="6">
        <f>首页!$B$6+273.15</f>
        <v>293.14999999999998</v>
      </c>
      <c r="E243" s="6">
        <f>首页!$B$5+273.15</f>
        <v>1373.15</v>
      </c>
      <c r="F243" s="6">
        <f t="shared" si="27"/>
        <v>95</v>
      </c>
      <c r="G243" s="6">
        <f t="shared" si="28"/>
        <v>340.65</v>
      </c>
      <c r="H243" s="6">
        <f t="shared" si="29"/>
        <v>1.9926207055139041E-5</v>
      </c>
      <c r="I243" s="7">
        <f t="shared" si="30"/>
        <v>1158916576932337.8</v>
      </c>
      <c r="J243" s="6">
        <f t="shared" si="31"/>
        <v>1.0226038455893147</v>
      </c>
      <c r="K243" s="7">
        <f>J243*H243*首页!$B$12/P243</f>
        <v>0.69532757496605813</v>
      </c>
      <c r="L243" s="6">
        <f>首页!$B$9*0.0000000567*((C243^4-D243^4)/(C243-D243))</f>
        <v>7.7687338005019564</v>
      </c>
      <c r="M243" s="6">
        <f>IF(首页!$B$13="自然对流",IF(首页!$B$14="立式圆筒",首页!$B$10,PI()*B243/2),PI()*B243/2)</f>
        <v>55.2</v>
      </c>
      <c r="N243" s="7">
        <f>IF(首页!$B$13="强制对流",首页!$B$11*M243/H243,0)</f>
        <v>0</v>
      </c>
      <c r="O243" s="6">
        <f>IF(首页!$B$13="自然对流",IF(首页!$B$14="立式圆筒",(0.825+0.3063*I243^(1/6))^2+0.87*(M243/B243),(0.752+0.303*I243^(1/6))^2),0.3+SQRT((0.592*N243^0.5)^2+(0.0262*N243^0.8/(1-0.5/N243^0.1))^2))</f>
        <v>10099.784684142953</v>
      </c>
      <c r="P243" s="6">
        <f t="shared" si="32"/>
        <v>2.9510194925512497E-2</v>
      </c>
      <c r="Q243" s="6">
        <f t="shared" si="33"/>
        <v>5.3993951944703653</v>
      </c>
      <c r="R243" s="6">
        <f t="shared" si="34"/>
        <v>13.168128994972321</v>
      </c>
      <c r="S243" s="6">
        <f>B243*LN(B243/首页!$B$4)</f>
        <v>0.95523835887284902</v>
      </c>
      <c r="T243" s="6">
        <f>2*首页!$B$8*(E243-C243)/(R243*(C243-D243))</f>
        <v>7.0864881039145955E-2</v>
      </c>
      <c r="U243" t="str">
        <f>IF(首页!$B$13="自然对流","按自然对流公式", "按强制对流公式")</f>
        <v>按自然对流公式</v>
      </c>
      <c r="V243" s="6">
        <f t="shared" si="35"/>
        <v>0.88437347783370313</v>
      </c>
    </row>
    <row r="244" spans="1:22" x14ac:dyDescent="0.15">
      <c r="A244">
        <v>239</v>
      </c>
      <c r="B244" s="6">
        <f>首页!$B$4+2*A244/1000</f>
        <v>0.59799999999999998</v>
      </c>
      <c r="C244" s="6">
        <f>首页!$B$7+273.15</f>
        <v>388.15</v>
      </c>
      <c r="D244" s="6">
        <f>首页!$B$6+273.15</f>
        <v>293.14999999999998</v>
      </c>
      <c r="E244" s="6">
        <f>首页!$B$5+273.15</f>
        <v>1373.15</v>
      </c>
      <c r="F244" s="6">
        <f t="shared" si="27"/>
        <v>95</v>
      </c>
      <c r="G244" s="6">
        <f t="shared" si="28"/>
        <v>340.65</v>
      </c>
      <c r="H244" s="6">
        <f t="shared" si="29"/>
        <v>1.9926207055139041E-5</v>
      </c>
      <c r="I244" s="7">
        <f t="shared" si="30"/>
        <v>1158916576932337.8</v>
      </c>
      <c r="J244" s="6">
        <f t="shared" si="31"/>
        <v>1.0226038455893147</v>
      </c>
      <c r="K244" s="7">
        <f>J244*H244*首页!$B$12/P244</f>
        <v>0.69532757496605813</v>
      </c>
      <c r="L244" s="6">
        <f>首页!$B$9*0.0000000567*((C244^4-D244^4)/(C244-D244))</f>
        <v>7.7687338005019564</v>
      </c>
      <c r="M244" s="6">
        <f>IF(首页!$B$13="自然对流",IF(首页!$B$14="立式圆筒",首页!$B$10,PI()*B244/2),PI()*B244/2)</f>
        <v>55.2</v>
      </c>
      <c r="N244" s="7">
        <f>IF(首页!$B$13="强制对流",首页!$B$11*M244/H244,0)</f>
        <v>0</v>
      </c>
      <c r="O244" s="6">
        <f>IF(首页!$B$13="自然对流",IF(首页!$B$14="立式圆筒",(0.825+0.3063*I244^(1/6))^2+0.87*(M244/B244),(0.752+0.303*I244^(1/6))^2),0.3+SQRT((0.592*N244^0.5)^2+(0.0262*N244^0.8/(1-0.5/N244^0.1))^2))</f>
        <v>10099.515195242591</v>
      </c>
      <c r="P244" s="6">
        <f t="shared" si="32"/>
        <v>2.9510194925512497E-2</v>
      </c>
      <c r="Q244" s="6">
        <f t="shared" si="33"/>
        <v>5.3992511243620331</v>
      </c>
      <c r="R244" s="6">
        <f t="shared" si="34"/>
        <v>13.16798492486399</v>
      </c>
      <c r="S244" s="6">
        <f>B244*LN(B244/首页!$B$4)</f>
        <v>0.96044720867881428</v>
      </c>
      <c r="T244" s="6">
        <f>2*首页!$B$8*(E244-C244)/(R244*(C244-D244))</f>
        <v>7.086565636742484E-2</v>
      </c>
      <c r="U244" t="str">
        <f>IF(首页!$B$13="自然对流","按自然对流公式", "按强制对流公式")</f>
        <v>按自然对流公式</v>
      </c>
      <c r="V244" s="6">
        <f t="shared" si="35"/>
        <v>0.88958155231138947</v>
      </c>
    </row>
    <row r="245" spans="1:22" x14ac:dyDescent="0.15">
      <c r="A245">
        <v>240</v>
      </c>
      <c r="B245" s="6">
        <f>首页!$B$4+2*A245/1000</f>
        <v>0.6</v>
      </c>
      <c r="C245" s="6">
        <f>首页!$B$7+273.15</f>
        <v>388.15</v>
      </c>
      <c r="D245" s="6">
        <f>首页!$B$6+273.15</f>
        <v>293.14999999999998</v>
      </c>
      <c r="E245" s="6">
        <f>首页!$B$5+273.15</f>
        <v>1373.15</v>
      </c>
      <c r="F245" s="6">
        <f t="shared" si="27"/>
        <v>95</v>
      </c>
      <c r="G245" s="6">
        <f t="shared" si="28"/>
        <v>340.65</v>
      </c>
      <c r="H245" s="6">
        <f t="shared" si="29"/>
        <v>1.9926207055139041E-5</v>
      </c>
      <c r="I245" s="7">
        <f t="shared" si="30"/>
        <v>1158916576932337.8</v>
      </c>
      <c r="J245" s="6">
        <f t="shared" si="31"/>
        <v>1.0226038455893147</v>
      </c>
      <c r="K245" s="7">
        <f>J245*H245*首页!$B$12/P245</f>
        <v>0.69532757496605813</v>
      </c>
      <c r="L245" s="6">
        <f>首页!$B$9*0.0000000567*((C245^4-D245^4)/(C245-D245))</f>
        <v>7.7687338005019564</v>
      </c>
      <c r="M245" s="6">
        <f>IF(首页!$B$13="自然对流",IF(首页!$B$14="立式圆筒",首页!$B$10,PI()*B245/2),PI()*B245/2)</f>
        <v>55.2</v>
      </c>
      <c r="N245" s="7">
        <f>IF(首页!$B$13="强制对流",首页!$B$11*M245/H245,0)</f>
        <v>0</v>
      </c>
      <c r="O245" s="6">
        <f>IF(首页!$B$13="自然对流",IF(首页!$B$14="立式圆筒",(0.825+0.3063*I245^(1/6))^2+0.87*(M245/B245),(0.752+0.303*I245^(1/6))^2),0.3+SQRT((0.592*N245^0.5)^2+(0.0262*N245^0.8/(1-0.5/N245^0.1))^2))</f>
        <v>10099.247502934901</v>
      </c>
      <c r="P245" s="6">
        <f t="shared" si="32"/>
        <v>2.9510194925512497E-2</v>
      </c>
      <c r="Q245" s="6">
        <f t="shared" si="33"/>
        <v>5.399108014721091</v>
      </c>
      <c r="R245" s="6">
        <f t="shared" si="34"/>
        <v>13.167841815223047</v>
      </c>
      <c r="S245" s="6">
        <f>B245*LN(B245/首页!$B$4)</f>
        <v>0.9656627474604601</v>
      </c>
      <c r="T245" s="6">
        <f>2*首页!$B$8*(E245-C245)/(R245*(C245-D245))</f>
        <v>7.0866426543645084E-2</v>
      </c>
      <c r="U245" t="str">
        <f>IF(首页!$B$13="自然对流","按自然对流公式", "按强制对流公式")</f>
        <v>按自然对流公式</v>
      </c>
      <c r="V245" s="6">
        <f t="shared" si="35"/>
        <v>0.89479632091681505</v>
      </c>
    </row>
    <row r="246" spans="1:22" x14ac:dyDescent="0.15">
      <c r="A246">
        <v>241</v>
      </c>
      <c r="B246" s="6">
        <f>首页!$B$4+2*A246/1000</f>
        <v>0.60199999999999998</v>
      </c>
      <c r="C246" s="6">
        <f>首页!$B$7+273.15</f>
        <v>388.15</v>
      </c>
      <c r="D246" s="6">
        <f>首页!$B$6+273.15</f>
        <v>293.14999999999998</v>
      </c>
      <c r="E246" s="6">
        <f>首页!$B$5+273.15</f>
        <v>1373.15</v>
      </c>
      <c r="F246" s="6">
        <f t="shared" si="27"/>
        <v>95</v>
      </c>
      <c r="G246" s="6">
        <f t="shared" si="28"/>
        <v>340.65</v>
      </c>
      <c r="H246" s="6">
        <f t="shared" si="29"/>
        <v>1.9926207055139041E-5</v>
      </c>
      <c r="I246" s="7">
        <f t="shared" si="30"/>
        <v>1158916576932337.8</v>
      </c>
      <c r="J246" s="6">
        <f t="shared" si="31"/>
        <v>1.0226038455893147</v>
      </c>
      <c r="K246" s="7">
        <f>J246*H246*首页!$B$12/P246</f>
        <v>0.69532757496605813</v>
      </c>
      <c r="L246" s="6">
        <f>首页!$B$9*0.0000000567*((C246^4-D246^4)/(C246-D246))</f>
        <v>7.7687338005019564</v>
      </c>
      <c r="M246" s="6">
        <f>IF(首页!$B$13="自然对流",IF(首页!$B$14="立式圆筒",首页!$B$10,PI()*B246/2),PI()*B246/2)</f>
        <v>55.2</v>
      </c>
      <c r="N246" s="7">
        <f>IF(首页!$B$13="强制对流",首页!$B$11*M246/H246,0)</f>
        <v>0</v>
      </c>
      <c r="O246" s="6">
        <f>IF(首页!$B$13="自然对流",IF(首页!$B$14="立式圆筒",(0.825+0.3063*I246^(1/6))^2+0.87*(M246/B246),(0.752+0.303*I246^(1/6))^2),0.3+SQRT((0.592*N246^0.5)^2+(0.0262*N246^0.8/(1-0.5/N246^0.1))^2))</f>
        <v>10098.981589313637</v>
      </c>
      <c r="P246" s="6">
        <f t="shared" si="32"/>
        <v>2.9510194925512497E-2</v>
      </c>
      <c r="Q246" s="6">
        <f t="shared" si="33"/>
        <v>5.3989658559747715</v>
      </c>
      <c r="R246" s="6">
        <f t="shared" si="34"/>
        <v>13.167699656476728</v>
      </c>
      <c r="S246" s="6">
        <f>B246*LN(B246/首页!$B$4)</f>
        <v>0.97088495292111854</v>
      </c>
      <c r="T246" s="6">
        <f>2*首页!$B$8*(E246-C246)/(R246*(C246-D246))</f>
        <v>7.0867191618989786E-2</v>
      </c>
      <c r="U246" t="str">
        <f>IF(首页!$B$13="自然对流","按自然对流公式", "按强制对流公式")</f>
        <v>按自然对流公式</v>
      </c>
      <c r="V246" s="6">
        <f t="shared" si="35"/>
        <v>0.90001776130212874</v>
      </c>
    </row>
    <row r="247" spans="1:22" x14ac:dyDescent="0.15">
      <c r="A247">
        <v>242</v>
      </c>
      <c r="B247" s="6">
        <f>首页!$B$4+2*A247/1000</f>
        <v>0.60399999999999998</v>
      </c>
      <c r="C247" s="6">
        <f>首页!$B$7+273.15</f>
        <v>388.15</v>
      </c>
      <c r="D247" s="6">
        <f>首页!$B$6+273.15</f>
        <v>293.14999999999998</v>
      </c>
      <c r="E247" s="6">
        <f>首页!$B$5+273.15</f>
        <v>1373.15</v>
      </c>
      <c r="F247" s="6">
        <f t="shared" si="27"/>
        <v>95</v>
      </c>
      <c r="G247" s="6">
        <f t="shared" si="28"/>
        <v>340.65</v>
      </c>
      <c r="H247" s="6">
        <f t="shared" si="29"/>
        <v>1.9926207055139041E-5</v>
      </c>
      <c r="I247" s="7">
        <f t="shared" si="30"/>
        <v>1158916576932337.8</v>
      </c>
      <c r="J247" s="6">
        <f t="shared" si="31"/>
        <v>1.0226038455893147</v>
      </c>
      <c r="K247" s="7">
        <f>J247*H247*首页!$B$12/P247</f>
        <v>0.69532757496605813</v>
      </c>
      <c r="L247" s="6">
        <f>首页!$B$9*0.0000000567*((C247^4-D247^4)/(C247-D247))</f>
        <v>7.7687338005019564</v>
      </c>
      <c r="M247" s="6">
        <f>IF(首页!$B$13="自然对流",IF(首页!$B$14="立式圆筒",首页!$B$10,PI()*B247/2),PI()*B247/2)</f>
        <v>55.2</v>
      </c>
      <c r="N247" s="7">
        <f>IF(首页!$B$13="强制对流",首页!$B$11*M247/H247,0)</f>
        <v>0</v>
      </c>
      <c r="O247" s="6">
        <f>IF(首页!$B$13="自然对流",IF(首页!$B$14="立式圆筒",(0.825+0.3063*I247^(1/6))^2+0.87*(M247/B247),(0.752+0.303*I247^(1/6))^2),0.3+SQRT((0.592*N247^0.5)^2+(0.0262*N247^0.8/(1-0.5/N247^0.1))^2))</f>
        <v>10098.717436709734</v>
      </c>
      <c r="P247" s="6">
        <f t="shared" si="32"/>
        <v>2.9510194925512497E-2</v>
      </c>
      <c r="Q247" s="6">
        <f t="shared" si="33"/>
        <v>5.3988246386771035</v>
      </c>
      <c r="R247" s="6">
        <f t="shared" si="34"/>
        <v>13.167558439179061</v>
      </c>
      <c r="S247" s="6">
        <f>B247*LN(B247/首页!$B$4)</f>
        <v>0.97611380291227234</v>
      </c>
      <c r="T247" s="6">
        <f>2*首页!$B$8*(E247-C247)/(R247*(C247-D247))</f>
        <v>7.0867951643966309E-2</v>
      </c>
      <c r="U247" t="str">
        <f>IF(首页!$B$13="自然对流","按自然对流公式", "按强制对流公式")</f>
        <v>按自然对流公式</v>
      </c>
      <c r="V247" s="6">
        <f t="shared" si="35"/>
        <v>0.90524585126830603</v>
      </c>
    </row>
    <row r="248" spans="1:22" x14ac:dyDescent="0.15">
      <c r="A248">
        <v>243</v>
      </c>
      <c r="B248" s="6">
        <f>首页!$B$4+2*A248/1000</f>
        <v>0.60599999999999998</v>
      </c>
      <c r="C248" s="6">
        <f>首页!$B$7+273.15</f>
        <v>388.15</v>
      </c>
      <c r="D248" s="6">
        <f>首页!$B$6+273.15</f>
        <v>293.14999999999998</v>
      </c>
      <c r="E248" s="6">
        <f>首页!$B$5+273.15</f>
        <v>1373.15</v>
      </c>
      <c r="F248" s="6">
        <f t="shared" si="27"/>
        <v>95</v>
      </c>
      <c r="G248" s="6">
        <f t="shared" si="28"/>
        <v>340.65</v>
      </c>
      <c r="H248" s="6">
        <f t="shared" si="29"/>
        <v>1.9926207055139041E-5</v>
      </c>
      <c r="I248" s="7">
        <f t="shared" si="30"/>
        <v>1158916576932337.8</v>
      </c>
      <c r="J248" s="6">
        <f t="shared" si="31"/>
        <v>1.0226038455893147</v>
      </c>
      <c r="K248" s="7">
        <f>J248*H248*首页!$B$12/P248</f>
        <v>0.69532757496605813</v>
      </c>
      <c r="L248" s="6">
        <f>首页!$B$9*0.0000000567*((C248^4-D248^4)/(C248-D248))</f>
        <v>7.7687338005019564</v>
      </c>
      <c r="M248" s="6">
        <f>IF(首页!$B$13="自然对流",IF(首页!$B$14="立式圆筒",首页!$B$10,PI()*B248/2),PI()*B248/2)</f>
        <v>55.2</v>
      </c>
      <c r="N248" s="7">
        <f>IF(首页!$B$13="强制对流",首页!$B$11*M248/H248,0)</f>
        <v>0</v>
      </c>
      <c r="O248" s="6">
        <f>IF(首页!$B$13="自然对流",IF(首页!$B$14="立式圆筒",(0.825+0.3063*I248^(1/6))^2+0.87*(M248/B248),(0.752+0.303*I248^(1/6))^2),0.3+SQRT((0.592*N248^0.5)^2+(0.0262*N248^0.8/(1-0.5/N248^0.1))^2))</f>
        <v>10098.455027687374</v>
      </c>
      <c r="P248" s="6">
        <f t="shared" si="32"/>
        <v>2.9510194925512497E-2</v>
      </c>
      <c r="Q248" s="6">
        <f t="shared" si="33"/>
        <v>5.3986843535068134</v>
      </c>
      <c r="R248" s="6">
        <f t="shared" si="34"/>
        <v>13.16741815400877</v>
      </c>
      <c r="S248" s="6">
        <f>B248*LN(B248/首页!$B$4)</f>
        <v>0.98134927543208461</v>
      </c>
      <c r="T248" s="6">
        <f>2*首页!$B$8*(E248-C248)/(R248*(C248-D248))</f>
        <v>7.0868706668417436E-2</v>
      </c>
      <c r="U248" t="str">
        <f>IF(首页!$B$13="自然对流","按自然对流公式", "按强制对流公式")</f>
        <v>按自然对流公式</v>
      </c>
      <c r="V248" s="6">
        <f t="shared" si="35"/>
        <v>0.91048056876366723</v>
      </c>
    </row>
    <row r="249" spans="1:22" x14ac:dyDescent="0.15">
      <c r="A249">
        <v>244</v>
      </c>
      <c r="B249" s="6">
        <f>首页!$B$4+2*A249/1000</f>
        <v>0.60799999999999998</v>
      </c>
      <c r="C249" s="6">
        <f>首页!$B$7+273.15</f>
        <v>388.15</v>
      </c>
      <c r="D249" s="6">
        <f>首页!$B$6+273.15</f>
        <v>293.14999999999998</v>
      </c>
      <c r="E249" s="6">
        <f>首页!$B$5+273.15</f>
        <v>1373.15</v>
      </c>
      <c r="F249" s="6">
        <f t="shared" si="27"/>
        <v>95</v>
      </c>
      <c r="G249" s="6">
        <f t="shared" si="28"/>
        <v>340.65</v>
      </c>
      <c r="H249" s="6">
        <f t="shared" si="29"/>
        <v>1.9926207055139041E-5</v>
      </c>
      <c r="I249" s="7">
        <f t="shared" si="30"/>
        <v>1158916576932337.8</v>
      </c>
      <c r="J249" s="6">
        <f t="shared" si="31"/>
        <v>1.0226038455893147</v>
      </c>
      <c r="K249" s="7">
        <f>J249*H249*首页!$B$12/P249</f>
        <v>0.69532757496605813</v>
      </c>
      <c r="L249" s="6">
        <f>首页!$B$9*0.0000000567*((C249^4-D249^4)/(C249-D249))</f>
        <v>7.7687338005019564</v>
      </c>
      <c r="M249" s="6">
        <f>IF(首页!$B$13="自然对流",IF(首页!$B$14="立式圆筒",首页!$B$10,PI()*B249/2),PI()*B249/2)</f>
        <v>55.2</v>
      </c>
      <c r="N249" s="7">
        <f>IF(首页!$B$13="强制对流",首页!$B$11*M249/H249,0)</f>
        <v>0</v>
      </c>
      <c r="O249" s="6">
        <f>IF(首页!$B$13="自然对流",IF(首页!$B$14="立式圆筒",(0.825+0.3063*I249^(1/6))^2+0.87*(M249/B249),(0.752+0.303*I249^(1/6))^2),0.3+SQRT((0.592*N249^0.5)^2+(0.0262*N249^0.8/(1-0.5/N249^0.1))^2))</f>
        <v>10098.194345040163</v>
      </c>
      <c r="P249" s="6">
        <f t="shared" si="32"/>
        <v>2.9510194925512497E-2</v>
      </c>
      <c r="Q249" s="6">
        <f t="shared" si="33"/>
        <v>5.3985449912652754</v>
      </c>
      <c r="R249" s="6">
        <f t="shared" si="34"/>
        <v>13.167278791767231</v>
      </c>
      <c r="S249" s="6">
        <f>B249*LN(B249/首页!$B$4)</f>
        <v>0.98659134862394549</v>
      </c>
      <c r="T249" s="6">
        <f>2*首页!$B$8*(E249-C249)/(R249*(C249-D249))</f>
        <v>7.0869456741532208E-2</v>
      </c>
      <c r="U249" t="str">
        <f>IF(首页!$B$13="自然对流","按自然对流公式", "按强制对流公式")</f>
        <v>按自然对流公式</v>
      </c>
      <c r="V249" s="6">
        <f t="shared" si="35"/>
        <v>0.91572189188241326</v>
      </c>
    </row>
    <row r="250" spans="1:22" x14ac:dyDescent="0.15">
      <c r="A250">
        <v>245</v>
      </c>
      <c r="B250" s="6">
        <f>首页!$B$4+2*A250/1000</f>
        <v>0.61</v>
      </c>
      <c r="C250" s="6">
        <f>首页!$B$7+273.15</f>
        <v>388.15</v>
      </c>
      <c r="D250" s="6">
        <f>首页!$B$6+273.15</f>
        <v>293.14999999999998</v>
      </c>
      <c r="E250" s="6">
        <f>首页!$B$5+273.15</f>
        <v>1373.15</v>
      </c>
      <c r="F250" s="6">
        <f t="shared" si="27"/>
        <v>95</v>
      </c>
      <c r="G250" s="6">
        <f t="shared" si="28"/>
        <v>340.65</v>
      </c>
      <c r="H250" s="6">
        <f t="shared" si="29"/>
        <v>1.9926207055139041E-5</v>
      </c>
      <c r="I250" s="7">
        <f t="shared" si="30"/>
        <v>1158916576932337.8</v>
      </c>
      <c r="J250" s="6">
        <f t="shared" si="31"/>
        <v>1.0226038455893147</v>
      </c>
      <c r="K250" s="7">
        <f>J250*H250*首页!$B$12/P250</f>
        <v>0.69532757496605813</v>
      </c>
      <c r="L250" s="6">
        <f>首页!$B$9*0.0000000567*((C250^4-D250^4)/(C250-D250))</f>
        <v>7.7687338005019564</v>
      </c>
      <c r="M250" s="6">
        <f>IF(首页!$B$13="自然对流",IF(首页!$B$14="立式圆筒",首页!$B$10,PI()*B250/2),PI()*B250/2)</f>
        <v>55.2</v>
      </c>
      <c r="N250" s="7">
        <f>IF(首页!$B$13="强制对流",首页!$B$11*M250/H250,0)</f>
        <v>0</v>
      </c>
      <c r="O250" s="6">
        <f>IF(首页!$B$13="自然对流",IF(首页!$B$14="立式圆筒",(0.825+0.3063*I250^(1/6))^2+0.87*(M250/B250),(0.752+0.303*I250^(1/6))^2),0.3+SQRT((0.592*N250^0.5)^2+(0.0262*N250^0.8/(1-0.5/N250^0.1))^2))</f>
        <v>10097.935371787358</v>
      </c>
      <c r="P250" s="6">
        <f t="shared" si="32"/>
        <v>2.9510194925512497E-2</v>
      </c>
      <c r="Q250" s="6">
        <f t="shared" si="33"/>
        <v>5.3984065428745005</v>
      </c>
      <c r="R250" s="6">
        <f t="shared" si="34"/>
        <v>13.167140343376456</v>
      </c>
      <c r="S250" s="6">
        <f>B250*LN(B250/首页!$B$4)</f>
        <v>0.99184000077503953</v>
      </c>
      <c r="T250" s="6">
        <f>2*首页!$B$8*(E250-C250)/(R250*(C250-D250))</f>
        <v>7.0870201911856584E-2</v>
      </c>
      <c r="U250" t="str">
        <f>IF(首页!$B$13="自然对流","按自然对流公式", "按强制对流公式")</f>
        <v>按自然对流公式</v>
      </c>
      <c r="V250" s="6">
        <f t="shared" si="35"/>
        <v>0.92096979886318298</v>
      </c>
    </row>
    <row r="251" spans="1:22" x14ac:dyDescent="0.15">
      <c r="A251">
        <v>246</v>
      </c>
      <c r="B251" s="6">
        <f>首页!$B$4+2*A251/1000</f>
        <v>0.61199999999999999</v>
      </c>
      <c r="C251" s="6">
        <f>首页!$B$7+273.15</f>
        <v>388.15</v>
      </c>
      <c r="D251" s="6">
        <f>首页!$B$6+273.15</f>
        <v>293.14999999999998</v>
      </c>
      <c r="E251" s="6">
        <f>首页!$B$5+273.15</f>
        <v>1373.15</v>
      </c>
      <c r="F251" s="6">
        <f t="shared" si="27"/>
        <v>95</v>
      </c>
      <c r="G251" s="6">
        <f t="shared" si="28"/>
        <v>340.65</v>
      </c>
      <c r="H251" s="6">
        <f t="shared" si="29"/>
        <v>1.9926207055139041E-5</v>
      </c>
      <c r="I251" s="7">
        <f t="shared" si="30"/>
        <v>1158916576932337.8</v>
      </c>
      <c r="J251" s="6">
        <f t="shared" si="31"/>
        <v>1.0226038455893147</v>
      </c>
      <c r="K251" s="7">
        <f>J251*H251*首页!$B$12/P251</f>
        <v>0.69532757496605813</v>
      </c>
      <c r="L251" s="6">
        <f>首页!$B$9*0.0000000567*((C251^4-D251^4)/(C251-D251))</f>
        <v>7.7687338005019564</v>
      </c>
      <c r="M251" s="6">
        <f>IF(首页!$B$13="自然对流",IF(首页!$B$14="立式圆筒",首页!$B$10,PI()*B251/2),PI()*B251/2)</f>
        <v>55.2</v>
      </c>
      <c r="N251" s="7">
        <f>IF(首页!$B$13="强制对流",首页!$B$11*M251/H251,0)</f>
        <v>0</v>
      </c>
      <c r="O251" s="6">
        <f>IF(首页!$B$13="自然对流",IF(首页!$B$14="立式圆筒",(0.825+0.3063*I251^(1/6))^2+0.87*(M251/B251),(0.752+0.303*I251^(1/6))^2),0.3+SQRT((0.592*N251^0.5)^2+(0.0262*N251^0.8/(1-0.5/N251^0.1))^2))</f>
        <v>10097.678091170194</v>
      </c>
      <c r="P251" s="6">
        <f t="shared" si="32"/>
        <v>2.9510194925512497E-2</v>
      </c>
      <c r="Q251" s="6">
        <f t="shared" si="33"/>
        <v>5.3982689993751691</v>
      </c>
      <c r="R251" s="6">
        <f t="shared" si="34"/>
        <v>13.167002799877125</v>
      </c>
      <c r="S251" s="6">
        <f>B251*LN(B251/首页!$B$4)</f>
        <v>0.99709521031493153</v>
      </c>
      <c r="T251" s="6">
        <f>2*首页!$B$8*(E251-C251)/(R251*(C251-D251))</f>
        <v>7.0870942227304029E-2</v>
      </c>
      <c r="U251" t="str">
        <f>IF(首页!$B$13="自然对流","按自然对流公式", "按强制对流公式")</f>
        <v>按自然对流公式</v>
      </c>
      <c r="V251" s="6">
        <f t="shared" si="35"/>
        <v>0.92622426808762748</v>
      </c>
    </row>
    <row r="252" spans="1:22" x14ac:dyDescent="0.15">
      <c r="A252">
        <v>247</v>
      </c>
      <c r="B252" s="6">
        <f>首页!$B$4+2*A252/1000</f>
        <v>0.61399999999999999</v>
      </c>
      <c r="C252" s="6">
        <f>首页!$B$7+273.15</f>
        <v>388.15</v>
      </c>
      <c r="D252" s="6">
        <f>首页!$B$6+273.15</f>
        <v>293.14999999999998</v>
      </c>
      <c r="E252" s="6">
        <f>首页!$B$5+273.15</f>
        <v>1373.15</v>
      </c>
      <c r="F252" s="6">
        <f t="shared" si="27"/>
        <v>95</v>
      </c>
      <c r="G252" s="6">
        <f t="shared" si="28"/>
        <v>340.65</v>
      </c>
      <c r="H252" s="6">
        <f t="shared" si="29"/>
        <v>1.9926207055139041E-5</v>
      </c>
      <c r="I252" s="7">
        <f t="shared" si="30"/>
        <v>1158916576932337.8</v>
      </c>
      <c r="J252" s="6">
        <f t="shared" si="31"/>
        <v>1.0226038455893147</v>
      </c>
      <c r="K252" s="7">
        <f>J252*H252*首页!$B$12/P252</f>
        <v>0.69532757496605813</v>
      </c>
      <c r="L252" s="6">
        <f>首页!$B$9*0.0000000567*((C252^4-D252^4)/(C252-D252))</f>
        <v>7.7687338005019564</v>
      </c>
      <c r="M252" s="6">
        <f>IF(首页!$B$13="自然对流",IF(首页!$B$14="立式圆筒",首页!$B$10,PI()*B252/2),PI()*B252/2)</f>
        <v>55.2</v>
      </c>
      <c r="N252" s="7">
        <f>IF(首页!$B$13="强制对流",首页!$B$11*M252/H252,0)</f>
        <v>0</v>
      </c>
      <c r="O252" s="6">
        <f>IF(首页!$B$13="自然对流",IF(首页!$B$14="立式圆筒",(0.825+0.3063*I252^(1/6))^2+0.87*(M252/B252),(0.752+0.303*I252^(1/6))^2),0.3+SQRT((0.592*N252^0.5)^2+(0.0262*N252^0.8/(1-0.5/N252^0.1))^2))</f>
        <v>10097.422486648255</v>
      </c>
      <c r="P252" s="6">
        <f t="shared" si="32"/>
        <v>2.9510194925512497E-2</v>
      </c>
      <c r="Q252" s="6">
        <f t="shared" si="33"/>
        <v>5.3981323519246933</v>
      </c>
      <c r="R252" s="6">
        <f t="shared" si="34"/>
        <v>13.16686615242665</v>
      </c>
      <c r="S252" s="6">
        <f>B252*LN(B252/首页!$B$4)</f>
        <v>1.0023569558141694</v>
      </c>
      <c r="T252" s="6">
        <f>2*首页!$B$8*(E252-C252)/(R252*(C252-D252))</f>
        <v>7.0871677735165658E-2</v>
      </c>
      <c r="U252" t="str">
        <f>IF(首页!$B$13="自然对流","按自然对流公式", "按强制对流公式")</f>
        <v>按自然对流公式</v>
      </c>
      <c r="V252" s="6">
        <f t="shared" si="35"/>
        <v>0.93148527807900372</v>
      </c>
    </row>
    <row r="253" spans="1:22" x14ac:dyDescent="0.15">
      <c r="A253">
        <v>248</v>
      </c>
      <c r="B253" s="6">
        <f>首页!$B$4+2*A253/1000</f>
        <v>0.61599999999999999</v>
      </c>
      <c r="C253" s="6">
        <f>首页!$B$7+273.15</f>
        <v>388.15</v>
      </c>
      <c r="D253" s="6">
        <f>首页!$B$6+273.15</f>
        <v>293.14999999999998</v>
      </c>
      <c r="E253" s="6">
        <f>首页!$B$5+273.15</f>
        <v>1373.15</v>
      </c>
      <c r="F253" s="6">
        <f t="shared" si="27"/>
        <v>95</v>
      </c>
      <c r="G253" s="6">
        <f t="shared" si="28"/>
        <v>340.65</v>
      </c>
      <c r="H253" s="6">
        <f t="shared" si="29"/>
        <v>1.9926207055139041E-5</v>
      </c>
      <c r="I253" s="7">
        <f t="shared" si="30"/>
        <v>1158916576932337.8</v>
      </c>
      <c r="J253" s="6">
        <f t="shared" si="31"/>
        <v>1.0226038455893147</v>
      </c>
      <c r="K253" s="7">
        <f>J253*H253*首页!$B$12/P253</f>
        <v>0.69532757496605813</v>
      </c>
      <c r="L253" s="6">
        <f>首页!$B$9*0.0000000567*((C253^4-D253^4)/(C253-D253))</f>
        <v>7.7687338005019564</v>
      </c>
      <c r="M253" s="6">
        <f>IF(首页!$B$13="自然对流",IF(首页!$B$14="立式圆筒",首页!$B$10,PI()*B253/2),PI()*B253/2)</f>
        <v>55.2</v>
      </c>
      <c r="N253" s="7">
        <f>IF(首页!$B$13="强制对流",首页!$B$11*M253/H253,0)</f>
        <v>0</v>
      </c>
      <c r="O253" s="6">
        <f>IF(首页!$B$13="自然对流",IF(首页!$B$14="立式圆筒",(0.825+0.3063*I253^(1/6))^2+0.87*(M253/B253),(0.752+0.303*I253^(1/6))^2),0.3+SQRT((0.592*N253^0.5)^2+(0.0262*N253^0.8/(1-0.5/N253^0.1))^2))</f>
        <v>10097.168541895939</v>
      </c>
      <c r="P253" s="6">
        <f t="shared" si="32"/>
        <v>2.9510194925512497E-2</v>
      </c>
      <c r="Q253" s="6">
        <f t="shared" si="33"/>
        <v>5.3979965917953248</v>
      </c>
      <c r="R253" s="6">
        <f t="shared" si="34"/>
        <v>13.166730392297282</v>
      </c>
      <c r="S253" s="6">
        <f>B253*LN(B253/首页!$B$4)</f>
        <v>1.0076252159829078</v>
      </c>
      <c r="T253" s="6">
        <f>2*首页!$B$8*(E253-C253)/(R253*(C253-D253))</f>
        <v>7.0872408482120383E-2</v>
      </c>
      <c r="U253" t="str">
        <f>IF(首页!$B$13="自然对流","按自然对流公式", "按强制对流公式")</f>
        <v>按自然对流公式</v>
      </c>
      <c r="V253" s="6">
        <f t="shared" si="35"/>
        <v>0.93675280750078738</v>
      </c>
    </row>
    <row r="254" spans="1:22" x14ac:dyDescent="0.15">
      <c r="A254">
        <v>249</v>
      </c>
      <c r="B254" s="6">
        <f>首页!$B$4+2*A254/1000</f>
        <v>0.61799999999999999</v>
      </c>
      <c r="C254" s="6">
        <f>首页!$B$7+273.15</f>
        <v>388.15</v>
      </c>
      <c r="D254" s="6">
        <f>首页!$B$6+273.15</f>
        <v>293.14999999999998</v>
      </c>
      <c r="E254" s="6">
        <f>首页!$B$5+273.15</f>
        <v>1373.15</v>
      </c>
      <c r="F254" s="6">
        <f t="shared" si="27"/>
        <v>95</v>
      </c>
      <c r="G254" s="6">
        <f t="shared" si="28"/>
        <v>340.65</v>
      </c>
      <c r="H254" s="6">
        <f t="shared" si="29"/>
        <v>1.9926207055139041E-5</v>
      </c>
      <c r="I254" s="7">
        <f t="shared" si="30"/>
        <v>1158916576932337.8</v>
      </c>
      <c r="J254" s="6">
        <f t="shared" si="31"/>
        <v>1.0226038455893147</v>
      </c>
      <c r="K254" s="7">
        <f>J254*H254*首页!$B$12/P254</f>
        <v>0.69532757496605813</v>
      </c>
      <c r="L254" s="6">
        <f>首页!$B$9*0.0000000567*((C254^4-D254^4)/(C254-D254))</f>
        <v>7.7687338005019564</v>
      </c>
      <c r="M254" s="6">
        <f>IF(首页!$B$13="自然对流",IF(首页!$B$14="立式圆筒",首页!$B$10,PI()*B254/2),PI()*B254/2)</f>
        <v>55.2</v>
      </c>
      <c r="N254" s="7">
        <f>IF(首页!$B$13="强制对流",首页!$B$11*M254/H254,0)</f>
        <v>0</v>
      </c>
      <c r="O254" s="6">
        <f>IF(首页!$B$13="自然对流",IF(首页!$B$14="立式圆筒",(0.825+0.3063*I254^(1/6))^2+0.87*(M254/B254),(0.752+0.303*I254^(1/6))^2),0.3+SQRT((0.592*N254^0.5)^2+(0.0262*N254^0.8/(1-0.5/N254^0.1))^2))</f>
        <v>10096.916240798977</v>
      </c>
      <c r="P254" s="6">
        <f t="shared" si="32"/>
        <v>2.9510194925512497E-2</v>
      </c>
      <c r="Q254" s="6">
        <f t="shared" si="33"/>
        <v>5.397861710372295</v>
      </c>
      <c r="R254" s="6">
        <f t="shared" si="34"/>
        <v>13.166595510874252</v>
      </c>
      <c r="S254" s="6">
        <f>B254*LN(B254/首页!$B$4)</f>
        <v>1.0128999696695484</v>
      </c>
      <c r="T254" s="6">
        <f>2*首页!$B$8*(E254-C254)/(R254*(C254-D254))</f>
        <v>7.0873134514244762E-2</v>
      </c>
      <c r="U254" t="str">
        <f>IF(首页!$B$13="自然对流","按自然对流公式", "按强制对流公式")</f>
        <v>按自然对流公式</v>
      </c>
      <c r="V254" s="6">
        <f t="shared" si="35"/>
        <v>0.94202683515530361</v>
      </c>
    </row>
    <row r="255" spans="1:22" x14ac:dyDescent="0.15">
      <c r="A255">
        <v>250</v>
      </c>
      <c r="B255" s="6">
        <f>首页!$B$4+2*A255/1000</f>
        <v>0.62</v>
      </c>
      <c r="C255" s="6">
        <f>首页!$B$7+273.15</f>
        <v>388.15</v>
      </c>
      <c r="D255" s="6">
        <f>首页!$B$6+273.15</f>
        <v>293.14999999999998</v>
      </c>
      <c r="E255" s="6">
        <f>首页!$B$5+273.15</f>
        <v>1373.15</v>
      </c>
      <c r="F255" s="6">
        <f t="shared" si="27"/>
        <v>95</v>
      </c>
      <c r="G255" s="6">
        <f t="shared" si="28"/>
        <v>340.65</v>
      </c>
      <c r="H255" s="6">
        <f t="shared" si="29"/>
        <v>1.9926207055139041E-5</v>
      </c>
      <c r="I255" s="7">
        <f t="shared" si="30"/>
        <v>1158916576932337.8</v>
      </c>
      <c r="J255" s="6">
        <f t="shared" si="31"/>
        <v>1.0226038455893147</v>
      </c>
      <c r="K255" s="7">
        <f>J255*H255*首页!$B$12/P255</f>
        <v>0.69532757496605813</v>
      </c>
      <c r="L255" s="6">
        <f>首页!$B$9*0.0000000567*((C255^4-D255^4)/(C255-D255))</f>
        <v>7.7687338005019564</v>
      </c>
      <c r="M255" s="6">
        <f>IF(首页!$B$13="自然对流",IF(首页!$B$14="立式圆筒",首页!$B$10,PI()*B255/2),PI()*B255/2)</f>
        <v>55.2</v>
      </c>
      <c r="N255" s="7">
        <f>IF(首页!$B$13="强制对流",首页!$B$11*M255/H255,0)</f>
        <v>0</v>
      </c>
      <c r="O255" s="6">
        <f>IF(首页!$B$13="自然对流",IF(首页!$B$14="立式圆筒",(0.825+0.3063*I255^(1/6))^2+0.87*(M255/B255),(0.752+0.303*I255^(1/6))^2),0.3+SQRT((0.592*N255^0.5)^2+(0.0262*N255^0.8/(1-0.5/N255^0.1))^2))</f>
        <v>10096.665567451029</v>
      </c>
      <c r="P255" s="6">
        <f t="shared" si="32"/>
        <v>2.9510194925512497E-2</v>
      </c>
      <c r="Q255" s="6">
        <f t="shared" si="33"/>
        <v>5.3977276991519938</v>
      </c>
      <c r="R255" s="6">
        <f t="shared" si="34"/>
        <v>13.16646149965395</v>
      </c>
      <c r="S255" s="6">
        <f>B255*LN(B255/首页!$B$4)</f>
        <v>1.0181811958593967</v>
      </c>
      <c r="T255" s="6">
        <f>2*首页!$B$8*(E255-C255)/(R255*(C255-D255))</f>
        <v>7.087385587702269E-2</v>
      </c>
      <c r="U255" t="str">
        <f>IF(首页!$B$13="自然对流","按自然对流公式", "按强制对流公式")</f>
        <v>按自然对流公式</v>
      </c>
      <c r="V255" s="6">
        <f t="shared" si="35"/>
        <v>0.94730733998237404</v>
      </c>
    </row>
    <row r="256" spans="1:22" x14ac:dyDescent="0.15">
      <c r="A256">
        <v>251</v>
      </c>
      <c r="B256" s="6">
        <f>首页!$B$4+2*A256/1000</f>
        <v>0.622</v>
      </c>
      <c r="C256" s="6">
        <f>首页!$B$7+273.15</f>
        <v>388.15</v>
      </c>
      <c r="D256" s="6">
        <f>首页!$B$6+273.15</f>
        <v>293.14999999999998</v>
      </c>
      <c r="E256" s="6">
        <f>首页!$B$5+273.15</f>
        <v>1373.15</v>
      </c>
      <c r="F256" s="6">
        <f t="shared" si="27"/>
        <v>95</v>
      </c>
      <c r="G256" s="6">
        <f t="shared" si="28"/>
        <v>340.65</v>
      </c>
      <c r="H256" s="6">
        <f t="shared" si="29"/>
        <v>1.9926207055139041E-5</v>
      </c>
      <c r="I256" s="7">
        <f t="shared" si="30"/>
        <v>1158916576932337.8</v>
      </c>
      <c r="J256" s="6">
        <f t="shared" si="31"/>
        <v>1.0226038455893147</v>
      </c>
      <c r="K256" s="7">
        <f>J256*H256*首页!$B$12/P256</f>
        <v>0.69532757496605813</v>
      </c>
      <c r="L256" s="6">
        <f>首页!$B$9*0.0000000567*((C256^4-D256^4)/(C256-D256))</f>
        <v>7.7687338005019564</v>
      </c>
      <c r="M256" s="6">
        <f>IF(首页!$B$13="自然对流",IF(首页!$B$14="立式圆筒",首页!$B$10,PI()*B256/2),PI()*B256/2)</f>
        <v>55.2</v>
      </c>
      <c r="N256" s="7">
        <f>IF(首页!$B$13="强制对流",首页!$B$11*M256/H256,0)</f>
        <v>0</v>
      </c>
      <c r="O256" s="6">
        <f>IF(首页!$B$13="自然对流",IF(首页!$B$14="立式圆筒",(0.825+0.3063*I256^(1/6))^2+0.87*(M256/B256),(0.752+0.303*I256^(1/6))^2),0.3+SQRT((0.592*N256^0.5)^2+(0.0262*N256^0.8/(1-0.5/N256^0.1))^2))</f>
        <v>10096.416506150334</v>
      </c>
      <c r="P256" s="6">
        <f t="shared" si="32"/>
        <v>2.9510194925512497E-2</v>
      </c>
      <c r="Q256" s="6">
        <f t="shared" si="33"/>
        <v>5.3975945497401847</v>
      </c>
      <c r="R256" s="6">
        <f t="shared" si="34"/>
        <v>13.166328350242141</v>
      </c>
      <c r="S256" s="6">
        <f>B256*LN(B256/首页!$B$4)</f>
        <v>1.0234688736733371</v>
      </c>
      <c r="T256" s="6">
        <f>2*首页!$B$8*(E256-C256)/(R256*(C256-D256))</f>
        <v>7.0874572615354875E-2</v>
      </c>
      <c r="U256" t="str">
        <f>IF(首页!$B$13="自然对流","按自然对流公式", "按强制对流公式")</f>
        <v>按自然对流公式</v>
      </c>
      <c r="V256" s="6">
        <f t="shared" si="35"/>
        <v>0.95259430105798215</v>
      </c>
    </row>
    <row r="257" spans="1:22" x14ac:dyDescent="0.15">
      <c r="A257">
        <v>252</v>
      </c>
      <c r="B257" s="6">
        <f>首页!$B$4+2*A257/1000</f>
        <v>0.624</v>
      </c>
      <c r="C257" s="6">
        <f>首页!$B$7+273.15</f>
        <v>388.15</v>
      </c>
      <c r="D257" s="6">
        <f>首页!$B$6+273.15</f>
        <v>293.14999999999998</v>
      </c>
      <c r="E257" s="6">
        <f>首页!$B$5+273.15</f>
        <v>1373.15</v>
      </c>
      <c r="F257" s="6">
        <f t="shared" si="27"/>
        <v>95</v>
      </c>
      <c r="G257" s="6">
        <f t="shared" si="28"/>
        <v>340.65</v>
      </c>
      <c r="H257" s="6">
        <f t="shared" si="29"/>
        <v>1.9926207055139041E-5</v>
      </c>
      <c r="I257" s="7">
        <f t="shared" si="30"/>
        <v>1158916576932337.8</v>
      </c>
      <c r="J257" s="6">
        <f t="shared" si="31"/>
        <v>1.0226038455893147</v>
      </c>
      <c r="K257" s="7">
        <f>J257*H257*首页!$B$12/P257</f>
        <v>0.69532757496605813</v>
      </c>
      <c r="L257" s="6">
        <f>首页!$B$9*0.0000000567*((C257^4-D257^4)/(C257-D257))</f>
        <v>7.7687338005019564</v>
      </c>
      <c r="M257" s="6">
        <f>IF(首页!$B$13="自然对流",IF(首页!$B$14="立式圆筒",首页!$B$10,PI()*B257/2),PI()*B257/2)</f>
        <v>55.2</v>
      </c>
      <c r="N257" s="7">
        <f>IF(首页!$B$13="强制对流",首页!$B$11*M257/H257,0)</f>
        <v>0</v>
      </c>
      <c r="O257" s="6">
        <f>IF(首页!$B$13="自然对流",IF(首页!$B$14="立式圆筒",(0.825+0.3063*I257^(1/6))^2+0.87*(M257/B257),(0.752+0.303*I257^(1/6))^2),0.3+SQRT((0.592*N257^0.5)^2+(0.0262*N257^0.8/(1-0.5/N257^0.1))^2))</f>
        <v>10096.169041396439</v>
      </c>
      <c r="P257" s="6">
        <f t="shared" si="32"/>
        <v>2.9510194925512497E-2</v>
      </c>
      <c r="Q257" s="6">
        <f t="shared" si="33"/>
        <v>5.3974622538502448</v>
      </c>
      <c r="R257" s="6">
        <f t="shared" si="34"/>
        <v>13.166196054352202</v>
      </c>
      <c r="S257" s="6">
        <f>B257*LN(B257/首页!$B$4)</f>
        <v>1.0287629823665261</v>
      </c>
      <c r="T257" s="6">
        <f>2*首页!$B$8*(E257-C257)/(R257*(C257-D257))</f>
        <v>7.0875284773568178E-2</v>
      </c>
      <c r="U257" t="str">
        <f>IF(首页!$B$13="自然对流","按自然对流公式", "按强制对流公式")</f>
        <v>按自然对流公式</v>
      </c>
      <c r="V257" s="6">
        <f t="shared" si="35"/>
        <v>0.95788769759295789</v>
      </c>
    </row>
    <row r="258" spans="1:22" x14ac:dyDescent="0.15">
      <c r="A258">
        <v>253</v>
      </c>
      <c r="B258" s="6">
        <f>首页!$B$4+2*A258/1000</f>
        <v>0.626</v>
      </c>
      <c r="C258" s="6">
        <f>首页!$B$7+273.15</f>
        <v>388.15</v>
      </c>
      <c r="D258" s="6">
        <f>首页!$B$6+273.15</f>
        <v>293.14999999999998</v>
      </c>
      <c r="E258" s="6">
        <f>首页!$B$5+273.15</f>
        <v>1373.15</v>
      </c>
      <c r="F258" s="6">
        <f t="shared" si="27"/>
        <v>95</v>
      </c>
      <c r="G258" s="6">
        <f t="shared" si="28"/>
        <v>340.65</v>
      </c>
      <c r="H258" s="6">
        <f t="shared" si="29"/>
        <v>1.9926207055139041E-5</v>
      </c>
      <c r="I258" s="7">
        <f t="shared" si="30"/>
        <v>1158916576932337.8</v>
      </c>
      <c r="J258" s="6">
        <f t="shared" si="31"/>
        <v>1.0226038455893147</v>
      </c>
      <c r="K258" s="7">
        <f>J258*H258*首页!$B$12/P258</f>
        <v>0.69532757496605813</v>
      </c>
      <c r="L258" s="6">
        <f>首页!$B$9*0.0000000567*((C258^4-D258^4)/(C258-D258))</f>
        <v>7.7687338005019564</v>
      </c>
      <c r="M258" s="6">
        <f>IF(首页!$B$13="自然对流",IF(首页!$B$14="立式圆筒",首页!$B$10,PI()*B258/2),PI()*B258/2)</f>
        <v>55.2</v>
      </c>
      <c r="N258" s="7">
        <f>IF(首页!$B$13="强制对流",首页!$B$11*M258/H258,0)</f>
        <v>0</v>
      </c>
      <c r="O258" s="6">
        <f>IF(首页!$B$13="自然对流",IF(首页!$B$14="立式圆筒",(0.825+0.3063*I258^(1/6))^2+0.87*(M258/B258),(0.752+0.303*I258^(1/6))^2),0.3+SQRT((0.592*N258^0.5)^2+(0.0262*N258^0.8/(1-0.5/N258^0.1))^2))</f>
        <v>10095.923157886977</v>
      </c>
      <c r="P258" s="6">
        <f t="shared" si="32"/>
        <v>2.9510194925512497E-2</v>
      </c>
      <c r="Q258" s="6">
        <f t="shared" si="33"/>
        <v>5.3973308033014558</v>
      </c>
      <c r="R258" s="6">
        <f t="shared" si="34"/>
        <v>13.166064603803413</v>
      </c>
      <c r="S258" s="6">
        <f>B258*LN(B258/首页!$B$4)</f>
        <v>1.0340635013271009</v>
      </c>
      <c r="T258" s="6">
        <f>2*首页!$B$8*(E258-C258)/(R258*(C258-D258))</f>
        <v>7.0875992395424775E-2</v>
      </c>
      <c r="U258" t="str">
        <f>IF(首页!$B$13="自然对流","按自然对流公式", "按强制对流公式")</f>
        <v>按自然对流公式</v>
      </c>
      <c r="V258" s="6">
        <f t="shared" si="35"/>
        <v>0.96318750893167615</v>
      </c>
    </row>
    <row r="259" spans="1:22" x14ac:dyDescent="0.15">
      <c r="A259">
        <v>254</v>
      </c>
      <c r="B259" s="6">
        <f>首页!$B$4+2*A259/1000</f>
        <v>0.628</v>
      </c>
      <c r="C259" s="6">
        <f>首页!$B$7+273.15</f>
        <v>388.15</v>
      </c>
      <c r="D259" s="6">
        <f>首页!$B$6+273.15</f>
        <v>293.14999999999998</v>
      </c>
      <c r="E259" s="6">
        <f>首页!$B$5+273.15</f>
        <v>1373.15</v>
      </c>
      <c r="F259" s="6">
        <f t="shared" si="27"/>
        <v>95</v>
      </c>
      <c r="G259" s="6">
        <f t="shared" si="28"/>
        <v>340.65</v>
      </c>
      <c r="H259" s="6">
        <f t="shared" si="29"/>
        <v>1.9926207055139041E-5</v>
      </c>
      <c r="I259" s="7">
        <f t="shared" si="30"/>
        <v>1158916576932337.8</v>
      </c>
      <c r="J259" s="6">
        <f t="shared" si="31"/>
        <v>1.0226038455893147</v>
      </c>
      <c r="K259" s="7">
        <f>J259*H259*首页!$B$12/P259</f>
        <v>0.69532757496605813</v>
      </c>
      <c r="L259" s="6">
        <f>首页!$B$9*0.0000000567*((C259^4-D259^4)/(C259-D259))</f>
        <v>7.7687338005019564</v>
      </c>
      <c r="M259" s="6">
        <f>IF(首页!$B$13="自然对流",IF(首页!$B$14="立式圆筒",首页!$B$10,PI()*B259/2),PI()*B259/2)</f>
        <v>55.2</v>
      </c>
      <c r="N259" s="7">
        <f>IF(首页!$B$13="强制对流",首页!$B$11*M259/H259,0)</f>
        <v>0</v>
      </c>
      <c r="O259" s="6">
        <f>IF(首页!$B$13="自然对流",IF(首页!$B$14="立式圆筒",(0.825+0.3063*I259^(1/6))^2+0.87*(M259/B259),(0.752+0.303*I259^(1/6))^2),0.3+SQRT((0.592*N259^0.5)^2+(0.0262*N259^0.8/(1-0.5/N259^0.1))^2))</f>
        <v>10095.678840514518</v>
      </c>
      <c r="P259" s="6">
        <f t="shared" si="32"/>
        <v>2.9510194925512497E-2</v>
      </c>
      <c r="Q259" s="6">
        <f t="shared" si="33"/>
        <v>5.3972001900173074</v>
      </c>
      <c r="R259" s="6">
        <f t="shared" si="34"/>
        <v>13.165933990519264</v>
      </c>
      <c r="S259" s="6">
        <f>B259*LN(B259/首页!$B$4)</f>
        <v>1.0393704100749039</v>
      </c>
      <c r="T259" s="6">
        <f>2*首页!$B$8*(E259-C259)/(R259*(C259-D259))</f>
        <v>7.0876695524131103E-2</v>
      </c>
      <c r="U259" t="str">
        <f>IF(首页!$B$13="自然对流","按自然对流公式", "按强制对流公式")</f>
        <v>按自然对流公式</v>
      </c>
      <c r="V259" s="6">
        <f t="shared" si="35"/>
        <v>0.96849371455077282</v>
      </c>
    </row>
    <row r="260" spans="1:22" x14ac:dyDescent="0.15">
      <c r="A260">
        <v>255</v>
      </c>
      <c r="B260" s="6">
        <f>首页!$B$4+2*A260/1000</f>
        <v>0.63</v>
      </c>
      <c r="C260" s="6">
        <f>首页!$B$7+273.15</f>
        <v>388.15</v>
      </c>
      <c r="D260" s="6">
        <f>首页!$B$6+273.15</f>
        <v>293.14999999999998</v>
      </c>
      <c r="E260" s="6">
        <f>首页!$B$5+273.15</f>
        <v>1373.15</v>
      </c>
      <c r="F260" s="6">
        <f t="shared" si="27"/>
        <v>95</v>
      </c>
      <c r="G260" s="6">
        <f t="shared" si="28"/>
        <v>340.65</v>
      </c>
      <c r="H260" s="6">
        <f t="shared" si="29"/>
        <v>1.9926207055139041E-5</v>
      </c>
      <c r="I260" s="7">
        <f t="shared" si="30"/>
        <v>1158916576932337.8</v>
      </c>
      <c r="J260" s="6">
        <f t="shared" si="31"/>
        <v>1.0226038455893147</v>
      </c>
      <c r="K260" s="7">
        <f>J260*H260*首页!$B$12/P260</f>
        <v>0.69532757496605813</v>
      </c>
      <c r="L260" s="6">
        <f>首页!$B$9*0.0000000567*((C260^4-D260^4)/(C260-D260))</f>
        <v>7.7687338005019564</v>
      </c>
      <c r="M260" s="6">
        <f>IF(首页!$B$13="自然对流",IF(首页!$B$14="立式圆筒",首页!$B$10,PI()*B260/2),PI()*B260/2)</f>
        <v>55.2</v>
      </c>
      <c r="N260" s="7">
        <f>IF(首页!$B$13="强制对流",首页!$B$11*M260/H260,0)</f>
        <v>0</v>
      </c>
      <c r="O260" s="6">
        <f>IF(首页!$B$13="自然对流",IF(首页!$B$14="立式圆筒",(0.825+0.3063*I260^(1/6))^2+0.87*(M260/B260),(0.752+0.303*I260^(1/6))^2),0.3+SQRT((0.592*N260^0.5)^2+(0.0262*N260^0.8/(1-0.5/N260^0.1))^2))</f>
        <v>10095.436074363472</v>
      </c>
      <c r="P260" s="6">
        <f t="shared" si="32"/>
        <v>2.9510194925512497E-2</v>
      </c>
      <c r="Q260" s="6">
        <f t="shared" si="33"/>
        <v>5.397070406023853</v>
      </c>
      <c r="R260" s="6">
        <f t="shared" si="34"/>
        <v>13.165804206525809</v>
      </c>
      <c r="S260" s="6">
        <f>B260*LN(B260/首页!$B$4)</f>
        <v>1.0446836882602255</v>
      </c>
      <c r="T260" s="6">
        <f>2*首页!$B$8*(E260-C260)/(R260*(C260-D260))</f>
        <v>7.0877394202346553E-2</v>
      </c>
      <c r="U260" t="str">
        <f>IF(首页!$B$13="自然对流","按自然对流公式", "按强制对流公式")</f>
        <v>按自然对流公式</v>
      </c>
      <c r="V260" s="6">
        <f t="shared" si="35"/>
        <v>0.973806294057879</v>
      </c>
    </row>
    <row r="261" spans="1:22" x14ac:dyDescent="0.15">
      <c r="A261">
        <v>256</v>
      </c>
      <c r="B261" s="6">
        <f>首页!$B$4+2*A261/1000</f>
        <v>0.63200000000000001</v>
      </c>
      <c r="C261" s="6">
        <f>首页!$B$7+273.15</f>
        <v>388.15</v>
      </c>
      <c r="D261" s="6">
        <f>首页!$B$6+273.15</f>
        <v>293.14999999999998</v>
      </c>
      <c r="E261" s="6">
        <f>首页!$B$5+273.15</f>
        <v>1373.15</v>
      </c>
      <c r="F261" s="6">
        <f t="shared" ref="F261:F324" si="36">C261-D261</f>
        <v>95</v>
      </c>
      <c r="G261" s="6">
        <f t="shared" ref="G261:G324" si="37">(C261+D261)/2</f>
        <v>340.65</v>
      </c>
      <c r="H261" s="6">
        <f t="shared" ref="H261:H324" si="38">0.0000000042113*G261^2.5/(112+G261)</f>
        <v>1.9926207055139041E-5</v>
      </c>
      <c r="I261" s="7">
        <f t="shared" ref="I261:I324" si="39">9.81*M261^3*F261/(H261^2*G261)</f>
        <v>1158916576932337.8</v>
      </c>
      <c r="J261" s="6">
        <f t="shared" ref="J261:J324" si="40">348.35/G261</f>
        <v>1.0226038455893147</v>
      </c>
      <c r="K261" s="7">
        <f>J261*H261*首页!$B$12/P261</f>
        <v>0.69532757496605813</v>
      </c>
      <c r="L261" s="6">
        <f>首页!$B$9*0.0000000567*((C261^4-D261^4)/(C261-D261))</f>
        <v>7.7687338005019564</v>
      </c>
      <c r="M261" s="6">
        <f>IF(首页!$B$13="自然对流",IF(首页!$B$14="立式圆筒",首页!$B$10,PI()*B261/2),PI()*B261/2)</f>
        <v>55.2</v>
      </c>
      <c r="N261" s="7">
        <f>IF(首页!$B$13="强制对流",首页!$B$11*M261/H261,0)</f>
        <v>0</v>
      </c>
      <c r="O261" s="6">
        <f>IF(首页!$B$13="自然对流",IF(首页!$B$14="立式圆筒",(0.825+0.3063*I261^(1/6))^2+0.87*(M261/B261),(0.752+0.303*I261^(1/6))^2),0.3+SQRT((0.592*N261^0.5)^2+(0.0262*N261^0.8/(1-0.5/N261^0.1))^2))</f>
        <v>10095.194844707052</v>
      </c>
      <c r="P261" s="6">
        <f t="shared" ref="P261:P324" si="41">0.0243+0.000078421*(G261-273)-0.000000020755*(G261-273)^2</f>
        <v>2.9510194925512497E-2</v>
      </c>
      <c r="Q261" s="6">
        <f t="shared" ref="Q261:Q324" si="42">O261*P261/M261</f>
        <v>5.3969414434480791</v>
      </c>
      <c r="R261" s="6">
        <f t="shared" ref="R261:R324" si="43">L261+Q261</f>
        <v>13.165675243950036</v>
      </c>
      <c r="S261" s="6">
        <f>B261*LN(B261/首页!$B$4)</f>
        <v>1.0500033156625608</v>
      </c>
      <c r="T261" s="6">
        <f>2*首页!$B$8*(E261-C261)/(R261*(C261-D261))</f>
        <v>7.0878088472192263E-2</v>
      </c>
      <c r="U261" t="str">
        <f>IF(首页!$B$13="自然对流","按自然对流公式", "按强制对流公式")</f>
        <v>按自然对流公式</v>
      </c>
      <c r="V261" s="6">
        <f t="shared" ref="V261:V324" si="44">ABS(S261-T261)</f>
        <v>0.97912522719036854</v>
      </c>
    </row>
    <row r="262" spans="1:22" x14ac:dyDescent="0.15">
      <c r="A262">
        <v>257</v>
      </c>
      <c r="B262" s="6">
        <f>首页!$B$4+2*A262/1000</f>
        <v>0.63400000000000001</v>
      </c>
      <c r="C262" s="6">
        <f>首页!$B$7+273.15</f>
        <v>388.15</v>
      </c>
      <c r="D262" s="6">
        <f>首页!$B$6+273.15</f>
        <v>293.14999999999998</v>
      </c>
      <c r="E262" s="6">
        <f>首页!$B$5+273.15</f>
        <v>1373.15</v>
      </c>
      <c r="F262" s="6">
        <f t="shared" si="36"/>
        <v>95</v>
      </c>
      <c r="G262" s="6">
        <f t="shared" si="37"/>
        <v>340.65</v>
      </c>
      <c r="H262" s="6">
        <f t="shared" si="38"/>
        <v>1.9926207055139041E-5</v>
      </c>
      <c r="I262" s="7">
        <f t="shared" si="39"/>
        <v>1158916576932337.8</v>
      </c>
      <c r="J262" s="6">
        <f t="shared" si="40"/>
        <v>1.0226038455893147</v>
      </c>
      <c r="K262" s="7">
        <f>J262*H262*首页!$B$12/P262</f>
        <v>0.69532757496605813</v>
      </c>
      <c r="L262" s="6">
        <f>首页!$B$9*0.0000000567*((C262^4-D262^4)/(C262-D262))</f>
        <v>7.7687338005019564</v>
      </c>
      <c r="M262" s="6">
        <f>IF(首页!$B$13="自然对流",IF(首页!$B$14="立式圆筒",首页!$B$10,PI()*B262/2),PI()*B262/2)</f>
        <v>55.2</v>
      </c>
      <c r="N262" s="7">
        <f>IF(首页!$B$13="强制对流",首页!$B$11*M262/H262,0)</f>
        <v>0</v>
      </c>
      <c r="O262" s="6">
        <f>IF(首页!$B$13="自然对流",IF(首页!$B$14="立式圆筒",(0.825+0.3063*I262^(1/6))^2+0.87*(M262/B262),(0.752+0.303*I262^(1/6))^2),0.3+SQRT((0.592*N262^0.5)^2+(0.0262*N262^0.8/(1-0.5/N262^0.1))^2))</f>
        <v>10094.955137004301</v>
      </c>
      <c r="P262" s="6">
        <f t="shared" si="41"/>
        <v>2.9510194925512497E-2</v>
      </c>
      <c r="Q262" s="6">
        <f t="shared" si="42"/>
        <v>5.3968132945163152</v>
      </c>
      <c r="R262" s="6">
        <f t="shared" si="43"/>
        <v>13.165547095018272</v>
      </c>
      <c r="S262" s="6">
        <f>B262*LN(B262/首页!$B$4)</f>
        <v>1.0553292721893841</v>
      </c>
      <c r="T262" s="6">
        <f>2*首页!$B$8*(E262-C262)/(R262*(C262-D262))</f>
        <v>7.0878778375259535E-2</v>
      </c>
      <c r="U262" t="str">
        <f>IF(首页!$B$13="自然对流","按自然对流公式", "按强制对流公式")</f>
        <v>按自然对流公式</v>
      </c>
      <c r="V262" s="6">
        <f t="shared" si="44"/>
        <v>0.98445049381412453</v>
      </c>
    </row>
    <row r="263" spans="1:22" x14ac:dyDescent="0.15">
      <c r="A263">
        <v>258</v>
      </c>
      <c r="B263" s="6">
        <f>首页!$B$4+2*A263/1000</f>
        <v>0.63600000000000001</v>
      </c>
      <c r="C263" s="6">
        <f>首页!$B$7+273.15</f>
        <v>388.15</v>
      </c>
      <c r="D263" s="6">
        <f>首页!$B$6+273.15</f>
        <v>293.14999999999998</v>
      </c>
      <c r="E263" s="6">
        <f>首页!$B$5+273.15</f>
        <v>1373.15</v>
      </c>
      <c r="F263" s="6">
        <f t="shared" si="36"/>
        <v>95</v>
      </c>
      <c r="G263" s="6">
        <f t="shared" si="37"/>
        <v>340.65</v>
      </c>
      <c r="H263" s="6">
        <f t="shared" si="38"/>
        <v>1.9926207055139041E-5</v>
      </c>
      <c r="I263" s="7">
        <f t="shared" si="39"/>
        <v>1158916576932337.8</v>
      </c>
      <c r="J263" s="6">
        <f t="shared" si="40"/>
        <v>1.0226038455893147</v>
      </c>
      <c r="K263" s="7">
        <f>J263*H263*首页!$B$12/P263</f>
        <v>0.69532757496605813</v>
      </c>
      <c r="L263" s="6">
        <f>首页!$B$9*0.0000000567*((C263^4-D263^4)/(C263-D263))</f>
        <v>7.7687338005019564</v>
      </c>
      <c r="M263" s="6">
        <f>IF(首页!$B$13="自然对流",IF(首页!$B$14="立式圆筒",首页!$B$10,PI()*B263/2),PI()*B263/2)</f>
        <v>55.2</v>
      </c>
      <c r="N263" s="7">
        <f>IF(首页!$B$13="强制对流",首页!$B$11*M263/H263,0)</f>
        <v>0</v>
      </c>
      <c r="O263" s="6">
        <f>IF(首页!$B$13="自然对流",IF(首页!$B$14="立式圆筒",(0.825+0.3063*I263^(1/6))^2+0.87*(M263/B263),(0.752+0.303*I263^(1/6))^2),0.3+SQRT((0.592*N263^0.5)^2+(0.0262*N263^0.8/(1-0.5/N263^0.1))^2))</f>
        <v>10094.716936897164</v>
      </c>
      <c r="P263" s="6">
        <f t="shared" si="41"/>
        <v>2.9510194925512497E-2</v>
      </c>
      <c r="Q263" s="6">
        <f t="shared" si="42"/>
        <v>5.3966859515526764</v>
      </c>
      <c r="R263" s="6">
        <f t="shared" si="43"/>
        <v>13.165419752054632</v>
      </c>
      <c r="S263" s="6">
        <f>B263*LN(B263/首页!$B$4)</f>
        <v>1.0606615378749364</v>
      </c>
      <c r="T263" s="6">
        <f>2*首页!$B$8*(E263-C263)/(R263*(C263-D263))</f>
        <v>7.0879463952618071E-2</v>
      </c>
      <c r="U263" t="str">
        <f>IF(首页!$B$13="自然对流","按自然对流公式", "按强制对流公式")</f>
        <v>按自然对流公式</v>
      </c>
      <c r="V263" s="6">
        <f t="shared" si="44"/>
        <v>0.98978207392231843</v>
      </c>
    </row>
    <row r="264" spans="1:22" x14ac:dyDescent="0.15">
      <c r="A264">
        <v>259</v>
      </c>
      <c r="B264" s="6">
        <f>首页!$B$4+2*A264/1000</f>
        <v>0.63800000000000001</v>
      </c>
      <c r="C264" s="6">
        <f>首页!$B$7+273.15</f>
        <v>388.15</v>
      </c>
      <c r="D264" s="6">
        <f>首页!$B$6+273.15</f>
        <v>293.14999999999998</v>
      </c>
      <c r="E264" s="6">
        <f>首页!$B$5+273.15</f>
        <v>1373.15</v>
      </c>
      <c r="F264" s="6">
        <f t="shared" si="36"/>
        <v>95</v>
      </c>
      <c r="G264" s="6">
        <f t="shared" si="37"/>
        <v>340.65</v>
      </c>
      <c r="H264" s="6">
        <f t="shared" si="38"/>
        <v>1.9926207055139041E-5</v>
      </c>
      <c r="I264" s="7">
        <f t="shared" si="39"/>
        <v>1158916576932337.8</v>
      </c>
      <c r="J264" s="6">
        <f t="shared" si="40"/>
        <v>1.0226038455893147</v>
      </c>
      <c r="K264" s="7">
        <f>J264*H264*首页!$B$12/P264</f>
        <v>0.69532757496605813</v>
      </c>
      <c r="L264" s="6">
        <f>首页!$B$9*0.0000000567*((C264^4-D264^4)/(C264-D264))</f>
        <v>7.7687338005019564</v>
      </c>
      <c r="M264" s="6">
        <f>IF(首页!$B$13="自然对流",IF(首页!$B$14="立式圆筒",首页!$B$10,PI()*B264/2),PI()*B264/2)</f>
        <v>55.2</v>
      </c>
      <c r="N264" s="7">
        <f>IF(首页!$B$13="强制对流",首页!$B$11*M264/H264,0)</f>
        <v>0</v>
      </c>
      <c r="O264" s="6">
        <f>IF(首页!$B$13="自然对流",IF(首页!$B$14="立式圆筒",(0.825+0.3063*I264^(1/6))^2+0.87*(M264/B264),(0.752+0.303*I264^(1/6))^2),0.3+SQRT((0.592*N264^0.5)^2+(0.0262*N264^0.8/(1-0.5/N264^0.1))^2))</f>
        <v>10094.480230207628</v>
      </c>
      <c r="P264" s="6">
        <f t="shared" si="41"/>
        <v>2.9510194925512497E-2</v>
      </c>
      <c r="Q264" s="6">
        <f t="shared" si="42"/>
        <v>5.3965594069775236</v>
      </c>
      <c r="R264" s="6">
        <f t="shared" si="43"/>
        <v>13.165293207479479</v>
      </c>
      <c r="S264" s="6">
        <f>B264*LN(B264/首页!$B$4)</f>
        <v>1.0660000928790307</v>
      </c>
      <c r="T264" s="6">
        <f>2*首页!$B$8*(E264-C264)/(R264*(C264-D264))</f>
        <v>7.0880145244824139E-2</v>
      </c>
      <c r="U264" t="str">
        <f>IF(首页!$B$13="自然对流","按自然对流公式", "按强制对流公式")</f>
        <v>按自然对流公式</v>
      </c>
      <c r="V264" s="6">
        <f t="shared" si="44"/>
        <v>0.99511994763420664</v>
      </c>
    </row>
    <row r="265" spans="1:22" x14ac:dyDescent="0.15">
      <c r="A265">
        <v>260</v>
      </c>
      <c r="B265" s="6">
        <f>首页!$B$4+2*A265/1000</f>
        <v>0.64</v>
      </c>
      <c r="C265" s="6">
        <f>首页!$B$7+273.15</f>
        <v>388.15</v>
      </c>
      <c r="D265" s="6">
        <f>首页!$B$6+273.15</f>
        <v>293.14999999999998</v>
      </c>
      <c r="E265" s="6">
        <f>首页!$B$5+273.15</f>
        <v>1373.15</v>
      </c>
      <c r="F265" s="6">
        <f t="shared" si="36"/>
        <v>95</v>
      </c>
      <c r="G265" s="6">
        <f t="shared" si="37"/>
        <v>340.65</v>
      </c>
      <c r="H265" s="6">
        <f t="shared" si="38"/>
        <v>1.9926207055139041E-5</v>
      </c>
      <c r="I265" s="7">
        <f t="shared" si="39"/>
        <v>1158916576932337.8</v>
      </c>
      <c r="J265" s="6">
        <f t="shared" si="40"/>
        <v>1.0226038455893147</v>
      </c>
      <c r="K265" s="7">
        <f>J265*H265*首页!$B$12/P265</f>
        <v>0.69532757496605813</v>
      </c>
      <c r="L265" s="6">
        <f>首页!$B$9*0.0000000567*((C265^4-D265^4)/(C265-D265))</f>
        <v>7.7687338005019564</v>
      </c>
      <c r="M265" s="6">
        <f>IF(首页!$B$13="自然对流",IF(首页!$B$14="立式圆筒",首页!$B$10,PI()*B265/2),PI()*B265/2)</f>
        <v>55.2</v>
      </c>
      <c r="N265" s="7">
        <f>IF(首页!$B$13="强制对流",首页!$B$11*M265/H265,0)</f>
        <v>0</v>
      </c>
      <c r="O265" s="6">
        <f>IF(首页!$B$13="自然对流",IF(首页!$B$14="立式圆筒",(0.825+0.3063*I265^(1/6))^2+0.87*(M265/B265),(0.752+0.303*I265^(1/6))^2),0.3+SQRT((0.592*N265^0.5)^2+(0.0262*N265^0.8/(1-0.5/N265^0.1))^2))</f>
        <v>10094.2450029349</v>
      </c>
      <c r="P265" s="6">
        <f t="shared" si="41"/>
        <v>2.9510194925512497E-2</v>
      </c>
      <c r="Q265" s="6">
        <f t="shared" si="42"/>
        <v>5.3964336533059667</v>
      </c>
      <c r="R265" s="6">
        <f t="shared" si="43"/>
        <v>13.165167453807923</v>
      </c>
      <c r="S265" s="6">
        <f>B265*LN(B265/首页!$B$4)</f>
        <v>1.0713449174858698</v>
      </c>
      <c r="T265" s="6">
        <f>2*首页!$B$8*(E265-C265)/(R265*(C265-D265))</f>
        <v>7.0880822291928658E-2</v>
      </c>
      <c r="U265" t="str">
        <f>IF(首页!$B$13="自然对流","按自然对流公式", "按强制对流公式")</f>
        <v>按自然对流公式</v>
      </c>
      <c r="V265" s="6">
        <f t="shared" si="44"/>
        <v>1.0004640951939412</v>
      </c>
    </row>
    <row r="266" spans="1:22" x14ac:dyDescent="0.15">
      <c r="A266">
        <v>261</v>
      </c>
      <c r="B266" s="6">
        <f>首页!$B$4+2*A266/1000</f>
        <v>0.64200000000000002</v>
      </c>
      <c r="C266" s="6">
        <f>首页!$B$7+273.15</f>
        <v>388.15</v>
      </c>
      <c r="D266" s="6">
        <f>首页!$B$6+273.15</f>
        <v>293.14999999999998</v>
      </c>
      <c r="E266" s="6">
        <f>首页!$B$5+273.15</f>
        <v>1373.15</v>
      </c>
      <c r="F266" s="6">
        <f t="shared" si="36"/>
        <v>95</v>
      </c>
      <c r="G266" s="6">
        <f t="shared" si="37"/>
        <v>340.65</v>
      </c>
      <c r="H266" s="6">
        <f t="shared" si="38"/>
        <v>1.9926207055139041E-5</v>
      </c>
      <c r="I266" s="7">
        <f t="shared" si="39"/>
        <v>1158916576932337.8</v>
      </c>
      <c r="J266" s="6">
        <f t="shared" si="40"/>
        <v>1.0226038455893147</v>
      </c>
      <c r="K266" s="7">
        <f>J266*H266*首页!$B$12/P266</f>
        <v>0.69532757496605813</v>
      </c>
      <c r="L266" s="6">
        <f>首页!$B$9*0.0000000567*((C266^4-D266^4)/(C266-D266))</f>
        <v>7.7687338005019564</v>
      </c>
      <c r="M266" s="6">
        <f>IF(首页!$B$13="自然对流",IF(首页!$B$14="立式圆筒",首页!$B$10,PI()*B266/2),PI()*B266/2)</f>
        <v>55.2</v>
      </c>
      <c r="N266" s="7">
        <f>IF(首页!$B$13="强制对流",首页!$B$11*M266/H266,0)</f>
        <v>0</v>
      </c>
      <c r="O266" s="6">
        <f>IF(首页!$B$13="自然对流",IF(首页!$B$14="立式圆筒",(0.825+0.3063*I266^(1/6))^2+0.87*(M266/B266),(0.752+0.303*I266^(1/6))^2),0.3+SQRT((0.592*N266^0.5)^2+(0.0262*N266^0.8/(1-0.5/N266^0.1))^2))</f>
        <v>10094.011241252656</v>
      </c>
      <c r="P266" s="6">
        <f t="shared" si="41"/>
        <v>2.9510194925512497E-2</v>
      </c>
      <c r="Q266" s="6">
        <f t="shared" si="42"/>
        <v>5.3963086831463807</v>
      </c>
      <c r="R266" s="6">
        <f t="shared" si="43"/>
        <v>13.165042483648337</v>
      </c>
      <c r="S266" s="6">
        <f>B266*LN(B266/首页!$B$4)</f>
        <v>1.0766959921028816</v>
      </c>
      <c r="T266" s="6">
        <f>2*首页!$B$8*(E266-C266)/(R266*(C266-D266))</f>
        <v>7.0881495133484948E-2</v>
      </c>
      <c r="U266" t="str">
        <f>IF(首页!$B$13="自然对流","按自然对流公式", "按强制对流公式")</f>
        <v>按自然对流公式</v>
      </c>
      <c r="V266" s="6">
        <f t="shared" si="44"/>
        <v>1.0058144969693967</v>
      </c>
    </row>
    <row r="267" spans="1:22" x14ac:dyDescent="0.15">
      <c r="A267">
        <v>262</v>
      </c>
      <c r="B267" s="6">
        <f>首页!$B$4+2*A267/1000</f>
        <v>0.64400000000000002</v>
      </c>
      <c r="C267" s="6">
        <f>首页!$B$7+273.15</f>
        <v>388.15</v>
      </c>
      <c r="D267" s="6">
        <f>首页!$B$6+273.15</f>
        <v>293.14999999999998</v>
      </c>
      <c r="E267" s="6">
        <f>首页!$B$5+273.15</f>
        <v>1373.15</v>
      </c>
      <c r="F267" s="6">
        <f t="shared" si="36"/>
        <v>95</v>
      </c>
      <c r="G267" s="6">
        <f t="shared" si="37"/>
        <v>340.65</v>
      </c>
      <c r="H267" s="6">
        <f t="shared" si="38"/>
        <v>1.9926207055139041E-5</v>
      </c>
      <c r="I267" s="7">
        <f t="shared" si="39"/>
        <v>1158916576932337.8</v>
      </c>
      <c r="J267" s="6">
        <f t="shared" si="40"/>
        <v>1.0226038455893147</v>
      </c>
      <c r="K267" s="7">
        <f>J267*H267*首页!$B$12/P267</f>
        <v>0.69532757496605813</v>
      </c>
      <c r="L267" s="6">
        <f>首页!$B$9*0.0000000567*((C267^4-D267^4)/(C267-D267))</f>
        <v>7.7687338005019564</v>
      </c>
      <c r="M267" s="6">
        <f>IF(首页!$B$13="自然对流",IF(首页!$B$14="立式圆筒",首页!$B$10,PI()*B267/2),PI()*B267/2)</f>
        <v>55.2</v>
      </c>
      <c r="N267" s="7">
        <f>IF(首页!$B$13="强制对流",首页!$B$11*M267/H267,0)</f>
        <v>0</v>
      </c>
      <c r="O267" s="6">
        <f>IF(首页!$B$13="自然对流",IF(首页!$B$14="立式圆筒",(0.825+0.3063*I267^(1/6))^2+0.87*(M267/B267),(0.752+0.303*I267^(1/6))^2),0.3+SQRT((0.592*N267^0.5)^2+(0.0262*N267^0.8/(1-0.5/N267^0.1))^2))</f>
        <v>10093.778931506329</v>
      </c>
      <c r="P267" s="6">
        <f t="shared" si="41"/>
        <v>2.9510194925512497E-2</v>
      </c>
      <c r="Q267" s="6">
        <f t="shared" si="42"/>
        <v>5.3961844891989674</v>
      </c>
      <c r="R267" s="6">
        <f t="shared" si="43"/>
        <v>13.164918289700925</v>
      </c>
      <c r="S267" s="6">
        <f>B267*LN(B267/首页!$B$4)</f>
        <v>1.0820532972595662</v>
      </c>
      <c r="T267" s="6">
        <f>2*首页!$B$8*(E267-C267)/(R267*(C267-D267))</f>
        <v>7.0882163808556484E-2</v>
      </c>
      <c r="U267" t="str">
        <f>IF(首页!$B$13="自然对流","按自然对流公式", "按强制对流公式")</f>
        <v>按自然对流公式</v>
      </c>
      <c r="V267" s="6">
        <f t="shared" si="44"/>
        <v>1.0111711334510098</v>
      </c>
    </row>
    <row r="268" spans="1:22" x14ac:dyDescent="0.15">
      <c r="A268">
        <v>263</v>
      </c>
      <c r="B268" s="6">
        <f>首页!$B$4+2*A268/1000</f>
        <v>0.64600000000000002</v>
      </c>
      <c r="C268" s="6">
        <f>首页!$B$7+273.15</f>
        <v>388.15</v>
      </c>
      <c r="D268" s="6">
        <f>首页!$B$6+273.15</f>
        <v>293.14999999999998</v>
      </c>
      <c r="E268" s="6">
        <f>首页!$B$5+273.15</f>
        <v>1373.15</v>
      </c>
      <c r="F268" s="6">
        <f t="shared" si="36"/>
        <v>95</v>
      </c>
      <c r="G268" s="6">
        <f t="shared" si="37"/>
        <v>340.65</v>
      </c>
      <c r="H268" s="6">
        <f t="shared" si="38"/>
        <v>1.9926207055139041E-5</v>
      </c>
      <c r="I268" s="7">
        <f t="shared" si="39"/>
        <v>1158916576932337.8</v>
      </c>
      <c r="J268" s="6">
        <f t="shared" si="40"/>
        <v>1.0226038455893147</v>
      </c>
      <c r="K268" s="7">
        <f>J268*H268*首页!$B$12/P268</f>
        <v>0.69532757496605813</v>
      </c>
      <c r="L268" s="6">
        <f>首页!$B$9*0.0000000567*((C268^4-D268^4)/(C268-D268))</f>
        <v>7.7687338005019564</v>
      </c>
      <c r="M268" s="6">
        <f>IF(首页!$B$13="自然对流",IF(首页!$B$14="立式圆筒",首页!$B$10,PI()*B268/2),PI()*B268/2)</f>
        <v>55.2</v>
      </c>
      <c r="N268" s="7">
        <f>IF(首页!$B$13="强制对流",首页!$B$11*M268/H268,0)</f>
        <v>0</v>
      </c>
      <c r="O268" s="6">
        <f>IF(首页!$B$13="自然对流",IF(首页!$B$14="立式圆筒",(0.825+0.3063*I268^(1/6))^2+0.87*(M268/B268),(0.752+0.303*I268^(1/6))^2),0.3+SQRT((0.592*N268^0.5)^2+(0.0262*N268^0.8/(1-0.5/N268^0.1))^2))</f>
        <v>10093.548060210442</v>
      </c>
      <c r="P268" s="6">
        <f t="shared" si="41"/>
        <v>2.9510194925512497E-2</v>
      </c>
      <c r="Q268" s="6">
        <f t="shared" si="42"/>
        <v>5.3960610642543241</v>
      </c>
      <c r="R268" s="6">
        <f t="shared" si="43"/>
        <v>13.164794864756281</v>
      </c>
      <c r="S268" s="6">
        <f>B268*LN(B268/首页!$B$4)</f>
        <v>1.0874168136063591</v>
      </c>
      <c r="T268" s="6">
        <f>2*首页!$B$8*(E268-C268)/(R268*(C268-D268))</f>
        <v>7.0882828355724445E-2</v>
      </c>
      <c r="U268" t="str">
        <f>IF(首页!$B$13="自然对流","按自然对流公式", "按强制对流公式")</f>
        <v>按自然对流公式</v>
      </c>
      <c r="V268" s="6">
        <f t="shared" si="44"/>
        <v>1.0165339852506348</v>
      </c>
    </row>
    <row r="269" spans="1:22" x14ac:dyDescent="0.15">
      <c r="A269">
        <v>264</v>
      </c>
      <c r="B269" s="6">
        <f>首页!$B$4+2*A269/1000</f>
        <v>0.64800000000000002</v>
      </c>
      <c r="C269" s="6">
        <f>首页!$B$7+273.15</f>
        <v>388.15</v>
      </c>
      <c r="D269" s="6">
        <f>首页!$B$6+273.15</f>
        <v>293.14999999999998</v>
      </c>
      <c r="E269" s="6">
        <f>首页!$B$5+273.15</f>
        <v>1373.15</v>
      </c>
      <c r="F269" s="6">
        <f t="shared" si="36"/>
        <v>95</v>
      </c>
      <c r="G269" s="6">
        <f t="shared" si="37"/>
        <v>340.65</v>
      </c>
      <c r="H269" s="6">
        <f t="shared" si="38"/>
        <v>1.9926207055139041E-5</v>
      </c>
      <c r="I269" s="7">
        <f t="shared" si="39"/>
        <v>1158916576932337.8</v>
      </c>
      <c r="J269" s="6">
        <f t="shared" si="40"/>
        <v>1.0226038455893147</v>
      </c>
      <c r="K269" s="7">
        <f>J269*H269*首页!$B$12/P269</f>
        <v>0.69532757496605813</v>
      </c>
      <c r="L269" s="6">
        <f>首页!$B$9*0.0000000567*((C269^4-D269^4)/(C269-D269))</f>
        <v>7.7687338005019564</v>
      </c>
      <c r="M269" s="6">
        <f>IF(首页!$B$13="自然对流",IF(首页!$B$14="立式圆筒",首页!$B$10,PI()*B269/2),PI()*B269/2)</f>
        <v>55.2</v>
      </c>
      <c r="N269" s="7">
        <f>IF(首页!$B$13="强制对流",首页!$B$11*M269/H269,0)</f>
        <v>0</v>
      </c>
      <c r="O269" s="6">
        <f>IF(首页!$B$13="自然对流",IF(首页!$B$14="立式圆筒",(0.825+0.3063*I269^(1/6))^2+0.87*(M269/B269),(0.752+0.303*I269^(1/6))^2),0.3+SQRT((0.592*N269^0.5)^2+(0.0262*N269^0.8/(1-0.5/N269^0.1))^2))</f>
        <v>10093.318614046011</v>
      </c>
      <c r="P269" s="6">
        <f t="shared" si="41"/>
        <v>2.9510194925512497E-2</v>
      </c>
      <c r="Q269" s="6">
        <f t="shared" si="42"/>
        <v>5.3959384011920548</v>
      </c>
      <c r="R269" s="6">
        <f t="shared" si="43"/>
        <v>13.16467220169401</v>
      </c>
      <c r="S269" s="6">
        <f>B269*LN(B269/首页!$B$4)</f>
        <v>1.0927865219135082</v>
      </c>
      <c r="T269" s="6">
        <f>2*首页!$B$8*(E269-C269)/(R269*(C269-D269))</f>
        <v>7.0883488813095155E-2</v>
      </c>
      <c r="U269" t="str">
        <f>IF(首页!$B$13="自然对流","按自然对流公式", "按强制对流公式")</f>
        <v>按自然对流公式</v>
      </c>
      <c r="V269" s="6">
        <f t="shared" si="44"/>
        <v>1.0219030331004131</v>
      </c>
    </row>
    <row r="270" spans="1:22" x14ac:dyDescent="0.15">
      <c r="A270">
        <v>265</v>
      </c>
      <c r="B270" s="6">
        <f>首页!$B$4+2*A270/1000</f>
        <v>0.65</v>
      </c>
      <c r="C270" s="6">
        <f>首页!$B$7+273.15</f>
        <v>388.15</v>
      </c>
      <c r="D270" s="6">
        <f>首页!$B$6+273.15</f>
        <v>293.14999999999998</v>
      </c>
      <c r="E270" s="6">
        <f>首页!$B$5+273.15</f>
        <v>1373.15</v>
      </c>
      <c r="F270" s="6">
        <f t="shared" si="36"/>
        <v>95</v>
      </c>
      <c r="G270" s="6">
        <f t="shared" si="37"/>
        <v>340.65</v>
      </c>
      <c r="H270" s="6">
        <f t="shared" si="38"/>
        <v>1.9926207055139041E-5</v>
      </c>
      <c r="I270" s="7">
        <f t="shared" si="39"/>
        <v>1158916576932337.8</v>
      </c>
      <c r="J270" s="6">
        <f t="shared" si="40"/>
        <v>1.0226038455893147</v>
      </c>
      <c r="K270" s="7">
        <f>J270*H270*首页!$B$12/P270</f>
        <v>0.69532757496605813</v>
      </c>
      <c r="L270" s="6">
        <f>首页!$B$9*0.0000000567*((C270^4-D270^4)/(C270-D270))</f>
        <v>7.7687338005019564</v>
      </c>
      <c r="M270" s="6">
        <f>IF(首页!$B$13="自然对流",IF(首页!$B$14="立式圆筒",首页!$B$10,PI()*B270/2),PI()*B270/2)</f>
        <v>55.2</v>
      </c>
      <c r="N270" s="7">
        <f>IF(首页!$B$13="强制对流",首页!$B$11*M270/H270,0)</f>
        <v>0</v>
      </c>
      <c r="O270" s="6">
        <f>IF(首页!$B$13="自然对流",IF(首页!$B$14="立式圆筒",(0.825+0.3063*I270^(1/6))^2+0.87*(M270/B270),(0.752+0.303*I270^(1/6))^2),0.3+SQRT((0.592*N270^0.5)^2+(0.0262*N270^0.8/(1-0.5/N270^0.1))^2))</f>
        <v>10093.090579857977</v>
      </c>
      <c r="P270" s="6">
        <f t="shared" si="41"/>
        <v>2.9510194925512497E-2</v>
      </c>
      <c r="Q270" s="6">
        <f t="shared" si="42"/>
        <v>5.3958164929793995</v>
      </c>
      <c r="R270" s="6">
        <f t="shared" si="43"/>
        <v>13.164550293481355</v>
      </c>
      <c r="S270" s="6">
        <f>B270*LN(B270/首页!$B$4)</f>
        <v>1.0981624030699639</v>
      </c>
      <c r="T270" s="6">
        <f>2*首页!$B$8*(E270-C270)/(R270*(C270-D270))</f>
        <v>7.0884145218307285E-2</v>
      </c>
      <c r="U270" t="str">
        <f>IF(首页!$B$13="自然对流","按自然对流公式", "按强制对流公式")</f>
        <v>按自然对流公式</v>
      </c>
      <c r="V270" s="6">
        <f t="shared" si="44"/>
        <v>1.0272782578516566</v>
      </c>
    </row>
    <row r="271" spans="1:22" x14ac:dyDescent="0.15">
      <c r="A271">
        <v>266</v>
      </c>
      <c r="B271" s="6">
        <f>首页!$B$4+2*A271/1000</f>
        <v>0.65200000000000002</v>
      </c>
      <c r="C271" s="6">
        <f>首页!$B$7+273.15</f>
        <v>388.15</v>
      </c>
      <c r="D271" s="6">
        <f>首页!$B$6+273.15</f>
        <v>293.14999999999998</v>
      </c>
      <c r="E271" s="6">
        <f>首页!$B$5+273.15</f>
        <v>1373.15</v>
      </c>
      <c r="F271" s="6">
        <f t="shared" si="36"/>
        <v>95</v>
      </c>
      <c r="G271" s="6">
        <f t="shared" si="37"/>
        <v>340.65</v>
      </c>
      <c r="H271" s="6">
        <f t="shared" si="38"/>
        <v>1.9926207055139041E-5</v>
      </c>
      <c r="I271" s="7">
        <f t="shared" si="39"/>
        <v>1158916576932337.8</v>
      </c>
      <c r="J271" s="6">
        <f t="shared" si="40"/>
        <v>1.0226038455893147</v>
      </c>
      <c r="K271" s="7">
        <f>J271*H271*首页!$B$12/P271</f>
        <v>0.69532757496605813</v>
      </c>
      <c r="L271" s="6">
        <f>首页!$B$9*0.0000000567*((C271^4-D271^4)/(C271-D271))</f>
        <v>7.7687338005019564</v>
      </c>
      <c r="M271" s="6">
        <f>IF(首页!$B$13="自然对流",IF(首页!$B$14="立式圆筒",首页!$B$10,PI()*B271/2),PI()*B271/2)</f>
        <v>55.2</v>
      </c>
      <c r="N271" s="7">
        <f>IF(首页!$B$13="强制对流",首页!$B$11*M271/H271,0)</f>
        <v>0</v>
      </c>
      <c r="O271" s="6">
        <f>IF(首页!$B$13="自然对流",IF(首页!$B$14="立式圆筒",(0.825+0.3063*I271^(1/6))^2+0.87*(M271/B271),(0.752+0.303*I271^(1/6))^2),0.3+SQRT((0.592*N271^0.5)^2+(0.0262*N271^0.8/(1-0.5/N271^0.1))^2))</f>
        <v>10092.86394465269</v>
      </c>
      <c r="P271" s="6">
        <f t="shared" si="41"/>
        <v>2.9510194925512497E-2</v>
      </c>
      <c r="Q271" s="6">
        <f t="shared" si="42"/>
        <v>5.395695332669888</v>
      </c>
      <c r="R271" s="6">
        <f t="shared" si="43"/>
        <v>13.164429133171843</v>
      </c>
      <c r="S271" s="6">
        <f>B271*LN(B271/首页!$B$4)</f>
        <v>1.1035444380822839</v>
      </c>
      <c r="T271" s="6">
        <f>2*首页!$B$8*(E271-C271)/(R271*(C271-D271))</f>
        <v>7.0884797608539107E-2</v>
      </c>
      <c r="U271" t="str">
        <f>IF(首页!$B$13="自然对流","按自然对流公式", "按强制对流公式")</f>
        <v>按自然对流公式</v>
      </c>
      <c r="V271" s="6">
        <f t="shared" si="44"/>
        <v>1.0326596404737447</v>
      </c>
    </row>
    <row r="272" spans="1:22" x14ac:dyDescent="0.15">
      <c r="A272">
        <v>267</v>
      </c>
      <c r="B272" s="6">
        <f>首页!$B$4+2*A272/1000</f>
        <v>0.65400000000000003</v>
      </c>
      <c r="C272" s="6">
        <f>首页!$B$7+273.15</f>
        <v>388.15</v>
      </c>
      <c r="D272" s="6">
        <f>首页!$B$6+273.15</f>
        <v>293.14999999999998</v>
      </c>
      <c r="E272" s="6">
        <f>首页!$B$5+273.15</f>
        <v>1373.15</v>
      </c>
      <c r="F272" s="6">
        <f t="shared" si="36"/>
        <v>95</v>
      </c>
      <c r="G272" s="6">
        <f t="shared" si="37"/>
        <v>340.65</v>
      </c>
      <c r="H272" s="6">
        <f t="shared" si="38"/>
        <v>1.9926207055139041E-5</v>
      </c>
      <c r="I272" s="7">
        <f t="shared" si="39"/>
        <v>1158916576932337.8</v>
      </c>
      <c r="J272" s="6">
        <f t="shared" si="40"/>
        <v>1.0226038455893147</v>
      </c>
      <c r="K272" s="7">
        <f>J272*H272*首页!$B$12/P272</f>
        <v>0.69532757496605813</v>
      </c>
      <c r="L272" s="6">
        <f>首页!$B$9*0.0000000567*((C272^4-D272^4)/(C272-D272))</f>
        <v>7.7687338005019564</v>
      </c>
      <c r="M272" s="6">
        <f>IF(首页!$B$13="自然对流",IF(首页!$B$14="立式圆筒",首页!$B$10,PI()*B272/2),PI()*B272/2)</f>
        <v>55.2</v>
      </c>
      <c r="N272" s="7">
        <f>IF(首页!$B$13="强制对流",首页!$B$11*M272/H272,0)</f>
        <v>0</v>
      </c>
      <c r="O272" s="6">
        <f>IF(首页!$B$13="自然对流",IF(首页!$B$14="立式圆筒",(0.825+0.3063*I272^(1/6))^2+0.87*(M272/B272),(0.752+0.303*I272^(1/6))^2),0.3+SQRT((0.592*N272^0.5)^2+(0.0262*N272^0.8/(1-0.5/N272^0.1))^2))</f>
        <v>10092.638695595449</v>
      </c>
      <c r="P272" s="6">
        <f t="shared" si="41"/>
        <v>2.9510194925512497E-2</v>
      </c>
      <c r="Q272" s="6">
        <f t="shared" si="42"/>
        <v>5.3955749134020268</v>
      </c>
      <c r="R272" s="6">
        <f t="shared" si="43"/>
        <v>13.164308713903983</v>
      </c>
      <c r="S272" s="6">
        <f>B272*LN(B272/首页!$B$4)</f>
        <v>1.10893260807355</v>
      </c>
      <c r="T272" s="6">
        <f>2*首页!$B$8*(E272-C272)/(R272*(C272-D272))</f>
        <v>7.0885446020515469E-2</v>
      </c>
      <c r="U272" t="str">
        <f>IF(首页!$B$13="自然对流","按自然对流公式", "按强制对流公式")</f>
        <v>按自然对流公式</v>
      </c>
      <c r="V272" s="6">
        <f t="shared" si="44"/>
        <v>1.0380471620530345</v>
      </c>
    </row>
    <row r="273" spans="1:22" x14ac:dyDescent="0.15">
      <c r="A273">
        <v>268</v>
      </c>
      <c r="B273" s="6">
        <f>首页!$B$4+2*A273/1000</f>
        <v>0.65600000000000003</v>
      </c>
      <c r="C273" s="6">
        <f>首页!$B$7+273.15</f>
        <v>388.15</v>
      </c>
      <c r="D273" s="6">
        <f>首页!$B$6+273.15</f>
        <v>293.14999999999998</v>
      </c>
      <c r="E273" s="6">
        <f>首页!$B$5+273.15</f>
        <v>1373.15</v>
      </c>
      <c r="F273" s="6">
        <f t="shared" si="36"/>
        <v>95</v>
      </c>
      <c r="G273" s="6">
        <f t="shared" si="37"/>
        <v>340.65</v>
      </c>
      <c r="H273" s="6">
        <f t="shared" si="38"/>
        <v>1.9926207055139041E-5</v>
      </c>
      <c r="I273" s="7">
        <f t="shared" si="39"/>
        <v>1158916576932337.8</v>
      </c>
      <c r="J273" s="6">
        <f t="shared" si="40"/>
        <v>1.0226038455893147</v>
      </c>
      <c r="K273" s="7">
        <f>J273*H273*首页!$B$12/P273</f>
        <v>0.69532757496605813</v>
      </c>
      <c r="L273" s="6">
        <f>首页!$B$9*0.0000000567*((C273^4-D273^4)/(C273-D273))</f>
        <v>7.7687338005019564</v>
      </c>
      <c r="M273" s="6">
        <f>IF(首页!$B$13="自然对流",IF(首页!$B$14="立式圆筒",首页!$B$10,PI()*B273/2),PI()*B273/2)</f>
        <v>55.2</v>
      </c>
      <c r="N273" s="7">
        <f>IF(首页!$B$13="强制对流",首页!$B$11*M273/H273,0)</f>
        <v>0</v>
      </c>
      <c r="O273" s="6">
        <f>IF(首页!$B$13="自然对流",IF(首页!$B$14="立式圆筒",(0.825+0.3063*I273^(1/6))^2+0.87*(M273/B273),(0.752+0.303*I273^(1/6))^2),0.3+SQRT((0.592*N273^0.5)^2+(0.0262*N273^0.8/(1-0.5/N273^0.1))^2))</f>
        <v>10092.414820008071</v>
      </c>
      <c r="P273" s="6">
        <f t="shared" si="41"/>
        <v>2.9510194925512497E-2</v>
      </c>
      <c r="Q273" s="6">
        <f t="shared" si="42"/>
        <v>5.395455228397994</v>
      </c>
      <c r="R273" s="6">
        <f t="shared" si="43"/>
        <v>13.164189028899951</v>
      </c>
      <c r="S273" s="6">
        <f>B273*LN(B273/首页!$B$4)</f>
        <v>1.1143268942823004</v>
      </c>
      <c r="T273" s="6">
        <f>2*首页!$B$8*(E273-C273)/(R273*(C273-D273))</f>
        <v>7.0886090490514642E-2</v>
      </c>
      <c r="U273" t="str">
        <f>IF(首页!$B$13="自然对流","按自然对流公式", "按强制对流公式")</f>
        <v>按自然对流公式</v>
      </c>
      <c r="V273" s="6">
        <f t="shared" si="44"/>
        <v>1.0434408037917857</v>
      </c>
    </row>
    <row r="274" spans="1:22" x14ac:dyDescent="0.15">
      <c r="A274">
        <v>269</v>
      </c>
      <c r="B274" s="6">
        <f>首页!$B$4+2*A274/1000</f>
        <v>0.65800000000000003</v>
      </c>
      <c r="C274" s="6">
        <f>首页!$B$7+273.15</f>
        <v>388.15</v>
      </c>
      <c r="D274" s="6">
        <f>首页!$B$6+273.15</f>
        <v>293.14999999999998</v>
      </c>
      <c r="E274" s="6">
        <f>首页!$B$5+273.15</f>
        <v>1373.15</v>
      </c>
      <c r="F274" s="6">
        <f t="shared" si="36"/>
        <v>95</v>
      </c>
      <c r="G274" s="6">
        <f t="shared" si="37"/>
        <v>340.65</v>
      </c>
      <c r="H274" s="6">
        <f t="shared" si="38"/>
        <v>1.9926207055139041E-5</v>
      </c>
      <c r="I274" s="7">
        <f t="shared" si="39"/>
        <v>1158916576932337.8</v>
      </c>
      <c r="J274" s="6">
        <f t="shared" si="40"/>
        <v>1.0226038455893147</v>
      </c>
      <c r="K274" s="7">
        <f>J274*H274*首页!$B$12/P274</f>
        <v>0.69532757496605813</v>
      </c>
      <c r="L274" s="6">
        <f>首页!$B$9*0.0000000567*((C274^4-D274^4)/(C274-D274))</f>
        <v>7.7687338005019564</v>
      </c>
      <c r="M274" s="6">
        <f>IF(首页!$B$13="自然对流",IF(首页!$B$14="立式圆筒",首页!$B$10,PI()*B274/2),PI()*B274/2)</f>
        <v>55.2</v>
      </c>
      <c r="N274" s="7">
        <f>IF(首页!$B$13="强制对流",首页!$B$11*M274/H274,0)</f>
        <v>0</v>
      </c>
      <c r="O274" s="6">
        <f>IF(首页!$B$13="自然对流",IF(首页!$B$14="立式圆筒",(0.825+0.3063*I274^(1/6))^2+0.87*(M274/B274),(0.752+0.303*I274^(1/6))^2),0.3+SQRT((0.592*N274^0.5)^2+(0.0262*N274^0.8/(1-0.5/N274^0.1))^2))</f>
        <v>10092.19230536651</v>
      </c>
      <c r="P274" s="6">
        <f t="shared" si="41"/>
        <v>2.9510194925512497E-2</v>
      </c>
      <c r="Q274" s="6">
        <f t="shared" si="42"/>
        <v>5.3953362709623738</v>
      </c>
      <c r="R274" s="6">
        <f t="shared" si="43"/>
        <v>13.16407007146433</v>
      </c>
      <c r="S274" s="6">
        <f>B274*LN(B274/首页!$B$4)</f>
        <v>1.1197272780614724</v>
      </c>
      <c r="T274" s="6">
        <f>2*首页!$B$8*(E274-C274)/(R274*(C274-D274))</f>
        <v>7.0886731054375235E-2</v>
      </c>
      <c r="U274" t="str">
        <f>IF(首页!$B$13="自然对流","按自然对流公式", "按强制对流公式")</f>
        <v>按自然对流公式</v>
      </c>
      <c r="V274" s="6">
        <f t="shared" si="44"/>
        <v>1.0488405470070972</v>
      </c>
    </row>
    <row r="275" spans="1:22" x14ac:dyDescent="0.15">
      <c r="A275">
        <v>270</v>
      </c>
      <c r="B275" s="6">
        <f>首页!$B$4+2*A275/1000</f>
        <v>0.66</v>
      </c>
      <c r="C275" s="6">
        <f>首页!$B$7+273.15</f>
        <v>388.15</v>
      </c>
      <c r="D275" s="6">
        <f>首页!$B$6+273.15</f>
        <v>293.14999999999998</v>
      </c>
      <c r="E275" s="6">
        <f>首页!$B$5+273.15</f>
        <v>1373.15</v>
      </c>
      <c r="F275" s="6">
        <f t="shared" si="36"/>
        <v>95</v>
      </c>
      <c r="G275" s="6">
        <f t="shared" si="37"/>
        <v>340.65</v>
      </c>
      <c r="H275" s="6">
        <f t="shared" si="38"/>
        <v>1.9926207055139041E-5</v>
      </c>
      <c r="I275" s="7">
        <f t="shared" si="39"/>
        <v>1158916576932337.8</v>
      </c>
      <c r="J275" s="6">
        <f t="shared" si="40"/>
        <v>1.0226038455893147</v>
      </c>
      <c r="K275" s="7">
        <f>J275*H275*首页!$B$12/P275</f>
        <v>0.69532757496605813</v>
      </c>
      <c r="L275" s="6">
        <f>首页!$B$9*0.0000000567*((C275^4-D275^4)/(C275-D275))</f>
        <v>7.7687338005019564</v>
      </c>
      <c r="M275" s="6">
        <f>IF(首页!$B$13="自然对流",IF(首页!$B$14="立式圆筒",首页!$B$10,PI()*B275/2),PI()*B275/2)</f>
        <v>55.2</v>
      </c>
      <c r="N275" s="7">
        <f>IF(首页!$B$13="强制对流",首页!$B$11*M275/H275,0)</f>
        <v>0</v>
      </c>
      <c r="O275" s="6">
        <f>IF(首页!$B$13="自然对流",IF(首页!$B$14="立式圆筒",(0.825+0.3063*I275^(1/6))^2+0.87*(M275/B275),(0.752+0.303*I275^(1/6))^2),0.3+SQRT((0.592*N275^0.5)^2+(0.0262*N275^0.8/(1-0.5/N275^0.1))^2))</f>
        <v>10091.971139298535</v>
      </c>
      <c r="P275" s="6">
        <f t="shared" si="41"/>
        <v>2.9510194925512497E-2</v>
      </c>
      <c r="Q275" s="6">
        <f t="shared" si="42"/>
        <v>5.3952180344809095</v>
      </c>
      <c r="R275" s="6">
        <f t="shared" si="43"/>
        <v>13.163951834982866</v>
      </c>
      <c r="S275" s="6">
        <f>B275*LN(B275/首页!$B$4)</f>
        <v>1.125133740877361</v>
      </c>
      <c r="T275" s="6">
        <f>2*首页!$B$8*(E275-C275)/(R275*(C275-D275))</f>
        <v>7.0887367747502608E-2</v>
      </c>
      <c r="U275" t="str">
        <f>IF(首页!$B$13="自然对流","按自然对流公式", "按强制对流公式")</f>
        <v>按自然对流公式</v>
      </c>
      <c r="V275" s="6">
        <f t="shared" si="44"/>
        <v>1.0542463731298584</v>
      </c>
    </row>
    <row r="276" spans="1:22" x14ac:dyDescent="0.15">
      <c r="A276">
        <v>271</v>
      </c>
      <c r="B276" s="6">
        <f>首页!$B$4+2*A276/1000</f>
        <v>0.66200000000000003</v>
      </c>
      <c r="C276" s="6">
        <f>首页!$B$7+273.15</f>
        <v>388.15</v>
      </c>
      <c r="D276" s="6">
        <f>首页!$B$6+273.15</f>
        <v>293.14999999999998</v>
      </c>
      <c r="E276" s="6">
        <f>首页!$B$5+273.15</f>
        <v>1373.15</v>
      </c>
      <c r="F276" s="6">
        <f t="shared" si="36"/>
        <v>95</v>
      </c>
      <c r="G276" s="6">
        <f t="shared" si="37"/>
        <v>340.65</v>
      </c>
      <c r="H276" s="6">
        <f t="shared" si="38"/>
        <v>1.9926207055139041E-5</v>
      </c>
      <c r="I276" s="7">
        <f t="shared" si="39"/>
        <v>1158916576932337.8</v>
      </c>
      <c r="J276" s="6">
        <f t="shared" si="40"/>
        <v>1.0226038455893147</v>
      </c>
      <c r="K276" s="7">
        <f>J276*H276*首页!$B$12/P276</f>
        <v>0.69532757496605813</v>
      </c>
      <c r="L276" s="6">
        <f>首页!$B$9*0.0000000567*((C276^4-D276^4)/(C276-D276))</f>
        <v>7.7687338005019564</v>
      </c>
      <c r="M276" s="6">
        <f>IF(首页!$B$13="自然对流",IF(首页!$B$14="立式圆筒",首页!$B$10,PI()*B276/2),PI()*B276/2)</f>
        <v>55.2</v>
      </c>
      <c r="N276" s="7">
        <f>IF(首页!$B$13="强制对流",首页!$B$11*M276/H276,0)</f>
        <v>0</v>
      </c>
      <c r="O276" s="6">
        <f>IF(首页!$B$13="自然对流",IF(首页!$B$14="立式圆筒",(0.825+0.3063*I276^(1/6))^2+0.87*(M276/B276),(0.752+0.303*I276^(1/6))^2),0.3+SQRT((0.592*N276^0.5)^2+(0.0262*N276^0.8/(1-0.5/N276^0.1))^2))</f>
        <v>10091.751309581425</v>
      </c>
      <c r="P276" s="6">
        <f t="shared" si="41"/>
        <v>2.9510194925512497E-2</v>
      </c>
      <c r="Q276" s="6">
        <f t="shared" si="42"/>
        <v>5.3951005124192717</v>
      </c>
      <c r="R276" s="6">
        <f t="shared" si="43"/>
        <v>13.163834312921228</v>
      </c>
      <c r="S276" s="6">
        <f>B276*LN(B276/首页!$B$4)</f>
        <v>1.1305462643085853</v>
      </c>
      <c r="T276" s="6">
        <f>2*首页!$B$8*(E276-C276)/(R276*(C276-D276))</f>
        <v>7.0888000604875601E-2</v>
      </c>
      <c r="U276" t="str">
        <f>IF(首页!$B$13="自然对流","按自然对流公式", "按强制对流公式")</f>
        <v>按自然对流公式</v>
      </c>
      <c r="V276" s="6">
        <f t="shared" si="44"/>
        <v>1.0596582637037097</v>
      </c>
    </row>
    <row r="277" spans="1:22" x14ac:dyDescent="0.15">
      <c r="A277">
        <v>272</v>
      </c>
      <c r="B277" s="6">
        <f>首页!$B$4+2*A277/1000</f>
        <v>0.66400000000000003</v>
      </c>
      <c r="C277" s="6">
        <f>首页!$B$7+273.15</f>
        <v>388.15</v>
      </c>
      <c r="D277" s="6">
        <f>首页!$B$6+273.15</f>
        <v>293.14999999999998</v>
      </c>
      <c r="E277" s="6">
        <f>首页!$B$5+273.15</f>
        <v>1373.15</v>
      </c>
      <c r="F277" s="6">
        <f t="shared" si="36"/>
        <v>95</v>
      </c>
      <c r="G277" s="6">
        <f t="shared" si="37"/>
        <v>340.65</v>
      </c>
      <c r="H277" s="6">
        <f t="shared" si="38"/>
        <v>1.9926207055139041E-5</v>
      </c>
      <c r="I277" s="7">
        <f t="shared" si="39"/>
        <v>1158916576932337.8</v>
      </c>
      <c r="J277" s="6">
        <f t="shared" si="40"/>
        <v>1.0226038455893147</v>
      </c>
      <c r="K277" s="7">
        <f>J277*H277*首页!$B$12/P277</f>
        <v>0.69532757496605813</v>
      </c>
      <c r="L277" s="6">
        <f>首页!$B$9*0.0000000567*((C277^4-D277^4)/(C277-D277))</f>
        <v>7.7687338005019564</v>
      </c>
      <c r="M277" s="6">
        <f>IF(首页!$B$13="自然对流",IF(首页!$B$14="立式圆筒",首页!$B$10,PI()*B277/2),PI()*B277/2)</f>
        <v>55.2</v>
      </c>
      <c r="N277" s="7">
        <f>IF(首页!$B$13="强制对流",首页!$B$11*M277/H277,0)</f>
        <v>0</v>
      </c>
      <c r="O277" s="6">
        <f>IF(首页!$B$13="自然对流",IF(首页!$B$14="立式圆筒",(0.825+0.3063*I277^(1/6))^2+0.87*(M277/B277),(0.752+0.303*I277^(1/6))^2),0.3+SQRT((0.592*N277^0.5)^2+(0.0262*N277^0.8/(1-0.5/N277^0.1))^2))</f>
        <v>10091.532804139719</v>
      </c>
      <c r="P277" s="6">
        <f t="shared" si="41"/>
        <v>2.9510194925512497E-2</v>
      </c>
      <c r="Q277" s="6">
        <f t="shared" si="42"/>
        <v>5.3949836983218624</v>
      </c>
      <c r="R277" s="6">
        <f t="shared" si="43"/>
        <v>13.163717498823818</v>
      </c>
      <c r="S277" s="6">
        <f>B277*LN(B277/首页!$B$4)</f>
        <v>1.1359648300450738</v>
      </c>
      <c r="T277" s="6">
        <f>2*首页!$B$8*(E277-C277)/(R277*(C277-D277))</f>
        <v>7.0888629661052818E-2</v>
      </c>
      <c r="U277" t="str">
        <f>IF(首页!$B$13="自然对流","按自然对流公式", "按强制对流公式")</f>
        <v>按自然对流公式</v>
      </c>
      <c r="V277" s="6">
        <f t="shared" si="44"/>
        <v>1.0650762003840208</v>
      </c>
    </row>
    <row r="278" spans="1:22" x14ac:dyDescent="0.15">
      <c r="A278">
        <v>273</v>
      </c>
      <c r="B278" s="6">
        <f>首页!$B$4+2*A278/1000</f>
        <v>0.66600000000000004</v>
      </c>
      <c r="C278" s="6">
        <f>首页!$B$7+273.15</f>
        <v>388.15</v>
      </c>
      <c r="D278" s="6">
        <f>首页!$B$6+273.15</f>
        <v>293.14999999999998</v>
      </c>
      <c r="E278" s="6">
        <f>首页!$B$5+273.15</f>
        <v>1373.15</v>
      </c>
      <c r="F278" s="6">
        <f t="shared" si="36"/>
        <v>95</v>
      </c>
      <c r="G278" s="6">
        <f t="shared" si="37"/>
        <v>340.65</v>
      </c>
      <c r="H278" s="6">
        <f t="shared" si="38"/>
        <v>1.9926207055139041E-5</v>
      </c>
      <c r="I278" s="7">
        <f t="shared" si="39"/>
        <v>1158916576932337.8</v>
      </c>
      <c r="J278" s="6">
        <f t="shared" si="40"/>
        <v>1.0226038455893147</v>
      </c>
      <c r="K278" s="7">
        <f>J278*H278*首页!$B$12/P278</f>
        <v>0.69532757496605813</v>
      </c>
      <c r="L278" s="6">
        <f>首页!$B$9*0.0000000567*((C278^4-D278^4)/(C278-D278))</f>
        <v>7.7687338005019564</v>
      </c>
      <c r="M278" s="6">
        <f>IF(首页!$B$13="自然对流",IF(首页!$B$14="立式圆筒",首页!$B$10,PI()*B278/2),PI()*B278/2)</f>
        <v>55.2</v>
      </c>
      <c r="N278" s="7">
        <f>IF(首页!$B$13="强制对流",首页!$B$11*M278/H278,0)</f>
        <v>0</v>
      </c>
      <c r="O278" s="6">
        <f>IF(首页!$B$13="自然对流",IF(首页!$B$14="立式圆筒",(0.825+0.3063*I278^(1/6))^2+0.87*(M278/B278),(0.752+0.303*I278^(1/6))^2),0.3+SQRT((0.592*N278^0.5)^2+(0.0262*N278^0.8/(1-0.5/N278^0.1))^2))</f>
        <v>10091.315611043008</v>
      </c>
      <c r="P278" s="6">
        <f t="shared" si="41"/>
        <v>2.9510194925512497E-2</v>
      </c>
      <c r="Q278" s="6">
        <f t="shared" si="42"/>
        <v>5.3948675858106236</v>
      </c>
      <c r="R278" s="6">
        <f t="shared" si="43"/>
        <v>13.16360138631258</v>
      </c>
      <c r="S278" s="6">
        <f>B278*LN(B278/首页!$B$4)</f>
        <v>1.1413894198870567</v>
      </c>
      <c r="T278" s="6">
        <f>2*首页!$B$8*(E278-C278)/(R278*(C278-D278))</f>
        <v>7.088925495017899E-2</v>
      </c>
      <c r="U278" t="str">
        <f>IF(首页!$B$13="自然对流","按自然对流公式", "按强制对流公式")</f>
        <v>按自然对流公式</v>
      </c>
      <c r="V278" s="6">
        <f t="shared" si="44"/>
        <v>1.0705001649368777</v>
      </c>
    </row>
    <row r="279" spans="1:22" x14ac:dyDescent="0.15">
      <c r="A279">
        <v>274</v>
      </c>
      <c r="B279" s="6">
        <f>首页!$B$4+2*A279/1000</f>
        <v>0.66800000000000004</v>
      </c>
      <c r="C279" s="6">
        <f>首页!$B$7+273.15</f>
        <v>388.15</v>
      </c>
      <c r="D279" s="6">
        <f>首页!$B$6+273.15</f>
        <v>293.14999999999998</v>
      </c>
      <c r="E279" s="6">
        <f>首页!$B$5+273.15</f>
        <v>1373.15</v>
      </c>
      <c r="F279" s="6">
        <f t="shared" si="36"/>
        <v>95</v>
      </c>
      <c r="G279" s="6">
        <f t="shared" si="37"/>
        <v>340.65</v>
      </c>
      <c r="H279" s="6">
        <f t="shared" si="38"/>
        <v>1.9926207055139041E-5</v>
      </c>
      <c r="I279" s="7">
        <f t="shared" si="39"/>
        <v>1158916576932337.8</v>
      </c>
      <c r="J279" s="6">
        <f t="shared" si="40"/>
        <v>1.0226038455893147</v>
      </c>
      <c r="K279" s="7">
        <f>J279*H279*首页!$B$12/P279</f>
        <v>0.69532757496605813</v>
      </c>
      <c r="L279" s="6">
        <f>首页!$B$9*0.0000000567*((C279^4-D279^4)/(C279-D279))</f>
        <v>7.7687338005019564</v>
      </c>
      <c r="M279" s="6">
        <f>IF(首页!$B$13="自然对流",IF(首页!$B$14="立式圆筒",首页!$B$10,PI()*B279/2),PI()*B279/2)</f>
        <v>55.2</v>
      </c>
      <c r="N279" s="7">
        <f>IF(首页!$B$13="强制对流",首页!$B$11*M279/H279,0)</f>
        <v>0</v>
      </c>
      <c r="O279" s="6">
        <f>IF(首页!$B$13="自然对流",IF(首页!$B$14="立式圆筒",(0.825+0.3063*I279^(1/6))^2+0.87*(M279/B279),(0.752+0.303*I279^(1/6))^2),0.3+SQRT((0.592*N279^0.5)^2+(0.0262*N279^0.8/(1-0.5/N279^0.1))^2))</f>
        <v>10091.099718503761</v>
      </c>
      <c r="P279" s="6">
        <f t="shared" si="41"/>
        <v>2.9510194925512497E-2</v>
      </c>
      <c r="Q279" s="6">
        <f t="shared" si="42"/>
        <v>5.3947521685838815</v>
      </c>
      <c r="R279" s="6">
        <f t="shared" si="43"/>
        <v>13.163485969085837</v>
      </c>
      <c r="S279" s="6">
        <f>B279*LN(B279/首页!$B$4)</f>
        <v>1.1468200157440727</v>
      </c>
      <c r="T279" s="6">
        <f>2*首页!$B$8*(E279-C279)/(R279*(C279-D279))</f>
        <v>7.0889876505991142E-2</v>
      </c>
      <c r="U279" t="str">
        <f>IF(首页!$B$13="自然对流","按自然对流公式", "按强制对流公式")</f>
        <v>按自然对流公式</v>
      </c>
      <c r="V279" s="6">
        <f t="shared" si="44"/>
        <v>1.0759301392380816</v>
      </c>
    </row>
    <row r="280" spans="1:22" x14ac:dyDescent="0.15">
      <c r="A280">
        <v>275</v>
      </c>
      <c r="B280" s="6">
        <f>首页!$B$4+2*A280/1000</f>
        <v>0.67</v>
      </c>
      <c r="C280" s="6">
        <f>首页!$B$7+273.15</f>
        <v>388.15</v>
      </c>
      <c r="D280" s="6">
        <f>首页!$B$6+273.15</f>
        <v>293.14999999999998</v>
      </c>
      <c r="E280" s="6">
        <f>首页!$B$5+273.15</f>
        <v>1373.15</v>
      </c>
      <c r="F280" s="6">
        <f t="shared" si="36"/>
        <v>95</v>
      </c>
      <c r="G280" s="6">
        <f t="shared" si="37"/>
        <v>340.65</v>
      </c>
      <c r="H280" s="6">
        <f t="shared" si="38"/>
        <v>1.9926207055139041E-5</v>
      </c>
      <c r="I280" s="7">
        <f t="shared" si="39"/>
        <v>1158916576932337.8</v>
      </c>
      <c r="J280" s="6">
        <f t="shared" si="40"/>
        <v>1.0226038455893147</v>
      </c>
      <c r="K280" s="7">
        <f>J280*H280*首页!$B$12/P280</f>
        <v>0.69532757496605813</v>
      </c>
      <c r="L280" s="6">
        <f>首页!$B$9*0.0000000567*((C280^4-D280^4)/(C280-D280))</f>
        <v>7.7687338005019564</v>
      </c>
      <c r="M280" s="6">
        <f>IF(首页!$B$13="自然对流",IF(首页!$B$14="立式圆筒",首页!$B$10,PI()*B280/2),PI()*B280/2)</f>
        <v>55.2</v>
      </c>
      <c r="N280" s="7">
        <f>IF(首页!$B$13="强制对流",首页!$B$11*M280/H280,0)</f>
        <v>0</v>
      </c>
      <c r="O280" s="6">
        <f>IF(首页!$B$13="自然对流",IF(首页!$B$14="立式圆筒",(0.825+0.3063*I280^(1/6))^2+0.87*(M280/B280),(0.752+0.303*I280^(1/6))^2),0.3+SQRT((0.592*N280^0.5)^2+(0.0262*N280^0.8/(1-0.5/N280^0.1))^2))</f>
        <v>10090.885114875198</v>
      </c>
      <c r="P280" s="6">
        <f t="shared" si="41"/>
        <v>2.9510194925512497E-2</v>
      </c>
      <c r="Q280" s="6">
        <f t="shared" si="42"/>
        <v>5.3946374404152104</v>
      </c>
      <c r="R280" s="6">
        <f t="shared" si="43"/>
        <v>13.163371240917167</v>
      </c>
      <c r="S280" s="6">
        <f>B280*LN(B280/首页!$B$4)</f>
        <v>1.1522565996339871</v>
      </c>
      <c r="T280" s="6">
        <f>2*首页!$B$8*(E280-C280)/(R280*(C280-D280))</f>
        <v>7.0890494361824583E-2</v>
      </c>
      <c r="U280" t="str">
        <f>IF(首页!$B$13="自然对流","按自然对流公式", "按强制对流公式")</f>
        <v>按自然对流公式</v>
      </c>
      <c r="V280" s="6">
        <f t="shared" si="44"/>
        <v>1.0813661052721626</v>
      </c>
    </row>
    <row r="281" spans="1:22" x14ac:dyDescent="0.15">
      <c r="A281">
        <v>276</v>
      </c>
      <c r="B281" s="6">
        <f>首页!$B$4+2*A281/1000</f>
        <v>0.67200000000000004</v>
      </c>
      <c r="C281" s="6">
        <f>首页!$B$7+273.15</f>
        <v>388.15</v>
      </c>
      <c r="D281" s="6">
        <f>首页!$B$6+273.15</f>
        <v>293.14999999999998</v>
      </c>
      <c r="E281" s="6">
        <f>首页!$B$5+273.15</f>
        <v>1373.15</v>
      </c>
      <c r="F281" s="6">
        <f t="shared" si="36"/>
        <v>95</v>
      </c>
      <c r="G281" s="6">
        <f t="shared" si="37"/>
        <v>340.65</v>
      </c>
      <c r="H281" s="6">
        <f t="shared" si="38"/>
        <v>1.9926207055139041E-5</v>
      </c>
      <c r="I281" s="7">
        <f t="shared" si="39"/>
        <v>1158916576932337.8</v>
      </c>
      <c r="J281" s="6">
        <f t="shared" si="40"/>
        <v>1.0226038455893147</v>
      </c>
      <c r="K281" s="7">
        <f>J281*H281*首页!$B$12/P281</f>
        <v>0.69532757496605813</v>
      </c>
      <c r="L281" s="6">
        <f>首页!$B$9*0.0000000567*((C281^4-D281^4)/(C281-D281))</f>
        <v>7.7687338005019564</v>
      </c>
      <c r="M281" s="6">
        <f>IF(首页!$B$13="自然对流",IF(首页!$B$14="立式圆筒",首页!$B$10,PI()*B281/2),PI()*B281/2)</f>
        <v>55.2</v>
      </c>
      <c r="N281" s="7">
        <f>IF(首页!$B$13="强制对流",首页!$B$11*M281/H281,0)</f>
        <v>0</v>
      </c>
      <c r="O281" s="6">
        <f>IF(首页!$B$13="自然对流",IF(首页!$B$14="立式圆筒",(0.825+0.3063*I281^(1/6))^2+0.87*(M281/B281),(0.752+0.303*I281^(1/6))^2),0.3+SQRT((0.592*N281^0.5)^2+(0.0262*N281^0.8/(1-0.5/N281^0.1))^2))</f>
        <v>10090.671788649186</v>
      </c>
      <c r="P281" s="6">
        <f t="shared" si="41"/>
        <v>2.9510194925512497E-2</v>
      </c>
      <c r="Q281" s="6">
        <f t="shared" si="42"/>
        <v>5.3945233951523059</v>
      </c>
      <c r="R281" s="6">
        <f t="shared" si="43"/>
        <v>13.163257195654262</v>
      </c>
      <c r="S281" s="6">
        <f>B281*LN(B281/首页!$B$4)</f>
        <v>1.1576991536820218</v>
      </c>
      <c r="T281" s="6">
        <f>2*首页!$B$8*(E281-C281)/(R281*(C281-D281))</f>
        <v>7.0891108550618934E-2</v>
      </c>
      <c r="U281" t="str">
        <f>IF(首页!$B$13="自然对流","按自然对流公式", "按强制对流公式")</f>
        <v>按自然对流公式</v>
      </c>
      <c r="V281" s="6">
        <f t="shared" si="44"/>
        <v>1.0868080451314028</v>
      </c>
    </row>
    <row r="282" spans="1:22" x14ac:dyDescent="0.15">
      <c r="A282">
        <v>277</v>
      </c>
      <c r="B282" s="6">
        <f>首页!$B$4+2*A282/1000</f>
        <v>0.67400000000000004</v>
      </c>
      <c r="C282" s="6">
        <f>首页!$B$7+273.15</f>
        <v>388.15</v>
      </c>
      <c r="D282" s="6">
        <f>首页!$B$6+273.15</f>
        <v>293.14999999999998</v>
      </c>
      <c r="E282" s="6">
        <f>首页!$B$5+273.15</f>
        <v>1373.15</v>
      </c>
      <c r="F282" s="6">
        <f t="shared" si="36"/>
        <v>95</v>
      </c>
      <c r="G282" s="6">
        <f t="shared" si="37"/>
        <v>340.65</v>
      </c>
      <c r="H282" s="6">
        <f t="shared" si="38"/>
        <v>1.9926207055139041E-5</v>
      </c>
      <c r="I282" s="7">
        <f t="shared" si="39"/>
        <v>1158916576932337.8</v>
      </c>
      <c r="J282" s="6">
        <f t="shared" si="40"/>
        <v>1.0226038455893147</v>
      </c>
      <c r="K282" s="7">
        <f>J282*H282*首页!$B$12/P282</f>
        <v>0.69532757496605813</v>
      </c>
      <c r="L282" s="6">
        <f>首页!$B$9*0.0000000567*((C282^4-D282^4)/(C282-D282))</f>
        <v>7.7687338005019564</v>
      </c>
      <c r="M282" s="6">
        <f>IF(首页!$B$13="自然对流",IF(首页!$B$14="立式圆筒",首页!$B$10,PI()*B282/2),PI()*B282/2)</f>
        <v>55.2</v>
      </c>
      <c r="N282" s="7">
        <f>IF(首页!$B$13="强制对流",首页!$B$11*M282/H282,0)</f>
        <v>0</v>
      </c>
      <c r="O282" s="6">
        <f>IF(首页!$B$13="自然对流",IF(首页!$B$14="立式圆筒",(0.825+0.3063*I282^(1/6))^2+0.87*(M282/B282),(0.752+0.303*I282^(1/6))^2),0.3+SQRT((0.592*N282^0.5)^2+(0.0262*N282^0.8/(1-0.5/N282^0.1))^2))</f>
        <v>10090.459728454187</v>
      </c>
      <c r="P282" s="6">
        <f t="shared" si="41"/>
        <v>2.9510194925512497E-2</v>
      </c>
      <c r="Q282" s="6">
        <f t="shared" si="42"/>
        <v>5.394410026715887</v>
      </c>
      <c r="R282" s="6">
        <f t="shared" si="43"/>
        <v>13.163143827217844</v>
      </c>
      <c r="S282" s="6">
        <f>B282*LN(B282/首页!$B$4)</f>
        <v>1.1631476601197961</v>
      </c>
      <c r="T282" s="6">
        <f>2*首页!$B$8*(E282-C282)/(R282*(C282-D282))</f>
        <v>7.0891719104924047E-2</v>
      </c>
      <c r="U282" t="str">
        <f>IF(首页!$B$13="自然对流","按自然对流公式", "按强制对流公式")</f>
        <v>按自然对流公式</v>
      </c>
      <c r="V282" s="6">
        <f t="shared" si="44"/>
        <v>1.092255941014872</v>
      </c>
    </row>
    <row r="283" spans="1:22" x14ac:dyDescent="0.15">
      <c r="A283">
        <v>278</v>
      </c>
      <c r="B283" s="6">
        <f>首页!$B$4+2*A283/1000</f>
        <v>0.67600000000000005</v>
      </c>
      <c r="C283" s="6">
        <f>首页!$B$7+273.15</f>
        <v>388.15</v>
      </c>
      <c r="D283" s="6">
        <f>首页!$B$6+273.15</f>
        <v>293.14999999999998</v>
      </c>
      <c r="E283" s="6">
        <f>首页!$B$5+273.15</f>
        <v>1373.15</v>
      </c>
      <c r="F283" s="6">
        <f t="shared" si="36"/>
        <v>95</v>
      </c>
      <c r="G283" s="6">
        <f t="shared" si="37"/>
        <v>340.65</v>
      </c>
      <c r="H283" s="6">
        <f t="shared" si="38"/>
        <v>1.9926207055139041E-5</v>
      </c>
      <c r="I283" s="7">
        <f t="shared" si="39"/>
        <v>1158916576932337.8</v>
      </c>
      <c r="J283" s="6">
        <f t="shared" si="40"/>
        <v>1.0226038455893147</v>
      </c>
      <c r="K283" s="7">
        <f>J283*H283*首页!$B$12/P283</f>
        <v>0.69532757496605813</v>
      </c>
      <c r="L283" s="6">
        <f>首页!$B$9*0.0000000567*((C283^4-D283^4)/(C283-D283))</f>
        <v>7.7687338005019564</v>
      </c>
      <c r="M283" s="6">
        <f>IF(首页!$B$13="自然对流",IF(首页!$B$14="立式圆筒",首页!$B$10,PI()*B283/2),PI()*B283/2)</f>
        <v>55.2</v>
      </c>
      <c r="N283" s="7">
        <f>IF(首页!$B$13="强制对流",首页!$B$11*M283/H283,0)</f>
        <v>0</v>
      </c>
      <c r="O283" s="6">
        <f>IF(首页!$B$13="自然对流",IF(首页!$B$14="立式圆筒",(0.825+0.3063*I283^(1/6))^2+0.87*(M283/B283),(0.752+0.303*I283^(1/6))^2),0.3+SQRT((0.592*N283^0.5)^2+(0.0262*N283^0.8/(1-0.5/N283^0.1))^2))</f>
        <v>10090.248923053243</v>
      </c>
      <c r="P283" s="6">
        <f t="shared" si="41"/>
        <v>2.9510194925512497E-2</v>
      </c>
      <c r="Q283" s="6">
        <f t="shared" si="42"/>
        <v>5.3942973290986185</v>
      </c>
      <c r="R283" s="6">
        <f t="shared" si="43"/>
        <v>13.163031129600576</v>
      </c>
      <c r="S283" s="6">
        <f>B283*LN(B283/首页!$B$4)</f>
        <v>1.1686021012843808</v>
      </c>
      <c r="T283" s="6">
        <f>2*首页!$B$8*(E283-C283)/(R283*(C283-D283))</f>
        <v>7.0892326056905583E-2</v>
      </c>
      <c r="U283" t="str">
        <f>IF(首页!$B$13="自然对流","按自然对流公式", "按强制对流公式")</f>
        <v>按自然对流公式</v>
      </c>
      <c r="V283" s="6">
        <f t="shared" si="44"/>
        <v>1.0977097752274751</v>
      </c>
    </row>
    <row r="284" spans="1:22" x14ac:dyDescent="0.15">
      <c r="A284">
        <v>279</v>
      </c>
      <c r="B284" s="6">
        <f>首页!$B$4+2*A284/1000</f>
        <v>0.67800000000000005</v>
      </c>
      <c r="C284" s="6">
        <f>首页!$B$7+273.15</f>
        <v>388.15</v>
      </c>
      <c r="D284" s="6">
        <f>首页!$B$6+273.15</f>
        <v>293.14999999999998</v>
      </c>
      <c r="E284" s="6">
        <f>首页!$B$5+273.15</f>
        <v>1373.15</v>
      </c>
      <c r="F284" s="6">
        <f t="shared" si="36"/>
        <v>95</v>
      </c>
      <c r="G284" s="6">
        <f t="shared" si="37"/>
        <v>340.65</v>
      </c>
      <c r="H284" s="6">
        <f t="shared" si="38"/>
        <v>1.9926207055139041E-5</v>
      </c>
      <c r="I284" s="7">
        <f t="shared" si="39"/>
        <v>1158916576932337.8</v>
      </c>
      <c r="J284" s="6">
        <f t="shared" si="40"/>
        <v>1.0226038455893147</v>
      </c>
      <c r="K284" s="7">
        <f>J284*H284*首页!$B$12/P284</f>
        <v>0.69532757496605813</v>
      </c>
      <c r="L284" s="6">
        <f>首页!$B$9*0.0000000567*((C284^4-D284^4)/(C284-D284))</f>
        <v>7.7687338005019564</v>
      </c>
      <c r="M284" s="6">
        <f>IF(首页!$B$13="自然对流",IF(首页!$B$14="立式圆筒",首页!$B$10,PI()*B284/2),PI()*B284/2)</f>
        <v>55.2</v>
      </c>
      <c r="N284" s="7">
        <f>IF(首页!$B$13="强制对流",首页!$B$11*M284/H284,0)</f>
        <v>0</v>
      </c>
      <c r="O284" s="6">
        <f>IF(首页!$B$13="自然对流",IF(首页!$B$14="立式圆筒",(0.825+0.3063*I284^(1/6))^2+0.87*(M284/B284),(0.752+0.303*I284^(1/6))^2),0.3+SQRT((0.592*N284^0.5)^2+(0.0262*N284^0.8/(1-0.5/N284^0.1))^2))</f>
        <v>10090.03936134198</v>
      </c>
      <c r="P284" s="6">
        <f t="shared" si="41"/>
        <v>2.9510194925512497E-2</v>
      </c>
      <c r="Q284" s="6">
        <f t="shared" si="42"/>
        <v>5.3941852963640473</v>
      </c>
      <c r="R284" s="6">
        <f t="shared" si="43"/>
        <v>13.162919096866004</v>
      </c>
      <c r="S284" s="6">
        <f>B284*LN(B284/首页!$B$4)</f>
        <v>1.1740624596173612</v>
      </c>
      <c r="T284" s="6">
        <f>2*首页!$B$8*(E284-C284)/(R284*(C284-D284))</f>
        <v>7.0892929438350821E-2</v>
      </c>
      <c r="U284" t="str">
        <f>IF(首页!$B$13="自然对流","按自然对流公式", "按强制对流公式")</f>
        <v>按自然对流公式</v>
      </c>
      <c r="V284" s="6">
        <f t="shared" si="44"/>
        <v>1.1031695301790103</v>
      </c>
    </row>
    <row r="285" spans="1:22" x14ac:dyDescent="0.15">
      <c r="A285">
        <v>280</v>
      </c>
      <c r="B285" s="6">
        <f>首页!$B$4+2*A285/1000</f>
        <v>0.68</v>
      </c>
      <c r="C285" s="6">
        <f>首页!$B$7+273.15</f>
        <v>388.15</v>
      </c>
      <c r="D285" s="6">
        <f>首页!$B$6+273.15</f>
        <v>293.14999999999998</v>
      </c>
      <c r="E285" s="6">
        <f>首页!$B$5+273.15</f>
        <v>1373.15</v>
      </c>
      <c r="F285" s="6">
        <f t="shared" si="36"/>
        <v>95</v>
      </c>
      <c r="G285" s="6">
        <f t="shared" si="37"/>
        <v>340.65</v>
      </c>
      <c r="H285" s="6">
        <f t="shared" si="38"/>
        <v>1.9926207055139041E-5</v>
      </c>
      <c r="I285" s="7">
        <f t="shared" si="39"/>
        <v>1158916576932337.8</v>
      </c>
      <c r="J285" s="6">
        <f t="shared" si="40"/>
        <v>1.0226038455893147</v>
      </c>
      <c r="K285" s="7">
        <f>J285*H285*首页!$B$12/P285</f>
        <v>0.69532757496605813</v>
      </c>
      <c r="L285" s="6">
        <f>首页!$B$9*0.0000000567*((C285^4-D285^4)/(C285-D285))</f>
        <v>7.7687338005019564</v>
      </c>
      <c r="M285" s="6">
        <f>IF(首页!$B$13="自然对流",IF(首页!$B$14="立式圆筒",首页!$B$10,PI()*B285/2),PI()*B285/2)</f>
        <v>55.2</v>
      </c>
      <c r="N285" s="7">
        <f>IF(首页!$B$13="强制对流",首页!$B$11*M285/H285,0)</f>
        <v>0</v>
      </c>
      <c r="O285" s="6">
        <f>IF(首页!$B$13="自然对流",IF(首页!$B$14="立式圆筒",(0.825+0.3063*I285^(1/6))^2+0.87*(M285/B285),(0.752+0.303*I285^(1/6))^2),0.3+SQRT((0.592*N285^0.5)^2+(0.0262*N285^0.8/(1-0.5/N285^0.1))^2))</f>
        <v>10089.831032346665</v>
      </c>
      <c r="P285" s="6">
        <f t="shared" si="41"/>
        <v>2.9510194925512497E-2</v>
      </c>
      <c r="Q285" s="6">
        <f t="shared" si="42"/>
        <v>5.3940739226455623</v>
      </c>
      <c r="R285" s="6">
        <f t="shared" si="43"/>
        <v>13.16280772314752</v>
      </c>
      <c r="S285" s="6">
        <f>B285*LN(B285/首页!$B$4)</f>
        <v>1.1795287176639124</v>
      </c>
      <c r="T285" s="6">
        <f>2*首页!$B$8*(E285-C285)/(R285*(C285-D285))</f>
        <v>7.089352928067412E-2</v>
      </c>
      <c r="U285" t="str">
        <f>IF(首页!$B$13="自然对流","按自然对流公式", "按强制对流公式")</f>
        <v>按自然对流公式</v>
      </c>
      <c r="V285" s="6">
        <f t="shared" si="44"/>
        <v>1.1086351883832384</v>
      </c>
    </row>
    <row r="286" spans="1:22" x14ac:dyDescent="0.15">
      <c r="A286">
        <v>281</v>
      </c>
      <c r="B286" s="6">
        <f>首页!$B$4+2*A286/1000</f>
        <v>0.68200000000000005</v>
      </c>
      <c r="C286" s="6">
        <f>首页!$B$7+273.15</f>
        <v>388.15</v>
      </c>
      <c r="D286" s="6">
        <f>首页!$B$6+273.15</f>
        <v>293.14999999999998</v>
      </c>
      <c r="E286" s="6">
        <f>首页!$B$5+273.15</f>
        <v>1373.15</v>
      </c>
      <c r="F286" s="6">
        <f t="shared" si="36"/>
        <v>95</v>
      </c>
      <c r="G286" s="6">
        <f t="shared" si="37"/>
        <v>340.65</v>
      </c>
      <c r="H286" s="6">
        <f t="shared" si="38"/>
        <v>1.9926207055139041E-5</v>
      </c>
      <c r="I286" s="7">
        <f t="shared" si="39"/>
        <v>1158916576932337.8</v>
      </c>
      <c r="J286" s="6">
        <f t="shared" si="40"/>
        <v>1.0226038455893147</v>
      </c>
      <c r="K286" s="7">
        <f>J286*H286*首页!$B$12/P286</f>
        <v>0.69532757496605813</v>
      </c>
      <c r="L286" s="6">
        <f>首页!$B$9*0.0000000567*((C286^4-D286^4)/(C286-D286))</f>
        <v>7.7687338005019564</v>
      </c>
      <c r="M286" s="6">
        <f>IF(首页!$B$13="自然对流",IF(首页!$B$14="立式圆筒",首页!$B$10,PI()*B286/2),PI()*B286/2)</f>
        <v>55.2</v>
      </c>
      <c r="N286" s="7">
        <f>IF(首页!$B$13="强制对流",首页!$B$11*M286/H286,0)</f>
        <v>0</v>
      </c>
      <c r="O286" s="6">
        <f>IF(首页!$B$13="自然对流",IF(首页!$B$14="立式圆筒",(0.825+0.3063*I286^(1/6))^2+0.87*(M286/B286),(0.752+0.303*I286^(1/6))^2),0.3+SQRT((0.592*N286^0.5)^2+(0.0262*N286^0.8/(1-0.5/N286^0.1))^2))</f>
        <v>10089.623925222289</v>
      </c>
      <c r="P286" s="6">
        <f t="shared" si="41"/>
        <v>2.9510194925512497E-2</v>
      </c>
      <c r="Q286" s="6">
        <f t="shared" si="42"/>
        <v>5.3939632021453674</v>
      </c>
      <c r="R286" s="6">
        <f t="shared" si="43"/>
        <v>13.162697002647324</v>
      </c>
      <c r="S286" s="6">
        <f>B286*LN(B286/首页!$B$4)</f>
        <v>1.1850008580718858</v>
      </c>
      <c r="T286" s="6">
        <f>2*首页!$B$8*(E286-C286)/(R286*(C286-D286))</f>
        <v>7.0894125614922421E-2</v>
      </c>
      <c r="U286" t="str">
        <f>IF(首页!$B$13="自然对流","按自然对流公式", "按强制对流公式")</f>
        <v>按自然对流公式</v>
      </c>
      <c r="V286" s="6">
        <f t="shared" si="44"/>
        <v>1.1141067324569633</v>
      </c>
    </row>
    <row r="287" spans="1:22" x14ac:dyDescent="0.15">
      <c r="A287">
        <v>282</v>
      </c>
      <c r="B287" s="6">
        <f>首页!$B$4+2*A287/1000</f>
        <v>0.68399999999999994</v>
      </c>
      <c r="C287" s="6">
        <f>首页!$B$7+273.15</f>
        <v>388.15</v>
      </c>
      <c r="D287" s="6">
        <f>首页!$B$6+273.15</f>
        <v>293.14999999999998</v>
      </c>
      <c r="E287" s="6">
        <f>首页!$B$5+273.15</f>
        <v>1373.15</v>
      </c>
      <c r="F287" s="6">
        <f t="shared" si="36"/>
        <v>95</v>
      </c>
      <c r="G287" s="6">
        <f t="shared" si="37"/>
        <v>340.65</v>
      </c>
      <c r="H287" s="6">
        <f t="shared" si="38"/>
        <v>1.9926207055139041E-5</v>
      </c>
      <c r="I287" s="7">
        <f t="shared" si="39"/>
        <v>1158916576932337.8</v>
      </c>
      <c r="J287" s="6">
        <f t="shared" si="40"/>
        <v>1.0226038455893147</v>
      </c>
      <c r="K287" s="7">
        <f>J287*H287*首页!$B$12/P287</f>
        <v>0.69532757496605813</v>
      </c>
      <c r="L287" s="6">
        <f>首页!$B$9*0.0000000567*((C287^4-D287^4)/(C287-D287))</f>
        <v>7.7687338005019564</v>
      </c>
      <c r="M287" s="6">
        <f>IF(首页!$B$13="自然对流",IF(首页!$B$14="立式圆筒",首页!$B$10,PI()*B287/2),PI()*B287/2)</f>
        <v>55.2</v>
      </c>
      <c r="N287" s="7">
        <f>IF(首页!$B$13="强制对流",首页!$B$11*M287/H287,0)</f>
        <v>0</v>
      </c>
      <c r="O287" s="6">
        <f>IF(首页!$B$13="自然对流",IF(首页!$B$14="立式圆筒",(0.825+0.3063*I287^(1/6))^2+0.87*(M287/B287),(0.752+0.303*I287^(1/6))^2),0.3+SQRT((0.592*N287^0.5)^2+(0.0262*N287^0.8/(1-0.5/N287^0.1))^2))</f>
        <v>10089.41802925069</v>
      </c>
      <c r="P287" s="6">
        <f t="shared" si="41"/>
        <v>2.9510194925512497E-2</v>
      </c>
      <c r="Q287" s="6">
        <f t="shared" si="42"/>
        <v>5.3938531291334781</v>
      </c>
      <c r="R287" s="6">
        <f t="shared" si="43"/>
        <v>13.162586929635435</v>
      </c>
      <c r="S287" s="6">
        <f>B287*LN(B287/首页!$B$4)</f>
        <v>1.1904788635909049</v>
      </c>
      <c r="T287" s="6">
        <f>2*首页!$B$8*(E287-C287)/(R287*(C287-D287))</f>
        <v>7.0894718471780527E-2</v>
      </c>
      <c r="U287" t="str">
        <f>IF(首页!$B$13="自然对流","按自然对流公式", "按强制对流公式")</f>
        <v>按自然对流公式</v>
      </c>
      <c r="V287" s="6">
        <f t="shared" si="44"/>
        <v>1.1195841451191244</v>
      </c>
    </row>
    <row r="288" spans="1:22" x14ac:dyDescent="0.15">
      <c r="A288">
        <v>283</v>
      </c>
      <c r="B288" s="6">
        <f>首页!$B$4+2*A288/1000</f>
        <v>0.68599999999999994</v>
      </c>
      <c r="C288" s="6">
        <f>首页!$B$7+273.15</f>
        <v>388.15</v>
      </c>
      <c r="D288" s="6">
        <f>首页!$B$6+273.15</f>
        <v>293.14999999999998</v>
      </c>
      <c r="E288" s="6">
        <f>首页!$B$5+273.15</f>
        <v>1373.15</v>
      </c>
      <c r="F288" s="6">
        <f t="shared" si="36"/>
        <v>95</v>
      </c>
      <c r="G288" s="6">
        <f t="shared" si="37"/>
        <v>340.65</v>
      </c>
      <c r="H288" s="6">
        <f t="shared" si="38"/>
        <v>1.9926207055139041E-5</v>
      </c>
      <c r="I288" s="7">
        <f t="shared" si="39"/>
        <v>1158916576932337.8</v>
      </c>
      <c r="J288" s="6">
        <f t="shared" si="40"/>
        <v>1.0226038455893147</v>
      </c>
      <c r="K288" s="7">
        <f>J288*H288*首页!$B$12/P288</f>
        <v>0.69532757496605813</v>
      </c>
      <c r="L288" s="6">
        <f>首页!$B$9*0.0000000567*((C288^4-D288^4)/(C288-D288))</f>
        <v>7.7687338005019564</v>
      </c>
      <c r="M288" s="6">
        <f>IF(首页!$B$13="自然对流",IF(首页!$B$14="立式圆筒",首页!$B$10,PI()*B288/2),PI()*B288/2)</f>
        <v>55.2</v>
      </c>
      <c r="N288" s="7">
        <f>IF(首页!$B$13="强制对流",首页!$B$11*M288/H288,0)</f>
        <v>0</v>
      </c>
      <c r="O288" s="6">
        <f>IF(首页!$B$13="自然对流",IF(首页!$B$14="立式圆筒",(0.825+0.3063*I288^(1/6))^2+0.87*(M288/B288),(0.752+0.303*I288^(1/6))^2),0.3+SQRT((0.592*N288^0.5)^2+(0.0262*N288^0.8/(1-0.5/N288^0.1))^2))</f>
        <v>10089.21333383869</v>
      </c>
      <c r="P288" s="6">
        <f t="shared" si="41"/>
        <v>2.9510194925512497E-2</v>
      </c>
      <c r="Q288" s="6">
        <f t="shared" si="42"/>
        <v>5.3937436979467304</v>
      </c>
      <c r="R288" s="6">
        <f t="shared" si="43"/>
        <v>13.162477498448688</v>
      </c>
      <c r="S288" s="6">
        <f>B288*LN(B288/首页!$B$4)</f>
        <v>1.1959627170714737</v>
      </c>
      <c r="T288" s="6">
        <f>2*首页!$B$8*(E288-C288)/(R288*(C288-D288))</f>
        <v>7.0895307881576469E-2</v>
      </c>
      <c r="U288" t="str">
        <f>IF(首页!$B$13="自然对流","按自然对流公式", "按强制对流公式")</f>
        <v>按自然对流公式</v>
      </c>
      <c r="V288" s="6">
        <f t="shared" si="44"/>
        <v>1.1250674091898973</v>
      </c>
    </row>
    <row r="289" spans="1:22" x14ac:dyDescent="0.15">
      <c r="A289">
        <v>284</v>
      </c>
      <c r="B289" s="6">
        <f>首页!$B$4+2*A289/1000</f>
        <v>0.68799999999999994</v>
      </c>
      <c r="C289" s="6">
        <f>首页!$B$7+273.15</f>
        <v>388.15</v>
      </c>
      <c r="D289" s="6">
        <f>首页!$B$6+273.15</f>
        <v>293.14999999999998</v>
      </c>
      <c r="E289" s="6">
        <f>首页!$B$5+273.15</f>
        <v>1373.15</v>
      </c>
      <c r="F289" s="6">
        <f t="shared" si="36"/>
        <v>95</v>
      </c>
      <c r="G289" s="6">
        <f t="shared" si="37"/>
        <v>340.65</v>
      </c>
      <c r="H289" s="6">
        <f t="shared" si="38"/>
        <v>1.9926207055139041E-5</v>
      </c>
      <c r="I289" s="7">
        <f t="shared" si="39"/>
        <v>1158916576932337.8</v>
      </c>
      <c r="J289" s="6">
        <f t="shared" si="40"/>
        <v>1.0226038455893147</v>
      </c>
      <c r="K289" s="7">
        <f>J289*H289*首页!$B$12/P289</f>
        <v>0.69532757496605813</v>
      </c>
      <c r="L289" s="6">
        <f>首页!$B$9*0.0000000567*((C289^4-D289^4)/(C289-D289))</f>
        <v>7.7687338005019564</v>
      </c>
      <c r="M289" s="6">
        <f>IF(首页!$B$13="自然对流",IF(首页!$B$14="立式圆筒",首页!$B$10,PI()*B289/2),PI()*B289/2)</f>
        <v>55.2</v>
      </c>
      <c r="N289" s="7">
        <f>IF(首页!$B$13="强制对流",首页!$B$11*M289/H289,0)</f>
        <v>0</v>
      </c>
      <c r="O289" s="6">
        <f>IF(首页!$B$13="自然对流",IF(首页!$B$14="立式圆筒",(0.825+0.3063*I289^(1/6))^2+0.87*(M289/B289),(0.752+0.303*I289^(1/6))^2),0.3+SQRT((0.592*N289^0.5)^2+(0.0262*N289^0.8/(1-0.5/N289^0.1))^2))</f>
        <v>10089.009828516295</v>
      </c>
      <c r="P289" s="6">
        <f t="shared" si="41"/>
        <v>2.9510194925512497E-2</v>
      </c>
      <c r="Q289" s="6">
        <f t="shared" si="42"/>
        <v>5.3936349029878121</v>
      </c>
      <c r="R289" s="6">
        <f t="shared" si="43"/>
        <v>13.162368703489769</v>
      </c>
      <c r="S289" s="6">
        <f>B289*LN(B289/首页!$B$4)</f>
        <v>1.2014524014640928</v>
      </c>
      <c r="T289" s="6">
        <f>2*首页!$B$8*(E289-C289)/(R289*(C289-D289))</f>
        <v>7.0895893874286617E-2</v>
      </c>
      <c r="U289" t="str">
        <f>IF(首页!$B$13="自然对流","按自然对流公式", "按强制对流公式")</f>
        <v>按自然对流公式</v>
      </c>
      <c r="V289" s="6">
        <f t="shared" si="44"/>
        <v>1.1305565075898063</v>
      </c>
    </row>
    <row r="290" spans="1:22" x14ac:dyDescent="0.15">
      <c r="A290">
        <v>285</v>
      </c>
      <c r="B290" s="6">
        <f>首页!$B$4+2*A290/1000</f>
        <v>0.69</v>
      </c>
      <c r="C290" s="6">
        <f>首页!$B$7+273.15</f>
        <v>388.15</v>
      </c>
      <c r="D290" s="6">
        <f>首页!$B$6+273.15</f>
        <v>293.14999999999998</v>
      </c>
      <c r="E290" s="6">
        <f>首页!$B$5+273.15</f>
        <v>1373.15</v>
      </c>
      <c r="F290" s="6">
        <f t="shared" si="36"/>
        <v>95</v>
      </c>
      <c r="G290" s="6">
        <f t="shared" si="37"/>
        <v>340.65</v>
      </c>
      <c r="H290" s="6">
        <f t="shared" si="38"/>
        <v>1.9926207055139041E-5</v>
      </c>
      <c r="I290" s="7">
        <f t="shared" si="39"/>
        <v>1158916576932337.8</v>
      </c>
      <c r="J290" s="6">
        <f t="shared" si="40"/>
        <v>1.0226038455893147</v>
      </c>
      <c r="K290" s="7">
        <f>J290*H290*首页!$B$12/P290</f>
        <v>0.69532757496605813</v>
      </c>
      <c r="L290" s="6">
        <f>首页!$B$9*0.0000000567*((C290^4-D290^4)/(C290-D290))</f>
        <v>7.7687338005019564</v>
      </c>
      <c r="M290" s="6">
        <f>IF(首页!$B$13="自然对流",IF(首页!$B$14="立式圆筒",首页!$B$10,PI()*B290/2),PI()*B290/2)</f>
        <v>55.2</v>
      </c>
      <c r="N290" s="7">
        <f>IF(首页!$B$13="强制对流",首页!$B$11*M290/H290,0)</f>
        <v>0</v>
      </c>
      <c r="O290" s="6">
        <f>IF(首页!$B$13="自然对流",IF(首页!$B$14="立式圆筒",(0.825+0.3063*I290^(1/6))^2+0.87*(M290/B290),(0.752+0.303*I290^(1/6))^2),0.3+SQRT((0.592*N290^0.5)^2+(0.0262*N290^0.8/(1-0.5/N290^0.1))^2))</f>
        <v>10088.8075029349</v>
      </c>
      <c r="P290" s="6">
        <f t="shared" si="41"/>
        <v>2.9510194925512497E-2</v>
      </c>
      <c r="Q290" s="6">
        <f t="shared" si="42"/>
        <v>5.3935267387243098</v>
      </c>
      <c r="R290" s="6">
        <f t="shared" si="43"/>
        <v>13.162260539226267</v>
      </c>
      <c r="S290" s="6">
        <f>B290*LN(B290/首页!$B$4)</f>
        <v>1.2069478998183887</v>
      </c>
      <c r="T290" s="6">
        <f>2*首页!$B$8*(E290-C290)/(R290*(C290-D290))</f>
        <v>7.089647647954074E-2</v>
      </c>
      <c r="U290" t="str">
        <f>IF(首页!$B$13="自然对流","按自然对流公式", "按强制对流公式")</f>
        <v>按自然对流公式</v>
      </c>
      <c r="V290" s="6">
        <f t="shared" si="44"/>
        <v>1.1360514233388479</v>
      </c>
    </row>
    <row r="291" spans="1:22" x14ac:dyDescent="0.15">
      <c r="A291">
        <v>286</v>
      </c>
      <c r="B291" s="6">
        <f>首页!$B$4+2*A291/1000</f>
        <v>0.69199999999999995</v>
      </c>
      <c r="C291" s="6">
        <f>首页!$B$7+273.15</f>
        <v>388.15</v>
      </c>
      <c r="D291" s="6">
        <f>首页!$B$6+273.15</f>
        <v>293.14999999999998</v>
      </c>
      <c r="E291" s="6">
        <f>首页!$B$5+273.15</f>
        <v>1373.15</v>
      </c>
      <c r="F291" s="6">
        <f t="shared" si="36"/>
        <v>95</v>
      </c>
      <c r="G291" s="6">
        <f t="shared" si="37"/>
        <v>340.65</v>
      </c>
      <c r="H291" s="6">
        <f t="shared" si="38"/>
        <v>1.9926207055139041E-5</v>
      </c>
      <c r="I291" s="7">
        <f t="shared" si="39"/>
        <v>1158916576932337.8</v>
      </c>
      <c r="J291" s="6">
        <f t="shared" si="40"/>
        <v>1.0226038455893147</v>
      </c>
      <c r="K291" s="7">
        <f>J291*H291*首页!$B$12/P291</f>
        <v>0.69532757496605813</v>
      </c>
      <c r="L291" s="6">
        <f>首页!$B$9*0.0000000567*((C291^4-D291^4)/(C291-D291))</f>
        <v>7.7687338005019564</v>
      </c>
      <c r="M291" s="6">
        <f>IF(首页!$B$13="自然对流",IF(首页!$B$14="立式圆筒",首页!$B$10,PI()*B291/2),PI()*B291/2)</f>
        <v>55.2</v>
      </c>
      <c r="N291" s="7">
        <f>IF(首页!$B$13="强制对流",首页!$B$11*M291/H291,0)</f>
        <v>0</v>
      </c>
      <c r="O291" s="6">
        <f>IF(首页!$B$13="自然对流",IF(首页!$B$14="立式圆筒",(0.825+0.3063*I291^(1/6))^2+0.87*(M291/B291),(0.752+0.303*I291^(1/6))^2),0.3+SQRT((0.592*N291^0.5)^2+(0.0262*N291^0.8/(1-0.5/N291^0.1))^2))</f>
        <v>10088.606346865536</v>
      </c>
      <c r="P291" s="6">
        <f t="shared" si="41"/>
        <v>2.9510194925512497E-2</v>
      </c>
      <c r="Q291" s="6">
        <f t="shared" si="42"/>
        <v>5.393419199687763</v>
      </c>
      <c r="R291" s="6">
        <f t="shared" si="43"/>
        <v>13.162153000189718</v>
      </c>
      <c r="S291" s="6">
        <f>B291*LN(B291/首页!$B$4)</f>
        <v>1.2124491952822514</v>
      </c>
      <c r="T291" s="6">
        <f>2*首页!$B$8*(E291-C291)/(R291*(C291-D291))</f>
        <v>7.0897055726627065E-2</v>
      </c>
      <c r="U291" t="str">
        <f>IF(首页!$B$13="自然对流","按自然对流公式", "按强制对流公式")</f>
        <v>按自然对流公式</v>
      </c>
      <c r="V291" s="6">
        <f t="shared" si="44"/>
        <v>1.1415521395556243</v>
      </c>
    </row>
    <row r="292" spans="1:22" x14ac:dyDescent="0.15">
      <c r="A292">
        <v>287</v>
      </c>
      <c r="B292" s="6">
        <f>首页!$B$4+2*A292/1000</f>
        <v>0.69399999999999995</v>
      </c>
      <c r="C292" s="6">
        <f>首页!$B$7+273.15</f>
        <v>388.15</v>
      </c>
      <c r="D292" s="6">
        <f>首页!$B$6+273.15</f>
        <v>293.14999999999998</v>
      </c>
      <c r="E292" s="6">
        <f>首页!$B$5+273.15</f>
        <v>1373.15</v>
      </c>
      <c r="F292" s="6">
        <f t="shared" si="36"/>
        <v>95</v>
      </c>
      <c r="G292" s="6">
        <f t="shared" si="37"/>
        <v>340.65</v>
      </c>
      <c r="H292" s="6">
        <f t="shared" si="38"/>
        <v>1.9926207055139041E-5</v>
      </c>
      <c r="I292" s="7">
        <f t="shared" si="39"/>
        <v>1158916576932337.8</v>
      </c>
      <c r="J292" s="6">
        <f t="shared" si="40"/>
        <v>1.0226038455893147</v>
      </c>
      <c r="K292" s="7">
        <f>J292*H292*首页!$B$12/P292</f>
        <v>0.69532757496605813</v>
      </c>
      <c r="L292" s="6">
        <f>首页!$B$9*0.0000000567*((C292^4-D292^4)/(C292-D292))</f>
        <v>7.7687338005019564</v>
      </c>
      <c r="M292" s="6">
        <f>IF(首页!$B$13="自然对流",IF(首页!$B$14="立式圆筒",首页!$B$10,PI()*B292/2),PI()*B292/2)</f>
        <v>55.2</v>
      </c>
      <c r="N292" s="7">
        <f>IF(首页!$B$13="强制对流",首页!$B$11*M292/H292,0)</f>
        <v>0</v>
      </c>
      <c r="O292" s="6">
        <f>IF(首页!$B$13="自然对流",IF(首页!$B$14="立式圆筒",(0.825+0.3063*I292^(1/6))^2+0.87*(M292/B292),(0.752+0.303*I292^(1/6))^2),0.3+SQRT((0.592*N292^0.5)^2+(0.0262*N292^0.8/(1-0.5/N292^0.1))^2))</f>
        <v>10088.406350197147</v>
      </c>
      <c r="P292" s="6">
        <f t="shared" si="41"/>
        <v>2.9510194925512497E-2</v>
      </c>
      <c r="Q292" s="6">
        <f t="shared" si="42"/>
        <v>5.3933122804727516</v>
      </c>
      <c r="R292" s="6">
        <f t="shared" si="43"/>
        <v>13.162046080974708</v>
      </c>
      <c r="S292" s="6">
        <f>B292*LN(B292/首页!$B$4)</f>
        <v>1.2179562711009824</v>
      </c>
      <c r="T292" s="6">
        <f>2*首页!$B$8*(E292-C292)/(R292*(C292-D292))</f>
        <v>7.0897631644497153E-2</v>
      </c>
      <c r="U292" t="str">
        <f>IF(首页!$B$13="自然对流","按自然对流公式", "按强制对流公式")</f>
        <v>按自然对流公式</v>
      </c>
      <c r="V292" s="6">
        <f t="shared" si="44"/>
        <v>1.1470586394564852</v>
      </c>
    </row>
    <row r="293" spans="1:22" x14ac:dyDescent="0.15">
      <c r="A293">
        <v>288</v>
      </c>
      <c r="B293" s="6">
        <f>首页!$B$4+2*A293/1000</f>
        <v>0.69599999999999995</v>
      </c>
      <c r="C293" s="6">
        <f>首页!$B$7+273.15</f>
        <v>388.15</v>
      </c>
      <c r="D293" s="6">
        <f>首页!$B$6+273.15</f>
        <v>293.14999999999998</v>
      </c>
      <c r="E293" s="6">
        <f>首页!$B$5+273.15</f>
        <v>1373.15</v>
      </c>
      <c r="F293" s="6">
        <f t="shared" si="36"/>
        <v>95</v>
      </c>
      <c r="G293" s="6">
        <f t="shared" si="37"/>
        <v>340.65</v>
      </c>
      <c r="H293" s="6">
        <f t="shared" si="38"/>
        <v>1.9926207055139041E-5</v>
      </c>
      <c r="I293" s="7">
        <f t="shared" si="39"/>
        <v>1158916576932337.8</v>
      </c>
      <c r="J293" s="6">
        <f t="shared" si="40"/>
        <v>1.0226038455893147</v>
      </c>
      <c r="K293" s="7">
        <f>J293*H293*首页!$B$12/P293</f>
        <v>0.69532757496605813</v>
      </c>
      <c r="L293" s="6">
        <f>首页!$B$9*0.0000000567*((C293^4-D293^4)/(C293-D293))</f>
        <v>7.7687338005019564</v>
      </c>
      <c r="M293" s="6">
        <f>IF(首页!$B$13="自然对流",IF(首页!$B$14="立式圆筒",首页!$B$10,PI()*B293/2),PI()*B293/2)</f>
        <v>55.2</v>
      </c>
      <c r="N293" s="7">
        <f>IF(首页!$B$13="强制对流",首页!$B$11*M293/H293,0)</f>
        <v>0</v>
      </c>
      <c r="O293" s="6">
        <f>IF(首页!$B$13="自然对流",IF(首页!$B$14="立式圆筒",(0.825+0.3063*I293^(1/6))^2+0.87*(M293/B293),(0.752+0.303*I293^(1/6))^2),0.3+SQRT((0.592*N293^0.5)^2+(0.0262*N293^0.8/(1-0.5/N293^0.1))^2))</f>
        <v>10088.2075029349</v>
      </c>
      <c r="P293" s="6">
        <f t="shared" si="41"/>
        <v>2.9510194925512497E-2</v>
      </c>
      <c r="Q293" s="6">
        <f t="shared" si="42"/>
        <v>5.3932059757359889</v>
      </c>
      <c r="R293" s="6">
        <f t="shared" si="43"/>
        <v>13.161939776237945</v>
      </c>
      <c r="S293" s="6">
        <f>B293*LN(B293/首页!$B$4)</f>
        <v>1.2234691106164519</v>
      </c>
      <c r="T293" s="6">
        <f>2*首页!$B$8*(E293-C293)/(R293*(C293-D293))</f>
        <v>7.0898204261770695E-2</v>
      </c>
      <c r="U293" t="str">
        <f>IF(首页!$B$13="自然对流","按自然对流公式", "按强制对流公式")</f>
        <v>按自然对流公式</v>
      </c>
      <c r="V293" s="6">
        <f t="shared" si="44"/>
        <v>1.1525709063546812</v>
      </c>
    </row>
    <row r="294" spans="1:22" x14ac:dyDescent="0.15">
      <c r="A294">
        <v>289</v>
      </c>
      <c r="B294" s="6">
        <f>首页!$B$4+2*A294/1000</f>
        <v>0.69799999999999995</v>
      </c>
      <c r="C294" s="6">
        <f>首页!$B$7+273.15</f>
        <v>388.15</v>
      </c>
      <c r="D294" s="6">
        <f>首页!$B$6+273.15</f>
        <v>293.14999999999998</v>
      </c>
      <c r="E294" s="6">
        <f>首页!$B$5+273.15</f>
        <v>1373.15</v>
      </c>
      <c r="F294" s="6">
        <f t="shared" si="36"/>
        <v>95</v>
      </c>
      <c r="G294" s="6">
        <f t="shared" si="37"/>
        <v>340.65</v>
      </c>
      <c r="H294" s="6">
        <f t="shared" si="38"/>
        <v>1.9926207055139041E-5</v>
      </c>
      <c r="I294" s="7">
        <f t="shared" si="39"/>
        <v>1158916576932337.8</v>
      </c>
      <c r="J294" s="6">
        <f t="shared" si="40"/>
        <v>1.0226038455893147</v>
      </c>
      <c r="K294" s="7">
        <f>J294*H294*首页!$B$12/P294</f>
        <v>0.69532757496605813</v>
      </c>
      <c r="L294" s="6">
        <f>首页!$B$9*0.0000000567*((C294^4-D294^4)/(C294-D294))</f>
        <v>7.7687338005019564</v>
      </c>
      <c r="M294" s="6">
        <f>IF(首页!$B$13="自然对流",IF(首页!$B$14="立式圆筒",首页!$B$10,PI()*B294/2),PI()*B294/2)</f>
        <v>55.2</v>
      </c>
      <c r="N294" s="7">
        <f>IF(首页!$B$13="强制对流",首页!$B$11*M294/H294,0)</f>
        <v>0</v>
      </c>
      <c r="O294" s="6">
        <f>IF(首页!$B$13="自然对流",IF(首页!$B$14="立式圆筒",(0.825+0.3063*I294^(1/6))^2+0.87*(M294/B294),(0.752+0.303*I294^(1/6))^2),0.3+SQRT((0.592*N294^0.5)^2+(0.0262*N294^0.8/(1-0.5/N294^0.1))^2))</f>
        <v>10088.00979519851</v>
      </c>
      <c r="P294" s="6">
        <f t="shared" si="41"/>
        <v>2.9510194925512497E-2</v>
      </c>
      <c r="Q294" s="6">
        <f t="shared" si="42"/>
        <v>5.3931002801954238</v>
      </c>
      <c r="R294" s="6">
        <f t="shared" si="43"/>
        <v>13.16183408069738</v>
      </c>
      <c r="S294" s="6">
        <f>B294*LN(B294/首页!$B$4)</f>
        <v>1.2289876972662677</v>
      </c>
      <c r="T294" s="6">
        <f>2*首页!$B$8*(E294-C294)/(R294*(C294-D294))</f>
        <v>7.0898773606740281E-2</v>
      </c>
      <c r="U294" t="str">
        <f>IF(首页!$B$13="自然对流","按自然对流公式", "按强制对流公式")</f>
        <v>按自然对流公式</v>
      </c>
      <c r="V294" s="6">
        <f t="shared" si="44"/>
        <v>1.1580889236595273</v>
      </c>
    </row>
    <row r="295" spans="1:22" x14ac:dyDescent="0.15">
      <c r="A295">
        <v>290</v>
      </c>
      <c r="B295" s="6">
        <f>首页!$B$4+2*A295/1000</f>
        <v>0.7</v>
      </c>
      <c r="C295" s="6">
        <f>首页!$B$7+273.15</f>
        <v>388.15</v>
      </c>
      <c r="D295" s="6">
        <f>首页!$B$6+273.15</f>
        <v>293.14999999999998</v>
      </c>
      <c r="E295" s="6">
        <f>首页!$B$5+273.15</f>
        <v>1373.15</v>
      </c>
      <c r="F295" s="6">
        <f t="shared" si="36"/>
        <v>95</v>
      </c>
      <c r="G295" s="6">
        <f t="shared" si="37"/>
        <v>340.65</v>
      </c>
      <c r="H295" s="6">
        <f t="shared" si="38"/>
        <v>1.9926207055139041E-5</v>
      </c>
      <c r="I295" s="7">
        <f t="shared" si="39"/>
        <v>1158916576932337.8</v>
      </c>
      <c r="J295" s="6">
        <f t="shared" si="40"/>
        <v>1.0226038455893147</v>
      </c>
      <c r="K295" s="7">
        <f>J295*H295*首页!$B$12/P295</f>
        <v>0.69532757496605813</v>
      </c>
      <c r="L295" s="6">
        <f>首页!$B$9*0.0000000567*((C295^4-D295^4)/(C295-D295))</f>
        <v>7.7687338005019564</v>
      </c>
      <c r="M295" s="6">
        <f>IF(首页!$B$13="自然对流",IF(首页!$B$14="立式圆筒",首页!$B$10,PI()*B295/2),PI()*B295/2)</f>
        <v>55.2</v>
      </c>
      <c r="N295" s="7">
        <f>IF(首页!$B$13="强制对流",首页!$B$11*M295/H295,0)</f>
        <v>0</v>
      </c>
      <c r="O295" s="6">
        <f>IF(首页!$B$13="自然对流",IF(首页!$B$14="立式圆筒",(0.825+0.3063*I295^(1/6))^2+0.87*(M295/B295),(0.752+0.303*I295^(1/6))^2),0.3+SQRT((0.592*N295^0.5)^2+(0.0262*N295^0.8/(1-0.5/N295^0.1))^2))</f>
        <v>10087.813217220613</v>
      </c>
      <c r="P295" s="6">
        <f t="shared" si="41"/>
        <v>2.9510194925512497E-2</v>
      </c>
      <c r="Q295" s="6">
        <f t="shared" si="42"/>
        <v>5.392995188629377</v>
      </c>
      <c r="R295" s="6">
        <f t="shared" si="43"/>
        <v>13.161728989131333</v>
      </c>
      <c r="S295" s="6">
        <f>B295*LN(B295/首页!$B$4)</f>
        <v>1.2345120145829509</v>
      </c>
      <c r="T295" s="6">
        <f>2*首页!$B$8*(E295-C295)/(R295*(C295-D295))</f>
        <v>7.0899339707376094E-2</v>
      </c>
      <c r="U295" t="str">
        <f>IF(首页!$B$13="自然对流","按自然对流公式", "按强制对流公式")</f>
        <v>按自然对流公式</v>
      </c>
      <c r="V295" s="6">
        <f t="shared" si="44"/>
        <v>1.1636126748755748</v>
      </c>
    </row>
    <row r="296" spans="1:22" x14ac:dyDescent="0.15">
      <c r="A296">
        <v>291</v>
      </c>
      <c r="B296" s="6">
        <f>首页!$B$4+2*A296/1000</f>
        <v>0.70199999999999996</v>
      </c>
      <c r="C296" s="6">
        <f>首页!$B$7+273.15</f>
        <v>388.15</v>
      </c>
      <c r="D296" s="6">
        <f>首页!$B$6+273.15</f>
        <v>293.14999999999998</v>
      </c>
      <c r="E296" s="6">
        <f>首页!$B$5+273.15</f>
        <v>1373.15</v>
      </c>
      <c r="F296" s="6">
        <f t="shared" si="36"/>
        <v>95</v>
      </c>
      <c r="G296" s="6">
        <f t="shared" si="37"/>
        <v>340.65</v>
      </c>
      <c r="H296" s="6">
        <f t="shared" si="38"/>
        <v>1.9926207055139041E-5</v>
      </c>
      <c r="I296" s="7">
        <f t="shared" si="39"/>
        <v>1158916576932337.8</v>
      </c>
      <c r="J296" s="6">
        <f t="shared" si="40"/>
        <v>1.0226038455893147</v>
      </c>
      <c r="K296" s="7">
        <f>J296*H296*首页!$B$12/P296</f>
        <v>0.69532757496605813</v>
      </c>
      <c r="L296" s="6">
        <f>首页!$B$9*0.0000000567*((C296^4-D296^4)/(C296-D296))</f>
        <v>7.7687338005019564</v>
      </c>
      <c r="M296" s="6">
        <f>IF(首页!$B$13="自然对流",IF(首页!$B$14="立式圆筒",首页!$B$10,PI()*B296/2),PI()*B296/2)</f>
        <v>55.2</v>
      </c>
      <c r="N296" s="7">
        <f>IF(首页!$B$13="强制对流",首页!$B$11*M296/H296,0)</f>
        <v>0</v>
      </c>
      <c r="O296" s="6">
        <f>IF(首页!$B$13="自然对流",IF(首页!$B$14="立式圆筒",(0.825+0.3063*I296^(1/6))^2+0.87*(M296/B296),(0.752+0.303*I296^(1/6))^2),0.3+SQRT((0.592*N296^0.5)^2+(0.0262*N296^0.8/(1-0.5/N296^0.1))^2))</f>
        <v>10087.617759345156</v>
      </c>
      <c r="P296" s="6">
        <f t="shared" si="41"/>
        <v>2.9510194925512497E-2</v>
      </c>
      <c r="Q296" s="6">
        <f t="shared" si="42"/>
        <v>5.392890695875673</v>
      </c>
      <c r="R296" s="6">
        <f t="shared" si="43"/>
        <v>13.16162449637763</v>
      </c>
      <c r="S296" s="6">
        <f>B296*LN(B296/首页!$B$4)</f>
        <v>1.240042046193123</v>
      </c>
      <c r="T296" s="6">
        <f>2*首页!$B$8*(E296-C296)/(R296*(C296-D296))</f>
        <v>7.0899902591330416E-2</v>
      </c>
      <c r="U296" t="str">
        <f>IF(首页!$B$13="自然对流","按自然对流公式", "按强制对流公式")</f>
        <v>按自然对流公式</v>
      </c>
      <c r="V296" s="6">
        <f t="shared" si="44"/>
        <v>1.1691421436017926</v>
      </c>
    </row>
    <row r="297" spans="1:22" x14ac:dyDescent="0.15">
      <c r="A297">
        <v>292</v>
      </c>
      <c r="B297" s="6">
        <f>首页!$B$4+2*A297/1000</f>
        <v>0.70399999999999996</v>
      </c>
      <c r="C297" s="6">
        <f>首页!$B$7+273.15</f>
        <v>388.15</v>
      </c>
      <c r="D297" s="6">
        <f>首页!$B$6+273.15</f>
        <v>293.14999999999998</v>
      </c>
      <c r="E297" s="6">
        <f>首页!$B$5+273.15</f>
        <v>1373.15</v>
      </c>
      <c r="F297" s="6">
        <f t="shared" si="36"/>
        <v>95</v>
      </c>
      <c r="G297" s="6">
        <f t="shared" si="37"/>
        <v>340.65</v>
      </c>
      <c r="H297" s="6">
        <f t="shared" si="38"/>
        <v>1.9926207055139041E-5</v>
      </c>
      <c r="I297" s="7">
        <f t="shared" si="39"/>
        <v>1158916576932337.8</v>
      </c>
      <c r="J297" s="6">
        <f t="shared" si="40"/>
        <v>1.0226038455893147</v>
      </c>
      <c r="K297" s="7">
        <f>J297*H297*首页!$B$12/P297</f>
        <v>0.69532757496605813</v>
      </c>
      <c r="L297" s="6">
        <f>首页!$B$9*0.0000000567*((C297^4-D297^4)/(C297-D297))</f>
        <v>7.7687338005019564</v>
      </c>
      <c r="M297" s="6">
        <f>IF(首页!$B$13="自然对流",IF(首页!$B$14="立式圆筒",首页!$B$10,PI()*B297/2),PI()*B297/2)</f>
        <v>55.2</v>
      </c>
      <c r="N297" s="7">
        <f>IF(首页!$B$13="强制对流",首页!$B$11*M297/H297,0)</f>
        <v>0</v>
      </c>
      <c r="O297" s="6">
        <f>IF(首页!$B$13="自然对流",IF(首页!$B$14="立式圆筒",(0.825+0.3063*I297^(1/6))^2+0.87*(M297/B297),(0.752+0.303*I297^(1/6))^2),0.3+SQRT((0.592*N297^0.5)^2+(0.0262*N297^0.8/(1-0.5/N297^0.1))^2))</f>
        <v>10087.42341202581</v>
      </c>
      <c r="P297" s="6">
        <f t="shared" si="41"/>
        <v>2.9510194925512497E-2</v>
      </c>
      <c r="Q297" s="6">
        <f t="shared" si="42"/>
        <v>5.392786796830797</v>
      </c>
      <c r="R297" s="6">
        <f t="shared" si="43"/>
        <v>13.161520597332753</v>
      </c>
      <c r="S297" s="6">
        <f>B297*LN(B297/首页!$B$4)</f>
        <v>1.2455777758167013</v>
      </c>
      <c r="T297" s="6">
        <f>2*首页!$B$8*(E297-C297)/(R297*(C297-D297))</f>
        <v>7.0900462285942184E-2</v>
      </c>
      <c r="U297" t="str">
        <f>IF(首页!$B$13="自然对流","按自然对流公式", "按强制对流公式")</f>
        <v>按自然对流公式</v>
      </c>
      <c r="V297" s="6">
        <f t="shared" si="44"/>
        <v>1.1746773135307591</v>
      </c>
    </row>
    <row r="298" spans="1:22" x14ac:dyDescent="0.15">
      <c r="A298">
        <v>293</v>
      </c>
      <c r="B298" s="6">
        <f>首页!$B$4+2*A298/1000</f>
        <v>0.70599999999999996</v>
      </c>
      <c r="C298" s="6">
        <f>首页!$B$7+273.15</f>
        <v>388.15</v>
      </c>
      <c r="D298" s="6">
        <f>首页!$B$6+273.15</f>
        <v>293.14999999999998</v>
      </c>
      <c r="E298" s="6">
        <f>首页!$B$5+273.15</f>
        <v>1373.15</v>
      </c>
      <c r="F298" s="6">
        <f t="shared" si="36"/>
        <v>95</v>
      </c>
      <c r="G298" s="6">
        <f t="shared" si="37"/>
        <v>340.65</v>
      </c>
      <c r="H298" s="6">
        <f t="shared" si="38"/>
        <v>1.9926207055139041E-5</v>
      </c>
      <c r="I298" s="7">
        <f t="shared" si="39"/>
        <v>1158916576932337.8</v>
      </c>
      <c r="J298" s="6">
        <f t="shared" si="40"/>
        <v>1.0226038455893147</v>
      </c>
      <c r="K298" s="7">
        <f>J298*H298*首页!$B$12/P298</f>
        <v>0.69532757496605813</v>
      </c>
      <c r="L298" s="6">
        <f>首页!$B$9*0.0000000567*((C298^4-D298^4)/(C298-D298))</f>
        <v>7.7687338005019564</v>
      </c>
      <c r="M298" s="6">
        <f>IF(首页!$B$13="自然对流",IF(首页!$B$14="立式圆筒",首页!$B$10,PI()*B298/2),PI()*B298/2)</f>
        <v>55.2</v>
      </c>
      <c r="N298" s="7">
        <f>IF(首页!$B$13="强制对流",首页!$B$11*M298/H298,0)</f>
        <v>0</v>
      </c>
      <c r="O298" s="6">
        <f>IF(首页!$B$13="自然对流",IF(首页!$B$14="立式圆筒",(0.825+0.3063*I298^(1/6))^2+0.87*(M298/B298),(0.752+0.303*I298^(1/6))^2),0.3+SQRT((0.592*N298^0.5)^2+(0.0262*N298^0.8/(1-0.5/N298^0.1))^2))</f>
        <v>10087.230165824418</v>
      </c>
      <c r="P298" s="6">
        <f t="shared" si="41"/>
        <v>2.9510194925512497E-2</v>
      </c>
      <c r="Q298" s="6">
        <f t="shared" si="42"/>
        <v>5.3926834864490631</v>
      </c>
      <c r="R298" s="6">
        <f t="shared" si="43"/>
        <v>13.16141728695102</v>
      </c>
      <c r="S298" s="6">
        <f>B298*LN(B298/首页!$B$4)</f>
        <v>1.2511191872661043</v>
      </c>
      <c r="T298" s="6">
        <f>2*首页!$B$8*(E298-C298)/(R298*(C298-D298))</f>
        <v>7.0901018818241429E-2</v>
      </c>
      <c r="U298" t="str">
        <f>IF(首页!$B$13="自然对流","按自然对流公式", "按强制对流公式")</f>
        <v>按自然对流公式</v>
      </c>
      <c r="V298" s="6">
        <f t="shared" si="44"/>
        <v>1.1802181684478628</v>
      </c>
    </row>
    <row r="299" spans="1:22" x14ac:dyDescent="0.15">
      <c r="A299">
        <v>294</v>
      </c>
      <c r="B299" s="6">
        <f>首页!$B$4+2*A299/1000</f>
        <v>0.70799999999999996</v>
      </c>
      <c r="C299" s="6">
        <f>首页!$B$7+273.15</f>
        <v>388.15</v>
      </c>
      <c r="D299" s="6">
        <f>首页!$B$6+273.15</f>
        <v>293.14999999999998</v>
      </c>
      <c r="E299" s="6">
        <f>首页!$B$5+273.15</f>
        <v>1373.15</v>
      </c>
      <c r="F299" s="6">
        <f t="shared" si="36"/>
        <v>95</v>
      </c>
      <c r="G299" s="6">
        <f t="shared" si="37"/>
        <v>340.65</v>
      </c>
      <c r="H299" s="6">
        <f t="shared" si="38"/>
        <v>1.9926207055139041E-5</v>
      </c>
      <c r="I299" s="7">
        <f t="shared" si="39"/>
        <v>1158916576932337.8</v>
      </c>
      <c r="J299" s="6">
        <f t="shared" si="40"/>
        <v>1.0226038455893147</v>
      </c>
      <c r="K299" s="7">
        <f>J299*H299*首页!$B$12/P299</f>
        <v>0.69532757496605813</v>
      </c>
      <c r="L299" s="6">
        <f>首页!$B$9*0.0000000567*((C299^4-D299^4)/(C299-D299))</f>
        <v>7.7687338005019564</v>
      </c>
      <c r="M299" s="6">
        <f>IF(首页!$B$13="自然对流",IF(首页!$B$14="立式圆筒",首页!$B$10,PI()*B299/2),PI()*B299/2)</f>
        <v>55.2</v>
      </c>
      <c r="N299" s="7">
        <f>IF(首页!$B$13="强制对流",首页!$B$11*M299/H299,0)</f>
        <v>0</v>
      </c>
      <c r="O299" s="6">
        <f>IF(首页!$B$13="自然对流",IF(首页!$B$14="立式圆筒",(0.825+0.3063*I299^(1/6))^2+0.87*(M299/B299),(0.752+0.303*I299^(1/6))^2),0.3+SQRT((0.592*N299^0.5)^2+(0.0262*N299^0.8/(1-0.5/N299^0.1))^2))</f>
        <v>10087.038011409477</v>
      </c>
      <c r="P299" s="6">
        <f t="shared" si="41"/>
        <v>2.9510194925512497E-2</v>
      </c>
      <c r="Q299" s="6">
        <f t="shared" si="42"/>
        <v>5.3925807597418034</v>
      </c>
      <c r="R299" s="6">
        <f t="shared" si="43"/>
        <v>13.16131456024376</v>
      </c>
      <c r="S299" s="6">
        <f>B299*LN(B299/首页!$B$4)</f>
        <v>1.2566662644454649</v>
      </c>
      <c r="T299" s="6">
        <f>2*首页!$B$8*(E299-C299)/(R299*(C299-D299))</f>
        <v>7.0901572214953509E-2</v>
      </c>
      <c r="U299" t="str">
        <f>IF(首页!$B$13="自然对流","按自然对流公式", "按强制对流公式")</f>
        <v>按自然对流公式</v>
      </c>
      <c r="V299" s="6">
        <f t="shared" si="44"/>
        <v>1.1857646922305114</v>
      </c>
    </row>
    <row r="300" spans="1:22" x14ac:dyDescent="0.15">
      <c r="A300">
        <v>295</v>
      </c>
      <c r="B300" s="6">
        <f>首页!$B$4+2*A300/1000</f>
        <v>0.71</v>
      </c>
      <c r="C300" s="6">
        <f>首页!$B$7+273.15</f>
        <v>388.15</v>
      </c>
      <c r="D300" s="6">
        <f>首页!$B$6+273.15</f>
        <v>293.14999999999998</v>
      </c>
      <c r="E300" s="6">
        <f>首页!$B$5+273.15</f>
        <v>1373.15</v>
      </c>
      <c r="F300" s="6">
        <f t="shared" si="36"/>
        <v>95</v>
      </c>
      <c r="G300" s="6">
        <f t="shared" si="37"/>
        <v>340.65</v>
      </c>
      <c r="H300" s="6">
        <f t="shared" si="38"/>
        <v>1.9926207055139041E-5</v>
      </c>
      <c r="I300" s="7">
        <f t="shared" si="39"/>
        <v>1158916576932337.8</v>
      </c>
      <c r="J300" s="6">
        <f t="shared" si="40"/>
        <v>1.0226038455893147</v>
      </c>
      <c r="K300" s="7">
        <f>J300*H300*首页!$B$12/P300</f>
        <v>0.69532757496605813</v>
      </c>
      <c r="L300" s="6">
        <f>首页!$B$9*0.0000000567*((C300^4-D300^4)/(C300-D300))</f>
        <v>7.7687338005019564</v>
      </c>
      <c r="M300" s="6">
        <f>IF(首页!$B$13="自然对流",IF(首页!$B$14="立式圆筒",首页!$B$10,PI()*B300/2),PI()*B300/2)</f>
        <v>55.2</v>
      </c>
      <c r="N300" s="7">
        <f>IF(首页!$B$13="强制对流",首页!$B$11*M300/H300,0)</f>
        <v>0</v>
      </c>
      <c r="O300" s="6">
        <f>IF(首页!$B$13="自然对流",IF(首页!$B$14="立式圆筒",(0.825+0.3063*I300^(1/6))^2+0.87*(M300/B300),(0.752+0.303*I300^(1/6))^2),0.3+SQRT((0.592*N300^0.5)^2+(0.0262*N300^0.8/(1-0.5/N300^0.1))^2))</f>
        <v>10086.846939554618</v>
      </c>
      <c r="P300" s="6">
        <f t="shared" si="41"/>
        <v>2.9510194925512497E-2</v>
      </c>
      <c r="Q300" s="6">
        <f t="shared" si="42"/>
        <v>5.3924786117765571</v>
      </c>
      <c r="R300" s="6">
        <f t="shared" si="43"/>
        <v>13.161212412278513</v>
      </c>
      <c r="S300" s="6">
        <f>B300*LN(B300/首页!$B$4)</f>
        <v>1.2622189913498536</v>
      </c>
      <c r="T300" s="6">
        <f>2*首页!$B$8*(E300-C300)/(R300*(C300-D300))</f>
        <v>7.090212250250362E-2</v>
      </c>
      <c r="U300" t="str">
        <f>IF(首页!$B$13="自然对流","按自然对流公式", "按强制对流公式")</f>
        <v>按自然对流公式</v>
      </c>
      <c r="V300" s="6">
        <f t="shared" si="44"/>
        <v>1.1913168688473499</v>
      </c>
    </row>
    <row r="301" spans="1:22" x14ac:dyDescent="0.15">
      <c r="A301">
        <v>296</v>
      </c>
      <c r="B301" s="6">
        <f>首页!$B$4+2*A301/1000</f>
        <v>0.71199999999999997</v>
      </c>
      <c r="C301" s="6">
        <f>首页!$B$7+273.15</f>
        <v>388.15</v>
      </c>
      <c r="D301" s="6">
        <f>首页!$B$6+273.15</f>
        <v>293.14999999999998</v>
      </c>
      <c r="E301" s="6">
        <f>首页!$B$5+273.15</f>
        <v>1373.15</v>
      </c>
      <c r="F301" s="6">
        <f t="shared" si="36"/>
        <v>95</v>
      </c>
      <c r="G301" s="6">
        <f t="shared" si="37"/>
        <v>340.65</v>
      </c>
      <c r="H301" s="6">
        <f t="shared" si="38"/>
        <v>1.9926207055139041E-5</v>
      </c>
      <c r="I301" s="7">
        <f t="shared" si="39"/>
        <v>1158916576932337.8</v>
      </c>
      <c r="J301" s="6">
        <f t="shared" si="40"/>
        <v>1.0226038455893147</v>
      </c>
      <c r="K301" s="7">
        <f>J301*H301*首页!$B$12/P301</f>
        <v>0.69532757496605813</v>
      </c>
      <c r="L301" s="6">
        <f>首页!$B$9*0.0000000567*((C301^4-D301^4)/(C301-D301))</f>
        <v>7.7687338005019564</v>
      </c>
      <c r="M301" s="6">
        <f>IF(首页!$B$13="自然对流",IF(首页!$B$14="立式圆筒",首页!$B$10,PI()*B301/2),PI()*B301/2)</f>
        <v>55.2</v>
      </c>
      <c r="N301" s="7">
        <f>IF(首页!$B$13="强制对流",首页!$B$11*M301/H301,0)</f>
        <v>0</v>
      </c>
      <c r="O301" s="6">
        <f>IF(首页!$B$13="自然对流",IF(首页!$B$14="立式圆筒",(0.825+0.3063*I301^(1/6))^2+0.87*(M301/B301),(0.752+0.303*I301^(1/6))^2),0.3+SQRT((0.592*N301^0.5)^2+(0.0262*N301^0.8/(1-0.5/N301^0.1))^2))</f>
        <v>10086.656941137147</v>
      </c>
      <c r="P301" s="6">
        <f t="shared" si="41"/>
        <v>2.9510194925512497E-2</v>
      </c>
      <c r="Q301" s="6">
        <f t="shared" si="42"/>
        <v>5.3923770376762832</v>
      </c>
      <c r="R301" s="6">
        <f t="shared" si="43"/>
        <v>13.161110838178239</v>
      </c>
      <c r="S301" s="6">
        <f>B301*LN(B301/首页!$B$4)</f>
        <v>1.2677773520645099</v>
      </c>
      <c r="T301" s="6">
        <f>2*首页!$B$8*(E301-C301)/(R301*(C301-D301))</f>
        <v>7.0902669707020707E-2</v>
      </c>
      <c r="U301" t="str">
        <f>IF(首页!$B$13="自然对流","按自然对流公式", "按强制对流公式")</f>
        <v>按自然对流公式</v>
      </c>
      <c r="V301" s="6">
        <f t="shared" si="44"/>
        <v>1.1968746823574892</v>
      </c>
    </row>
    <row r="302" spans="1:22" x14ac:dyDescent="0.15">
      <c r="A302">
        <v>297</v>
      </c>
      <c r="B302" s="6">
        <f>首页!$B$4+2*A302/1000</f>
        <v>0.71399999999999997</v>
      </c>
      <c r="C302" s="6">
        <f>首页!$B$7+273.15</f>
        <v>388.15</v>
      </c>
      <c r="D302" s="6">
        <f>首页!$B$6+273.15</f>
        <v>293.14999999999998</v>
      </c>
      <c r="E302" s="6">
        <f>首页!$B$5+273.15</f>
        <v>1373.15</v>
      </c>
      <c r="F302" s="6">
        <f t="shared" si="36"/>
        <v>95</v>
      </c>
      <c r="G302" s="6">
        <f t="shared" si="37"/>
        <v>340.65</v>
      </c>
      <c r="H302" s="6">
        <f t="shared" si="38"/>
        <v>1.9926207055139041E-5</v>
      </c>
      <c r="I302" s="7">
        <f t="shared" si="39"/>
        <v>1158916576932337.8</v>
      </c>
      <c r="J302" s="6">
        <f t="shared" si="40"/>
        <v>1.0226038455893147</v>
      </c>
      <c r="K302" s="7">
        <f>J302*H302*首页!$B$12/P302</f>
        <v>0.69532757496605813</v>
      </c>
      <c r="L302" s="6">
        <f>首页!$B$9*0.0000000567*((C302^4-D302^4)/(C302-D302))</f>
        <v>7.7687338005019564</v>
      </c>
      <c r="M302" s="6">
        <f>IF(首页!$B$13="自然对流",IF(首页!$B$14="立式圆筒",首页!$B$10,PI()*B302/2),PI()*B302/2)</f>
        <v>55.2</v>
      </c>
      <c r="N302" s="7">
        <f>IF(首页!$B$13="强制对流",首页!$B$11*M302/H302,0)</f>
        <v>0</v>
      </c>
      <c r="O302" s="6">
        <f>IF(首页!$B$13="自然对流",IF(首页!$B$14="立式圆筒",(0.825+0.3063*I302^(1/6))^2+0.87*(M302/B302),(0.752+0.303*I302^(1/6))^2),0.3+SQRT((0.592*N302^0.5)^2+(0.0262*N302^0.8/(1-0.5/N302^0.1))^2))</f>
        <v>10086.46800713658</v>
      </c>
      <c r="P302" s="6">
        <f t="shared" si="41"/>
        <v>2.9510194925512497E-2</v>
      </c>
      <c r="Q302" s="6">
        <f t="shared" si="42"/>
        <v>5.3922760326185877</v>
      </c>
      <c r="R302" s="6">
        <f t="shared" si="43"/>
        <v>13.161009833120545</v>
      </c>
      <c r="S302" s="6">
        <f>B302*LN(B302/首页!$B$4)</f>
        <v>1.2733413307640824</v>
      </c>
      <c r="T302" s="6">
        <f>2*首页!$B$8*(E302-C302)/(R302*(C302-D302))</f>
        <v>7.0903213854341868E-2</v>
      </c>
      <c r="U302" t="str">
        <f>IF(首页!$B$13="自然对流","按自然对流公式", "按强制对流公式")</f>
        <v>按自然对流公式</v>
      </c>
      <c r="V302" s="6">
        <f t="shared" si="44"/>
        <v>1.2024381169097405</v>
      </c>
    </row>
    <row r="303" spans="1:22" x14ac:dyDescent="0.15">
      <c r="A303">
        <v>298</v>
      </c>
      <c r="B303" s="6">
        <f>首页!$B$4+2*A303/1000</f>
        <v>0.71599999999999997</v>
      </c>
      <c r="C303" s="6">
        <f>首页!$B$7+273.15</f>
        <v>388.15</v>
      </c>
      <c r="D303" s="6">
        <f>首页!$B$6+273.15</f>
        <v>293.14999999999998</v>
      </c>
      <c r="E303" s="6">
        <f>首页!$B$5+273.15</f>
        <v>1373.15</v>
      </c>
      <c r="F303" s="6">
        <f t="shared" si="36"/>
        <v>95</v>
      </c>
      <c r="G303" s="6">
        <f t="shared" si="37"/>
        <v>340.65</v>
      </c>
      <c r="H303" s="6">
        <f t="shared" si="38"/>
        <v>1.9926207055139041E-5</v>
      </c>
      <c r="I303" s="7">
        <f t="shared" si="39"/>
        <v>1158916576932337.8</v>
      </c>
      <c r="J303" s="6">
        <f t="shared" si="40"/>
        <v>1.0226038455893147</v>
      </c>
      <c r="K303" s="7">
        <f>J303*H303*首页!$B$12/P303</f>
        <v>0.69532757496605813</v>
      </c>
      <c r="L303" s="6">
        <f>首页!$B$9*0.0000000567*((C303^4-D303^4)/(C303-D303))</f>
        <v>7.7687338005019564</v>
      </c>
      <c r="M303" s="6">
        <f>IF(首页!$B$13="自然对流",IF(首页!$B$14="立式圆筒",首页!$B$10,PI()*B303/2),PI()*B303/2)</f>
        <v>55.2</v>
      </c>
      <c r="N303" s="7">
        <f>IF(首页!$B$13="强制对流",首页!$B$11*M303/H303,0)</f>
        <v>0</v>
      </c>
      <c r="O303" s="6">
        <f>IF(首页!$B$13="自然对流",IF(首页!$B$14="立式圆筒",(0.825+0.3063*I303^(1/6))^2+0.87*(M303/B303),(0.752+0.303*I303^(1/6))^2),0.3+SQRT((0.592*N303^0.5)^2+(0.0262*N303^0.8/(1-0.5/N303^0.1))^2))</f>
        <v>10086.280128633223</v>
      </c>
      <c r="P303" s="6">
        <f t="shared" si="41"/>
        <v>2.9510194925512497E-2</v>
      </c>
      <c r="Q303" s="6">
        <f t="shared" si="42"/>
        <v>5.3921755918349579</v>
      </c>
      <c r="R303" s="6">
        <f t="shared" si="43"/>
        <v>13.160909392336915</v>
      </c>
      <c r="S303" s="6">
        <f>B303*LN(B303/首页!$B$4)</f>
        <v>1.2789109117118773</v>
      </c>
      <c r="T303" s="6">
        <f>2*首页!$B$8*(E303-C303)/(R303*(C303-D303))</f>
        <v>7.0903754970016261E-2</v>
      </c>
      <c r="U303" t="str">
        <f>IF(首页!$B$13="自然对流","按自然对流公式", "按强制对流公式")</f>
        <v>按自然对流公式</v>
      </c>
      <c r="V303" s="6">
        <f t="shared" si="44"/>
        <v>1.2080071567418611</v>
      </c>
    </row>
    <row r="304" spans="1:22" x14ac:dyDescent="0.15">
      <c r="A304">
        <v>299</v>
      </c>
      <c r="B304" s="6">
        <f>首页!$B$4+2*A304/1000</f>
        <v>0.71799999999999997</v>
      </c>
      <c r="C304" s="6">
        <f>首页!$B$7+273.15</f>
        <v>388.15</v>
      </c>
      <c r="D304" s="6">
        <f>首页!$B$6+273.15</f>
        <v>293.14999999999998</v>
      </c>
      <c r="E304" s="6">
        <f>首页!$B$5+273.15</f>
        <v>1373.15</v>
      </c>
      <c r="F304" s="6">
        <f t="shared" si="36"/>
        <v>95</v>
      </c>
      <c r="G304" s="6">
        <f t="shared" si="37"/>
        <v>340.65</v>
      </c>
      <c r="H304" s="6">
        <f t="shared" si="38"/>
        <v>1.9926207055139041E-5</v>
      </c>
      <c r="I304" s="7">
        <f t="shared" si="39"/>
        <v>1158916576932337.8</v>
      </c>
      <c r="J304" s="6">
        <f t="shared" si="40"/>
        <v>1.0226038455893147</v>
      </c>
      <c r="K304" s="7">
        <f>J304*H304*首页!$B$12/P304</f>
        <v>0.69532757496605813</v>
      </c>
      <c r="L304" s="6">
        <f>首页!$B$9*0.0000000567*((C304^4-D304^4)/(C304-D304))</f>
        <v>7.7687338005019564</v>
      </c>
      <c r="M304" s="6">
        <f>IF(首页!$B$13="自然对流",IF(首页!$B$14="立式圆筒",首页!$B$10,PI()*B304/2),PI()*B304/2)</f>
        <v>55.2</v>
      </c>
      <c r="N304" s="7">
        <f>IF(首页!$B$13="强制对流",首页!$B$11*M304/H304,0)</f>
        <v>0</v>
      </c>
      <c r="O304" s="6">
        <f>IF(首页!$B$13="自然对流",IF(首页!$B$14="立式圆筒",(0.825+0.3063*I304^(1/6))^2+0.87*(M304/B304),(0.752+0.303*I304^(1/6))^2),0.3+SQRT((0.592*N304^0.5)^2+(0.0262*N304^0.8/(1-0.5/N304^0.1))^2))</f>
        <v>10086.093296806766</v>
      </c>
      <c r="P304" s="6">
        <f t="shared" si="41"/>
        <v>2.9510194925512497E-2</v>
      </c>
      <c r="Q304" s="6">
        <f t="shared" si="42"/>
        <v>5.3920757106100119</v>
      </c>
      <c r="R304" s="6">
        <f t="shared" si="43"/>
        <v>13.160809511111967</v>
      </c>
      <c r="S304" s="6">
        <f>B304*LN(B304/首页!$B$4)</f>
        <v>1.284486079259116</v>
      </c>
      <c r="T304" s="6">
        <f>2*首页!$B$8*(E304-C304)/(R304*(C304-D304))</f>
        <v>7.0904293079309136E-2</v>
      </c>
      <c r="U304" t="str">
        <f>IF(首页!$B$13="自然对流","按自然对流公式", "按强制对流公式")</f>
        <v>按自然对流公式</v>
      </c>
      <c r="V304" s="6">
        <f t="shared" si="44"/>
        <v>1.2135817861798068</v>
      </c>
    </row>
    <row r="305" spans="1:22" x14ac:dyDescent="0.15">
      <c r="A305">
        <v>300</v>
      </c>
      <c r="B305" s="6">
        <f>首页!$B$4+2*A305/1000</f>
        <v>0.72</v>
      </c>
      <c r="C305" s="6">
        <f>首页!$B$7+273.15</f>
        <v>388.15</v>
      </c>
      <c r="D305" s="6">
        <f>首页!$B$6+273.15</f>
        <v>293.14999999999998</v>
      </c>
      <c r="E305" s="6">
        <f>首页!$B$5+273.15</f>
        <v>1373.15</v>
      </c>
      <c r="F305" s="6">
        <f t="shared" si="36"/>
        <v>95</v>
      </c>
      <c r="G305" s="6">
        <f t="shared" si="37"/>
        <v>340.65</v>
      </c>
      <c r="H305" s="6">
        <f t="shared" si="38"/>
        <v>1.9926207055139041E-5</v>
      </c>
      <c r="I305" s="7">
        <f t="shared" si="39"/>
        <v>1158916576932337.8</v>
      </c>
      <c r="J305" s="6">
        <f t="shared" si="40"/>
        <v>1.0226038455893147</v>
      </c>
      <c r="K305" s="7">
        <f>J305*H305*首页!$B$12/P305</f>
        <v>0.69532757496605813</v>
      </c>
      <c r="L305" s="6">
        <f>首页!$B$9*0.0000000567*((C305^4-D305^4)/(C305-D305))</f>
        <v>7.7687338005019564</v>
      </c>
      <c r="M305" s="6">
        <f>IF(首页!$B$13="自然对流",IF(首页!$B$14="立式圆筒",首页!$B$10,PI()*B305/2),PI()*B305/2)</f>
        <v>55.2</v>
      </c>
      <c r="N305" s="7">
        <f>IF(首页!$B$13="强制对流",首页!$B$11*M305/H305,0)</f>
        <v>0</v>
      </c>
      <c r="O305" s="6">
        <f>IF(首页!$B$13="自然对流",IF(首页!$B$14="立式圆筒",(0.825+0.3063*I305^(1/6))^2+0.87*(M305/B305),(0.752+0.303*I305^(1/6))^2),0.3+SQRT((0.592*N305^0.5)^2+(0.0262*N305^0.8/(1-0.5/N305^0.1))^2))</f>
        <v>10085.907502934901</v>
      </c>
      <c r="P305" s="6">
        <f t="shared" si="41"/>
        <v>2.9510194925512497E-2</v>
      </c>
      <c r="Q305" s="6">
        <f t="shared" si="42"/>
        <v>5.3919763842807589</v>
      </c>
      <c r="R305" s="6">
        <f t="shared" si="43"/>
        <v>13.160710184782715</v>
      </c>
      <c r="S305" s="6">
        <f>B305*LN(B305/首页!$B$4)</f>
        <v>1.2900668178441996</v>
      </c>
      <c r="T305" s="6">
        <f>2*首页!$B$8*(E305-C305)/(R305*(C305-D305))</f>
        <v>7.0904828207205797E-2</v>
      </c>
      <c r="U305" t="str">
        <f>IF(首页!$B$13="自然对流","按自然对流公式", "按强制对流公式")</f>
        <v>按自然对流公式</v>
      </c>
      <c r="V305" s="6">
        <f t="shared" si="44"/>
        <v>1.2191619896369938</v>
      </c>
    </row>
    <row r="306" spans="1:22" x14ac:dyDescent="0.15">
      <c r="A306">
        <v>301</v>
      </c>
      <c r="B306" s="6">
        <f>首页!$B$4+2*A306/1000</f>
        <v>0.72199999999999998</v>
      </c>
      <c r="C306" s="6">
        <f>首页!$B$7+273.15</f>
        <v>388.15</v>
      </c>
      <c r="D306" s="6">
        <f>首页!$B$6+273.15</f>
        <v>293.14999999999998</v>
      </c>
      <c r="E306" s="6">
        <f>首页!$B$5+273.15</f>
        <v>1373.15</v>
      </c>
      <c r="F306" s="6">
        <f t="shared" si="36"/>
        <v>95</v>
      </c>
      <c r="G306" s="6">
        <f t="shared" si="37"/>
        <v>340.65</v>
      </c>
      <c r="H306" s="6">
        <f t="shared" si="38"/>
        <v>1.9926207055139041E-5</v>
      </c>
      <c r="I306" s="7">
        <f t="shared" si="39"/>
        <v>1158916576932337.8</v>
      </c>
      <c r="J306" s="6">
        <f t="shared" si="40"/>
        <v>1.0226038455893147</v>
      </c>
      <c r="K306" s="7">
        <f>J306*H306*首页!$B$12/P306</f>
        <v>0.69532757496605813</v>
      </c>
      <c r="L306" s="6">
        <f>首页!$B$9*0.0000000567*((C306^4-D306^4)/(C306-D306))</f>
        <v>7.7687338005019564</v>
      </c>
      <c r="M306" s="6">
        <f>IF(首页!$B$13="自然对流",IF(首页!$B$14="立式圆筒",首页!$B$10,PI()*B306/2),PI()*B306/2)</f>
        <v>55.2</v>
      </c>
      <c r="N306" s="7">
        <f>IF(首页!$B$13="强制对流",首页!$B$11*M306/H306,0)</f>
        <v>0</v>
      </c>
      <c r="O306" s="6">
        <f>IF(首页!$B$13="自然对流",IF(首页!$B$14="立式圆筒",(0.825+0.3063*I306^(1/6))^2+0.87*(M306/B306),(0.752+0.303*I306^(1/6))^2),0.3+SQRT((0.592*N306^0.5)^2+(0.0262*N306^0.8/(1-0.5/N306^0.1))^2))</f>
        <v>10085.722738391964</v>
      </c>
      <c r="P306" s="6">
        <f t="shared" si="41"/>
        <v>2.9510194925512497E-2</v>
      </c>
      <c r="Q306" s="6">
        <f t="shared" si="42"/>
        <v>5.3918776082358795</v>
      </c>
      <c r="R306" s="6">
        <f t="shared" si="43"/>
        <v>13.160611408737836</v>
      </c>
      <c r="S306" s="6">
        <f>B306*LN(B306/首页!$B$4)</f>
        <v>1.2956531119919834</v>
      </c>
      <c r="T306" s="6">
        <f>2*首页!$B$8*(E306-C306)/(R306*(C306-D306))</f>
        <v>7.0905360378415452E-2</v>
      </c>
      <c r="U306" t="str">
        <f>IF(首页!$B$13="自然对流","按自然对流公式", "按强制对流公式")</f>
        <v>按自然对流公式</v>
      </c>
      <c r="V306" s="6">
        <f t="shared" si="44"/>
        <v>1.2247477516135679</v>
      </c>
    </row>
    <row r="307" spans="1:22" x14ac:dyDescent="0.15">
      <c r="A307">
        <v>302</v>
      </c>
      <c r="B307" s="6">
        <f>首页!$B$4+2*A307/1000</f>
        <v>0.72399999999999998</v>
      </c>
      <c r="C307" s="6">
        <f>首页!$B$7+273.15</f>
        <v>388.15</v>
      </c>
      <c r="D307" s="6">
        <f>首页!$B$6+273.15</f>
        <v>293.14999999999998</v>
      </c>
      <c r="E307" s="6">
        <f>首页!$B$5+273.15</f>
        <v>1373.15</v>
      </c>
      <c r="F307" s="6">
        <f t="shared" si="36"/>
        <v>95</v>
      </c>
      <c r="G307" s="6">
        <f t="shared" si="37"/>
        <v>340.65</v>
      </c>
      <c r="H307" s="6">
        <f t="shared" si="38"/>
        <v>1.9926207055139041E-5</v>
      </c>
      <c r="I307" s="7">
        <f t="shared" si="39"/>
        <v>1158916576932337.8</v>
      </c>
      <c r="J307" s="6">
        <f t="shared" si="40"/>
        <v>1.0226038455893147</v>
      </c>
      <c r="K307" s="7">
        <f>J307*H307*首页!$B$12/P307</f>
        <v>0.69532757496605813</v>
      </c>
      <c r="L307" s="6">
        <f>首页!$B$9*0.0000000567*((C307^4-D307^4)/(C307-D307))</f>
        <v>7.7687338005019564</v>
      </c>
      <c r="M307" s="6">
        <f>IF(首页!$B$13="自然对流",IF(首页!$B$14="立式圆筒",首页!$B$10,PI()*B307/2),PI()*B307/2)</f>
        <v>55.2</v>
      </c>
      <c r="N307" s="7">
        <f>IF(首页!$B$13="强制对流",首页!$B$11*M307/H307,0)</f>
        <v>0</v>
      </c>
      <c r="O307" s="6">
        <f>IF(首页!$B$13="自然对流",IF(首页!$B$14="立式圆筒",(0.825+0.3063*I307^(1/6))^2+0.87*(M307/B307),(0.752+0.303*I307^(1/6))^2),0.3+SQRT((0.592*N307^0.5)^2+(0.0262*N307^0.8/(1-0.5/N307^0.1))^2))</f>
        <v>10085.538994647606</v>
      </c>
      <c r="P307" s="6">
        <f t="shared" si="41"/>
        <v>2.9510194925512497E-2</v>
      </c>
      <c r="Q307" s="6">
        <f t="shared" si="42"/>
        <v>5.3917793779150029</v>
      </c>
      <c r="R307" s="6">
        <f t="shared" si="43"/>
        <v>13.160513178416959</v>
      </c>
      <c r="S307" s="6">
        <f>B307*LN(B307/首页!$B$4)</f>
        <v>1.3012449463130573</v>
      </c>
      <c r="T307" s="6">
        <f>2*首页!$B$8*(E307-C307)/(R307*(C307-D307))</f>
        <v>7.0905889617375012E-2</v>
      </c>
      <c r="U307" t="str">
        <f>IF(首页!$B$13="自然对流","按自然对流公式", "按强制对流公式")</f>
        <v>按自然对流公式</v>
      </c>
      <c r="V307" s="6">
        <f t="shared" si="44"/>
        <v>1.2303390566956822</v>
      </c>
    </row>
    <row r="308" spans="1:22" x14ac:dyDescent="0.15">
      <c r="A308">
        <v>303</v>
      </c>
      <c r="B308" s="6">
        <f>首页!$B$4+2*A308/1000</f>
        <v>0.72599999999999998</v>
      </c>
      <c r="C308" s="6">
        <f>首页!$B$7+273.15</f>
        <v>388.15</v>
      </c>
      <c r="D308" s="6">
        <f>首页!$B$6+273.15</f>
        <v>293.14999999999998</v>
      </c>
      <c r="E308" s="6">
        <f>首页!$B$5+273.15</f>
        <v>1373.15</v>
      </c>
      <c r="F308" s="6">
        <f t="shared" si="36"/>
        <v>95</v>
      </c>
      <c r="G308" s="6">
        <f t="shared" si="37"/>
        <v>340.65</v>
      </c>
      <c r="H308" s="6">
        <f t="shared" si="38"/>
        <v>1.9926207055139041E-5</v>
      </c>
      <c r="I308" s="7">
        <f t="shared" si="39"/>
        <v>1158916576932337.8</v>
      </c>
      <c r="J308" s="6">
        <f t="shared" si="40"/>
        <v>1.0226038455893147</v>
      </c>
      <c r="K308" s="7">
        <f>J308*H308*首页!$B$12/P308</f>
        <v>0.69532757496605813</v>
      </c>
      <c r="L308" s="6">
        <f>首页!$B$9*0.0000000567*((C308^4-D308^4)/(C308-D308))</f>
        <v>7.7687338005019564</v>
      </c>
      <c r="M308" s="6">
        <f>IF(首页!$B$13="自然对流",IF(首页!$B$14="立式圆筒",首页!$B$10,PI()*B308/2),PI()*B308/2)</f>
        <v>55.2</v>
      </c>
      <c r="N308" s="7">
        <f>IF(首页!$B$13="强制对流",首页!$B$11*M308/H308,0)</f>
        <v>0</v>
      </c>
      <c r="O308" s="6">
        <f>IF(首页!$B$13="自然对流",IF(首页!$B$14="立式圆筒",(0.825+0.3063*I308^(1/6))^2+0.87*(M308/B308),(0.752+0.303*I308^(1/6))^2),0.3+SQRT((0.592*N308^0.5)^2+(0.0262*N308^0.8/(1-0.5/N308^0.1))^2))</f>
        <v>10085.356263265478</v>
      </c>
      <c r="P308" s="6">
        <f t="shared" si="41"/>
        <v>2.9510194925512497E-2</v>
      </c>
      <c r="Q308" s="6">
        <f t="shared" si="42"/>
        <v>5.3916816888080179</v>
      </c>
      <c r="R308" s="6">
        <f t="shared" si="43"/>
        <v>13.160415489309974</v>
      </c>
      <c r="S308" s="6">
        <f>B308*LN(B308/首页!$B$4)</f>
        <v>1.3068423055030365</v>
      </c>
      <c r="T308" s="6">
        <f>2*首页!$B$8*(E308-C308)/(R308*(C308-D308))</f>
        <v>7.0906415948252824E-2</v>
      </c>
      <c r="U308" t="str">
        <f>IF(首页!$B$13="自然对流","按自然对流公式", "按强制对流公式")</f>
        <v>按自然对流公式</v>
      </c>
      <c r="V308" s="6">
        <f t="shared" si="44"/>
        <v>1.2359358895547836</v>
      </c>
    </row>
    <row r="309" spans="1:22" x14ac:dyDescent="0.15">
      <c r="A309">
        <v>304</v>
      </c>
      <c r="B309" s="6">
        <f>首页!$B$4+2*A309/1000</f>
        <v>0.72799999999999998</v>
      </c>
      <c r="C309" s="6">
        <f>首页!$B$7+273.15</f>
        <v>388.15</v>
      </c>
      <c r="D309" s="6">
        <f>首页!$B$6+273.15</f>
        <v>293.14999999999998</v>
      </c>
      <c r="E309" s="6">
        <f>首页!$B$5+273.15</f>
        <v>1373.15</v>
      </c>
      <c r="F309" s="6">
        <f t="shared" si="36"/>
        <v>95</v>
      </c>
      <c r="G309" s="6">
        <f t="shared" si="37"/>
        <v>340.65</v>
      </c>
      <c r="H309" s="6">
        <f t="shared" si="38"/>
        <v>1.9926207055139041E-5</v>
      </c>
      <c r="I309" s="7">
        <f t="shared" si="39"/>
        <v>1158916576932337.8</v>
      </c>
      <c r="J309" s="6">
        <f t="shared" si="40"/>
        <v>1.0226038455893147</v>
      </c>
      <c r="K309" s="7">
        <f>J309*H309*首页!$B$12/P309</f>
        <v>0.69532757496605813</v>
      </c>
      <c r="L309" s="6">
        <f>首页!$B$9*0.0000000567*((C309^4-D309^4)/(C309-D309))</f>
        <v>7.7687338005019564</v>
      </c>
      <c r="M309" s="6">
        <f>IF(首页!$B$13="自然对流",IF(首页!$B$14="立式圆筒",首页!$B$10,PI()*B309/2),PI()*B309/2)</f>
        <v>55.2</v>
      </c>
      <c r="N309" s="7">
        <f>IF(首页!$B$13="强制对流",首页!$B$11*M309/H309,0)</f>
        <v>0</v>
      </c>
      <c r="O309" s="6">
        <f>IF(首页!$B$13="自然对流",IF(首页!$B$14="立式圆筒",(0.825+0.3063*I309^(1/6))^2+0.87*(M309/B309),(0.752+0.303*I309^(1/6))^2),0.3+SQRT((0.592*N309^0.5)^2+(0.0262*N309^0.8/(1-0.5/N309^0.1))^2))</f>
        <v>10085.174535901933</v>
      </c>
      <c r="P309" s="6">
        <f t="shared" si="41"/>
        <v>2.9510194925512497E-2</v>
      </c>
      <c r="Q309" s="6">
        <f t="shared" si="42"/>
        <v>5.3915845364543671</v>
      </c>
      <c r="R309" s="6">
        <f t="shared" si="43"/>
        <v>13.160318336956323</v>
      </c>
      <c r="S309" s="6">
        <f>B309*LN(B309/首页!$B$4)</f>
        <v>1.3124451743418579</v>
      </c>
      <c r="T309" s="6">
        <f>2*首页!$B$8*(E309-C309)/(R309*(C309-D309))</f>
        <v>7.0906939394952365E-2</v>
      </c>
      <c r="U309" t="str">
        <f>IF(首页!$B$13="自然对流","按自然对流公式", "按强制对流公式")</f>
        <v>按自然对流公式</v>
      </c>
      <c r="V309" s="6">
        <f t="shared" si="44"/>
        <v>1.2415382349469055</v>
      </c>
    </row>
    <row r="310" spans="1:22" x14ac:dyDescent="0.15">
      <c r="A310">
        <v>305</v>
      </c>
      <c r="B310" s="6">
        <f>首页!$B$4+2*A310/1000</f>
        <v>0.73</v>
      </c>
      <c r="C310" s="6">
        <f>首页!$B$7+273.15</f>
        <v>388.15</v>
      </c>
      <c r="D310" s="6">
        <f>首页!$B$6+273.15</f>
        <v>293.14999999999998</v>
      </c>
      <c r="E310" s="6">
        <f>首页!$B$5+273.15</f>
        <v>1373.15</v>
      </c>
      <c r="F310" s="6">
        <f t="shared" si="36"/>
        <v>95</v>
      </c>
      <c r="G310" s="6">
        <f t="shared" si="37"/>
        <v>340.65</v>
      </c>
      <c r="H310" s="6">
        <f t="shared" si="38"/>
        <v>1.9926207055139041E-5</v>
      </c>
      <c r="I310" s="7">
        <f t="shared" si="39"/>
        <v>1158916576932337.8</v>
      </c>
      <c r="J310" s="6">
        <f t="shared" si="40"/>
        <v>1.0226038455893147</v>
      </c>
      <c r="K310" s="7">
        <f>J310*H310*首页!$B$12/P310</f>
        <v>0.69532757496605813</v>
      </c>
      <c r="L310" s="6">
        <f>首页!$B$9*0.0000000567*((C310^4-D310^4)/(C310-D310))</f>
        <v>7.7687338005019564</v>
      </c>
      <c r="M310" s="6">
        <f>IF(首页!$B$13="自然对流",IF(首页!$B$14="立式圆筒",首页!$B$10,PI()*B310/2),PI()*B310/2)</f>
        <v>55.2</v>
      </c>
      <c r="N310" s="7">
        <f>IF(首页!$B$13="强制对流",首页!$B$11*M310/H310,0)</f>
        <v>0</v>
      </c>
      <c r="O310" s="6">
        <f>IF(首页!$B$13="自然对流",IF(首页!$B$14="立式圆筒",(0.825+0.3063*I310^(1/6))^2+0.87*(M310/B310),(0.752+0.303*I310^(1/6))^2),0.3+SQRT((0.592*N310^0.5)^2+(0.0262*N310^0.8/(1-0.5/N310^0.1))^2))</f>
        <v>10084.993804304762</v>
      </c>
      <c r="P310" s="6">
        <f t="shared" si="41"/>
        <v>2.9510194925512497E-2</v>
      </c>
      <c r="Q310" s="6">
        <f t="shared" si="42"/>
        <v>5.3914879164423795</v>
      </c>
      <c r="R310" s="6">
        <f t="shared" si="43"/>
        <v>13.160221716944335</v>
      </c>
      <c r="S310" s="6">
        <f>B310*LN(B310/首页!$B$4)</f>
        <v>1.3180535376930853</v>
      </c>
      <c r="T310" s="6">
        <f>2*首页!$B$8*(E310-C310)/(R310*(C310-D310))</f>
        <v>7.0907459981115847E-2</v>
      </c>
      <c r="U310" t="str">
        <f>IF(首页!$B$13="自然对流","按自然对流公式", "按强制对流公式")</f>
        <v>按自然对流公式</v>
      </c>
      <c r="V310" s="6">
        <f t="shared" si="44"/>
        <v>1.2471460777119694</v>
      </c>
    </row>
    <row r="311" spans="1:22" x14ac:dyDescent="0.15">
      <c r="A311">
        <v>306</v>
      </c>
      <c r="B311" s="6">
        <f>首页!$B$4+2*A311/1000</f>
        <v>0.73199999999999998</v>
      </c>
      <c r="C311" s="6">
        <f>首页!$B$7+273.15</f>
        <v>388.15</v>
      </c>
      <c r="D311" s="6">
        <f>首页!$B$6+273.15</f>
        <v>293.14999999999998</v>
      </c>
      <c r="E311" s="6">
        <f>首页!$B$5+273.15</f>
        <v>1373.15</v>
      </c>
      <c r="F311" s="6">
        <f t="shared" si="36"/>
        <v>95</v>
      </c>
      <c r="G311" s="6">
        <f t="shared" si="37"/>
        <v>340.65</v>
      </c>
      <c r="H311" s="6">
        <f t="shared" si="38"/>
        <v>1.9926207055139041E-5</v>
      </c>
      <c r="I311" s="7">
        <f t="shared" si="39"/>
        <v>1158916576932337.8</v>
      </c>
      <c r="J311" s="6">
        <f t="shared" si="40"/>
        <v>1.0226038455893147</v>
      </c>
      <c r="K311" s="7">
        <f>J311*H311*首页!$B$12/P311</f>
        <v>0.69532757496605813</v>
      </c>
      <c r="L311" s="6">
        <f>首页!$B$9*0.0000000567*((C311^4-D311^4)/(C311-D311))</f>
        <v>7.7687338005019564</v>
      </c>
      <c r="M311" s="6">
        <f>IF(首页!$B$13="自然对流",IF(首页!$B$14="立式圆筒",首页!$B$10,PI()*B311/2),PI()*B311/2)</f>
        <v>55.2</v>
      </c>
      <c r="N311" s="7">
        <f>IF(首页!$B$13="强制对流",首页!$B$11*M311/H311,0)</f>
        <v>0</v>
      </c>
      <c r="O311" s="6">
        <f>IF(首页!$B$13="自然对流",IF(首页!$B$14="立式圆筒",(0.825+0.3063*I311^(1/6))^2+0.87*(M311/B311),(0.752+0.303*I311^(1/6))^2),0.3+SQRT((0.592*N311^0.5)^2+(0.0262*N311^0.8/(1-0.5/N311^0.1))^2))</f>
        <v>10084.814060311948</v>
      </c>
      <c r="P311" s="6">
        <f t="shared" si="41"/>
        <v>2.9510194925512497E-2</v>
      </c>
      <c r="Q311" s="6">
        <f t="shared" si="42"/>
        <v>5.3913918244085997</v>
      </c>
      <c r="R311" s="6">
        <f t="shared" si="43"/>
        <v>13.160125624910556</v>
      </c>
      <c r="S311" s="6">
        <f>B311*LN(B311/首页!$B$4)</f>
        <v>1.3236673805032224</v>
      </c>
      <c r="T311" s="6">
        <f>2*首页!$B$8*(E311-C311)/(R311*(C311-D311))</f>
        <v>7.0907977730127816E-2</v>
      </c>
      <c r="U311" t="str">
        <f>IF(首页!$B$13="自然对流","按自然对流公式", "按强制对流公式")</f>
        <v>按自然对流公式</v>
      </c>
      <c r="V311" s="6">
        <f t="shared" si="44"/>
        <v>1.2527594027730946</v>
      </c>
    </row>
    <row r="312" spans="1:22" x14ac:dyDescent="0.15">
      <c r="A312">
        <v>307</v>
      </c>
      <c r="B312" s="6">
        <f>首页!$B$4+2*A312/1000</f>
        <v>0.73399999999999999</v>
      </c>
      <c r="C312" s="6">
        <f>首页!$B$7+273.15</f>
        <v>388.15</v>
      </c>
      <c r="D312" s="6">
        <f>首页!$B$6+273.15</f>
        <v>293.14999999999998</v>
      </c>
      <c r="E312" s="6">
        <f>首页!$B$5+273.15</f>
        <v>1373.15</v>
      </c>
      <c r="F312" s="6">
        <f t="shared" si="36"/>
        <v>95</v>
      </c>
      <c r="G312" s="6">
        <f t="shared" si="37"/>
        <v>340.65</v>
      </c>
      <c r="H312" s="6">
        <f t="shared" si="38"/>
        <v>1.9926207055139041E-5</v>
      </c>
      <c r="I312" s="7">
        <f t="shared" si="39"/>
        <v>1158916576932337.8</v>
      </c>
      <c r="J312" s="6">
        <f t="shared" si="40"/>
        <v>1.0226038455893147</v>
      </c>
      <c r="K312" s="7">
        <f>J312*H312*首页!$B$12/P312</f>
        <v>0.69532757496605813</v>
      </c>
      <c r="L312" s="6">
        <f>首页!$B$9*0.0000000567*((C312^4-D312^4)/(C312-D312))</f>
        <v>7.7687338005019564</v>
      </c>
      <c r="M312" s="6">
        <f>IF(首页!$B$13="自然对流",IF(首页!$B$14="立式圆筒",首页!$B$10,PI()*B312/2),PI()*B312/2)</f>
        <v>55.2</v>
      </c>
      <c r="N312" s="7">
        <f>IF(首页!$B$13="强制对流",首页!$B$11*M312/H312,0)</f>
        <v>0</v>
      </c>
      <c r="O312" s="6">
        <f>IF(首页!$B$13="自然对流",IF(首页!$B$14="立式圆筒",(0.825+0.3063*I312^(1/6))^2+0.87*(M312/B312),(0.752+0.303*I312^(1/6))^2),0.3+SQRT((0.592*N312^0.5)^2+(0.0262*N312^0.8/(1-0.5/N312^0.1))^2))</f>
        <v>10084.63529585043</v>
      </c>
      <c r="P312" s="6">
        <f t="shared" si="41"/>
        <v>2.9510194925512497E-2</v>
      </c>
      <c r="Q312" s="6">
        <f t="shared" si="42"/>
        <v>5.3912962560371298</v>
      </c>
      <c r="R312" s="6">
        <f t="shared" si="43"/>
        <v>13.160030056539085</v>
      </c>
      <c r="S312" s="6">
        <f>B312*LN(B312/首页!$B$4)</f>
        <v>1.3292866878010325</v>
      </c>
      <c r="T312" s="6">
        <f>2*首页!$B$8*(E312-C312)/(R312*(C312-D312))</f>
        <v>7.0908492665118616E-2</v>
      </c>
      <c r="U312" t="str">
        <f>IF(首页!$B$13="自然对流","按自然对流公式", "按强制对流公式")</f>
        <v>按自然对流公式</v>
      </c>
      <c r="V312" s="6">
        <f t="shared" si="44"/>
        <v>1.2583781951359139</v>
      </c>
    </row>
    <row r="313" spans="1:22" x14ac:dyDescent="0.15">
      <c r="A313">
        <v>308</v>
      </c>
      <c r="B313" s="6">
        <f>首页!$B$4+2*A313/1000</f>
        <v>0.73599999999999999</v>
      </c>
      <c r="C313" s="6">
        <f>首页!$B$7+273.15</f>
        <v>388.15</v>
      </c>
      <c r="D313" s="6">
        <f>首页!$B$6+273.15</f>
        <v>293.14999999999998</v>
      </c>
      <c r="E313" s="6">
        <f>首页!$B$5+273.15</f>
        <v>1373.15</v>
      </c>
      <c r="F313" s="6">
        <f t="shared" si="36"/>
        <v>95</v>
      </c>
      <c r="G313" s="6">
        <f t="shared" si="37"/>
        <v>340.65</v>
      </c>
      <c r="H313" s="6">
        <f t="shared" si="38"/>
        <v>1.9926207055139041E-5</v>
      </c>
      <c r="I313" s="7">
        <f t="shared" si="39"/>
        <v>1158916576932337.8</v>
      </c>
      <c r="J313" s="6">
        <f t="shared" si="40"/>
        <v>1.0226038455893147</v>
      </c>
      <c r="K313" s="7">
        <f>J313*H313*首页!$B$12/P313</f>
        <v>0.69532757496605813</v>
      </c>
      <c r="L313" s="6">
        <f>首页!$B$9*0.0000000567*((C313^4-D313^4)/(C313-D313))</f>
        <v>7.7687338005019564</v>
      </c>
      <c r="M313" s="6">
        <f>IF(首页!$B$13="自然对流",IF(首页!$B$14="立式圆筒",首页!$B$10,PI()*B313/2),PI()*B313/2)</f>
        <v>55.2</v>
      </c>
      <c r="N313" s="7">
        <f>IF(首页!$B$13="强制对流",首页!$B$11*M313/H313,0)</f>
        <v>0</v>
      </c>
      <c r="O313" s="6">
        <f>IF(首页!$B$13="自然对流",IF(首页!$B$14="立式圆筒",(0.825+0.3063*I313^(1/6))^2+0.87*(M313/B313),(0.752+0.303*I313^(1/6))^2),0.3+SQRT((0.592*N313^0.5)^2+(0.0262*N313^0.8/(1-0.5/N313^0.1))^2))</f>
        <v>10084.4575029349</v>
      </c>
      <c r="P313" s="6">
        <f t="shared" si="41"/>
        <v>2.9510194925512497E-2</v>
      </c>
      <c r="Q313" s="6">
        <f t="shared" si="42"/>
        <v>5.391201207058983</v>
      </c>
      <c r="R313" s="6">
        <f t="shared" si="43"/>
        <v>13.159935007560939</v>
      </c>
      <c r="S313" s="6">
        <f>B313*LN(B313/首页!$B$4)</f>
        <v>1.3349114446968671</v>
      </c>
      <c r="T313" s="6">
        <f>2*首页!$B$8*(E313-C313)/(R313*(C313-D313))</f>
        <v>7.0909004808967793E-2</v>
      </c>
      <c r="U313" t="str">
        <f>IF(首页!$B$13="自然对流","按自然对流公式", "按强制对流公式")</f>
        <v>按自然对流公式</v>
      </c>
      <c r="V313" s="6">
        <f t="shared" si="44"/>
        <v>1.2640024398878993</v>
      </c>
    </row>
    <row r="314" spans="1:22" x14ac:dyDescent="0.15">
      <c r="A314">
        <v>309</v>
      </c>
      <c r="B314" s="6">
        <f>首页!$B$4+2*A314/1000</f>
        <v>0.73799999999999999</v>
      </c>
      <c r="C314" s="6">
        <f>首页!$B$7+273.15</f>
        <v>388.15</v>
      </c>
      <c r="D314" s="6">
        <f>首页!$B$6+273.15</f>
        <v>293.14999999999998</v>
      </c>
      <c r="E314" s="6">
        <f>首页!$B$5+273.15</f>
        <v>1373.15</v>
      </c>
      <c r="F314" s="6">
        <f t="shared" si="36"/>
        <v>95</v>
      </c>
      <c r="G314" s="6">
        <f t="shared" si="37"/>
        <v>340.65</v>
      </c>
      <c r="H314" s="6">
        <f t="shared" si="38"/>
        <v>1.9926207055139041E-5</v>
      </c>
      <c r="I314" s="7">
        <f t="shared" si="39"/>
        <v>1158916576932337.8</v>
      </c>
      <c r="J314" s="6">
        <f t="shared" si="40"/>
        <v>1.0226038455893147</v>
      </c>
      <c r="K314" s="7">
        <f>J314*H314*首页!$B$12/P314</f>
        <v>0.69532757496605813</v>
      </c>
      <c r="L314" s="6">
        <f>首页!$B$9*0.0000000567*((C314^4-D314^4)/(C314-D314))</f>
        <v>7.7687338005019564</v>
      </c>
      <c r="M314" s="6">
        <f>IF(首页!$B$13="自然对流",IF(首页!$B$14="立式圆筒",首页!$B$10,PI()*B314/2),PI()*B314/2)</f>
        <v>55.2</v>
      </c>
      <c r="N314" s="7">
        <f>IF(首页!$B$13="强制对流",首页!$B$11*M314/H314,0)</f>
        <v>0</v>
      </c>
      <c r="O314" s="6">
        <f>IF(首页!$B$13="自然对流",IF(首页!$B$14="立式圆筒",(0.825+0.3063*I314^(1/6))^2+0.87*(M314/B314),(0.752+0.303*I314^(1/6))^2),0.3+SQRT((0.592*N314^0.5)^2+(0.0262*N314^0.8/(1-0.5/N314^0.1))^2))</f>
        <v>10084.280673666608</v>
      </c>
      <c r="P314" s="6">
        <f t="shared" si="41"/>
        <v>2.9510194925512497E-2</v>
      </c>
      <c r="Q314" s="6">
        <f t="shared" si="42"/>
        <v>5.3911066732514499</v>
      </c>
      <c r="R314" s="6">
        <f t="shared" si="43"/>
        <v>13.159840473753405</v>
      </c>
      <c r="S314" s="6">
        <f>B314*LN(B314/首页!$B$4)</f>
        <v>1.3405416363819989</v>
      </c>
      <c r="T314" s="6">
        <f>2*首页!$B$8*(E314-C314)/(R314*(C314-D314))</f>
        <v>7.0909514184307576E-2</v>
      </c>
      <c r="U314" t="str">
        <f>IF(首页!$B$13="自然对流","按自然对流公式", "按强制对流公式")</f>
        <v>按自然对流公式</v>
      </c>
      <c r="V314" s="6">
        <f t="shared" si="44"/>
        <v>1.2696321221976912</v>
      </c>
    </row>
    <row r="315" spans="1:22" x14ac:dyDescent="0.15">
      <c r="A315">
        <v>310</v>
      </c>
      <c r="B315" s="6">
        <f>首页!$B$4+2*A315/1000</f>
        <v>0.74</v>
      </c>
      <c r="C315" s="6">
        <f>首页!$B$7+273.15</f>
        <v>388.15</v>
      </c>
      <c r="D315" s="6">
        <f>首页!$B$6+273.15</f>
        <v>293.14999999999998</v>
      </c>
      <c r="E315" s="6">
        <f>首页!$B$5+273.15</f>
        <v>1373.15</v>
      </c>
      <c r="F315" s="6">
        <f t="shared" si="36"/>
        <v>95</v>
      </c>
      <c r="G315" s="6">
        <f t="shared" si="37"/>
        <v>340.65</v>
      </c>
      <c r="H315" s="6">
        <f t="shared" si="38"/>
        <v>1.9926207055139041E-5</v>
      </c>
      <c r="I315" s="7">
        <f t="shared" si="39"/>
        <v>1158916576932337.8</v>
      </c>
      <c r="J315" s="6">
        <f t="shared" si="40"/>
        <v>1.0226038455893147</v>
      </c>
      <c r="K315" s="7">
        <f>J315*H315*首页!$B$12/P315</f>
        <v>0.69532757496605813</v>
      </c>
      <c r="L315" s="6">
        <f>首页!$B$9*0.0000000567*((C315^4-D315^4)/(C315-D315))</f>
        <v>7.7687338005019564</v>
      </c>
      <c r="M315" s="6">
        <f>IF(首页!$B$13="自然对流",IF(首页!$B$14="立式圆筒",首页!$B$10,PI()*B315/2),PI()*B315/2)</f>
        <v>55.2</v>
      </c>
      <c r="N315" s="7">
        <f>IF(首页!$B$13="强制对流",首页!$B$11*M315/H315,0)</f>
        <v>0</v>
      </c>
      <c r="O315" s="6">
        <f>IF(首页!$B$13="自然对流",IF(首页!$B$14="立式圆筒",(0.825+0.3063*I315^(1/6))^2+0.87*(M315/B315),(0.752+0.303*I315^(1/6))^2),0.3+SQRT((0.592*N315^0.5)^2+(0.0262*N315^0.8/(1-0.5/N315^0.1))^2))</f>
        <v>10084.104800232197</v>
      </c>
      <c r="P315" s="6">
        <f t="shared" si="41"/>
        <v>2.9510194925512497E-2</v>
      </c>
      <c r="Q315" s="6">
        <f t="shared" si="42"/>
        <v>5.39101265043747</v>
      </c>
      <c r="R315" s="6">
        <f t="shared" si="43"/>
        <v>13.159746450939426</v>
      </c>
      <c r="S315" s="6">
        <f>B315*LN(B315/首页!$B$4)</f>
        <v>1.3461772481279652</v>
      </c>
      <c r="T315" s="6">
        <f>2*首页!$B$8*(E315-C315)/(R315*(C315-D315))</f>
        <v>7.0910020813526195E-2</v>
      </c>
      <c r="U315" t="str">
        <f>IF(首页!$B$13="自然对流","按自然对流公式", "按强制对流公式")</f>
        <v>按自然对流公式</v>
      </c>
      <c r="V315" s="6">
        <f t="shared" si="44"/>
        <v>1.275267227314439</v>
      </c>
    </row>
    <row r="316" spans="1:22" x14ac:dyDescent="0.15">
      <c r="A316">
        <v>311</v>
      </c>
      <c r="B316" s="6">
        <f>首页!$B$4+2*A316/1000</f>
        <v>0.74199999999999999</v>
      </c>
      <c r="C316" s="6">
        <f>首页!$B$7+273.15</f>
        <v>388.15</v>
      </c>
      <c r="D316" s="6">
        <f>首页!$B$6+273.15</f>
        <v>293.14999999999998</v>
      </c>
      <c r="E316" s="6">
        <f>首页!$B$5+273.15</f>
        <v>1373.15</v>
      </c>
      <c r="F316" s="6">
        <f t="shared" si="36"/>
        <v>95</v>
      </c>
      <c r="G316" s="6">
        <f t="shared" si="37"/>
        <v>340.65</v>
      </c>
      <c r="H316" s="6">
        <f t="shared" si="38"/>
        <v>1.9926207055139041E-5</v>
      </c>
      <c r="I316" s="7">
        <f t="shared" si="39"/>
        <v>1158916576932337.8</v>
      </c>
      <c r="J316" s="6">
        <f t="shared" si="40"/>
        <v>1.0226038455893147</v>
      </c>
      <c r="K316" s="7">
        <f>J316*H316*首页!$B$12/P316</f>
        <v>0.69532757496605813</v>
      </c>
      <c r="L316" s="6">
        <f>首页!$B$9*0.0000000567*((C316^4-D316^4)/(C316-D316))</f>
        <v>7.7687338005019564</v>
      </c>
      <c r="M316" s="6">
        <f>IF(首页!$B$13="自然对流",IF(首页!$B$14="立式圆筒",首页!$B$10,PI()*B316/2),PI()*B316/2)</f>
        <v>55.2</v>
      </c>
      <c r="N316" s="7">
        <f>IF(首页!$B$13="强制对流",首页!$B$11*M316/H316,0)</f>
        <v>0</v>
      </c>
      <c r="O316" s="6">
        <f>IF(首页!$B$13="自然对流",IF(首页!$B$14="立式圆筒",(0.825+0.3063*I316^(1/6))^2+0.87*(M316/B316),(0.752+0.303*I316^(1/6))^2),0.3+SQRT((0.592*N316^0.5)^2+(0.0262*N316^0.8/(1-0.5/N316^0.1))^2))</f>
        <v>10083.929874902555</v>
      </c>
      <c r="P316" s="6">
        <f t="shared" si="41"/>
        <v>2.9510194925512497E-2</v>
      </c>
      <c r="Q316" s="6">
        <f t="shared" si="42"/>
        <v>5.3909191344850216</v>
      </c>
      <c r="R316" s="6">
        <f t="shared" si="43"/>
        <v>13.159652934986978</v>
      </c>
      <c r="S316" s="6">
        <f>B316*LN(B316/首页!$B$4)</f>
        <v>1.3518182652859183</v>
      </c>
      <c r="T316" s="6">
        <f>2*首页!$B$8*(E316-C316)/(R316*(C316-D316))</f>
        <v>7.0910524718771059E-2</v>
      </c>
      <c r="U316" t="str">
        <f>IF(首页!$B$13="自然对流","按自然对流公式", "按强制对流公式")</f>
        <v>按自然对流公式</v>
      </c>
      <c r="V316" s="6">
        <f t="shared" si="44"/>
        <v>1.2809077405671472</v>
      </c>
    </row>
    <row r="317" spans="1:22" x14ac:dyDescent="0.15">
      <c r="A317">
        <v>312</v>
      </c>
      <c r="B317" s="6">
        <f>首页!$B$4+2*A317/1000</f>
        <v>0.74399999999999999</v>
      </c>
      <c r="C317" s="6">
        <f>首页!$B$7+273.15</f>
        <v>388.15</v>
      </c>
      <c r="D317" s="6">
        <f>首页!$B$6+273.15</f>
        <v>293.14999999999998</v>
      </c>
      <c r="E317" s="6">
        <f>首页!$B$5+273.15</f>
        <v>1373.15</v>
      </c>
      <c r="F317" s="6">
        <f t="shared" si="36"/>
        <v>95</v>
      </c>
      <c r="G317" s="6">
        <f t="shared" si="37"/>
        <v>340.65</v>
      </c>
      <c r="H317" s="6">
        <f t="shared" si="38"/>
        <v>1.9926207055139041E-5</v>
      </c>
      <c r="I317" s="7">
        <f t="shared" si="39"/>
        <v>1158916576932337.8</v>
      </c>
      <c r="J317" s="6">
        <f t="shared" si="40"/>
        <v>1.0226038455893147</v>
      </c>
      <c r="K317" s="7">
        <f>J317*H317*首页!$B$12/P317</f>
        <v>0.69532757496605813</v>
      </c>
      <c r="L317" s="6">
        <f>首页!$B$9*0.0000000567*((C317^4-D317^4)/(C317-D317))</f>
        <v>7.7687338005019564</v>
      </c>
      <c r="M317" s="6">
        <f>IF(首页!$B$13="自然对流",IF(首页!$B$14="立式圆筒",首页!$B$10,PI()*B317/2),PI()*B317/2)</f>
        <v>55.2</v>
      </c>
      <c r="N317" s="7">
        <f>IF(首页!$B$13="强制对流",首页!$B$11*M317/H317,0)</f>
        <v>0</v>
      </c>
      <c r="O317" s="6">
        <f>IF(首页!$B$13="自然对流",IF(首页!$B$14="立式圆筒",(0.825+0.3063*I317^(1/6))^2+0.87*(M317/B317),(0.752+0.303*I317^(1/6))^2),0.3+SQRT((0.592*N317^0.5)^2+(0.0262*N317^0.8/(1-0.5/N317^0.1))^2))</f>
        <v>10083.755890031674</v>
      </c>
      <c r="P317" s="6">
        <f t="shared" si="41"/>
        <v>2.9510194925512497E-2</v>
      </c>
      <c r="Q317" s="6">
        <f t="shared" si="42"/>
        <v>5.3908261213065112</v>
      </c>
      <c r="R317" s="6">
        <f t="shared" si="43"/>
        <v>13.159559921808468</v>
      </c>
      <c r="S317" s="6">
        <f>B317*LN(B317/首页!$B$4)</f>
        <v>1.3574646732859783</v>
      </c>
      <c r="T317" s="6">
        <f>2*首页!$B$8*(E317-C317)/(R317*(C317-D317))</f>
        <v>7.0911025921952101E-2</v>
      </c>
      <c r="U317" t="str">
        <f>IF(首页!$B$13="自然对流","按自然对流公式", "按强制对流公式")</f>
        <v>按自然对流公式</v>
      </c>
      <c r="V317" s="6">
        <f t="shared" si="44"/>
        <v>1.2865536473640262</v>
      </c>
    </row>
    <row r="318" spans="1:22" x14ac:dyDescent="0.15">
      <c r="A318">
        <v>313</v>
      </c>
      <c r="B318" s="6">
        <f>首页!$B$4+2*A318/1000</f>
        <v>0.746</v>
      </c>
      <c r="C318" s="6">
        <f>首页!$B$7+273.15</f>
        <v>388.15</v>
      </c>
      <c r="D318" s="6">
        <f>首页!$B$6+273.15</f>
        <v>293.14999999999998</v>
      </c>
      <c r="E318" s="6">
        <f>首页!$B$5+273.15</f>
        <v>1373.15</v>
      </c>
      <c r="F318" s="6">
        <f t="shared" si="36"/>
        <v>95</v>
      </c>
      <c r="G318" s="6">
        <f t="shared" si="37"/>
        <v>340.65</v>
      </c>
      <c r="H318" s="6">
        <f t="shared" si="38"/>
        <v>1.9926207055139041E-5</v>
      </c>
      <c r="I318" s="7">
        <f t="shared" si="39"/>
        <v>1158916576932337.8</v>
      </c>
      <c r="J318" s="6">
        <f t="shared" si="40"/>
        <v>1.0226038455893147</v>
      </c>
      <c r="K318" s="7">
        <f>J318*H318*首页!$B$12/P318</f>
        <v>0.69532757496605813</v>
      </c>
      <c r="L318" s="6">
        <f>首页!$B$9*0.0000000567*((C318^4-D318^4)/(C318-D318))</f>
        <v>7.7687338005019564</v>
      </c>
      <c r="M318" s="6">
        <f>IF(首页!$B$13="自然对流",IF(首页!$B$14="立式圆筒",首页!$B$10,PI()*B318/2),PI()*B318/2)</f>
        <v>55.2</v>
      </c>
      <c r="N318" s="7">
        <f>IF(首页!$B$13="强制对流",首页!$B$11*M318/H318,0)</f>
        <v>0</v>
      </c>
      <c r="O318" s="6">
        <f>IF(首页!$B$13="自然对流",IF(首页!$B$14="立式圆筒",(0.825+0.3063*I318^(1/6))^2+0.87*(M318/B318),(0.752+0.303*I318^(1/6))^2),0.3+SQRT((0.592*N318^0.5)^2+(0.0262*N318^0.8/(1-0.5/N318^0.1))^2))</f>
        <v>10083.582838055543</v>
      </c>
      <c r="P318" s="6">
        <f t="shared" si="41"/>
        <v>2.9510194925512497E-2</v>
      </c>
      <c r="Q318" s="6">
        <f t="shared" si="42"/>
        <v>5.3907336068581806</v>
      </c>
      <c r="R318" s="6">
        <f t="shared" si="43"/>
        <v>13.159467407360136</v>
      </c>
      <c r="S318" s="6">
        <f>B318*LN(B318/首页!$B$4)</f>
        <v>1.3631164576365993</v>
      </c>
      <c r="T318" s="6">
        <f>2*首页!$B$8*(E318-C318)/(R318*(C318-D318))</f>
        <v>7.0911524444744911E-2</v>
      </c>
      <c r="U318" t="str">
        <f>IF(首页!$B$13="自然对流","按自然对流公式", "按强制对流公式")</f>
        <v>按自然对流公式</v>
      </c>
      <c r="V318" s="6">
        <f t="shared" si="44"/>
        <v>1.2922049331918544</v>
      </c>
    </row>
    <row r="319" spans="1:22" x14ac:dyDescent="0.15">
      <c r="A319">
        <v>314</v>
      </c>
      <c r="B319" s="6">
        <f>首页!$B$4+2*A319/1000</f>
        <v>0.748</v>
      </c>
      <c r="C319" s="6">
        <f>首页!$B$7+273.15</f>
        <v>388.15</v>
      </c>
      <c r="D319" s="6">
        <f>首页!$B$6+273.15</f>
        <v>293.14999999999998</v>
      </c>
      <c r="E319" s="6">
        <f>首页!$B$5+273.15</f>
        <v>1373.15</v>
      </c>
      <c r="F319" s="6">
        <f t="shared" si="36"/>
        <v>95</v>
      </c>
      <c r="G319" s="6">
        <f t="shared" si="37"/>
        <v>340.65</v>
      </c>
      <c r="H319" s="6">
        <f t="shared" si="38"/>
        <v>1.9926207055139041E-5</v>
      </c>
      <c r="I319" s="7">
        <f t="shared" si="39"/>
        <v>1158916576932337.8</v>
      </c>
      <c r="J319" s="6">
        <f t="shared" si="40"/>
        <v>1.0226038455893147</v>
      </c>
      <c r="K319" s="7">
        <f>J319*H319*首页!$B$12/P319</f>
        <v>0.69532757496605813</v>
      </c>
      <c r="L319" s="6">
        <f>首页!$B$9*0.0000000567*((C319^4-D319^4)/(C319-D319))</f>
        <v>7.7687338005019564</v>
      </c>
      <c r="M319" s="6">
        <f>IF(首页!$B$13="自然对流",IF(首页!$B$14="立式圆筒",首页!$B$10,PI()*B319/2),PI()*B319/2)</f>
        <v>55.2</v>
      </c>
      <c r="N319" s="7">
        <f>IF(首页!$B$13="强制对流",首页!$B$11*M319/H319,0)</f>
        <v>0</v>
      </c>
      <c r="O319" s="6">
        <f>IF(首页!$B$13="自然对流",IF(首页!$B$14="立式圆筒",(0.825+0.3063*I319^(1/6))^2+0.87*(M319/B319),(0.752+0.303*I319^(1/6))^2),0.3+SQRT((0.592*N319^0.5)^2+(0.0262*N319^0.8/(1-0.5/N319^0.1))^2))</f>
        <v>10083.410711491049</v>
      </c>
      <c r="P319" s="6">
        <f t="shared" si="41"/>
        <v>2.9510194925512497E-2</v>
      </c>
      <c r="Q319" s="6">
        <f t="shared" si="42"/>
        <v>5.3906415871395197</v>
      </c>
      <c r="R319" s="6">
        <f t="shared" si="43"/>
        <v>13.159375387641475</v>
      </c>
      <c r="S319" s="6">
        <f>B319*LN(B319/首页!$B$4)</f>
        <v>1.3687736039239384</v>
      </c>
      <c r="T319" s="6">
        <f>2*首页!$B$8*(E319-C319)/(R319*(C319-D319))</f>
        <v>7.0912020308593823E-2</v>
      </c>
      <c r="U319" t="str">
        <f>IF(首页!$B$13="自然对流","按自然对流公式", "按强制对流公式")</f>
        <v>按自然对流公式</v>
      </c>
      <c r="V319" s="6">
        <f t="shared" si="44"/>
        <v>1.2978615836153446</v>
      </c>
    </row>
    <row r="320" spans="1:22" x14ac:dyDescent="0.15">
      <c r="A320">
        <v>315</v>
      </c>
      <c r="B320" s="6">
        <f>首页!$B$4+2*A320/1000</f>
        <v>0.75</v>
      </c>
      <c r="C320" s="6">
        <f>首页!$B$7+273.15</f>
        <v>388.15</v>
      </c>
      <c r="D320" s="6">
        <f>首页!$B$6+273.15</f>
        <v>293.14999999999998</v>
      </c>
      <c r="E320" s="6">
        <f>首页!$B$5+273.15</f>
        <v>1373.15</v>
      </c>
      <c r="F320" s="6">
        <f t="shared" si="36"/>
        <v>95</v>
      </c>
      <c r="G320" s="6">
        <f t="shared" si="37"/>
        <v>340.65</v>
      </c>
      <c r="H320" s="6">
        <f t="shared" si="38"/>
        <v>1.9926207055139041E-5</v>
      </c>
      <c r="I320" s="7">
        <f t="shared" si="39"/>
        <v>1158916576932337.8</v>
      </c>
      <c r="J320" s="6">
        <f t="shared" si="40"/>
        <v>1.0226038455893147</v>
      </c>
      <c r="K320" s="7">
        <f>J320*H320*首页!$B$12/P320</f>
        <v>0.69532757496605813</v>
      </c>
      <c r="L320" s="6">
        <f>首页!$B$9*0.0000000567*((C320^4-D320^4)/(C320-D320))</f>
        <v>7.7687338005019564</v>
      </c>
      <c r="M320" s="6">
        <f>IF(首页!$B$13="自然对流",IF(首页!$B$14="立式圆筒",首页!$B$10,PI()*B320/2),PI()*B320/2)</f>
        <v>55.2</v>
      </c>
      <c r="N320" s="7">
        <f>IF(首页!$B$13="强制对流",首页!$B$11*M320/H320,0)</f>
        <v>0</v>
      </c>
      <c r="O320" s="6">
        <f>IF(首页!$B$13="自然对流",IF(首页!$B$14="立式圆筒",(0.825+0.3063*I320^(1/6))^2+0.87*(M320/B320),(0.752+0.303*I320^(1/6))^2),0.3+SQRT((0.592*N320^0.5)^2+(0.0262*N320^0.8/(1-0.5/N320^0.1))^2))</f>
        <v>10083.239502934899</v>
      </c>
      <c r="P320" s="6">
        <f t="shared" si="41"/>
        <v>2.9510194925512497E-2</v>
      </c>
      <c r="Q320" s="6">
        <f t="shared" si="42"/>
        <v>5.3905500581926917</v>
      </c>
      <c r="R320" s="6">
        <f t="shared" si="43"/>
        <v>13.159283858694648</v>
      </c>
      <c r="S320" s="6">
        <f>B320*LN(B320/首页!$B$4)</f>
        <v>1.3744360978112327</v>
      </c>
      <c r="T320" s="6">
        <f>2*首页!$B$8*(E320-C320)/(R320*(C320-D320))</f>
        <v>7.0912513534715102E-2</v>
      </c>
      <c r="U320" t="str">
        <f>IF(首页!$B$13="自然对流","按自然对流公式", "按强制对流公式")</f>
        <v>按自然对流公式</v>
      </c>
      <c r="V320" s="6">
        <f t="shared" si="44"/>
        <v>1.3035235842765176</v>
      </c>
    </row>
    <row r="321" spans="1:22" x14ac:dyDescent="0.15">
      <c r="A321">
        <v>316</v>
      </c>
      <c r="B321" s="6">
        <f>首页!$B$4+2*A321/1000</f>
        <v>0.752</v>
      </c>
      <c r="C321" s="6">
        <f>首页!$B$7+273.15</f>
        <v>388.15</v>
      </c>
      <c r="D321" s="6">
        <f>首页!$B$6+273.15</f>
        <v>293.14999999999998</v>
      </c>
      <c r="E321" s="6">
        <f>首页!$B$5+273.15</f>
        <v>1373.15</v>
      </c>
      <c r="F321" s="6">
        <f t="shared" si="36"/>
        <v>95</v>
      </c>
      <c r="G321" s="6">
        <f t="shared" si="37"/>
        <v>340.65</v>
      </c>
      <c r="H321" s="6">
        <f t="shared" si="38"/>
        <v>1.9926207055139041E-5</v>
      </c>
      <c r="I321" s="7">
        <f t="shared" si="39"/>
        <v>1158916576932337.8</v>
      </c>
      <c r="J321" s="6">
        <f t="shared" si="40"/>
        <v>1.0226038455893147</v>
      </c>
      <c r="K321" s="7">
        <f>J321*H321*首页!$B$12/P321</f>
        <v>0.69532757496605813</v>
      </c>
      <c r="L321" s="6">
        <f>首页!$B$9*0.0000000567*((C321^4-D321^4)/(C321-D321))</f>
        <v>7.7687338005019564</v>
      </c>
      <c r="M321" s="6">
        <f>IF(首页!$B$13="自然对流",IF(首页!$B$14="立式圆筒",首页!$B$10,PI()*B321/2),PI()*B321/2)</f>
        <v>55.2</v>
      </c>
      <c r="N321" s="7">
        <f>IF(首页!$B$13="强制对流",首页!$B$11*M321/H321,0)</f>
        <v>0</v>
      </c>
      <c r="O321" s="6">
        <f>IF(首页!$B$13="自然对流",IF(首页!$B$14="立式圆筒",(0.825+0.3063*I321^(1/6))^2+0.87*(M321/B321),(0.752+0.303*I321^(1/6))^2),0.3+SQRT((0.592*N321^0.5)^2+(0.0262*N321^0.8/(1-0.5/N321^0.1))^2))</f>
        <v>10083.06920506256</v>
      </c>
      <c r="P321" s="6">
        <f t="shared" si="41"/>
        <v>2.9510194925512497E-2</v>
      </c>
      <c r="Q321" s="6">
        <f t="shared" si="42"/>
        <v>5.390459016101965</v>
      </c>
      <c r="R321" s="6">
        <f t="shared" si="43"/>
        <v>13.159192816603921</v>
      </c>
      <c r="S321" s="6">
        <f>B321*LN(B321/首页!$B$4)</f>
        <v>1.380103925038181</v>
      </c>
      <c r="T321" s="6">
        <f>2*首页!$B$8*(E321-C321)/(R321*(C321-D321))</f>
        <v>7.0913004144099803E-2</v>
      </c>
      <c r="U321" t="str">
        <f>IF(首页!$B$13="自然对流","按自然对流公式", "按强制对流公式")</f>
        <v>按自然对流公式</v>
      </c>
      <c r="V321" s="6">
        <f t="shared" si="44"/>
        <v>1.3091909208940813</v>
      </c>
    </row>
    <row r="322" spans="1:22" x14ac:dyDescent="0.15">
      <c r="A322">
        <v>317</v>
      </c>
      <c r="B322" s="6">
        <f>首页!$B$4+2*A322/1000</f>
        <v>0.754</v>
      </c>
      <c r="C322" s="6">
        <f>首页!$B$7+273.15</f>
        <v>388.15</v>
      </c>
      <c r="D322" s="6">
        <f>首页!$B$6+273.15</f>
        <v>293.14999999999998</v>
      </c>
      <c r="E322" s="6">
        <f>首页!$B$5+273.15</f>
        <v>1373.15</v>
      </c>
      <c r="F322" s="6">
        <f t="shared" si="36"/>
        <v>95</v>
      </c>
      <c r="G322" s="6">
        <f t="shared" si="37"/>
        <v>340.65</v>
      </c>
      <c r="H322" s="6">
        <f t="shared" si="38"/>
        <v>1.9926207055139041E-5</v>
      </c>
      <c r="I322" s="7">
        <f t="shared" si="39"/>
        <v>1158916576932337.8</v>
      </c>
      <c r="J322" s="6">
        <f t="shared" si="40"/>
        <v>1.0226038455893147</v>
      </c>
      <c r="K322" s="7">
        <f>J322*H322*首页!$B$12/P322</f>
        <v>0.69532757496605813</v>
      </c>
      <c r="L322" s="6">
        <f>首页!$B$9*0.0000000567*((C322^4-D322^4)/(C322-D322))</f>
        <v>7.7687338005019564</v>
      </c>
      <c r="M322" s="6">
        <f>IF(首页!$B$13="自然对流",IF(首页!$B$14="立式圆筒",首页!$B$10,PI()*B322/2),PI()*B322/2)</f>
        <v>55.2</v>
      </c>
      <c r="N322" s="7">
        <f>IF(首页!$B$13="强制对流",首页!$B$11*M322/H322,0)</f>
        <v>0</v>
      </c>
      <c r="O322" s="6">
        <f>IF(首页!$B$13="自然对流",IF(首页!$B$14="立式圆筒",(0.825+0.3063*I322^(1/6))^2+0.87*(M322/B322),(0.752+0.303*I322^(1/6))^2),0.3+SQRT((0.592*N322^0.5)^2+(0.0262*N322^0.8/(1-0.5/N322^0.1))^2))</f>
        <v>10082.899810627208</v>
      </c>
      <c r="P322" s="6">
        <f t="shared" si="41"/>
        <v>2.9510194925512497E-2</v>
      </c>
      <c r="Q322" s="6">
        <f t="shared" si="42"/>
        <v>5.3903684569931514</v>
      </c>
      <c r="R322" s="6">
        <f t="shared" si="43"/>
        <v>13.159102257495107</v>
      </c>
      <c r="S322" s="6">
        <f>B322*LN(B322/首页!$B$4)</f>
        <v>1.3857770714203361</v>
      </c>
      <c r="T322" s="6">
        <f>2*首页!$B$8*(E322-C322)/(R322*(C322-D322))</f>
        <v>7.0913492157516897E-2</v>
      </c>
      <c r="U322" t="str">
        <f>IF(首页!$B$13="自然对流","按自然对流公式", "按强制对流公式")</f>
        <v>按自然对流公式</v>
      </c>
      <c r="V322" s="6">
        <f t="shared" si="44"/>
        <v>1.3148635792628192</v>
      </c>
    </row>
    <row r="323" spans="1:22" x14ac:dyDescent="0.15">
      <c r="A323">
        <v>318</v>
      </c>
      <c r="B323" s="6">
        <f>首页!$B$4+2*A323/1000</f>
        <v>0.75600000000000001</v>
      </c>
      <c r="C323" s="6">
        <f>首页!$B$7+273.15</f>
        <v>388.15</v>
      </c>
      <c r="D323" s="6">
        <f>首页!$B$6+273.15</f>
        <v>293.14999999999998</v>
      </c>
      <c r="E323" s="6">
        <f>首页!$B$5+273.15</f>
        <v>1373.15</v>
      </c>
      <c r="F323" s="6">
        <f t="shared" si="36"/>
        <v>95</v>
      </c>
      <c r="G323" s="6">
        <f t="shared" si="37"/>
        <v>340.65</v>
      </c>
      <c r="H323" s="6">
        <f t="shared" si="38"/>
        <v>1.9926207055139041E-5</v>
      </c>
      <c r="I323" s="7">
        <f t="shared" si="39"/>
        <v>1158916576932337.8</v>
      </c>
      <c r="J323" s="6">
        <f t="shared" si="40"/>
        <v>1.0226038455893147</v>
      </c>
      <c r="K323" s="7">
        <f>J323*H323*首页!$B$12/P323</f>
        <v>0.69532757496605813</v>
      </c>
      <c r="L323" s="6">
        <f>首页!$B$9*0.0000000567*((C323^4-D323^4)/(C323-D323))</f>
        <v>7.7687338005019564</v>
      </c>
      <c r="M323" s="6">
        <f>IF(首页!$B$13="自然对流",IF(首页!$B$14="立式圆筒",首页!$B$10,PI()*B323/2),PI()*B323/2)</f>
        <v>55.2</v>
      </c>
      <c r="N323" s="7">
        <f>IF(首页!$B$13="强制对流",首页!$B$11*M323/H323,0)</f>
        <v>0</v>
      </c>
      <c r="O323" s="6">
        <f>IF(首页!$B$13="自然对流",IF(首页!$B$14="立式圆筒",(0.825+0.3063*I323^(1/6))^2+0.87*(M323/B323),(0.752+0.303*I323^(1/6))^2),0.3+SQRT((0.592*N323^0.5)^2+(0.0262*N323^0.8/(1-0.5/N323^0.1))^2))</f>
        <v>10082.731312458709</v>
      </c>
      <c r="P323" s="6">
        <f t="shared" si="41"/>
        <v>2.9510194925512497E-2</v>
      </c>
      <c r="Q323" s="6">
        <f t="shared" si="42"/>
        <v>5.3902783770330602</v>
      </c>
      <c r="R323" s="6">
        <f t="shared" si="43"/>
        <v>13.159012177535017</v>
      </c>
      <c r="S323" s="6">
        <f>B323*LN(B323/首页!$B$4)</f>
        <v>1.3914555228485002</v>
      </c>
      <c r="T323" s="6">
        <f>2*首页!$B$8*(E323-C323)/(R323*(C323-D323))</f>
        <v>7.0913977595516139E-2</v>
      </c>
      <c r="U323" t="str">
        <f>IF(首页!$B$13="自然对流","按自然对流公式", "按强制对流公式")</f>
        <v>按自然对流公式</v>
      </c>
      <c r="V323" s="6">
        <f t="shared" si="44"/>
        <v>1.3205415452529841</v>
      </c>
    </row>
    <row r="324" spans="1:22" x14ac:dyDescent="0.15">
      <c r="A324">
        <v>319</v>
      </c>
      <c r="B324" s="6">
        <f>首页!$B$4+2*A324/1000</f>
        <v>0.75800000000000001</v>
      </c>
      <c r="C324" s="6">
        <f>首页!$B$7+273.15</f>
        <v>388.15</v>
      </c>
      <c r="D324" s="6">
        <f>首页!$B$6+273.15</f>
        <v>293.14999999999998</v>
      </c>
      <c r="E324" s="6">
        <f>首页!$B$5+273.15</f>
        <v>1373.15</v>
      </c>
      <c r="F324" s="6">
        <f t="shared" si="36"/>
        <v>95</v>
      </c>
      <c r="G324" s="6">
        <f t="shared" si="37"/>
        <v>340.65</v>
      </c>
      <c r="H324" s="6">
        <f t="shared" si="38"/>
        <v>1.9926207055139041E-5</v>
      </c>
      <c r="I324" s="7">
        <f t="shared" si="39"/>
        <v>1158916576932337.8</v>
      </c>
      <c r="J324" s="6">
        <f t="shared" si="40"/>
        <v>1.0226038455893147</v>
      </c>
      <c r="K324" s="7">
        <f>J324*H324*首页!$B$12/P324</f>
        <v>0.69532757496605813</v>
      </c>
      <c r="L324" s="6">
        <f>首页!$B$9*0.0000000567*((C324^4-D324^4)/(C324-D324))</f>
        <v>7.7687338005019564</v>
      </c>
      <c r="M324" s="6">
        <f>IF(首页!$B$13="自然对流",IF(首页!$B$14="立式圆筒",首页!$B$10,PI()*B324/2),PI()*B324/2)</f>
        <v>55.2</v>
      </c>
      <c r="N324" s="7">
        <f>IF(首页!$B$13="强制对流",首页!$B$11*M324/H324,0)</f>
        <v>0</v>
      </c>
      <c r="O324" s="6">
        <f>IF(首页!$B$13="自然对流",IF(首页!$B$14="立式圆筒",(0.825+0.3063*I324^(1/6))^2+0.87*(M324/B324),(0.752+0.303*I324^(1/6))^2),0.3+SQRT((0.592*N324^0.5)^2+(0.0262*N324^0.8/(1-0.5/N324^0.1))^2))</f>
        <v>10082.563703462605</v>
      </c>
      <c r="P324" s="6">
        <f t="shared" si="41"/>
        <v>2.9510194925512497E-2</v>
      </c>
      <c r="Q324" s="6">
        <f t="shared" si="42"/>
        <v>5.3901887724289601</v>
      </c>
      <c r="R324" s="6">
        <f t="shared" si="43"/>
        <v>13.158922572930916</v>
      </c>
      <c r="S324" s="6">
        <f>B324*LN(B324/首页!$B$4)</f>
        <v>1.3971392652881269</v>
      </c>
      <c r="T324" s="6">
        <f>2*首页!$B$8*(E324-C324)/(R324*(C324-D324))</f>
        <v>7.0914460478430932E-2</v>
      </c>
      <c r="U324" t="str">
        <f>IF(首页!$B$13="自然对流","按自然对流公式", "按强制对流公式")</f>
        <v>按自然对流公式</v>
      </c>
      <c r="V324" s="6">
        <f t="shared" si="44"/>
        <v>1.3262248048096961</v>
      </c>
    </row>
    <row r="325" spans="1:22" x14ac:dyDescent="0.15">
      <c r="A325">
        <v>320</v>
      </c>
      <c r="B325" s="6">
        <f>首页!$B$4+2*A325/1000</f>
        <v>0.76</v>
      </c>
      <c r="C325" s="6">
        <f>首页!$B$7+273.15</f>
        <v>388.15</v>
      </c>
      <c r="D325" s="6">
        <f>首页!$B$6+273.15</f>
        <v>293.14999999999998</v>
      </c>
      <c r="E325" s="6">
        <f>首页!$B$5+273.15</f>
        <v>1373.15</v>
      </c>
      <c r="F325" s="6">
        <f t="shared" ref="F325:F388" si="45">C325-D325</f>
        <v>95</v>
      </c>
      <c r="G325" s="6">
        <f t="shared" ref="G325:G388" si="46">(C325+D325)/2</f>
        <v>340.65</v>
      </c>
      <c r="H325" s="6">
        <f t="shared" ref="H325:H388" si="47">0.0000000042113*G325^2.5/(112+G325)</f>
        <v>1.9926207055139041E-5</v>
      </c>
      <c r="I325" s="7">
        <f t="shared" ref="I325:I388" si="48">9.81*M325^3*F325/(H325^2*G325)</f>
        <v>1158916576932337.8</v>
      </c>
      <c r="J325" s="6">
        <f t="shared" ref="J325:J388" si="49">348.35/G325</f>
        <v>1.0226038455893147</v>
      </c>
      <c r="K325" s="7">
        <f>J325*H325*首页!$B$12/P325</f>
        <v>0.69532757496605813</v>
      </c>
      <c r="L325" s="6">
        <f>首页!$B$9*0.0000000567*((C325^4-D325^4)/(C325-D325))</f>
        <v>7.7687338005019564</v>
      </c>
      <c r="M325" s="6">
        <f>IF(首页!$B$13="自然对流",IF(首页!$B$14="立式圆筒",首页!$B$10,PI()*B325/2),PI()*B325/2)</f>
        <v>55.2</v>
      </c>
      <c r="N325" s="7">
        <f>IF(首页!$B$13="强制对流",首页!$B$11*M325/H325,0)</f>
        <v>0</v>
      </c>
      <c r="O325" s="6">
        <f>IF(首页!$B$13="自然对流",IF(首页!$B$14="立式圆筒",(0.825+0.3063*I325^(1/6))^2+0.87*(M325/B325),(0.752+0.303*I325^(1/6))^2),0.3+SQRT((0.592*N325^0.5)^2+(0.0262*N325^0.8/(1-0.5/N325^0.1))^2))</f>
        <v>10082.396976619111</v>
      </c>
      <c r="P325" s="6">
        <f t="shared" ref="P325:P388" si="50">0.0243+0.000078421*(G325-273)-0.000000020755*(G325-273)^2</f>
        <v>2.9510194925512497E-2</v>
      </c>
      <c r="Q325" s="6">
        <f t="shared" ref="Q325:Q388" si="51">O325*P325/M325</f>
        <v>5.3900996394280396</v>
      </c>
      <c r="R325" s="6">
        <f t="shared" ref="R325:R388" si="52">L325+Q325</f>
        <v>13.158833439929996</v>
      </c>
      <c r="S325" s="6">
        <f>B325*LN(B325/首页!$B$4)</f>
        <v>1.4028282847787314</v>
      </c>
      <c r="T325" s="6">
        <f>2*首页!$B$8*(E325-C325)/(R325*(C325-D325))</f>
        <v>7.0914940826381223E-2</v>
      </c>
      <c r="U325" t="str">
        <f>IF(首页!$B$13="自然对流","按自然对流公式", "按强制对流公式")</f>
        <v>按自然对流公式</v>
      </c>
      <c r="V325" s="6">
        <f t="shared" ref="V325:V388" si="53">ABS(S325-T325)</f>
        <v>1.3319133439523503</v>
      </c>
    </row>
    <row r="326" spans="1:22" x14ac:dyDescent="0.15">
      <c r="A326">
        <v>321</v>
      </c>
      <c r="B326" s="6">
        <f>首页!$B$4+2*A326/1000</f>
        <v>0.76200000000000001</v>
      </c>
      <c r="C326" s="6">
        <f>首页!$B$7+273.15</f>
        <v>388.15</v>
      </c>
      <c r="D326" s="6">
        <f>首页!$B$6+273.15</f>
        <v>293.14999999999998</v>
      </c>
      <c r="E326" s="6">
        <f>首页!$B$5+273.15</f>
        <v>1373.15</v>
      </c>
      <c r="F326" s="6">
        <f t="shared" si="45"/>
        <v>95</v>
      </c>
      <c r="G326" s="6">
        <f t="shared" si="46"/>
        <v>340.65</v>
      </c>
      <c r="H326" s="6">
        <f t="shared" si="47"/>
        <v>1.9926207055139041E-5</v>
      </c>
      <c r="I326" s="7">
        <f t="shared" si="48"/>
        <v>1158916576932337.8</v>
      </c>
      <c r="J326" s="6">
        <f t="shared" si="49"/>
        <v>1.0226038455893147</v>
      </c>
      <c r="K326" s="7">
        <f>J326*H326*首页!$B$12/P326</f>
        <v>0.69532757496605813</v>
      </c>
      <c r="L326" s="6">
        <f>首页!$B$9*0.0000000567*((C326^4-D326^4)/(C326-D326))</f>
        <v>7.7687338005019564</v>
      </c>
      <c r="M326" s="6">
        <f>IF(首页!$B$13="自然对流",IF(首页!$B$14="立式圆筒",首页!$B$10,PI()*B326/2),PI()*B326/2)</f>
        <v>55.2</v>
      </c>
      <c r="N326" s="7">
        <f>IF(首页!$B$13="强制对流",首页!$B$11*M326/H326,0)</f>
        <v>0</v>
      </c>
      <c r="O326" s="6">
        <f>IF(首页!$B$13="自然对流",IF(首页!$B$14="立式圆筒",(0.825+0.3063*I326^(1/6))^2+0.87*(M326/B326),(0.752+0.303*I326^(1/6))^2),0.3+SQRT((0.592*N326^0.5)^2+(0.0262*N326^0.8/(1-0.5/N326^0.1))^2))</f>
        <v>10082.231124982143</v>
      </c>
      <c r="P326" s="6">
        <f t="shared" si="50"/>
        <v>2.9510194925512497E-2</v>
      </c>
      <c r="Q326" s="6">
        <f t="shared" si="51"/>
        <v>5.3900109743168869</v>
      </c>
      <c r="R326" s="6">
        <f t="shared" si="52"/>
        <v>13.158744774818842</v>
      </c>
      <c r="S326" s="6">
        <f>B326*LN(B326/首页!$B$4)</f>
        <v>1.4085225674333055</v>
      </c>
      <c r="T326" s="6">
        <f>2*首页!$B$8*(E326-C326)/(R326*(C326-D326))</f>
        <v>7.0915418659276266E-2</v>
      </c>
      <c r="U326" t="str">
        <f>IF(首页!$B$13="自然对流","按自然对流公式", "按强制对流公式")</f>
        <v>按自然对流公式</v>
      </c>
      <c r="V326" s="6">
        <f t="shared" si="53"/>
        <v>1.3376071487740293</v>
      </c>
    </row>
    <row r="327" spans="1:22" x14ac:dyDescent="0.15">
      <c r="A327">
        <v>322</v>
      </c>
      <c r="B327" s="6">
        <f>首页!$B$4+2*A327/1000</f>
        <v>0.76400000000000001</v>
      </c>
      <c r="C327" s="6">
        <f>首页!$B$7+273.15</f>
        <v>388.15</v>
      </c>
      <c r="D327" s="6">
        <f>首页!$B$6+273.15</f>
        <v>293.14999999999998</v>
      </c>
      <c r="E327" s="6">
        <f>首页!$B$5+273.15</f>
        <v>1373.15</v>
      </c>
      <c r="F327" s="6">
        <f t="shared" si="45"/>
        <v>95</v>
      </c>
      <c r="G327" s="6">
        <f t="shared" si="46"/>
        <v>340.65</v>
      </c>
      <c r="H327" s="6">
        <f t="shared" si="47"/>
        <v>1.9926207055139041E-5</v>
      </c>
      <c r="I327" s="7">
        <f t="shared" si="48"/>
        <v>1158916576932337.8</v>
      </c>
      <c r="J327" s="6">
        <f t="shared" si="49"/>
        <v>1.0226038455893147</v>
      </c>
      <c r="K327" s="7">
        <f>J327*H327*首页!$B$12/P327</f>
        <v>0.69532757496605813</v>
      </c>
      <c r="L327" s="6">
        <f>首页!$B$9*0.0000000567*((C327^4-D327^4)/(C327-D327))</f>
        <v>7.7687338005019564</v>
      </c>
      <c r="M327" s="6">
        <f>IF(首页!$B$13="自然对流",IF(首页!$B$14="立式圆筒",首页!$B$10,PI()*B327/2),PI()*B327/2)</f>
        <v>55.2</v>
      </c>
      <c r="N327" s="7">
        <f>IF(首页!$B$13="强制对流",首页!$B$11*M327/H327,0)</f>
        <v>0</v>
      </c>
      <c r="O327" s="6">
        <f>IF(首页!$B$13="自然对流",IF(首页!$B$14="立式圆筒",(0.825+0.3063*I327^(1/6))^2+0.87*(M327/B327),(0.752+0.303*I327^(1/6))^2),0.3+SQRT((0.592*N327^0.5)^2+(0.0262*N327^0.8/(1-0.5/N327^0.1))^2))</f>
        <v>10082.066141678355</v>
      </c>
      <c r="P327" s="6">
        <f t="shared" si="50"/>
        <v>2.9510194925512497E-2</v>
      </c>
      <c r="Q327" s="6">
        <f t="shared" si="51"/>
        <v>5.3899227734209774</v>
      </c>
      <c r="R327" s="6">
        <f t="shared" si="52"/>
        <v>13.158656573922933</v>
      </c>
      <c r="S327" s="6">
        <f>B327*LN(B327/首页!$B$4)</f>
        <v>1.4142220994377386</v>
      </c>
      <c r="T327" s="6">
        <f>2*首页!$B$8*(E327-C327)/(R327*(C327-D327))</f>
        <v>7.0915893996817317E-2</v>
      </c>
      <c r="U327" t="str">
        <f>IF(首页!$B$13="自然对流","按自然对流公式", "按强制对流公式")</f>
        <v>按自然对流公式</v>
      </c>
      <c r="V327" s="6">
        <f t="shared" si="53"/>
        <v>1.3433062054409213</v>
      </c>
    </row>
    <row r="328" spans="1:22" x14ac:dyDescent="0.15">
      <c r="A328">
        <v>323</v>
      </c>
      <c r="B328" s="6">
        <f>首页!$B$4+2*A328/1000</f>
        <v>0.76600000000000001</v>
      </c>
      <c r="C328" s="6">
        <f>首页!$B$7+273.15</f>
        <v>388.15</v>
      </c>
      <c r="D328" s="6">
        <f>首页!$B$6+273.15</f>
        <v>293.14999999999998</v>
      </c>
      <c r="E328" s="6">
        <f>首页!$B$5+273.15</f>
        <v>1373.15</v>
      </c>
      <c r="F328" s="6">
        <f t="shared" si="45"/>
        <v>95</v>
      </c>
      <c r="G328" s="6">
        <f t="shared" si="46"/>
        <v>340.65</v>
      </c>
      <c r="H328" s="6">
        <f t="shared" si="47"/>
        <v>1.9926207055139041E-5</v>
      </c>
      <c r="I328" s="7">
        <f t="shared" si="48"/>
        <v>1158916576932337.8</v>
      </c>
      <c r="J328" s="6">
        <f t="shared" si="49"/>
        <v>1.0226038455893147</v>
      </c>
      <c r="K328" s="7">
        <f>J328*H328*首页!$B$12/P328</f>
        <v>0.69532757496605813</v>
      </c>
      <c r="L328" s="6">
        <f>首页!$B$9*0.0000000567*((C328^4-D328^4)/(C328-D328))</f>
        <v>7.7687338005019564</v>
      </c>
      <c r="M328" s="6">
        <f>IF(首页!$B$13="自然对流",IF(首页!$B$14="立式圆筒",首页!$B$10,PI()*B328/2),PI()*B328/2)</f>
        <v>55.2</v>
      </c>
      <c r="N328" s="7">
        <f>IF(首页!$B$13="强制对流",首页!$B$11*M328/H328,0)</f>
        <v>0</v>
      </c>
      <c r="O328" s="6">
        <f>IF(首页!$B$13="自然对流",IF(首页!$B$14="立式圆筒",(0.825+0.3063*I328^(1/6))^2+0.87*(M328/B328),(0.752+0.303*I328^(1/6))^2),0.3+SQRT((0.592*N328^0.5)^2+(0.0262*N328^0.8/(1-0.5/N328^0.1))^2))</f>
        <v>10081.90201990618</v>
      </c>
      <c r="P328" s="6">
        <f t="shared" si="50"/>
        <v>2.9510194925512497E-2</v>
      </c>
      <c r="Q328" s="6">
        <f t="shared" si="51"/>
        <v>5.3898350331041582</v>
      </c>
      <c r="R328" s="6">
        <f t="shared" si="52"/>
        <v>13.158568833606115</v>
      </c>
      <c r="S328" s="6">
        <f>B328*LN(B328/首页!$B$4)</f>
        <v>1.4199268670502458</v>
      </c>
      <c r="T328" s="6">
        <f>2*首页!$B$8*(E328-C328)/(R328*(C328-D328))</f>
        <v>7.0916366858500501E-2</v>
      </c>
      <c r="U328" t="str">
        <f>IF(首页!$B$13="自然对流","按自然对流公式", "按强制对流公式")</f>
        <v>按自然对流公式</v>
      </c>
      <c r="V328" s="6">
        <f t="shared" si="53"/>
        <v>1.3490105001917454</v>
      </c>
    </row>
    <row r="329" spans="1:22" x14ac:dyDescent="0.15">
      <c r="A329">
        <v>324</v>
      </c>
      <c r="B329" s="6">
        <f>首页!$B$4+2*A329/1000</f>
        <v>0.76800000000000002</v>
      </c>
      <c r="C329" s="6">
        <f>首页!$B$7+273.15</f>
        <v>388.15</v>
      </c>
      <c r="D329" s="6">
        <f>首页!$B$6+273.15</f>
        <v>293.14999999999998</v>
      </c>
      <c r="E329" s="6">
        <f>首页!$B$5+273.15</f>
        <v>1373.15</v>
      </c>
      <c r="F329" s="6">
        <f t="shared" si="45"/>
        <v>95</v>
      </c>
      <c r="G329" s="6">
        <f t="shared" si="46"/>
        <v>340.65</v>
      </c>
      <c r="H329" s="6">
        <f t="shared" si="47"/>
        <v>1.9926207055139041E-5</v>
      </c>
      <c r="I329" s="7">
        <f t="shared" si="48"/>
        <v>1158916576932337.8</v>
      </c>
      <c r="J329" s="6">
        <f t="shared" si="49"/>
        <v>1.0226038455893147</v>
      </c>
      <c r="K329" s="7">
        <f>J329*H329*首页!$B$12/P329</f>
        <v>0.69532757496605813</v>
      </c>
      <c r="L329" s="6">
        <f>首页!$B$9*0.0000000567*((C329^4-D329^4)/(C329-D329))</f>
        <v>7.7687338005019564</v>
      </c>
      <c r="M329" s="6">
        <f>IF(首页!$B$13="自然对流",IF(首页!$B$14="立式圆筒",首页!$B$10,PI()*B329/2),PI()*B329/2)</f>
        <v>55.2</v>
      </c>
      <c r="N329" s="7">
        <f>IF(首页!$B$13="强制对流",首页!$B$11*M329/H329,0)</f>
        <v>0</v>
      </c>
      <c r="O329" s="6">
        <f>IF(首页!$B$13="自然对流",IF(首页!$B$14="立式圆筒",(0.825+0.3063*I329^(1/6))^2+0.87*(M329/B329),(0.752+0.303*I329^(1/6))^2),0.3+SQRT((0.592*N329^0.5)^2+(0.0262*N329^0.8/(1-0.5/N329^0.1))^2))</f>
        <v>10081.7387529349</v>
      </c>
      <c r="P329" s="6">
        <f t="shared" si="50"/>
        <v>2.9510194925512497E-2</v>
      </c>
      <c r="Q329" s="6">
        <f t="shared" si="51"/>
        <v>5.389747749768155</v>
      </c>
      <c r="R329" s="6">
        <f t="shared" si="52"/>
        <v>13.15848155027011</v>
      </c>
      <c r="S329" s="6">
        <f>B329*LN(B329/首页!$B$4)</f>
        <v>1.4256368566008011</v>
      </c>
      <c r="T329" s="6">
        <f>2*首页!$B$8*(E329-C329)/(R329*(C329-D329))</f>
        <v>7.091683726361929E-2</v>
      </c>
      <c r="U329" t="str">
        <f>IF(首页!$B$13="自然对流","按自然对流公式", "按强制对流公式")</f>
        <v>按自然对流公式</v>
      </c>
      <c r="V329" s="6">
        <f t="shared" si="53"/>
        <v>1.3547200193371818</v>
      </c>
    </row>
    <row r="330" spans="1:22" x14ac:dyDescent="0.15">
      <c r="A330">
        <v>325</v>
      </c>
      <c r="B330" s="6">
        <f>首页!$B$4+2*A330/1000</f>
        <v>0.77</v>
      </c>
      <c r="C330" s="6">
        <f>首页!$B$7+273.15</f>
        <v>388.15</v>
      </c>
      <c r="D330" s="6">
        <f>首页!$B$6+273.15</f>
        <v>293.14999999999998</v>
      </c>
      <c r="E330" s="6">
        <f>首页!$B$5+273.15</f>
        <v>1373.15</v>
      </c>
      <c r="F330" s="6">
        <f t="shared" si="45"/>
        <v>95</v>
      </c>
      <c r="G330" s="6">
        <f t="shared" si="46"/>
        <v>340.65</v>
      </c>
      <c r="H330" s="6">
        <f t="shared" si="47"/>
        <v>1.9926207055139041E-5</v>
      </c>
      <c r="I330" s="7">
        <f t="shared" si="48"/>
        <v>1158916576932337.8</v>
      </c>
      <c r="J330" s="6">
        <f t="shared" si="49"/>
        <v>1.0226038455893147</v>
      </c>
      <c r="K330" s="7">
        <f>J330*H330*首页!$B$12/P330</f>
        <v>0.69532757496605813</v>
      </c>
      <c r="L330" s="6">
        <f>首页!$B$9*0.0000000567*((C330^4-D330^4)/(C330-D330))</f>
        <v>7.7687338005019564</v>
      </c>
      <c r="M330" s="6">
        <f>IF(首页!$B$13="自然对流",IF(首页!$B$14="立式圆筒",首页!$B$10,PI()*B330/2),PI()*B330/2)</f>
        <v>55.2</v>
      </c>
      <c r="N330" s="7">
        <f>IF(首页!$B$13="强制对流",首页!$B$11*M330/H330,0)</f>
        <v>0</v>
      </c>
      <c r="O330" s="6">
        <f>IF(首页!$B$13="自然对流",IF(首页!$B$14="立式圆筒",(0.825+0.3063*I330^(1/6))^2+0.87*(M330/B330),(0.752+0.303*I330^(1/6))^2),0.3+SQRT((0.592*N330^0.5)^2+(0.0262*N330^0.8/(1-0.5/N330^0.1))^2))</f>
        <v>10081.576334103731</v>
      </c>
      <c r="P330" s="6">
        <f t="shared" si="50"/>
        <v>2.9510194925512497E-2</v>
      </c>
      <c r="Q330" s="6">
        <f t="shared" si="51"/>
        <v>5.3896609198520791</v>
      </c>
      <c r="R330" s="6">
        <f t="shared" si="52"/>
        <v>13.158394720354035</v>
      </c>
      <c r="S330" s="6">
        <f>B330*LN(B330/首页!$B$4)</f>
        <v>1.4313520544905765</v>
      </c>
      <c r="T330" s="6">
        <f>2*首页!$B$8*(E330-C330)/(R330*(C330-D330))</f>
        <v>7.0917305231267214E-2</v>
      </c>
      <c r="U330" t="str">
        <f>IF(首页!$B$13="自然对流","按自然对流公式", "按强制对流公式")</f>
        <v>按自然对流公式</v>
      </c>
      <c r="V330" s="6">
        <f t="shared" si="53"/>
        <v>1.3604347492593092</v>
      </c>
    </row>
    <row r="331" spans="1:22" x14ac:dyDescent="0.15">
      <c r="A331">
        <v>326</v>
      </c>
      <c r="B331" s="6">
        <f>首页!$B$4+2*A331/1000</f>
        <v>0.77200000000000002</v>
      </c>
      <c r="C331" s="6">
        <f>首页!$B$7+273.15</f>
        <v>388.15</v>
      </c>
      <c r="D331" s="6">
        <f>首页!$B$6+273.15</f>
        <v>293.14999999999998</v>
      </c>
      <c r="E331" s="6">
        <f>首页!$B$5+273.15</f>
        <v>1373.15</v>
      </c>
      <c r="F331" s="6">
        <f t="shared" si="45"/>
        <v>95</v>
      </c>
      <c r="G331" s="6">
        <f t="shared" si="46"/>
        <v>340.65</v>
      </c>
      <c r="H331" s="6">
        <f t="shared" si="47"/>
        <v>1.9926207055139041E-5</v>
      </c>
      <c r="I331" s="7">
        <f t="shared" si="48"/>
        <v>1158916576932337.8</v>
      </c>
      <c r="J331" s="6">
        <f t="shared" si="49"/>
        <v>1.0226038455893147</v>
      </c>
      <c r="K331" s="7">
        <f>J331*H331*首页!$B$12/P331</f>
        <v>0.69532757496605813</v>
      </c>
      <c r="L331" s="6">
        <f>首页!$B$9*0.0000000567*((C331^4-D331^4)/(C331-D331))</f>
        <v>7.7687338005019564</v>
      </c>
      <c r="M331" s="6">
        <f>IF(首页!$B$13="自然对流",IF(首页!$B$14="立式圆筒",首页!$B$10,PI()*B331/2),PI()*B331/2)</f>
        <v>55.2</v>
      </c>
      <c r="N331" s="7">
        <f>IF(首页!$B$13="强制对流",首页!$B$11*M331/H331,0)</f>
        <v>0</v>
      </c>
      <c r="O331" s="6">
        <f>IF(首页!$B$13="自然对流",IF(首页!$B$14="立式圆筒",(0.825+0.3063*I331^(1/6))^2+0.87*(M331/B331),(0.752+0.303*I331^(1/6))^2),0.3+SQRT((0.592*N331^0.5)^2+(0.0262*N331^0.8/(1-0.5/N331^0.1))^2))</f>
        <v>10081.41475682091</v>
      </c>
      <c r="P331" s="6">
        <f t="shared" si="50"/>
        <v>2.9510194925512497E-2</v>
      </c>
      <c r="Q331" s="6">
        <f t="shared" si="51"/>
        <v>5.3895745398319423</v>
      </c>
      <c r="R331" s="6">
        <f t="shared" si="52"/>
        <v>13.1583083403339</v>
      </c>
      <c r="S331" s="6">
        <f>B331*LN(B331/首页!$B$4)</f>
        <v>1.4370724471913876</v>
      </c>
      <c r="T331" s="6">
        <f>2*首页!$B$8*(E331-C331)/(R331*(C331-D331))</f>
        <v>7.0917770780340506E-2</v>
      </c>
      <c r="U331" t="str">
        <f>IF(首页!$B$13="自然对流","按自然对流公式", "按强制对流公式")</f>
        <v>按自然对流公式</v>
      </c>
      <c r="V331" s="6">
        <f t="shared" si="53"/>
        <v>1.366154676411047</v>
      </c>
    </row>
    <row r="332" spans="1:22" x14ac:dyDescent="0.15">
      <c r="A332">
        <v>327</v>
      </c>
      <c r="B332" s="6">
        <f>首页!$B$4+2*A332/1000</f>
        <v>0.77400000000000002</v>
      </c>
      <c r="C332" s="6">
        <f>首页!$B$7+273.15</f>
        <v>388.15</v>
      </c>
      <c r="D332" s="6">
        <f>首页!$B$6+273.15</f>
        <v>293.14999999999998</v>
      </c>
      <c r="E332" s="6">
        <f>首页!$B$5+273.15</f>
        <v>1373.15</v>
      </c>
      <c r="F332" s="6">
        <f t="shared" si="45"/>
        <v>95</v>
      </c>
      <c r="G332" s="6">
        <f t="shared" si="46"/>
        <v>340.65</v>
      </c>
      <c r="H332" s="6">
        <f t="shared" si="47"/>
        <v>1.9926207055139041E-5</v>
      </c>
      <c r="I332" s="7">
        <f t="shared" si="48"/>
        <v>1158916576932337.8</v>
      </c>
      <c r="J332" s="6">
        <f t="shared" si="49"/>
        <v>1.0226038455893147</v>
      </c>
      <c r="K332" s="7">
        <f>J332*H332*首页!$B$12/P332</f>
        <v>0.69532757496605813</v>
      </c>
      <c r="L332" s="6">
        <f>首页!$B$9*0.0000000567*((C332^4-D332^4)/(C332-D332))</f>
        <v>7.7687338005019564</v>
      </c>
      <c r="M332" s="6">
        <f>IF(首页!$B$13="自然对流",IF(首页!$B$14="立式圆筒",首页!$B$10,PI()*B332/2),PI()*B332/2)</f>
        <v>55.2</v>
      </c>
      <c r="N332" s="7">
        <f>IF(首页!$B$13="强制对流",首页!$B$11*M332/H332,0)</f>
        <v>0</v>
      </c>
      <c r="O332" s="6">
        <f>IF(首页!$B$13="自然对流",IF(首页!$B$14="立式圆筒",(0.825+0.3063*I332^(1/6))^2+0.87*(M332/B332),(0.752+0.303*I332^(1/6))^2),0.3+SQRT((0.592*N332^0.5)^2+(0.0262*N332^0.8/(1-0.5/N332^0.1))^2))</f>
        <v>10081.254014562806</v>
      </c>
      <c r="P332" s="6">
        <f t="shared" si="50"/>
        <v>2.9510194925512497E-2</v>
      </c>
      <c r="Q332" s="6">
        <f t="shared" si="51"/>
        <v>5.3894886062201772</v>
      </c>
      <c r="R332" s="6">
        <f t="shared" si="52"/>
        <v>13.158222406722134</v>
      </c>
      <c r="S332" s="6">
        <f>B332*LN(B332/首页!$B$4)</f>
        <v>1.4427980212451452</v>
      </c>
      <c r="T332" s="6">
        <f>2*首页!$B$8*(E332-C332)/(R332*(C332-D332))</f>
        <v>7.0918233929540539E-2</v>
      </c>
      <c r="U332" t="str">
        <f>IF(首页!$B$13="自然对流","按自然对流公式", "按强制对流公式")</f>
        <v>按自然对流公式</v>
      </c>
      <c r="V332" s="6">
        <f t="shared" si="53"/>
        <v>1.3718797873156048</v>
      </c>
    </row>
    <row r="333" spans="1:22" x14ac:dyDescent="0.15">
      <c r="A333">
        <v>328</v>
      </c>
      <c r="B333" s="6">
        <f>首页!$B$4+2*A333/1000</f>
        <v>0.77600000000000002</v>
      </c>
      <c r="C333" s="6">
        <f>首页!$B$7+273.15</f>
        <v>388.15</v>
      </c>
      <c r="D333" s="6">
        <f>首页!$B$6+273.15</f>
        <v>293.14999999999998</v>
      </c>
      <c r="E333" s="6">
        <f>首页!$B$5+273.15</f>
        <v>1373.15</v>
      </c>
      <c r="F333" s="6">
        <f t="shared" si="45"/>
        <v>95</v>
      </c>
      <c r="G333" s="6">
        <f t="shared" si="46"/>
        <v>340.65</v>
      </c>
      <c r="H333" s="6">
        <f t="shared" si="47"/>
        <v>1.9926207055139041E-5</v>
      </c>
      <c r="I333" s="7">
        <f t="shared" si="48"/>
        <v>1158916576932337.8</v>
      </c>
      <c r="J333" s="6">
        <f t="shared" si="49"/>
        <v>1.0226038455893147</v>
      </c>
      <c r="K333" s="7">
        <f>J333*H333*首页!$B$12/P333</f>
        <v>0.69532757496605813</v>
      </c>
      <c r="L333" s="6">
        <f>首页!$B$9*0.0000000567*((C333^4-D333^4)/(C333-D333))</f>
        <v>7.7687338005019564</v>
      </c>
      <c r="M333" s="6">
        <f>IF(首页!$B$13="自然对流",IF(首页!$B$14="立式圆筒",首页!$B$10,PI()*B333/2),PI()*B333/2)</f>
        <v>55.2</v>
      </c>
      <c r="N333" s="7">
        <f>IF(首页!$B$13="强制对流",首页!$B$11*M333/H333,0)</f>
        <v>0</v>
      </c>
      <c r="O333" s="6">
        <f>IF(首页!$B$13="自然对流",IF(首页!$B$14="立式圆筒",(0.825+0.3063*I333^(1/6))^2+0.87*(M333/B333),(0.752+0.303*I333^(1/6))^2),0.3+SQRT((0.592*N333^0.5)^2+(0.0262*N333^0.8/(1-0.5/N333^0.1))^2))</f>
        <v>10081.094100873044</v>
      </c>
      <c r="P333" s="6">
        <f t="shared" si="50"/>
        <v>2.9510194925512497E-2</v>
      </c>
      <c r="Q333" s="6">
        <f t="shared" si="51"/>
        <v>5.3894031155651749</v>
      </c>
      <c r="R333" s="6">
        <f t="shared" si="52"/>
        <v>13.158136916067132</v>
      </c>
      <c r="S333" s="6">
        <f>B333*LN(B333/首页!$B$4)</f>
        <v>1.4485287632633101</v>
      </c>
      <c r="T333" s="6">
        <f>2*首页!$B$8*(E333-C333)/(R333*(C333-D333))</f>
        <v>7.0918694697376355E-2</v>
      </c>
      <c r="U333" t="str">
        <f>IF(首页!$B$13="自然对流","按自然对流公式", "按强制对流公式")</f>
        <v>按自然对流公式</v>
      </c>
      <c r="V333" s="6">
        <f t="shared" si="53"/>
        <v>1.3776100685659338</v>
      </c>
    </row>
    <row r="334" spans="1:22" x14ac:dyDescent="0.15">
      <c r="A334">
        <v>329</v>
      </c>
      <c r="B334" s="6">
        <f>首页!$B$4+2*A334/1000</f>
        <v>0.77800000000000002</v>
      </c>
      <c r="C334" s="6">
        <f>首页!$B$7+273.15</f>
        <v>388.15</v>
      </c>
      <c r="D334" s="6">
        <f>首页!$B$6+273.15</f>
        <v>293.14999999999998</v>
      </c>
      <c r="E334" s="6">
        <f>首页!$B$5+273.15</f>
        <v>1373.15</v>
      </c>
      <c r="F334" s="6">
        <f t="shared" si="45"/>
        <v>95</v>
      </c>
      <c r="G334" s="6">
        <f t="shared" si="46"/>
        <v>340.65</v>
      </c>
      <c r="H334" s="6">
        <f t="shared" si="47"/>
        <v>1.9926207055139041E-5</v>
      </c>
      <c r="I334" s="7">
        <f t="shared" si="48"/>
        <v>1158916576932337.8</v>
      </c>
      <c r="J334" s="6">
        <f t="shared" si="49"/>
        <v>1.0226038455893147</v>
      </c>
      <c r="K334" s="7">
        <f>J334*H334*首页!$B$12/P334</f>
        <v>0.69532757496605813</v>
      </c>
      <c r="L334" s="6">
        <f>首页!$B$9*0.0000000567*((C334^4-D334^4)/(C334-D334))</f>
        <v>7.7687338005019564</v>
      </c>
      <c r="M334" s="6">
        <f>IF(首页!$B$13="自然对流",IF(首页!$B$14="立式圆筒",首页!$B$10,PI()*B334/2),PI()*B334/2)</f>
        <v>55.2</v>
      </c>
      <c r="N334" s="7">
        <f>IF(首页!$B$13="强制对流",首页!$B$11*M334/H334,0)</f>
        <v>0</v>
      </c>
      <c r="O334" s="6">
        <f>IF(首页!$B$13="自然对流",IF(首页!$B$14="立式圆筒",(0.825+0.3063*I334^(1/6))^2+0.87*(M334/B334),(0.752+0.303*I334^(1/6))^2),0.3+SQRT((0.592*N334^0.5)^2+(0.0262*N334^0.8/(1-0.5/N334^0.1))^2))</f>
        <v>10080.935009361636</v>
      </c>
      <c r="P334" s="6">
        <f t="shared" si="50"/>
        <v>2.9510194925512497E-2</v>
      </c>
      <c r="Q334" s="6">
        <f t="shared" si="51"/>
        <v>5.3893180644508156</v>
      </c>
      <c r="R334" s="6">
        <f t="shared" si="52"/>
        <v>13.158051864952771</v>
      </c>
      <c r="S334" s="6">
        <f>B334*LN(B334/首页!$B$4)</f>
        <v>1.4542646599263569</v>
      </c>
      <c r="T334" s="6">
        <f>2*首页!$B$8*(E334-C334)/(R334*(C334-D334))</f>
        <v>7.0919153102167204E-2</v>
      </c>
      <c r="U334" t="str">
        <f>IF(首页!$B$13="自然对流","按自然对流公式", "按强制对流公式")</f>
        <v>按自然对流公式</v>
      </c>
      <c r="V334" s="6">
        <f t="shared" si="53"/>
        <v>1.3833455068241898</v>
      </c>
    </row>
    <row r="335" spans="1:22" x14ac:dyDescent="0.15">
      <c r="A335">
        <v>330</v>
      </c>
      <c r="B335" s="6">
        <f>首页!$B$4+2*A335/1000</f>
        <v>0.78</v>
      </c>
      <c r="C335" s="6">
        <f>首页!$B$7+273.15</f>
        <v>388.15</v>
      </c>
      <c r="D335" s="6">
        <f>首页!$B$6+273.15</f>
        <v>293.14999999999998</v>
      </c>
      <c r="E335" s="6">
        <f>首页!$B$5+273.15</f>
        <v>1373.15</v>
      </c>
      <c r="F335" s="6">
        <f t="shared" si="45"/>
        <v>95</v>
      </c>
      <c r="G335" s="6">
        <f t="shared" si="46"/>
        <v>340.65</v>
      </c>
      <c r="H335" s="6">
        <f t="shared" si="47"/>
        <v>1.9926207055139041E-5</v>
      </c>
      <c r="I335" s="7">
        <f t="shared" si="48"/>
        <v>1158916576932337.8</v>
      </c>
      <c r="J335" s="6">
        <f t="shared" si="49"/>
        <v>1.0226038455893147</v>
      </c>
      <c r="K335" s="7">
        <f>J335*H335*首页!$B$12/P335</f>
        <v>0.69532757496605813</v>
      </c>
      <c r="L335" s="6">
        <f>首页!$B$9*0.0000000567*((C335^4-D335^4)/(C335-D335))</f>
        <v>7.7687338005019564</v>
      </c>
      <c r="M335" s="6">
        <f>IF(首页!$B$13="自然对流",IF(首页!$B$14="立式圆筒",首页!$B$10,PI()*B335/2),PI()*B335/2)</f>
        <v>55.2</v>
      </c>
      <c r="N335" s="7">
        <f>IF(首页!$B$13="强制对流",首页!$B$11*M335/H335,0)</f>
        <v>0</v>
      </c>
      <c r="O335" s="6">
        <f>IF(首页!$B$13="自然对流",IF(首页!$B$14="立式圆筒",(0.825+0.3063*I335^(1/6))^2+0.87*(M335/B335),(0.752+0.303*I335^(1/6))^2),0.3+SQRT((0.592*N335^0.5)^2+(0.0262*N335^0.8/(1-0.5/N335^0.1))^2))</f>
        <v>10080.776733704131</v>
      </c>
      <c r="P335" s="6">
        <f t="shared" si="50"/>
        <v>2.9510194925512497E-2</v>
      </c>
      <c r="Q335" s="6">
        <f t="shared" si="51"/>
        <v>5.3892334494960155</v>
      </c>
      <c r="R335" s="6">
        <f t="shared" si="52"/>
        <v>13.157967249997972</v>
      </c>
      <c r="S335" s="6">
        <f>B335*LN(B335/首页!$B$4)</f>
        <v>1.4600056979832414</v>
      </c>
      <c r="T335" s="6">
        <f>2*首页!$B$8*(E335-C335)/(R335*(C335-D335))</f>
        <v>7.0919609162044844E-2</v>
      </c>
      <c r="U335" t="str">
        <f>IF(首页!$B$13="自然对流","按自然对流公式", "按强制对流公式")</f>
        <v>按自然对流公式</v>
      </c>
      <c r="V335" s="6">
        <f t="shared" si="53"/>
        <v>1.3890860888211967</v>
      </c>
    </row>
    <row r="336" spans="1:22" x14ac:dyDescent="0.15">
      <c r="A336">
        <v>331</v>
      </c>
      <c r="B336" s="6">
        <f>首页!$B$4+2*A336/1000</f>
        <v>0.78200000000000003</v>
      </c>
      <c r="C336" s="6">
        <f>首页!$B$7+273.15</f>
        <v>388.15</v>
      </c>
      <c r="D336" s="6">
        <f>首页!$B$6+273.15</f>
        <v>293.14999999999998</v>
      </c>
      <c r="E336" s="6">
        <f>首页!$B$5+273.15</f>
        <v>1373.15</v>
      </c>
      <c r="F336" s="6">
        <f t="shared" si="45"/>
        <v>95</v>
      </c>
      <c r="G336" s="6">
        <f t="shared" si="46"/>
        <v>340.65</v>
      </c>
      <c r="H336" s="6">
        <f t="shared" si="47"/>
        <v>1.9926207055139041E-5</v>
      </c>
      <c r="I336" s="7">
        <f t="shared" si="48"/>
        <v>1158916576932337.8</v>
      </c>
      <c r="J336" s="6">
        <f t="shared" si="49"/>
        <v>1.0226038455893147</v>
      </c>
      <c r="K336" s="7">
        <f>J336*H336*首页!$B$12/P336</f>
        <v>0.69532757496605813</v>
      </c>
      <c r="L336" s="6">
        <f>首页!$B$9*0.0000000567*((C336^4-D336^4)/(C336-D336))</f>
        <v>7.7687338005019564</v>
      </c>
      <c r="M336" s="6">
        <f>IF(首页!$B$13="自然对流",IF(首页!$B$14="立式圆筒",首页!$B$10,PI()*B336/2),PI()*B336/2)</f>
        <v>55.2</v>
      </c>
      <c r="N336" s="7">
        <f>IF(首页!$B$13="强制对流",首页!$B$11*M336/H336,0)</f>
        <v>0</v>
      </c>
      <c r="O336" s="6">
        <f>IF(首页!$B$13="自然对流",IF(首页!$B$14="立式圆筒",(0.825+0.3063*I336^(1/6))^2+0.87*(M336/B336),(0.752+0.303*I336^(1/6))^2),0.3+SQRT((0.592*N336^0.5)^2+(0.0262*N336^0.8/(1-0.5/N336^0.1))^2))</f>
        <v>10080.619267640783</v>
      </c>
      <c r="P336" s="6">
        <f t="shared" si="50"/>
        <v>2.9510194925512497E-2</v>
      </c>
      <c r="Q336" s="6">
        <f t="shared" si="51"/>
        <v>5.3891492673542851</v>
      </c>
      <c r="R336" s="6">
        <f t="shared" si="52"/>
        <v>13.157883067856242</v>
      </c>
      <c r="S336" s="6">
        <f>B336*LN(B336/首页!$B$4)</f>
        <v>1.4657518642508733</v>
      </c>
      <c r="T336" s="6">
        <f>2*首页!$B$8*(E336-C336)/(R336*(C336-D336))</f>
        <v>7.0920062894956074E-2</v>
      </c>
      <c r="U336" t="str">
        <f>IF(首页!$B$13="自然对流","按自然对流公式", "按强制对流公式")</f>
        <v>按自然对流公式</v>
      </c>
      <c r="V336" s="6">
        <f t="shared" si="53"/>
        <v>1.3948318013559173</v>
      </c>
    </row>
    <row r="337" spans="1:22" x14ac:dyDescent="0.15">
      <c r="A337">
        <v>332</v>
      </c>
      <c r="B337" s="6">
        <f>首页!$B$4+2*A337/1000</f>
        <v>0.78400000000000003</v>
      </c>
      <c r="C337" s="6">
        <f>首页!$B$7+273.15</f>
        <v>388.15</v>
      </c>
      <c r="D337" s="6">
        <f>首页!$B$6+273.15</f>
        <v>293.14999999999998</v>
      </c>
      <c r="E337" s="6">
        <f>首页!$B$5+273.15</f>
        <v>1373.15</v>
      </c>
      <c r="F337" s="6">
        <f t="shared" si="45"/>
        <v>95</v>
      </c>
      <c r="G337" s="6">
        <f t="shared" si="46"/>
        <v>340.65</v>
      </c>
      <c r="H337" s="6">
        <f t="shared" si="47"/>
        <v>1.9926207055139041E-5</v>
      </c>
      <c r="I337" s="7">
        <f t="shared" si="48"/>
        <v>1158916576932337.8</v>
      </c>
      <c r="J337" s="6">
        <f t="shared" si="49"/>
        <v>1.0226038455893147</v>
      </c>
      <c r="K337" s="7">
        <f>J337*H337*首页!$B$12/P337</f>
        <v>0.69532757496605813</v>
      </c>
      <c r="L337" s="6">
        <f>首页!$B$9*0.0000000567*((C337^4-D337^4)/(C337-D337))</f>
        <v>7.7687338005019564</v>
      </c>
      <c r="M337" s="6">
        <f>IF(首页!$B$13="自然对流",IF(首页!$B$14="立式圆筒",首页!$B$10,PI()*B337/2),PI()*B337/2)</f>
        <v>55.2</v>
      </c>
      <c r="N337" s="7">
        <f>IF(首页!$B$13="强制对流",首页!$B$11*M337/H337,0)</f>
        <v>0</v>
      </c>
      <c r="O337" s="6">
        <f>IF(首页!$B$13="自然对流",IF(首页!$B$14="立式圆筒",(0.825+0.3063*I337^(1/6))^2+0.87*(M337/B337),(0.752+0.303*I337^(1/6))^2),0.3+SQRT((0.592*N337^0.5)^2+(0.0262*N337^0.8/(1-0.5/N337^0.1))^2))</f>
        <v>10080.462604975715</v>
      </c>
      <c r="P337" s="6">
        <f t="shared" si="50"/>
        <v>2.9510194925512497E-2</v>
      </c>
      <c r="Q337" s="6">
        <f t="shared" si="51"/>
        <v>5.389065514713276</v>
      </c>
      <c r="R337" s="6">
        <f t="shared" si="52"/>
        <v>13.157799315215232</v>
      </c>
      <c r="S337" s="6">
        <f>B337*LN(B337/首页!$B$4)</f>
        <v>1.4715031456135959</v>
      </c>
      <c r="T337" s="6">
        <f>2*首页!$B$8*(E337-C337)/(R337*(C337-D337))</f>
        <v>7.0920514318664973E-2</v>
      </c>
      <c r="U337" t="str">
        <f>IF(首页!$B$13="自然对流","按自然对流公式", "按强制对流公式")</f>
        <v>按自然对流公式</v>
      </c>
      <c r="V337" s="6">
        <f t="shared" si="53"/>
        <v>1.400582631294931</v>
      </c>
    </row>
    <row r="338" spans="1:22" x14ac:dyDescent="0.15">
      <c r="A338">
        <v>333</v>
      </c>
      <c r="B338" s="6">
        <f>首页!$B$4+2*A338/1000</f>
        <v>0.78600000000000003</v>
      </c>
      <c r="C338" s="6">
        <f>首页!$B$7+273.15</f>
        <v>388.15</v>
      </c>
      <c r="D338" s="6">
        <f>首页!$B$6+273.15</f>
        <v>293.14999999999998</v>
      </c>
      <c r="E338" s="6">
        <f>首页!$B$5+273.15</f>
        <v>1373.15</v>
      </c>
      <c r="F338" s="6">
        <f t="shared" si="45"/>
        <v>95</v>
      </c>
      <c r="G338" s="6">
        <f t="shared" si="46"/>
        <v>340.65</v>
      </c>
      <c r="H338" s="6">
        <f t="shared" si="47"/>
        <v>1.9926207055139041E-5</v>
      </c>
      <c r="I338" s="7">
        <f t="shared" si="48"/>
        <v>1158916576932337.8</v>
      </c>
      <c r="J338" s="6">
        <f t="shared" si="49"/>
        <v>1.0226038455893147</v>
      </c>
      <c r="K338" s="7">
        <f>J338*H338*首页!$B$12/P338</f>
        <v>0.69532757496605813</v>
      </c>
      <c r="L338" s="6">
        <f>首页!$B$9*0.0000000567*((C338^4-D338^4)/(C338-D338))</f>
        <v>7.7687338005019564</v>
      </c>
      <c r="M338" s="6">
        <f>IF(首页!$B$13="自然对流",IF(首页!$B$14="立式圆筒",首页!$B$10,PI()*B338/2),PI()*B338/2)</f>
        <v>55.2</v>
      </c>
      <c r="N338" s="7">
        <f>IF(首页!$B$13="强制对流",首页!$B$11*M338/H338,0)</f>
        <v>0</v>
      </c>
      <c r="O338" s="6">
        <f>IF(首页!$B$13="自然对流",IF(首页!$B$14="立式圆筒",(0.825+0.3063*I338^(1/6))^2+0.87*(M338/B338),(0.752+0.303*I338^(1/6))^2),0.3+SQRT((0.592*N338^0.5)^2+(0.0262*N338^0.8/(1-0.5/N338^0.1))^2))</f>
        <v>10080.306739576121</v>
      </c>
      <c r="P338" s="6">
        <f t="shared" si="50"/>
        <v>2.9510194925512497E-2</v>
      </c>
      <c r="Q338" s="6">
        <f t="shared" si="51"/>
        <v>5.38898218829436</v>
      </c>
      <c r="R338" s="6">
        <f t="shared" si="52"/>
        <v>13.157715988796316</v>
      </c>
      <c r="S338" s="6">
        <f>B338*LN(B338/首页!$B$4)</f>
        <v>1.4772595290226684</v>
      </c>
      <c r="T338" s="6">
        <f>2*首页!$B$8*(E338-C338)/(R338*(C338-D338))</f>
        <v>7.0920963450755298E-2</v>
      </c>
      <c r="U338" t="str">
        <f>IF(首页!$B$13="自然对流","按自然对流公式", "按强制对流公式")</f>
        <v>按自然对流公式</v>
      </c>
      <c r="V338" s="6">
        <f t="shared" si="53"/>
        <v>1.4063385655719132</v>
      </c>
    </row>
    <row r="339" spans="1:22" x14ac:dyDescent="0.15">
      <c r="A339">
        <v>334</v>
      </c>
      <c r="B339" s="6">
        <f>首页!$B$4+2*A339/1000</f>
        <v>0.78800000000000003</v>
      </c>
      <c r="C339" s="6">
        <f>首页!$B$7+273.15</f>
        <v>388.15</v>
      </c>
      <c r="D339" s="6">
        <f>首页!$B$6+273.15</f>
        <v>293.14999999999998</v>
      </c>
      <c r="E339" s="6">
        <f>首页!$B$5+273.15</f>
        <v>1373.15</v>
      </c>
      <c r="F339" s="6">
        <f t="shared" si="45"/>
        <v>95</v>
      </c>
      <c r="G339" s="6">
        <f t="shared" si="46"/>
        <v>340.65</v>
      </c>
      <c r="H339" s="6">
        <f t="shared" si="47"/>
        <v>1.9926207055139041E-5</v>
      </c>
      <c r="I339" s="7">
        <f t="shared" si="48"/>
        <v>1158916576932337.8</v>
      </c>
      <c r="J339" s="6">
        <f t="shared" si="49"/>
        <v>1.0226038455893147</v>
      </c>
      <c r="K339" s="7">
        <f>J339*H339*首页!$B$12/P339</f>
        <v>0.69532757496605813</v>
      </c>
      <c r="L339" s="6">
        <f>首页!$B$9*0.0000000567*((C339^4-D339^4)/(C339-D339))</f>
        <v>7.7687338005019564</v>
      </c>
      <c r="M339" s="6">
        <f>IF(首页!$B$13="自然对流",IF(首页!$B$14="立式圆筒",首页!$B$10,PI()*B339/2),PI()*B339/2)</f>
        <v>55.2</v>
      </c>
      <c r="N339" s="7">
        <f>IF(首页!$B$13="强制对流",首页!$B$11*M339/H339,0)</f>
        <v>0</v>
      </c>
      <c r="O339" s="6">
        <f>IF(首页!$B$13="自然对流",IF(首页!$B$14="立式圆筒",(0.825+0.3063*I339^(1/6))^2+0.87*(M339/B339),(0.752+0.303*I339^(1/6))^2),0.3+SQRT((0.592*N339^0.5)^2+(0.0262*N339^0.8/(1-0.5/N339^0.1))^2))</f>
        <v>10080.151665371448</v>
      </c>
      <c r="P339" s="6">
        <f t="shared" si="50"/>
        <v>2.9510194925512497E-2</v>
      </c>
      <c r="Q339" s="6">
        <f t="shared" si="51"/>
        <v>5.3888992848521893</v>
      </c>
      <c r="R339" s="6">
        <f t="shared" si="52"/>
        <v>13.157633085354146</v>
      </c>
      <c r="S339" s="6">
        <f>B339*LN(B339/首页!$B$4)</f>
        <v>1.4830210014957568</v>
      </c>
      <c r="T339" s="6">
        <f>2*首页!$B$8*(E339-C339)/(R339*(C339-D339))</f>
        <v>7.0921410308632707E-2</v>
      </c>
      <c r="U339" t="str">
        <f>IF(首页!$B$13="自然对流","按自然对流公式", "按强制对流公式")</f>
        <v>按自然对流公式</v>
      </c>
      <c r="V339" s="6">
        <f t="shared" si="53"/>
        <v>1.4120995911871241</v>
      </c>
    </row>
    <row r="340" spans="1:22" x14ac:dyDescent="0.15">
      <c r="A340">
        <v>335</v>
      </c>
      <c r="B340" s="6">
        <f>首页!$B$4+2*A340/1000</f>
        <v>0.79</v>
      </c>
      <c r="C340" s="6">
        <f>首页!$B$7+273.15</f>
        <v>388.15</v>
      </c>
      <c r="D340" s="6">
        <f>首页!$B$6+273.15</f>
        <v>293.14999999999998</v>
      </c>
      <c r="E340" s="6">
        <f>首页!$B$5+273.15</f>
        <v>1373.15</v>
      </c>
      <c r="F340" s="6">
        <f t="shared" si="45"/>
        <v>95</v>
      </c>
      <c r="G340" s="6">
        <f t="shared" si="46"/>
        <v>340.65</v>
      </c>
      <c r="H340" s="6">
        <f t="shared" si="47"/>
        <v>1.9926207055139041E-5</v>
      </c>
      <c r="I340" s="7">
        <f t="shared" si="48"/>
        <v>1158916576932337.8</v>
      </c>
      <c r="J340" s="6">
        <f t="shared" si="49"/>
        <v>1.0226038455893147</v>
      </c>
      <c r="K340" s="7">
        <f>J340*H340*首页!$B$12/P340</f>
        <v>0.69532757496605813</v>
      </c>
      <c r="L340" s="6">
        <f>首页!$B$9*0.0000000567*((C340^4-D340^4)/(C340-D340))</f>
        <v>7.7687338005019564</v>
      </c>
      <c r="M340" s="6">
        <f>IF(首页!$B$13="自然对流",IF(首页!$B$14="立式圆筒",首页!$B$10,PI()*B340/2),PI()*B340/2)</f>
        <v>55.2</v>
      </c>
      <c r="N340" s="7">
        <f>IF(首页!$B$13="强制对流",首页!$B$11*M340/H340,0)</f>
        <v>0</v>
      </c>
      <c r="O340" s="6">
        <f>IF(首页!$B$13="自然对流",IF(首页!$B$14="立式圆筒",(0.825+0.3063*I340^(1/6))^2+0.87*(M340/B340),(0.752+0.303*I340^(1/6))^2),0.3+SQRT((0.592*N340^0.5)^2+(0.0262*N340^0.8/(1-0.5/N340^0.1))^2))</f>
        <v>10079.997376352621</v>
      </c>
      <c r="P340" s="6">
        <f t="shared" si="50"/>
        <v>2.9510194925512497E-2</v>
      </c>
      <c r="Q340" s="6">
        <f t="shared" si="51"/>
        <v>5.3888168011742819</v>
      </c>
      <c r="R340" s="6">
        <f t="shared" si="52"/>
        <v>13.157550601676238</v>
      </c>
      <c r="S340" s="6">
        <f>B340*LN(B340/首页!$B$4)</f>
        <v>1.4887875501164269</v>
      </c>
      <c r="T340" s="6">
        <f>2*首页!$B$8*(E340-C340)/(R340*(C340-D340))</f>
        <v>7.092185490952703E-2</v>
      </c>
      <c r="U340" t="str">
        <f>IF(首页!$B$13="自然对流","按自然对流公式", "按强制对流公式")</f>
        <v>按自然对流公式</v>
      </c>
      <c r="V340" s="6">
        <f t="shared" si="53"/>
        <v>1.4178656952069</v>
      </c>
    </row>
    <row r="341" spans="1:22" x14ac:dyDescent="0.15">
      <c r="A341">
        <v>336</v>
      </c>
      <c r="B341" s="6">
        <f>首页!$B$4+2*A341/1000</f>
        <v>0.79200000000000004</v>
      </c>
      <c r="C341" s="6">
        <f>首页!$B$7+273.15</f>
        <v>388.15</v>
      </c>
      <c r="D341" s="6">
        <f>首页!$B$6+273.15</f>
        <v>293.14999999999998</v>
      </c>
      <c r="E341" s="6">
        <f>首页!$B$5+273.15</f>
        <v>1373.15</v>
      </c>
      <c r="F341" s="6">
        <f t="shared" si="45"/>
        <v>95</v>
      </c>
      <c r="G341" s="6">
        <f t="shared" si="46"/>
        <v>340.65</v>
      </c>
      <c r="H341" s="6">
        <f t="shared" si="47"/>
        <v>1.9926207055139041E-5</v>
      </c>
      <c r="I341" s="7">
        <f t="shared" si="48"/>
        <v>1158916576932337.8</v>
      </c>
      <c r="J341" s="6">
        <f t="shared" si="49"/>
        <v>1.0226038455893147</v>
      </c>
      <c r="K341" s="7">
        <f>J341*H341*首页!$B$12/P341</f>
        <v>0.69532757496605813</v>
      </c>
      <c r="L341" s="6">
        <f>首页!$B$9*0.0000000567*((C341^4-D341^4)/(C341-D341))</f>
        <v>7.7687338005019564</v>
      </c>
      <c r="M341" s="6">
        <f>IF(首页!$B$13="自然对流",IF(首页!$B$14="立式圆筒",首页!$B$10,PI()*B341/2),PI()*B341/2)</f>
        <v>55.2</v>
      </c>
      <c r="N341" s="7">
        <f>IF(首页!$B$13="强制对流",首页!$B$11*M341/H341,0)</f>
        <v>0</v>
      </c>
      <c r="O341" s="6">
        <f>IF(首页!$B$13="自然对流",IF(首页!$B$14="立式圆筒",(0.825+0.3063*I341^(1/6))^2+0.87*(M341/B341),(0.752+0.303*I341^(1/6))^2),0.3+SQRT((0.592*N341^0.5)^2+(0.0262*N341^0.8/(1-0.5/N341^0.1))^2))</f>
        <v>10079.843866571264</v>
      </c>
      <c r="P341" s="6">
        <f t="shared" si="50"/>
        <v>2.9510194925512497E-2</v>
      </c>
      <c r="Q341" s="6">
        <f t="shared" si="51"/>
        <v>5.3887347340806082</v>
      </c>
      <c r="R341" s="6">
        <f t="shared" si="52"/>
        <v>13.157468534582565</v>
      </c>
      <c r="S341" s="6">
        <f>B341*LN(B341/首页!$B$4)</f>
        <v>1.4945591620336449</v>
      </c>
      <c r="T341" s="6">
        <f>2*首页!$B$8*(E341-C341)/(R341*(C341-D341))</f>
        <v>7.0922297270494497E-2</v>
      </c>
      <c r="U341" t="str">
        <f>IF(首页!$B$13="自然对流","按自然对流公式", "按强制对流公式")</f>
        <v>按自然对流公式</v>
      </c>
      <c r="V341" s="6">
        <f t="shared" si="53"/>
        <v>1.4236368647631503</v>
      </c>
    </row>
    <row r="342" spans="1:22" x14ac:dyDescent="0.15">
      <c r="A342">
        <v>337</v>
      </c>
      <c r="B342" s="6">
        <f>首页!$B$4+2*A342/1000</f>
        <v>0.79400000000000004</v>
      </c>
      <c r="C342" s="6">
        <f>首页!$B$7+273.15</f>
        <v>388.15</v>
      </c>
      <c r="D342" s="6">
        <f>首页!$B$6+273.15</f>
        <v>293.14999999999998</v>
      </c>
      <c r="E342" s="6">
        <f>首页!$B$5+273.15</f>
        <v>1373.15</v>
      </c>
      <c r="F342" s="6">
        <f t="shared" si="45"/>
        <v>95</v>
      </c>
      <c r="G342" s="6">
        <f t="shared" si="46"/>
        <v>340.65</v>
      </c>
      <c r="H342" s="6">
        <f t="shared" si="47"/>
        <v>1.9926207055139041E-5</v>
      </c>
      <c r="I342" s="7">
        <f t="shared" si="48"/>
        <v>1158916576932337.8</v>
      </c>
      <c r="J342" s="6">
        <f t="shared" si="49"/>
        <v>1.0226038455893147</v>
      </c>
      <c r="K342" s="7">
        <f>J342*H342*首页!$B$12/P342</f>
        <v>0.69532757496605813</v>
      </c>
      <c r="L342" s="6">
        <f>首页!$B$9*0.0000000567*((C342^4-D342^4)/(C342-D342))</f>
        <v>7.7687338005019564</v>
      </c>
      <c r="M342" s="6">
        <f>IF(首页!$B$13="自然对流",IF(首页!$B$14="立式圆筒",首页!$B$10,PI()*B342/2),PI()*B342/2)</f>
        <v>55.2</v>
      </c>
      <c r="N342" s="7">
        <f>IF(首页!$B$13="强制对流",首页!$B$11*M342/H342,0)</f>
        <v>0</v>
      </c>
      <c r="O342" s="6">
        <f>IF(首页!$B$13="自然对流",IF(首页!$B$14="立式圆筒",(0.825+0.3063*I342^(1/6))^2+0.87*(M342/B342),(0.752+0.303*I342^(1/6))^2),0.3+SQRT((0.592*N342^0.5)^2+(0.0262*N342^0.8/(1-0.5/N342^0.1))^2))</f>
        <v>10079.69113013893</v>
      </c>
      <c r="P342" s="6">
        <f t="shared" si="50"/>
        <v>2.9510194925512497E-2</v>
      </c>
      <c r="Q342" s="6">
        <f t="shared" si="51"/>
        <v>5.3886530804231727</v>
      </c>
      <c r="R342" s="6">
        <f t="shared" si="52"/>
        <v>13.157386880925129</v>
      </c>
      <c r="S342" s="6">
        <f>B342*LN(B342/首页!$B$4)</f>
        <v>1.5003358244612814</v>
      </c>
      <c r="T342" s="6">
        <f>2*首页!$B$8*(E342-C342)/(R342*(C342-D342))</f>
        <v>7.0922737408419922E-2</v>
      </c>
      <c r="U342" t="str">
        <f>IF(首页!$B$13="自然对流","按自然对流公式", "按强制对流公式")</f>
        <v>按自然对流公式</v>
      </c>
      <c r="V342" s="6">
        <f t="shared" si="53"/>
        <v>1.4294130870528616</v>
      </c>
    </row>
    <row r="343" spans="1:22" x14ac:dyDescent="0.15">
      <c r="A343">
        <v>338</v>
      </c>
      <c r="B343" s="6">
        <f>首页!$B$4+2*A343/1000</f>
        <v>0.79600000000000004</v>
      </c>
      <c r="C343" s="6">
        <f>首页!$B$7+273.15</f>
        <v>388.15</v>
      </c>
      <c r="D343" s="6">
        <f>首页!$B$6+273.15</f>
        <v>293.14999999999998</v>
      </c>
      <c r="E343" s="6">
        <f>首页!$B$5+273.15</f>
        <v>1373.15</v>
      </c>
      <c r="F343" s="6">
        <f t="shared" si="45"/>
        <v>95</v>
      </c>
      <c r="G343" s="6">
        <f t="shared" si="46"/>
        <v>340.65</v>
      </c>
      <c r="H343" s="6">
        <f t="shared" si="47"/>
        <v>1.9926207055139041E-5</v>
      </c>
      <c r="I343" s="7">
        <f t="shared" si="48"/>
        <v>1158916576932337.8</v>
      </c>
      <c r="J343" s="6">
        <f t="shared" si="49"/>
        <v>1.0226038455893147</v>
      </c>
      <c r="K343" s="7">
        <f>J343*H343*首页!$B$12/P343</f>
        <v>0.69532757496605813</v>
      </c>
      <c r="L343" s="6">
        <f>首页!$B$9*0.0000000567*((C343^4-D343^4)/(C343-D343))</f>
        <v>7.7687338005019564</v>
      </c>
      <c r="M343" s="6">
        <f>IF(首页!$B$13="自然对流",IF(首页!$B$14="立式圆筒",首页!$B$10,PI()*B343/2),PI()*B343/2)</f>
        <v>55.2</v>
      </c>
      <c r="N343" s="7">
        <f>IF(首页!$B$13="强制对流",首页!$B$11*M343/H343,0)</f>
        <v>0</v>
      </c>
      <c r="O343" s="6">
        <f>IF(首页!$B$13="自然对流",IF(首页!$B$14="立式圆筒",(0.825+0.3063*I343^(1/6))^2+0.87*(M343/B343),(0.752+0.303*I343^(1/6))^2),0.3+SQRT((0.592*N343^0.5)^2+(0.0262*N343^0.8/(1-0.5/N343^0.1))^2))</f>
        <v>10079.539161226357</v>
      </c>
      <c r="P343" s="6">
        <f t="shared" si="50"/>
        <v>2.9510194925512497E-2</v>
      </c>
      <c r="Q343" s="6">
        <f t="shared" si="51"/>
        <v>5.3885718370856255</v>
      </c>
      <c r="R343" s="6">
        <f t="shared" si="52"/>
        <v>13.157305637587582</v>
      </c>
      <c r="S343" s="6">
        <f>B343*LN(B343/首页!$B$4)</f>
        <v>1.5061175246776204</v>
      </c>
      <c r="T343" s="6">
        <f>2*首页!$B$8*(E343-C343)/(R343*(C343-D343))</f>
        <v>7.0923175340018824E-2</v>
      </c>
      <c r="U343" t="str">
        <f>IF(首页!$B$13="自然对流","按自然对流公式", "按强制对流公式")</f>
        <v>按自然对流公式</v>
      </c>
      <c r="V343" s="6">
        <f t="shared" si="53"/>
        <v>1.4351943493376016</v>
      </c>
    </row>
    <row r="344" spans="1:22" x14ac:dyDescent="0.15">
      <c r="A344">
        <v>339</v>
      </c>
      <c r="B344" s="6">
        <f>首页!$B$4+2*A344/1000</f>
        <v>0.79800000000000004</v>
      </c>
      <c r="C344" s="6">
        <f>首页!$B$7+273.15</f>
        <v>388.15</v>
      </c>
      <c r="D344" s="6">
        <f>首页!$B$6+273.15</f>
        <v>293.14999999999998</v>
      </c>
      <c r="E344" s="6">
        <f>首页!$B$5+273.15</f>
        <v>1373.15</v>
      </c>
      <c r="F344" s="6">
        <f t="shared" si="45"/>
        <v>95</v>
      </c>
      <c r="G344" s="6">
        <f t="shared" si="46"/>
        <v>340.65</v>
      </c>
      <c r="H344" s="6">
        <f t="shared" si="47"/>
        <v>1.9926207055139041E-5</v>
      </c>
      <c r="I344" s="7">
        <f t="shared" si="48"/>
        <v>1158916576932337.8</v>
      </c>
      <c r="J344" s="6">
        <f t="shared" si="49"/>
        <v>1.0226038455893147</v>
      </c>
      <c r="K344" s="7">
        <f>J344*H344*首页!$B$12/P344</f>
        <v>0.69532757496605813</v>
      </c>
      <c r="L344" s="6">
        <f>首页!$B$9*0.0000000567*((C344^4-D344^4)/(C344-D344))</f>
        <v>7.7687338005019564</v>
      </c>
      <c r="M344" s="6">
        <f>IF(首页!$B$13="自然对流",IF(首页!$B$14="立式圆筒",首页!$B$10,PI()*B344/2),PI()*B344/2)</f>
        <v>55.2</v>
      </c>
      <c r="N344" s="7">
        <f>IF(首页!$B$13="强制对流",首页!$B$11*M344/H344,0)</f>
        <v>0</v>
      </c>
      <c r="O344" s="6">
        <f>IF(首页!$B$13="自然对流",IF(首页!$B$14="立式圆筒",(0.825+0.3063*I344^(1/6))^2+0.87*(M344/B344),(0.752+0.303*I344^(1/6))^2),0.3+SQRT((0.592*N344^0.5)^2+(0.0262*N344^0.8/(1-0.5/N344^0.1))^2))</f>
        <v>10079.387954062719</v>
      </c>
      <c r="P344" s="6">
        <f t="shared" si="50"/>
        <v>2.9510194925512497E-2</v>
      </c>
      <c r="Q344" s="6">
        <f t="shared" si="51"/>
        <v>5.3884910009828513</v>
      </c>
      <c r="R344" s="6">
        <f t="shared" si="52"/>
        <v>13.157224801484809</v>
      </c>
      <c r="S344" s="6">
        <f>B344*LN(B344/首页!$B$4)</f>
        <v>1.5119042500248749</v>
      </c>
      <c r="T344" s="6">
        <f>2*首页!$B$8*(E344-C344)/(R344*(C344-D344))</f>
        <v>7.0923611081839547E-2</v>
      </c>
      <c r="U344" t="str">
        <f>IF(首页!$B$13="自然对流","按自然对流公式", "按强制对流公式")</f>
        <v>按自然对流公式</v>
      </c>
      <c r="V344" s="6">
        <f t="shared" si="53"/>
        <v>1.4409806389430353</v>
      </c>
    </row>
    <row r="345" spans="1:22" x14ac:dyDescent="0.15">
      <c r="A345">
        <v>340</v>
      </c>
      <c r="B345" s="6">
        <f>首页!$B$4+2*A345/1000</f>
        <v>0.8</v>
      </c>
      <c r="C345" s="6">
        <f>首页!$B$7+273.15</f>
        <v>388.15</v>
      </c>
      <c r="D345" s="6">
        <f>首页!$B$6+273.15</f>
        <v>293.14999999999998</v>
      </c>
      <c r="E345" s="6">
        <f>首页!$B$5+273.15</f>
        <v>1373.15</v>
      </c>
      <c r="F345" s="6">
        <f t="shared" si="45"/>
        <v>95</v>
      </c>
      <c r="G345" s="6">
        <f t="shared" si="46"/>
        <v>340.65</v>
      </c>
      <c r="H345" s="6">
        <f t="shared" si="47"/>
        <v>1.9926207055139041E-5</v>
      </c>
      <c r="I345" s="7">
        <f t="shared" si="48"/>
        <v>1158916576932337.8</v>
      </c>
      <c r="J345" s="6">
        <f t="shared" si="49"/>
        <v>1.0226038455893147</v>
      </c>
      <c r="K345" s="7">
        <f>J345*H345*首页!$B$12/P345</f>
        <v>0.69532757496605813</v>
      </c>
      <c r="L345" s="6">
        <f>首页!$B$9*0.0000000567*((C345^4-D345^4)/(C345-D345))</f>
        <v>7.7687338005019564</v>
      </c>
      <c r="M345" s="6">
        <f>IF(首页!$B$13="自然对流",IF(首页!$B$14="立式圆筒",首页!$B$10,PI()*B345/2),PI()*B345/2)</f>
        <v>55.2</v>
      </c>
      <c r="N345" s="7">
        <f>IF(首页!$B$13="强制对流",首页!$B$11*M345/H345,0)</f>
        <v>0</v>
      </c>
      <c r="O345" s="6">
        <f>IF(首页!$B$13="自然对流",IF(首页!$B$14="立式圆筒",(0.825+0.3063*I345^(1/6))^2+0.87*(M345/B345),(0.752+0.303*I345^(1/6))^2),0.3+SQRT((0.592*N345^0.5)^2+(0.0262*N345^0.8/(1-0.5/N345^0.1))^2))</f>
        <v>10079.2375029349</v>
      </c>
      <c r="P345" s="6">
        <f t="shared" si="50"/>
        <v>2.9510194925512497E-2</v>
      </c>
      <c r="Q345" s="6">
        <f t="shared" si="51"/>
        <v>5.3884105690605928</v>
      </c>
      <c r="R345" s="6">
        <f t="shared" si="52"/>
        <v>13.157144369562548</v>
      </c>
      <c r="S345" s="6">
        <f>B345*LN(B345/首页!$B$4)</f>
        <v>1.5176959879087051</v>
      </c>
      <c r="T345" s="6">
        <f>2*首页!$B$8*(E345-C345)/(R345*(C345-D345))</f>
        <v>7.0924044650265403E-2</v>
      </c>
      <c r="U345" t="str">
        <f>IF(首页!$B$13="自然对流","按自然对流公式", "按强制对流公式")</f>
        <v>按自然对流公式</v>
      </c>
      <c r="V345" s="6">
        <f t="shared" si="53"/>
        <v>1.4467719432584396</v>
      </c>
    </row>
    <row r="346" spans="1:22" x14ac:dyDescent="0.15">
      <c r="A346">
        <v>341</v>
      </c>
      <c r="B346" s="6">
        <f>首页!$B$4+2*A346/1000</f>
        <v>0.80200000000000005</v>
      </c>
      <c r="C346" s="6">
        <f>首页!$B$7+273.15</f>
        <v>388.15</v>
      </c>
      <c r="D346" s="6">
        <f>首页!$B$6+273.15</f>
        <v>293.14999999999998</v>
      </c>
      <c r="E346" s="6">
        <f>首页!$B$5+273.15</f>
        <v>1373.15</v>
      </c>
      <c r="F346" s="6">
        <f t="shared" si="45"/>
        <v>95</v>
      </c>
      <c r="G346" s="6">
        <f t="shared" si="46"/>
        <v>340.65</v>
      </c>
      <c r="H346" s="6">
        <f t="shared" si="47"/>
        <v>1.9926207055139041E-5</v>
      </c>
      <c r="I346" s="7">
        <f t="shared" si="48"/>
        <v>1158916576932337.8</v>
      </c>
      <c r="J346" s="6">
        <f t="shared" si="49"/>
        <v>1.0226038455893147</v>
      </c>
      <c r="K346" s="7">
        <f>J346*H346*首页!$B$12/P346</f>
        <v>0.69532757496605813</v>
      </c>
      <c r="L346" s="6">
        <f>首页!$B$9*0.0000000567*((C346^4-D346^4)/(C346-D346))</f>
        <v>7.7687338005019564</v>
      </c>
      <c r="M346" s="6">
        <f>IF(首页!$B$13="自然对流",IF(首页!$B$14="立式圆筒",首页!$B$10,PI()*B346/2),PI()*B346/2)</f>
        <v>55.2</v>
      </c>
      <c r="N346" s="7">
        <f>IF(首页!$B$13="强制对流",首页!$B$11*M346/H346,0)</f>
        <v>0</v>
      </c>
      <c r="O346" s="6">
        <f>IF(首页!$B$13="自然对流",IF(首页!$B$14="立式圆筒",(0.825+0.3063*I346^(1/6))^2+0.87*(M346/B346),(0.752+0.303*I346^(1/6))^2),0.3+SQRT((0.592*N346^0.5)^2+(0.0262*N346^0.8/(1-0.5/N346^0.1))^2))</f>
        <v>10079.08780218677</v>
      </c>
      <c r="P346" s="6">
        <f t="shared" si="50"/>
        <v>2.9510194925512497E-2</v>
      </c>
      <c r="Q346" s="6">
        <f t="shared" si="51"/>
        <v>5.3883305382950528</v>
      </c>
      <c r="R346" s="6">
        <f t="shared" si="52"/>
        <v>13.15706433879701</v>
      </c>
      <c r="S346" s="6">
        <f>B346*LN(B346/首页!$B$4)</f>
        <v>1.5234927257977438</v>
      </c>
      <c r="T346" s="6">
        <f>2*首页!$B$8*(E346-C346)/(R346*(C346-D346))</f>
        <v>7.0924476061516598E-2</v>
      </c>
      <c r="U346" t="str">
        <f>IF(首页!$B$13="自然对流","按自然对流公式", "按强制对流公式")</f>
        <v>按自然对流公式</v>
      </c>
      <c r="V346" s="6">
        <f t="shared" si="53"/>
        <v>1.4525682497362271</v>
      </c>
    </row>
    <row r="347" spans="1:22" x14ac:dyDescent="0.15">
      <c r="A347">
        <v>342</v>
      </c>
      <c r="B347" s="6">
        <f>首页!$B$4+2*A347/1000</f>
        <v>0.80400000000000005</v>
      </c>
      <c r="C347" s="6">
        <f>首页!$B$7+273.15</f>
        <v>388.15</v>
      </c>
      <c r="D347" s="6">
        <f>首页!$B$6+273.15</f>
        <v>293.14999999999998</v>
      </c>
      <c r="E347" s="6">
        <f>首页!$B$5+273.15</f>
        <v>1373.15</v>
      </c>
      <c r="F347" s="6">
        <f t="shared" si="45"/>
        <v>95</v>
      </c>
      <c r="G347" s="6">
        <f t="shared" si="46"/>
        <v>340.65</v>
      </c>
      <c r="H347" s="6">
        <f t="shared" si="47"/>
        <v>1.9926207055139041E-5</v>
      </c>
      <c r="I347" s="7">
        <f t="shared" si="48"/>
        <v>1158916576932337.8</v>
      </c>
      <c r="J347" s="6">
        <f t="shared" si="49"/>
        <v>1.0226038455893147</v>
      </c>
      <c r="K347" s="7">
        <f>J347*H347*首页!$B$12/P347</f>
        <v>0.69532757496605813</v>
      </c>
      <c r="L347" s="6">
        <f>首页!$B$9*0.0000000567*((C347^4-D347^4)/(C347-D347))</f>
        <v>7.7687338005019564</v>
      </c>
      <c r="M347" s="6">
        <f>IF(首页!$B$13="自然对流",IF(首页!$B$14="立式圆筒",首页!$B$10,PI()*B347/2),PI()*B347/2)</f>
        <v>55.2</v>
      </c>
      <c r="N347" s="7">
        <f>IF(首页!$B$13="强制对流",首页!$B$11*M347/H347,0)</f>
        <v>0</v>
      </c>
      <c r="O347" s="6">
        <f>IF(首页!$B$13="自然对流",IF(首页!$B$14="立式圆筒",(0.825+0.3063*I347^(1/6))^2+0.87*(M347/B347),(0.752+0.303*I347^(1/6))^2),0.3+SQRT((0.592*N347^0.5)^2+(0.0262*N347^0.8/(1-0.5/N347^0.1))^2))</f>
        <v>10078.938846218482</v>
      </c>
      <c r="P347" s="6">
        <f t="shared" si="50"/>
        <v>2.9510194925512497E-2</v>
      </c>
      <c r="Q347" s="6">
        <f t="shared" si="51"/>
        <v>5.3882509056925256</v>
      </c>
      <c r="R347" s="6">
        <f t="shared" si="52"/>
        <v>13.156984706194482</v>
      </c>
      <c r="S347" s="6">
        <f>B347*LN(B347/首页!$B$4)</f>
        <v>1.5292944512231241</v>
      </c>
      <c r="T347" s="6">
        <f>2*首页!$B$8*(E347-C347)/(R347*(C347-D347))</f>
        <v>7.092490533165241E-2</v>
      </c>
      <c r="U347" t="str">
        <f>IF(首页!$B$13="自然对流","按自然对流公式", "按强制对流公式")</f>
        <v>按自然对流公式</v>
      </c>
      <c r="V347" s="6">
        <f t="shared" si="53"/>
        <v>1.4583695458914718</v>
      </c>
    </row>
    <row r="348" spans="1:22" x14ac:dyDescent="0.15">
      <c r="A348">
        <v>343</v>
      </c>
      <c r="B348" s="6">
        <f>首页!$B$4+2*A348/1000</f>
        <v>0.80600000000000005</v>
      </c>
      <c r="C348" s="6">
        <f>首页!$B$7+273.15</f>
        <v>388.15</v>
      </c>
      <c r="D348" s="6">
        <f>首页!$B$6+273.15</f>
        <v>293.14999999999998</v>
      </c>
      <c r="E348" s="6">
        <f>首页!$B$5+273.15</f>
        <v>1373.15</v>
      </c>
      <c r="F348" s="6">
        <f t="shared" si="45"/>
        <v>95</v>
      </c>
      <c r="G348" s="6">
        <f t="shared" si="46"/>
        <v>340.65</v>
      </c>
      <c r="H348" s="6">
        <f t="shared" si="47"/>
        <v>1.9926207055139041E-5</v>
      </c>
      <c r="I348" s="7">
        <f t="shared" si="48"/>
        <v>1158916576932337.8</v>
      </c>
      <c r="J348" s="6">
        <f t="shared" si="49"/>
        <v>1.0226038455893147</v>
      </c>
      <c r="K348" s="7">
        <f>J348*H348*首页!$B$12/P348</f>
        <v>0.69532757496605813</v>
      </c>
      <c r="L348" s="6">
        <f>首页!$B$9*0.0000000567*((C348^4-D348^4)/(C348-D348))</f>
        <v>7.7687338005019564</v>
      </c>
      <c r="M348" s="6">
        <f>IF(首页!$B$13="自然对流",IF(首页!$B$14="立式圆筒",首页!$B$10,PI()*B348/2),PI()*B348/2)</f>
        <v>55.2</v>
      </c>
      <c r="N348" s="7">
        <f>IF(首页!$B$13="强制对流",首页!$B$11*M348/H348,0)</f>
        <v>0</v>
      </c>
      <c r="O348" s="6">
        <f>IF(首页!$B$13="自然对流",IF(首页!$B$14="立式圆筒",(0.825+0.3063*I348^(1/6))^2+0.87*(M348/B348),(0.752+0.303*I348^(1/6))^2),0.3+SQRT((0.592*N348^0.5)^2+(0.0262*N348^0.8/(1-0.5/N348^0.1))^2))</f>
        <v>10078.790629485768</v>
      </c>
      <c r="P348" s="6">
        <f t="shared" si="50"/>
        <v>2.9510194925512497E-2</v>
      </c>
      <c r="Q348" s="6">
        <f t="shared" si="51"/>
        <v>5.3881716682890177</v>
      </c>
      <c r="R348" s="6">
        <f t="shared" si="52"/>
        <v>13.156905468790974</v>
      </c>
      <c r="S348" s="6">
        <f>B348*LN(B348/首页!$B$4)</f>
        <v>1.5351011517780135</v>
      </c>
      <c r="T348" s="6">
        <f>2*首页!$B$8*(E348-C348)/(R348*(C348-D348))</f>
        <v>7.0925332476573053E-2</v>
      </c>
      <c r="U348" t="str">
        <f>IF(首页!$B$13="自然对流","按自然对流公式", "按强制对流公式")</f>
        <v>按自然对流公式</v>
      </c>
      <c r="V348" s="6">
        <f t="shared" si="53"/>
        <v>1.4641758193014405</v>
      </c>
    </row>
    <row r="349" spans="1:22" x14ac:dyDescent="0.15">
      <c r="A349">
        <v>344</v>
      </c>
      <c r="B349" s="6">
        <f>首页!$B$4+2*A349/1000</f>
        <v>0.80799999999999994</v>
      </c>
      <c r="C349" s="6">
        <f>首页!$B$7+273.15</f>
        <v>388.15</v>
      </c>
      <c r="D349" s="6">
        <f>首页!$B$6+273.15</f>
        <v>293.14999999999998</v>
      </c>
      <c r="E349" s="6">
        <f>首页!$B$5+273.15</f>
        <v>1373.15</v>
      </c>
      <c r="F349" s="6">
        <f t="shared" si="45"/>
        <v>95</v>
      </c>
      <c r="G349" s="6">
        <f t="shared" si="46"/>
        <v>340.65</v>
      </c>
      <c r="H349" s="6">
        <f t="shared" si="47"/>
        <v>1.9926207055139041E-5</v>
      </c>
      <c r="I349" s="7">
        <f t="shared" si="48"/>
        <v>1158916576932337.8</v>
      </c>
      <c r="J349" s="6">
        <f t="shared" si="49"/>
        <v>1.0226038455893147</v>
      </c>
      <c r="K349" s="7">
        <f>J349*H349*首页!$B$12/P349</f>
        <v>0.69532757496605813</v>
      </c>
      <c r="L349" s="6">
        <f>首页!$B$9*0.0000000567*((C349^4-D349^4)/(C349-D349))</f>
        <v>7.7687338005019564</v>
      </c>
      <c r="M349" s="6">
        <f>IF(首页!$B$13="自然对流",IF(首页!$B$14="立式圆筒",首页!$B$10,PI()*B349/2),PI()*B349/2)</f>
        <v>55.2</v>
      </c>
      <c r="N349" s="7">
        <f>IF(首页!$B$13="强制对流",首页!$B$11*M349/H349,0)</f>
        <v>0</v>
      </c>
      <c r="O349" s="6">
        <f>IF(首页!$B$13="自然对流",IF(首页!$B$14="立式圆筒",(0.825+0.3063*I349^(1/6))^2+0.87*(M349/B349),(0.752+0.303*I349^(1/6))^2),0.3+SQRT((0.592*N349^0.5)^2+(0.0262*N349^0.8/(1-0.5/N349^0.1))^2))</f>
        <v>10078.643146499257</v>
      </c>
      <c r="P349" s="6">
        <f t="shared" si="50"/>
        <v>2.9510194925512497E-2</v>
      </c>
      <c r="Q349" s="6">
        <f t="shared" si="51"/>
        <v>5.3880928231498846</v>
      </c>
      <c r="R349" s="6">
        <f t="shared" si="52"/>
        <v>13.156826623651842</v>
      </c>
      <c r="S349" s="6">
        <f>B349*LN(B349/首页!$B$4)</f>
        <v>1.5409128151171518</v>
      </c>
      <c r="T349" s="6">
        <f>2*首页!$B$8*(E349-C349)/(R349*(C349-D349))</f>
        <v>7.0925757512021737E-2</v>
      </c>
      <c r="U349" t="str">
        <f>IF(首页!$B$13="自然对流","按自然对流公式", "按强制对流公式")</f>
        <v>按自然对流公式</v>
      </c>
      <c r="V349" s="6">
        <f t="shared" si="53"/>
        <v>1.4699870576051302</v>
      </c>
    </row>
    <row r="350" spans="1:22" x14ac:dyDescent="0.15">
      <c r="A350">
        <v>345</v>
      </c>
      <c r="B350" s="6">
        <f>首页!$B$4+2*A350/1000</f>
        <v>0.80999999999999994</v>
      </c>
      <c r="C350" s="6">
        <f>首页!$B$7+273.15</f>
        <v>388.15</v>
      </c>
      <c r="D350" s="6">
        <f>首页!$B$6+273.15</f>
        <v>293.14999999999998</v>
      </c>
      <c r="E350" s="6">
        <f>首页!$B$5+273.15</f>
        <v>1373.15</v>
      </c>
      <c r="F350" s="6">
        <f t="shared" si="45"/>
        <v>95</v>
      </c>
      <c r="G350" s="6">
        <f t="shared" si="46"/>
        <v>340.65</v>
      </c>
      <c r="H350" s="6">
        <f t="shared" si="47"/>
        <v>1.9926207055139041E-5</v>
      </c>
      <c r="I350" s="7">
        <f t="shared" si="48"/>
        <v>1158916576932337.8</v>
      </c>
      <c r="J350" s="6">
        <f t="shared" si="49"/>
        <v>1.0226038455893147</v>
      </c>
      <c r="K350" s="7">
        <f>J350*H350*首页!$B$12/P350</f>
        <v>0.69532757496605813</v>
      </c>
      <c r="L350" s="6">
        <f>首页!$B$9*0.0000000567*((C350^4-D350^4)/(C350-D350))</f>
        <v>7.7687338005019564</v>
      </c>
      <c r="M350" s="6">
        <f>IF(首页!$B$13="自然对流",IF(首页!$B$14="立式圆筒",首页!$B$10,PI()*B350/2),PI()*B350/2)</f>
        <v>55.2</v>
      </c>
      <c r="N350" s="7">
        <f>IF(首页!$B$13="强制对流",首页!$B$11*M350/H350,0)</f>
        <v>0</v>
      </c>
      <c r="O350" s="6">
        <f>IF(首页!$B$13="自然对流",IF(首页!$B$14="立式圆筒",(0.825+0.3063*I350^(1/6))^2+0.87*(M350/B350),(0.752+0.303*I350^(1/6))^2),0.3+SQRT((0.592*N350^0.5)^2+(0.0262*N350^0.8/(1-0.5/N350^0.1))^2))</f>
        <v>10078.496391823788</v>
      </c>
      <c r="P350" s="6">
        <f t="shared" si="50"/>
        <v>2.9510194925512497E-2</v>
      </c>
      <c r="Q350" s="6">
        <f t="shared" si="51"/>
        <v>5.388014367369462</v>
      </c>
      <c r="R350" s="6">
        <f t="shared" si="52"/>
        <v>13.156748167871418</v>
      </c>
      <c r="S350" s="6">
        <f>B350*LN(B350/首页!$B$4)</f>
        <v>1.5467294289563951</v>
      </c>
      <c r="T350" s="6">
        <f>2*首页!$B$8*(E350-C350)/(R350*(C350-D350))</f>
        <v>7.0926180453586535E-2</v>
      </c>
      <c r="U350" t="str">
        <f>IF(首页!$B$13="自然对流","按自然对流公式", "按强制对流公式")</f>
        <v>按自然对流公式</v>
      </c>
      <c r="V350" s="6">
        <f t="shared" si="53"/>
        <v>1.4758032485028085</v>
      </c>
    </row>
    <row r="351" spans="1:22" x14ac:dyDescent="0.15">
      <c r="A351">
        <v>346</v>
      </c>
      <c r="B351" s="6">
        <f>首页!$B$4+2*A351/1000</f>
        <v>0.81199999999999994</v>
      </c>
      <c r="C351" s="6">
        <f>首页!$B$7+273.15</f>
        <v>388.15</v>
      </c>
      <c r="D351" s="6">
        <f>首页!$B$6+273.15</f>
        <v>293.14999999999998</v>
      </c>
      <c r="E351" s="6">
        <f>首页!$B$5+273.15</f>
        <v>1373.15</v>
      </c>
      <c r="F351" s="6">
        <f t="shared" si="45"/>
        <v>95</v>
      </c>
      <c r="G351" s="6">
        <f t="shared" si="46"/>
        <v>340.65</v>
      </c>
      <c r="H351" s="6">
        <f t="shared" si="47"/>
        <v>1.9926207055139041E-5</v>
      </c>
      <c r="I351" s="7">
        <f t="shared" si="48"/>
        <v>1158916576932337.8</v>
      </c>
      <c r="J351" s="6">
        <f t="shared" si="49"/>
        <v>1.0226038455893147</v>
      </c>
      <c r="K351" s="7">
        <f>J351*H351*首页!$B$12/P351</f>
        <v>0.69532757496605813</v>
      </c>
      <c r="L351" s="6">
        <f>首页!$B$9*0.0000000567*((C351^4-D351^4)/(C351-D351))</f>
        <v>7.7687338005019564</v>
      </c>
      <c r="M351" s="6">
        <f>IF(首页!$B$13="自然对流",IF(首页!$B$14="立式圆筒",首页!$B$10,PI()*B351/2),PI()*B351/2)</f>
        <v>55.2</v>
      </c>
      <c r="N351" s="7">
        <f>IF(首页!$B$13="强制对流",首页!$B$11*M351/H351,0)</f>
        <v>0</v>
      </c>
      <c r="O351" s="6">
        <f>IF(首页!$B$13="自然对流",IF(首页!$B$14="立式圆筒",(0.825+0.3063*I351^(1/6))^2+0.87*(M351/B351),(0.752+0.303*I351^(1/6))^2),0.3+SQRT((0.592*N351^0.5)^2+(0.0262*N351^0.8/(1-0.5/N351^0.1))^2))</f>
        <v>10078.350360077757</v>
      </c>
      <c r="P351" s="6">
        <f t="shared" si="50"/>
        <v>2.9510194925512497E-2</v>
      </c>
      <c r="Q351" s="6">
        <f t="shared" si="51"/>
        <v>5.3879362980707182</v>
      </c>
      <c r="R351" s="6">
        <f t="shared" si="52"/>
        <v>13.156670098572675</v>
      </c>
      <c r="S351" s="6">
        <f>B351*LN(B351/首页!$B$4)</f>
        <v>1.5525509810722611</v>
      </c>
      <c r="T351" s="6">
        <f>2*首页!$B$8*(E351-C351)/(R351*(C351-D351))</f>
        <v>7.0926601316702281E-2</v>
      </c>
      <c r="U351" t="str">
        <f>IF(首页!$B$13="自然对流","按自然对流公式", "按强制对流公式")</f>
        <v>按自然对流公式</v>
      </c>
      <c r="V351" s="6">
        <f t="shared" si="53"/>
        <v>1.4816243797555588</v>
      </c>
    </row>
    <row r="352" spans="1:22" x14ac:dyDescent="0.15">
      <c r="A352">
        <v>347</v>
      </c>
      <c r="B352" s="6">
        <f>首页!$B$4+2*A352/1000</f>
        <v>0.81399999999999995</v>
      </c>
      <c r="C352" s="6">
        <f>首页!$B$7+273.15</f>
        <v>388.15</v>
      </c>
      <c r="D352" s="6">
        <f>首页!$B$6+273.15</f>
        <v>293.14999999999998</v>
      </c>
      <c r="E352" s="6">
        <f>首页!$B$5+273.15</f>
        <v>1373.15</v>
      </c>
      <c r="F352" s="6">
        <f t="shared" si="45"/>
        <v>95</v>
      </c>
      <c r="G352" s="6">
        <f t="shared" si="46"/>
        <v>340.65</v>
      </c>
      <c r="H352" s="6">
        <f t="shared" si="47"/>
        <v>1.9926207055139041E-5</v>
      </c>
      <c r="I352" s="7">
        <f t="shared" si="48"/>
        <v>1158916576932337.8</v>
      </c>
      <c r="J352" s="6">
        <f t="shared" si="49"/>
        <v>1.0226038455893147</v>
      </c>
      <c r="K352" s="7">
        <f>J352*H352*首页!$B$12/P352</f>
        <v>0.69532757496605813</v>
      </c>
      <c r="L352" s="6">
        <f>首页!$B$9*0.0000000567*((C352^4-D352^4)/(C352-D352))</f>
        <v>7.7687338005019564</v>
      </c>
      <c r="M352" s="6">
        <f>IF(首页!$B$13="自然对流",IF(首页!$B$14="立式圆筒",首页!$B$10,PI()*B352/2),PI()*B352/2)</f>
        <v>55.2</v>
      </c>
      <c r="N352" s="7">
        <f>IF(首页!$B$13="强制对流",首页!$B$11*M352/H352,0)</f>
        <v>0</v>
      </c>
      <c r="O352" s="6">
        <f>IF(首页!$B$13="自然对流",IF(首页!$B$14="立式圆筒",(0.825+0.3063*I352^(1/6))^2+0.87*(M352/B352),(0.752+0.303*I352^(1/6))^2),0.3+SQRT((0.592*N352^0.5)^2+(0.0262*N352^0.8/(1-0.5/N352^0.1))^2))</f>
        <v>10078.205045932444</v>
      </c>
      <c r="P352" s="6">
        <f t="shared" si="50"/>
        <v>2.9510194925512497E-2</v>
      </c>
      <c r="Q352" s="6">
        <f t="shared" si="51"/>
        <v>5.3878586124048908</v>
      </c>
      <c r="R352" s="6">
        <f t="shared" si="52"/>
        <v>13.156592412906846</v>
      </c>
      <c r="S352" s="6">
        <f>B352*LN(B352/首页!$B$4)</f>
        <v>1.5583774593014823</v>
      </c>
      <c r="T352" s="6">
        <f>2*首页!$B$8*(E352-C352)/(R352*(C352-D352))</f>
        <v>7.0927020116652542E-2</v>
      </c>
      <c r="U352" t="str">
        <f>IF(首页!$B$13="自然对流","按自然对流公式", "按强制对流公式")</f>
        <v>按自然对流公式</v>
      </c>
      <c r="V352" s="6">
        <f t="shared" si="53"/>
        <v>1.4874504391848298</v>
      </c>
    </row>
    <row r="353" spans="1:22" x14ac:dyDescent="0.15">
      <c r="A353">
        <v>348</v>
      </c>
      <c r="B353" s="6">
        <f>首页!$B$4+2*A353/1000</f>
        <v>0.81599999999999995</v>
      </c>
      <c r="C353" s="6">
        <f>首页!$B$7+273.15</f>
        <v>388.15</v>
      </c>
      <c r="D353" s="6">
        <f>首页!$B$6+273.15</f>
        <v>293.14999999999998</v>
      </c>
      <c r="E353" s="6">
        <f>首页!$B$5+273.15</f>
        <v>1373.15</v>
      </c>
      <c r="F353" s="6">
        <f t="shared" si="45"/>
        <v>95</v>
      </c>
      <c r="G353" s="6">
        <f t="shared" si="46"/>
        <v>340.65</v>
      </c>
      <c r="H353" s="6">
        <f t="shared" si="47"/>
        <v>1.9926207055139041E-5</v>
      </c>
      <c r="I353" s="7">
        <f t="shared" si="48"/>
        <v>1158916576932337.8</v>
      </c>
      <c r="J353" s="6">
        <f t="shared" si="49"/>
        <v>1.0226038455893147</v>
      </c>
      <c r="K353" s="7">
        <f>J353*H353*首页!$B$12/P353</f>
        <v>0.69532757496605813</v>
      </c>
      <c r="L353" s="6">
        <f>首页!$B$9*0.0000000567*((C353^4-D353^4)/(C353-D353))</f>
        <v>7.7687338005019564</v>
      </c>
      <c r="M353" s="6">
        <f>IF(首页!$B$13="自然对流",IF(首页!$B$14="立式圆筒",首页!$B$10,PI()*B353/2),PI()*B353/2)</f>
        <v>55.2</v>
      </c>
      <c r="N353" s="7">
        <f>IF(首页!$B$13="强制对流",首页!$B$11*M353/H353,0)</f>
        <v>0</v>
      </c>
      <c r="O353" s="6">
        <f>IF(首页!$B$13="自然对流",IF(首页!$B$14="立式圆筒",(0.825+0.3063*I353^(1/6))^2+0.87*(M353/B353),(0.752+0.303*I353^(1/6))^2),0.3+SQRT((0.592*N353^0.5)^2+(0.0262*N353^0.8/(1-0.5/N353^0.1))^2))</f>
        <v>10078.06044411137</v>
      </c>
      <c r="P353" s="6">
        <f t="shared" si="50"/>
        <v>2.9510194925512497E-2</v>
      </c>
      <c r="Q353" s="6">
        <f t="shared" si="51"/>
        <v>5.3877813075511511</v>
      </c>
      <c r="R353" s="6">
        <f t="shared" si="52"/>
        <v>13.156515108053107</v>
      </c>
      <c r="S353" s="6">
        <f>B353*LN(B353/首页!$B$4)</f>
        <v>1.5642088515405617</v>
      </c>
      <c r="T353" s="6">
        <f>2*首页!$B$8*(E353-C353)/(R353*(C353-D353))</f>
        <v>7.0927436868571364E-2</v>
      </c>
      <c r="U353" t="str">
        <f>IF(首页!$B$13="自然对流","按自然对流公式", "按强制对流公式")</f>
        <v>按自然对流公式</v>
      </c>
      <c r="V353" s="6">
        <f t="shared" si="53"/>
        <v>1.4932814146719904</v>
      </c>
    </row>
    <row r="354" spans="1:22" x14ac:dyDescent="0.15">
      <c r="A354">
        <v>349</v>
      </c>
      <c r="B354" s="6">
        <f>首页!$B$4+2*A354/1000</f>
        <v>0.81799999999999995</v>
      </c>
      <c r="C354" s="6">
        <f>首页!$B$7+273.15</f>
        <v>388.15</v>
      </c>
      <c r="D354" s="6">
        <f>首页!$B$6+273.15</f>
        <v>293.14999999999998</v>
      </c>
      <c r="E354" s="6">
        <f>首页!$B$5+273.15</f>
        <v>1373.15</v>
      </c>
      <c r="F354" s="6">
        <f t="shared" si="45"/>
        <v>95</v>
      </c>
      <c r="G354" s="6">
        <f t="shared" si="46"/>
        <v>340.65</v>
      </c>
      <c r="H354" s="6">
        <f t="shared" si="47"/>
        <v>1.9926207055139041E-5</v>
      </c>
      <c r="I354" s="7">
        <f t="shared" si="48"/>
        <v>1158916576932337.8</v>
      </c>
      <c r="J354" s="6">
        <f t="shared" si="49"/>
        <v>1.0226038455893147</v>
      </c>
      <c r="K354" s="7">
        <f>J354*H354*首页!$B$12/P354</f>
        <v>0.69532757496605813</v>
      </c>
      <c r="L354" s="6">
        <f>首页!$B$9*0.0000000567*((C354^4-D354^4)/(C354-D354))</f>
        <v>7.7687338005019564</v>
      </c>
      <c r="M354" s="6">
        <f>IF(首页!$B$13="自然对流",IF(首页!$B$14="立式圆筒",首页!$B$10,PI()*B354/2),PI()*B354/2)</f>
        <v>55.2</v>
      </c>
      <c r="N354" s="7">
        <f>IF(首页!$B$13="强制对流",首页!$B$11*M354/H354,0)</f>
        <v>0</v>
      </c>
      <c r="O354" s="6">
        <f>IF(首页!$B$13="自然对流",IF(首页!$B$14="立式圆筒",(0.825+0.3063*I354^(1/6))^2+0.87*(M354/B354),(0.752+0.303*I354^(1/6))^2),0.3+SQRT((0.592*N354^0.5)^2+(0.0262*N354^0.8/(1-0.5/N354^0.1))^2))</f>
        <v>10077.916549389667</v>
      </c>
      <c r="P354" s="6">
        <f t="shared" si="50"/>
        <v>2.9510194925512497E-2</v>
      </c>
      <c r="Q354" s="6">
        <f t="shared" si="51"/>
        <v>5.3877043807162561</v>
      </c>
      <c r="R354" s="6">
        <f t="shared" si="52"/>
        <v>13.156438181218213</v>
      </c>
      <c r="S354" s="6">
        <f>B354*LN(B354/首页!$B$4)</f>
        <v>1.5700451457453335</v>
      </c>
      <c r="T354" s="6">
        <f>2*首页!$B$8*(E354-C354)/(R354*(C354-D354))</f>
        <v>7.0927851587445148E-2</v>
      </c>
      <c r="U354" t="str">
        <f>IF(首页!$B$13="自然对流","按自然对流公式", "按强制对流公式")</f>
        <v>按自然对流公式</v>
      </c>
      <c r="V354" s="6">
        <f t="shared" si="53"/>
        <v>1.4991172941578883</v>
      </c>
    </row>
    <row r="355" spans="1:22" x14ac:dyDescent="0.15">
      <c r="A355">
        <v>350</v>
      </c>
      <c r="B355" s="6">
        <f>首页!$B$4+2*A355/1000</f>
        <v>0.82</v>
      </c>
      <c r="C355" s="6">
        <f>首页!$B$7+273.15</f>
        <v>388.15</v>
      </c>
      <c r="D355" s="6">
        <f>首页!$B$6+273.15</f>
        <v>293.14999999999998</v>
      </c>
      <c r="E355" s="6">
        <f>首页!$B$5+273.15</f>
        <v>1373.15</v>
      </c>
      <c r="F355" s="6">
        <f t="shared" si="45"/>
        <v>95</v>
      </c>
      <c r="G355" s="6">
        <f t="shared" si="46"/>
        <v>340.65</v>
      </c>
      <c r="H355" s="6">
        <f t="shared" si="47"/>
        <v>1.9926207055139041E-5</v>
      </c>
      <c r="I355" s="7">
        <f t="shared" si="48"/>
        <v>1158916576932337.8</v>
      </c>
      <c r="J355" s="6">
        <f t="shared" si="49"/>
        <v>1.0226038455893147</v>
      </c>
      <c r="K355" s="7">
        <f>J355*H355*首页!$B$12/P355</f>
        <v>0.69532757496605813</v>
      </c>
      <c r="L355" s="6">
        <f>首页!$B$9*0.0000000567*((C355^4-D355^4)/(C355-D355))</f>
        <v>7.7687338005019564</v>
      </c>
      <c r="M355" s="6">
        <f>IF(首页!$B$13="自然对流",IF(首页!$B$14="立式圆筒",首页!$B$10,PI()*B355/2),PI()*B355/2)</f>
        <v>55.2</v>
      </c>
      <c r="N355" s="7">
        <f>IF(首页!$B$13="强制对流",首页!$B$11*M355/H355,0)</f>
        <v>0</v>
      </c>
      <c r="O355" s="6">
        <f>IF(首页!$B$13="自然对流",IF(首页!$B$14="立式圆筒",(0.825+0.3063*I355^(1/6))^2+0.87*(M355/B355),(0.752+0.303*I355^(1/6))^2),0.3+SQRT((0.592*N355^0.5)^2+(0.0262*N355^0.8/(1-0.5/N355^0.1))^2))</f>
        <v>10077.773356593436</v>
      </c>
      <c r="P355" s="6">
        <f t="shared" si="50"/>
        <v>2.9510194925512497E-2</v>
      </c>
      <c r="Q355" s="6">
        <f t="shared" si="51"/>
        <v>5.3876278291342148</v>
      </c>
      <c r="R355" s="6">
        <f t="shared" si="52"/>
        <v>13.156361629636171</v>
      </c>
      <c r="S355" s="6">
        <f>B355*LN(B355/首页!$B$4)</f>
        <v>1.5758863299305272</v>
      </c>
      <c r="T355" s="6">
        <f>2*首页!$B$8*(E355-C355)/(R355*(C355-D355))</f>
        <v>7.0928264288114426E-2</v>
      </c>
      <c r="U355" t="str">
        <f>IF(首页!$B$13="自然对流","按自然对流公式", "按强制对流公式")</f>
        <v>按自然对流公式</v>
      </c>
      <c r="V355" s="6">
        <f t="shared" si="53"/>
        <v>1.5049580656424129</v>
      </c>
    </row>
    <row r="356" spans="1:22" x14ac:dyDescent="0.15">
      <c r="A356">
        <v>351</v>
      </c>
      <c r="B356" s="6">
        <f>首页!$B$4+2*A356/1000</f>
        <v>0.82199999999999995</v>
      </c>
      <c r="C356" s="6">
        <f>首页!$B$7+273.15</f>
        <v>388.15</v>
      </c>
      <c r="D356" s="6">
        <f>首页!$B$6+273.15</f>
        <v>293.14999999999998</v>
      </c>
      <c r="E356" s="6">
        <f>首页!$B$5+273.15</f>
        <v>1373.15</v>
      </c>
      <c r="F356" s="6">
        <f t="shared" si="45"/>
        <v>95</v>
      </c>
      <c r="G356" s="6">
        <f t="shared" si="46"/>
        <v>340.65</v>
      </c>
      <c r="H356" s="6">
        <f t="shared" si="47"/>
        <v>1.9926207055139041E-5</v>
      </c>
      <c r="I356" s="7">
        <f t="shared" si="48"/>
        <v>1158916576932337.8</v>
      </c>
      <c r="J356" s="6">
        <f t="shared" si="49"/>
        <v>1.0226038455893147</v>
      </c>
      <c r="K356" s="7">
        <f>J356*H356*首页!$B$12/P356</f>
        <v>0.69532757496605813</v>
      </c>
      <c r="L356" s="6">
        <f>首页!$B$9*0.0000000567*((C356^4-D356^4)/(C356-D356))</f>
        <v>7.7687338005019564</v>
      </c>
      <c r="M356" s="6">
        <f>IF(首页!$B$13="自然对流",IF(首页!$B$14="立式圆筒",首页!$B$10,PI()*B356/2),PI()*B356/2)</f>
        <v>55.2</v>
      </c>
      <c r="N356" s="7">
        <f>IF(首页!$B$13="强制对流",首页!$B$11*M356/H356,0)</f>
        <v>0</v>
      </c>
      <c r="O356" s="6">
        <f>IF(首页!$B$13="自然对流",IF(首页!$B$14="立式圆筒",(0.825+0.3063*I356^(1/6))^2+0.87*(M356/B356),(0.752+0.303*I356^(1/6))^2),0.3+SQRT((0.592*N356^0.5)^2+(0.0262*N356^0.8/(1-0.5/N356^0.1))^2))</f>
        <v>10077.630860599133</v>
      </c>
      <c r="P356" s="6">
        <f t="shared" si="50"/>
        <v>2.9510194925512497E-2</v>
      </c>
      <c r="Q356" s="6">
        <f t="shared" si="51"/>
        <v>5.3875516500659542</v>
      </c>
      <c r="R356" s="6">
        <f t="shared" si="52"/>
        <v>13.156285450567911</v>
      </c>
      <c r="S356" s="6">
        <f>B356*LN(B356/首页!$B$4)</f>
        <v>1.5817323921693378</v>
      </c>
      <c r="T356" s="6">
        <f>2*首页!$B$8*(E356-C356)/(R356*(C356-D356))</f>
        <v>7.092867498527565E-2</v>
      </c>
      <c r="U356" t="str">
        <f>IF(首页!$B$13="自然对流","按自然对流公式", "按强制对流公式")</f>
        <v>按自然对流公式</v>
      </c>
      <c r="V356" s="6">
        <f t="shared" si="53"/>
        <v>1.5108037171840623</v>
      </c>
    </row>
    <row r="357" spans="1:22" x14ac:dyDescent="0.15">
      <c r="A357">
        <v>352</v>
      </c>
      <c r="B357" s="6">
        <f>首页!$B$4+2*A357/1000</f>
        <v>0.82399999999999995</v>
      </c>
      <c r="C357" s="6">
        <f>首页!$B$7+273.15</f>
        <v>388.15</v>
      </c>
      <c r="D357" s="6">
        <f>首页!$B$6+273.15</f>
        <v>293.14999999999998</v>
      </c>
      <c r="E357" s="6">
        <f>首页!$B$5+273.15</f>
        <v>1373.15</v>
      </c>
      <c r="F357" s="6">
        <f t="shared" si="45"/>
        <v>95</v>
      </c>
      <c r="G357" s="6">
        <f t="shared" si="46"/>
        <v>340.65</v>
      </c>
      <c r="H357" s="6">
        <f t="shared" si="47"/>
        <v>1.9926207055139041E-5</v>
      </c>
      <c r="I357" s="7">
        <f t="shared" si="48"/>
        <v>1158916576932337.8</v>
      </c>
      <c r="J357" s="6">
        <f t="shared" si="49"/>
        <v>1.0226038455893147</v>
      </c>
      <c r="K357" s="7">
        <f>J357*H357*首页!$B$12/P357</f>
        <v>0.69532757496605813</v>
      </c>
      <c r="L357" s="6">
        <f>首页!$B$9*0.0000000567*((C357^4-D357^4)/(C357-D357))</f>
        <v>7.7687338005019564</v>
      </c>
      <c r="M357" s="6">
        <f>IF(首页!$B$13="自然对流",IF(首页!$B$14="立式圆筒",首页!$B$10,PI()*B357/2),PI()*B357/2)</f>
        <v>55.2</v>
      </c>
      <c r="N357" s="7">
        <f>IF(首页!$B$13="强制对流",首页!$B$11*M357/H357,0)</f>
        <v>0</v>
      </c>
      <c r="O357" s="6">
        <f>IF(首页!$B$13="自然对流",IF(首页!$B$14="立式圆筒",(0.825+0.3063*I357^(1/6))^2+0.87*(M357/B357),(0.752+0.303*I357^(1/6))^2),0.3+SQRT((0.592*N357^0.5)^2+(0.0262*N357^0.8/(1-0.5/N357^0.1))^2))</f>
        <v>10077.489056332957</v>
      </c>
      <c r="P357" s="6">
        <f t="shared" si="50"/>
        <v>2.9510194925512497E-2</v>
      </c>
      <c r="Q357" s="6">
        <f t="shared" si="51"/>
        <v>5.3874758407989951</v>
      </c>
      <c r="R357" s="6">
        <f t="shared" si="52"/>
        <v>13.156209641300951</v>
      </c>
      <c r="S357" s="6">
        <f>B357*LN(B357/首页!$B$4)</f>
        <v>1.5875833205929986</v>
      </c>
      <c r="T357" s="6">
        <f>2*首页!$B$8*(E357-C357)/(R357*(C357-D357))</f>
        <v>7.0929083693482928E-2</v>
      </c>
      <c r="U357" t="str">
        <f>IF(首页!$B$13="自然对流","按自然对流公式", "按强制对流公式")</f>
        <v>按自然对流公式</v>
      </c>
      <c r="V357" s="6">
        <f t="shared" si="53"/>
        <v>1.5166542368995157</v>
      </c>
    </row>
    <row r="358" spans="1:22" x14ac:dyDescent="0.15">
      <c r="A358">
        <v>353</v>
      </c>
      <c r="B358" s="6">
        <f>首页!$B$4+2*A358/1000</f>
        <v>0.82599999999999996</v>
      </c>
      <c r="C358" s="6">
        <f>首页!$B$7+273.15</f>
        <v>388.15</v>
      </c>
      <c r="D358" s="6">
        <f>首页!$B$6+273.15</f>
        <v>293.14999999999998</v>
      </c>
      <c r="E358" s="6">
        <f>首页!$B$5+273.15</f>
        <v>1373.15</v>
      </c>
      <c r="F358" s="6">
        <f t="shared" si="45"/>
        <v>95</v>
      </c>
      <c r="G358" s="6">
        <f t="shared" si="46"/>
        <v>340.65</v>
      </c>
      <c r="H358" s="6">
        <f t="shared" si="47"/>
        <v>1.9926207055139041E-5</v>
      </c>
      <c r="I358" s="7">
        <f t="shared" si="48"/>
        <v>1158916576932337.8</v>
      </c>
      <c r="J358" s="6">
        <f t="shared" si="49"/>
        <v>1.0226038455893147</v>
      </c>
      <c r="K358" s="7">
        <f>J358*H358*首页!$B$12/P358</f>
        <v>0.69532757496605813</v>
      </c>
      <c r="L358" s="6">
        <f>首页!$B$9*0.0000000567*((C358^4-D358^4)/(C358-D358))</f>
        <v>7.7687338005019564</v>
      </c>
      <c r="M358" s="6">
        <f>IF(首页!$B$13="自然对流",IF(首页!$B$14="立式圆筒",首页!$B$10,PI()*B358/2),PI()*B358/2)</f>
        <v>55.2</v>
      </c>
      <c r="N358" s="7">
        <f>IF(首页!$B$13="强制对流",首页!$B$11*M358/H358,0)</f>
        <v>0</v>
      </c>
      <c r="O358" s="6">
        <f>IF(首页!$B$13="自然对流",IF(首页!$B$14="立式圆筒",(0.825+0.3063*I358^(1/6))^2+0.87*(M358/B358),(0.752+0.303*I358^(1/6))^2),0.3+SQRT((0.592*N358^0.5)^2+(0.0262*N358^0.8/(1-0.5/N358^0.1))^2))</f>
        <v>10077.34793877025</v>
      </c>
      <c r="P358" s="6">
        <f t="shared" si="50"/>
        <v>2.9510194925512497E-2</v>
      </c>
      <c r="Q358" s="6">
        <f t="shared" si="51"/>
        <v>5.3874003986471308</v>
      </c>
      <c r="R358" s="6">
        <f t="shared" si="52"/>
        <v>13.156134199149086</v>
      </c>
      <c r="S358" s="6">
        <f>B358*LN(B358/首页!$B$4)</f>
        <v>1.5934391033903579</v>
      </c>
      <c r="T358" s="6">
        <f>2*首页!$B$8*(E358-C358)/(R358*(C358-D358))</f>
        <v>7.092949042714973E-2</v>
      </c>
      <c r="U358" t="str">
        <f>IF(首页!$B$13="自然对流","按自然对流公式", "按强制对流公式")</f>
        <v>按自然对流公式</v>
      </c>
      <c r="V358" s="6">
        <f t="shared" si="53"/>
        <v>1.5225096129632081</v>
      </c>
    </row>
    <row r="359" spans="1:22" x14ac:dyDescent="0.15">
      <c r="A359">
        <v>354</v>
      </c>
      <c r="B359" s="6">
        <f>首页!$B$4+2*A359/1000</f>
        <v>0.82799999999999996</v>
      </c>
      <c r="C359" s="6">
        <f>首页!$B$7+273.15</f>
        <v>388.15</v>
      </c>
      <c r="D359" s="6">
        <f>首页!$B$6+273.15</f>
        <v>293.14999999999998</v>
      </c>
      <c r="E359" s="6">
        <f>首页!$B$5+273.15</f>
        <v>1373.15</v>
      </c>
      <c r="F359" s="6">
        <f t="shared" si="45"/>
        <v>95</v>
      </c>
      <c r="G359" s="6">
        <f t="shared" si="46"/>
        <v>340.65</v>
      </c>
      <c r="H359" s="6">
        <f t="shared" si="47"/>
        <v>1.9926207055139041E-5</v>
      </c>
      <c r="I359" s="7">
        <f t="shared" si="48"/>
        <v>1158916576932337.8</v>
      </c>
      <c r="J359" s="6">
        <f t="shared" si="49"/>
        <v>1.0226038455893147</v>
      </c>
      <c r="K359" s="7">
        <f>J359*H359*首页!$B$12/P359</f>
        <v>0.69532757496605813</v>
      </c>
      <c r="L359" s="6">
        <f>首页!$B$9*0.0000000567*((C359^4-D359^4)/(C359-D359))</f>
        <v>7.7687338005019564</v>
      </c>
      <c r="M359" s="6">
        <f>IF(首页!$B$13="自然对流",IF(首页!$B$14="立式圆筒",首页!$B$10,PI()*B359/2),PI()*B359/2)</f>
        <v>55.2</v>
      </c>
      <c r="N359" s="7">
        <f>IF(首页!$B$13="强制对流",首页!$B$11*M359/H359,0)</f>
        <v>0</v>
      </c>
      <c r="O359" s="6">
        <f>IF(首页!$B$13="自然对流",IF(首页!$B$14="立式圆筒",(0.825+0.3063*I359^(1/6))^2+0.87*(M359/B359),(0.752+0.303*I359^(1/6))^2),0.3+SQRT((0.592*N359^0.5)^2+(0.0262*N359^0.8/(1-0.5/N359^0.1))^2))</f>
        <v>10077.2075029349</v>
      </c>
      <c r="P359" s="6">
        <f t="shared" si="50"/>
        <v>2.9510194925512497E-2</v>
      </c>
      <c r="Q359" s="6">
        <f t="shared" si="51"/>
        <v>5.3873253209501071</v>
      </c>
      <c r="R359" s="6">
        <f t="shared" si="52"/>
        <v>13.156059121452063</v>
      </c>
      <c r="S359" s="6">
        <f>B359*LN(B359/首页!$B$4)</f>
        <v>1.5992997288074609</v>
      </c>
      <c r="T359" s="6">
        <f>2*首页!$B$8*(E359-C359)/(R359*(C359-D359))</f>
        <v>7.0929895200550569E-2</v>
      </c>
      <c r="U359" t="str">
        <f>IF(首页!$B$13="自然对流","按自然对流公式", "按强制对流公式")</f>
        <v>按自然对流公式</v>
      </c>
      <c r="V359" s="6">
        <f t="shared" si="53"/>
        <v>1.5283698336069103</v>
      </c>
    </row>
    <row r="360" spans="1:22" x14ac:dyDescent="0.15">
      <c r="A360">
        <v>355</v>
      </c>
      <c r="B360" s="6">
        <f>首页!$B$4+2*A360/1000</f>
        <v>0.83</v>
      </c>
      <c r="C360" s="6">
        <f>首页!$B$7+273.15</f>
        <v>388.15</v>
      </c>
      <c r="D360" s="6">
        <f>首页!$B$6+273.15</f>
        <v>293.14999999999998</v>
      </c>
      <c r="E360" s="6">
        <f>首页!$B$5+273.15</f>
        <v>1373.15</v>
      </c>
      <c r="F360" s="6">
        <f t="shared" si="45"/>
        <v>95</v>
      </c>
      <c r="G360" s="6">
        <f t="shared" si="46"/>
        <v>340.65</v>
      </c>
      <c r="H360" s="6">
        <f t="shared" si="47"/>
        <v>1.9926207055139041E-5</v>
      </c>
      <c r="I360" s="7">
        <f t="shared" si="48"/>
        <v>1158916576932337.8</v>
      </c>
      <c r="J360" s="6">
        <f t="shared" si="49"/>
        <v>1.0226038455893147</v>
      </c>
      <c r="K360" s="7">
        <f>J360*H360*首页!$B$12/P360</f>
        <v>0.69532757496605813</v>
      </c>
      <c r="L360" s="6">
        <f>首页!$B$9*0.0000000567*((C360^4-D360^4)/(C360-D360))</f>
        <v>7.7687338005019564</v>
      </c>
      <c r="M360" s="6">
        <f>IF(首页!$B$13="自然对流",IF(首页!$B$14="立式圆筒",首页!$B$10,PI()*B360/2),PI()*B360/2)</f>
        <v>55.2</v>
      </c>
      <c r="N360" s="7">
        <f>IF(首页!$B$13="强制对流",首页!$B$11*M360/H360,0)</f>
        <v>0</v>
      </c>
      <c r="O360" s="6">
        <f>IF(首页!$B$13="自然对流",IF(首页!$B$14="立式圆筒",(0.825+0.3063*I360^(1/6))^2+0.87*(M360/B360),(0.752+0.303*I360^(1/6))^2),0.3+SQRT((0.592*N360^0.5)^2+(0.0262*N360^0.8/(1-0.5/N360^0.1))^2))</f>
        <v>10077.067743898755</v>
      </c>
      <c r="P360" s="6">
        <f t="shared" si="50"/>
        <v>2.9510194925512497E-2</v>
      </c>
      <c r="Q360" s="6">
        <f t="shared" si="51"/>
        <v>5.3872506050733096</v>
      </c>
      <c r="R360" s="6">
        <f t="shared" si="52"/>
        <v>13.155984405575266</v>
      </c>
      <c r="S360" s="6">
        <f>B360*LN(B360/首页!$B$4)</f>
        <v>1.605165185147136</v>
      </c>
      <c r="T360" s="6">
        <f>2*首页!$B$8*(E360-C360)/(R360*(C360-D360))</f>
        <v>7.0930298027822761E-2</v>
      </c>
      <c r="U360" t="str">
        <f>IF(首页!$B$13="自然对流","按自然对流公式", "按强制对流公式")</f>
        <v>按自然对流公式</v>
      </c>
      <c r="V360" s="6">
        <f t="shared" si="53"/>
        <v>1.5342348871193132</v>
      </c>
    </row>
    <row r="361" spans="1:22" x14ac:dyDescent="0.15">
      <c r="A361">
        <v>356</v>
      </c>
      <c r="B361" s="6">
        <f>首页!$B$4+2*A361/1000</f>
        <v>0.83199999999999996</v>
      </c>
      <c r="C361" s="6">
        <f>首页!$B$7+273.15</f>
        <v>388.15</v>
      </c>
      <c r="D361" s="6">
        <f>首页!$B$6+273.15</f>
        <v>293.14999999999998</v>
      </c>
      <c r="E361" s="6">
        <f>首页!$B$5+273.15</f>
        <v>1373.15</v>
      </c>
      <c r="F361" s="6">
        <f t="shared" si="45"/>
        <v>95</v>
      </c>
      <c r="G361" s="6">
        <f t="shared" si="46"/>
        <v>340.65</v>
      </c>
      <c r="H361" s="6">
        <f t="shared" si="47"/>
        <v>1.9926207055139041E-5</v>
      </c>
      <c r="I361" s="7">
        <f t="shared" si="48"/>
        <v>1158916576932337.8</v>
      </c>
      <c r="J361" s="6">
        <f t="shared" si="49"/>
        <v>1.0226038455893147</v>
      </c>
      <c r="K361" s="7">
        <f>J361*H361*首页!$B$12/P361</f>
        <v>0.69532757496605813</v>
      </c>
      <c r="L361" s="6">
        <f>首页!$B$9*0.0000000567*((C361^4-D361^4)/(C361-D361))</f>
        <v>7.7687338005019564</v>
      </c>
      <c r="M361" s="6">
        <f>IF(首页!$B$13="自然对流",IF(首页!$B$14="立式圆筒",首页!$B$10,PI()*B361/2),PI()*B361/2)</f>
        <v>55.2</v>
      </c>
      <c r="N361" s="7">
        <f>IF(首页!$B$13="强制对流",首页!$B$11*M361/H361,0)</f>
        <v>0</v>
      </c>
      <c r="O361" s="6">
        <f>IF(首页!$B$13="自然对流",IF(首页!$B$14="立式圆筒",(0.825+0.3063*I361^(1/6))^2+0.87*(M361/B361),(0.752+0.303*I361^(1/6))^2),0.3+SQRT((0.592*N361^0.5)^2+(0.0262*N361^0.8/(1-0.5/N361^0.1))^2))</f>
        <v>10076.928656781054</v>
      </c>
      <c r="P361" s="6">
        <f t="shared" si="50"/>
        <v>2.9510194925512497E-2</v>
      </c>
      <c r="Q361" s="6">
        <f t="shared" si="51"/>
        <v>5.3871762484074583</v>
      </c>
      <c r="R361" s="6">
        <f t="shared" si="52"/>
        <v>13.155910048909416</v>
      </c>
      <c r="S361" s="6">
        <f>B361*LN(B361/首页!$B$4)</f>
        <v>1.6110354607685833</v>
      </c>
      <c r="T361" s="6">
        <f>2*首页!$B$8*(E361-C361)/(R361*(C361-D361))</f>
        <v>7.0930698922967939E-2</v>
      </c>
      <c r="U361" t="str">
        <f>IF(首页!$B$13="自然对流","按自然对流公式", "按强制对流公式")</f>
        <v>按自然对流公式</v>
      </c>
      <c r="V361" s="6">
        <f t="shared" si="53"/>
        <v>1.5401047618456154</v>
      </c>
    </row>
    <row r="362" spans="1:22" x14ac:dyDescent="0.15">
      <c r="A362">
        <v>357</v>
      </c>
      <c r="B362" s="6">
        <f>首页!$B$4+2*A362/1000</f>
        <v>0.83399999999999996</v>
      </c>
      <c r="C362" s="6">
        <f>首页!$B$7+273.15</f>
        <v>388.15</v>
      </c>
      <c r="D362" s="6">
        <f>首页!$B$6+273.15</f>
        <v>293.14999999999998</v>
      </c>
      <c r="E362" s="6">
        <f>首页!$B$5+273.15</f>
        <v>1373.15</v>
      </c>
      <c r="F362" s="6">
        <f t="shared" si="45"/>
        <v>95</v>
      </c>
      <c r="G362" s="6">
        <f t="shared" si="46"/>
        <v>340.65</v>
      </c>
      <c r="H362" s="6">
        <f t="shared" si="47"/>
        <v>1.9926207055139041E-5</v>
      </c>
      <c r="I362" s="7">
        <f t="shared" si="48"/>
        <v>1158916576932337.8</v>
      </c>
      <c r="J362" s="6">
        <f t="shared" si="49"/>
        <v>1.0226038455893147</v>
      </c>
      <c r="K362" s="7">
        <f>J362*H362*首页!$B$12/P362</f>
        <v>0.69532757496605813</v>
      </c>
      <c r="L362" s="6">
        <f>首页!$B$9*0.0000000567*((C362^4-D362^4)/(C362-D362))</f>
        <v>7.7687338005019564</v>
      </c>
      <c r="M362" s="6">
        <f>IF(首页!$B$13="自然对流",IF(首页!$B$14="立式圆筒",首页!$B$10,PI()*B362/2),PI()*B362/2)</f>
        <v>55.2</v>
      </c>
      <c r="N362" s="7">
        <f>IF(首页!$B$13="强制对流",首页!$B$11*M362/H362,0)</f>
        <v>0</v>
      </c>
      <c r="O362" s="6">
        <f>IF(首页!$B$13="自然对流",IF(首页!$B$14="立式圆筒",(0.825+0.3063*I362^(1/6))^2+0.87*(M362/B362),(0.752+0.303*I362^(1/6))^2),0.3+SQRT((0.592*N362^0.5)^2+(0.0262*N362^0.8/(1-0.5/N362^0.1))^2))</f>
        <v>10076.790236747849</v>
      </c>
      <c r="P362" s="6">
        <f t="shared" si="50"/>
        <v>2.9510194925512497E-2</v>
      </c>
      <c r="Q362" s="6">
        <f t="shared" si="51"/>
        <v>5.3871022483683006</v>
      </c>
      <c r="R362" s="6">
        <f t="shared" si="52"/>
        <v>13.155836048870256</v>
      </c>
      <c r="S362" s="6">
        <f>B362*LN(B362/首页!$B$4)</f>
        <v>1.6169105440869684</v>
      </c>
      <c r="T362" s="6">
        <f>2*首页!$B$8*(E362-C362)/(R362*(C362-D362))</f>
        <v>7.0931097899853815E-2</v>
      </c>
      <c r="U362" t="str">
        <f>IF(首页!$B$13="自然对流","按自然对流公式", "按强制对流公式")</f>
        <v>按自然对流公式</v>
      </c>
      <c r="V362" s="6">
        <f t="shared" si="53"/>
        <v>1.5459794461871146</v>
      </c>
    </row>
    <row r="363" spans="1:22" x14ac:dyDescent="0.15">
      <c r="A363">
        <v>358</v>
      </c>
      <c r="B363" s="6">
        <f>首页!$B$4+2*A363/1000</f>
        <v>0.83599999999999997</v>
      </c>
      <c r="C363" s="6">
        <f>首页!$B$7+273.15</f>
        <v>388.15</v>
      </c>
      <c r="D363" s="6">
        <f>首页!$B$6+273.15</f>
        <v>293.14999999999998</v>
      </c>
      <c r="E363" s="6">
        <f>首页!$B$5+273.15</f>
        <v>1373.15</v>
      </c>
      <c r="F363" s="6">
        <f t="shared" si="45"/>
        <v>95</v>
      </c>
      <c r="G363" s="6">
        <f t="shared" si="46"/>
        <v>340.65</v>
      </c>
      <c r="H363" s="6">
        <f t="shared" si="47"/>
        <v>1.9926207055139041E-5</v>
      </c>
      <c r="I363" s="7">
        <f t="shared" si="48"/>
        <v>1158916576932337.8</v>
      </c>
      <c r="J363" s="6">
        <f t="shared" si="49"/>
        <v>1.0226038455893147</v>
      </c>
      <c r="K363" s="7">
        <f>J363*H363*首页!$B$12/P363</f>
        <v>0.69532757496605813</v>
      </c>
      <c r="L363" s="6">
        <f>首页!$B$9*0.0000000567*((C363^4-D363^4)/(C363-D363))</f>
        <v>7.7687338005019564</v>
      </c>
      <c r="M363" s="6">
        <f>IF(首页!$B$13="自然对流",IF(首页!$B$14="立式圆筒",首页!$B$10,PI()*B363/2),PI()*B363/2)</f>
        <v>55.2</v>
      </c>
      <c r="N363" s="7">
        <f>IF(首页!$B$13="强制对流",首页!$B$11*M363/H363,0)</f>
        <v>0</v>
      </c>
      <c r="O363" s="6">
        <f>IF(首页!$B$13="自然对流",IF(首页!$B$14="立式圆筒",(0.825+0.3063*I363^(1/6))^2+0.87*(M363/B363),(0.752+0.303*I363^(1/6))^2),0.3+SQRT((0.592*N363^0.5)^2+(0.0262*N363^0.8/(1-0.5/N363^0.1))^2))</f>
        <v>10076.652479011454</v>
      </c>
      <c r="P363" s="6">
        <f t="shared" si="50"/>
        <v>2.9510194925512497E-2</v>
      </c>
      <c r="Q363" s="6">
        <f t="shared" si="51"/>
        <v>5.3870286023963168</v>
      </c>
      <c r="R363" s="6">
        <f t="shared" si="52"/>
        <v>13.155762402898272</v>
      </c>
      <c r="S363" s="6">
        <f>B363*LN(B363/首页!$B$4)</f>
        <v>1.6227904235730202</v>
      </c>
      <c r="T363" s="6">
        <f>2*首页!$B$8*(E363-C363)/(R363*(C363-D363))</f>
        <v>7.0931494972215625E-2</v>
      </c>
      <c r="U363" t="str">
        <f>IF(首页!$B$13="自然对流","按自然对流公式", "按强制对流公式")</f>
        <v>按自然对流公式</v>
      </c>
      <c r="V363" s="6">
        <f t="shared" si="53"/>
        <v>1.5518589286008044</v>
      </c>
    </row>
    <row r="364" spans="1:22" x14ac:dyDescent="0.15">
      <c r="A364">
        <v>359</v>
      </c>
      <c r="B364" s="6">
        <f>首页!$B$4+2*A364/1000</f>
        <v>0.83799999999999997</v>
      </c>
      <c r="C364" s="6">
        <f>首页!$B$7+273.15</f>
        <v>388.15</v>
      </c>
      <c r="D364" s="6">
        <f>首页!$B$6+273.15</f>
        <v>293.14999999999998</v>
      </c>
      <c r="E364" s="6">
        <f>首页!$B$5+273.15</f>
        <v>1373.15</v>
      </c>
      <c r="F364" s="6">
        <f t="shared" si="45"/>
        <v>95</v>
      </c>
      <c r="G364" s="6">
        <f t="shared" si="46"/>
        <v>340.65</v>
      </c>
      <c r="H364" s="6">
        <f t="shared" si="47"/>
        <v>1.9926207055139041E-5</v>
      </c>
      <c r="I364" s="7">
        <f t="shared" si="48"/>
        <v>1158916576932337.8</v>
      </c>
      <c r="J364" s="6">
        <f t="shared" si="49"/>
        <v>1.0226038455893147</v>
      </c>
      <c r="K364" s="7">
        <f>J364*H364*首页!$B$12/P364</f>
        <v>0.69532757496605813</v>
      </c>
      <c r="L364" s="6">
        <f>首页!$B$9*0.0000000567*((C364^4-D364^4)/(C364-D364))</f>
        <v>7.7687338005019564</v>
      </c>
      <c r="M364" s="6">
        <f>IF(首页!$B$13="自然对流",IF(首页!$B$14="立式圆筒",首页!$B$10,PI()*B364/2),PI()*B364/2)</f>
        <v>55.2</v>
      </c>
      <c r="N364" s="7">
        <f>IF(首页!$B$13="强制对流",首页!$B$11*M364/H364,0)</f>
        <v>0</v>
      </c>
      <c r="O364" s="6">
        <f>IF(首页!$B$13="自然对流",IF(首页!$B$14="立式圆筒",(0.825+0.3063*I364^(1/6))^2+0.87*(M364/B364),(0.752+0.303*I364^(1/6))^2),0.3+SQRT((0.592*N364^0.5)^2+(0.0262*N364^0.8/(1-0.5/N364^0.1))^2))</f>
        <v>10076.515378829889</v>
      </c>
      <c r="P364" s="6">
        <f t="shared" si="50"/>
        <v>2.9510194925512497E-2</v>
      </c>
      <c r="Q364" s="6">
        <f t="shared" si="51"/>
        <v>5.3869553079564207</v>
      </c>
      <c r="R364" s="6">
        <f t="shared" si="52"/>
        <v>13.155689108458377</v>
      </c>
      <c r="S364" s="6">
        <f>B364*LN(B364/首页!$B$4)</f>
        <v>1.628675087752631</v>
      </c>
      <c r="T364" s="6">
        <f>2*首页!$B$8*(E364-C364)/(R364*(C364-D364))</f>
        <v>7.093189015365782E-2</v>
      </c>
      <c r="U364" t="str">
        <f>IF(首页!$B$13="自然对流","按自然对流公式", "按强制对流公式")</f>
        <v>按自然对流公式</v>
      </c>
      <c r="V364" s="6">
        <f t="shared" si="53"/>
        <v>1.5577431975989733</v>
      </c>
    </row>
    <row r="365" spans="1:22" x14ac:dyDescent="0.15">
      <c r="A365">
        <v>360</v>
      </c>
      <c r="B365" s="6">
        <f>首页!$B$4+2*A365/1000</f>
        <v>0.84</v>
      </c>
      <c r="C365" s="6">
        <f>首页!$B$7+273.15</f>
        <v>388.15</v>
      </c>
      <c r="D365" s="6">
        <f>首页!$B$6+273.15</f>
        <v>293.14999999999998</v>
      </c>
      <c r="E365" s="6">
        <f>首页!$B$5+273.15</f>
        <v>1373.15</v>
      </c>
      <c r="F365" s="6">
        <f t="shared" si="45"/>
        <v>95</v>
      </c>
      <c r="G365" s="6">
        <f t="shared" si="46"/>
        <v>340.65</v>
      </c>
      <c r="H365" s="6">
        <f t="shared" si="47"/>
        <v>1.9926207055139041E-5</v>
      </c>
      <c r="I365" s="7">
        <f t="shared" si="48"/>
        <v>1158916576932337.8</v>
      </c>
      <c r="J365" s="6">
        <f t="shared" si="49"/>
        <v>1.0226038455893147</v>
      </c>
      <c r="K365" s="7">
        <f>J365*H365*首页!$B$12/P365</f>
        <v>0.69532757496605813</v>
      </c>
      <c r="L365" s="6">
        <f>首页!$B$9*0.0000000567*((C365^4-D365^4)/(C365-D365))</f>
        <v>7.7687338005019564</v>
      </c>
      <c r="M365" s="6">
        <f>IF(首页!$B$13="自然对流",IF(首页!$B$14="立式圆筒",首页!$B$10,PI()*B365/2),PI()*B365/2)</f>
        <v>55.2</v>
      </c>
      <c r="N365" s="7">
        <f>IF(首页!$B$13="强制对流",首页!$B$11*M365/H365,0)</f>
        <v>0</v>
      </c>
      <c r="O365" s="6">
        <f>IF(首页!$B$13="自然对流",IF(首页!$B$14="立式圆筒",(0.825+0.3063*I365^(1/6))^2+0.87*(M365/B365),(0.752+0.303*I365^(1/6))^2),0.3+SQRT((0.592*N365^0.5)^2+(0.0262*N365^0.8/(1-0.5/N365^0.1))^2))</f>
        <v>10076.378931506328</v>
      </c>
      <c r="P365" s="6">
        <f t="shared" si="50"/>
        <v>2.9510194925512497E-2</v>
      </c>
      <c r="Q365" s="6">
        <f t="shared" si="51"/>
        <v>5.3868823625376638</v>
      </c>
      <c r="R365" s="6">
        <f t="shared" si="52"/>
        <v>13.155616163039621</v>
      </c>
      <c r="S365" s="6">
        <f>B365*LN(B365/首页!$B$4)</f>
        <v>1.6345645252064631</v>
      </c>
      <c r="T365" s="6">
        <f>2*首页!$B$8*(E365-C365)/(R365*(C365-D365))</f>
        <v>7.0932283457655607E-2</v>
      </c>
      <c r="U365" t="str">
        <f>IF(首页!$B$13="自然对流","按自然对流公式", "按强制对流公式")</f>
        <v>按自然对流公式</v>
      </c>
      <c r="V365" s="6">
        <f t="shared" si="53"/>
        <v>1.5636322417488075</v>
      </c>
    </row>
    <row r="366" spans="1:22" x14ac:dyDescent="0.15">
      <c r="A366">
        <v>361</v>
      </c>
      <c r="B366" s="6">
        <f>首页!$B$4+2*A366/1000</f>
        <v>0.84199999999999997</v>
      </c>
      <c r="C366" s="6">
        <f>首页!$B$7+273.15</f>
        <v>388.15</v>
      </c>
      <c r="D366" s="6">
        <f>首页!$B$6+273.15</f>
        <v>293.14999999999998</v>
      </c>
      <c r="E366" s="6">
        <f>首页!$B$5+273.15</f>
        <v>1373.15</v>
      </c>
      <c r="F366" s="6">
        <f t="shared" si="45"/>
        <v>95</v>
      </c>
      <c r="G366" s="6">
        <f t="shared" si="46"/>
        <v>340.65</v>
      </c>
      <c r="H366" s="6">
        <f t="shared" si="47"/>
        <v>1.9926207055139041E-5</v>
      </c>
      <c r="I366" s="7">
        <f t="shared" si="48"/>
        <v>1158916576932337.8</v>
      </c>
      <c r="J366" s="6">
        <f t="shared" si="49"/>
        <v>1.0226038455893147</v>
      </c>
      <c r="K366" s="7">
        <f>J366*H366*首页!$B$12/P366</f>
        <v>0.69532757496605813</v>
      </c>
      <c r="L366" s="6">
        <f>首页!$B$9*0.0000000567*((C366^4-D366^4)/(C366-D366))</f>
        <v>7.7687338005019564</v>
      </c>
      <c r="M366" s="6">
        <f>IF(首页!$B$13="自然对流",IF(首页!$B$14="立式圆筒",首页!$B$10,PI()*B366/2),PI()*B366/2)</f>
        <v>55.2</v>
      </c>
      <c r="N366" s="7">
        <f>IF(首页!$B$13="强制对流",首页!$B$11*M366/H366,0)</f>
        <v>0</v>
      </c>
      <c r="O366" s="6">
        <f>IF(首页!$B$13="自然对流",IF(首页!$B$14="立式圆筒",(0.825+0.3063*I366^(1/6))^2+0.87*(M366/B366),(0.752+0.303*I366^(1/6))^2),0.3+SQRT((0.592*N366^0.5)^2+(0.0262*N366^0.8/(1-0.5/N366^0.1))^2))</f>
        <v>10076.243132388581</v>
      </c>
      <c r="P366" s="6">
        <f t="shared" si="50"/>
        <v>2.9510194925512497E-2</v>
      </c>
      <c r="Q366" s="6">
        <f t="shared" si="51"/>
        <v>5.3868097636529644</v>
      </c>
      <c r="R366" s="6">
        <f t="shared" si="52"/>
        <v>13.155543564154922</v>
      </c>
      <c r="S366" s="6">
        <f>B366*LN(B366/首页!$B$4)</f>
        <v>1.6404587245695563</v>
      </c>
      <c r="T366" s="6">
        <f>2*首页!$B$8*(E366-C366)/(R366*(C366-D366))</f>
        <v>7.0932674897556461E-2</v>
      </c>
      <c r="U366" t="str">
        <f>IF(首页!$B$13="自然对流","按自然对流公式", "按强制对流公式")</f>
        <v>按自然对流公式</v>
      </c>
      <c r="V366" s="6">
        <f t="shared" si="53"/>
        <v>1.5695260496719998</v>
      </c>
    </row>
    <row r="367" spans="1:22" x14ac:dyDescent="0.15">
      <c r="A367">
        <v>362</v>
      </c>
      <c r="B367" s="6">
        <f>首页!$B$4+2*A367/1000</f>
        <v>0.84399999999999997</v>
      </c>
      <c r="C367" s="6">
        <f>首页!$B$7+273.15</f>
        <v>388.15</v>
      </c>
      <c r="D367" s="6">
        <f>首页!$B$6+273.15</f>
        <v>293.14999999999998</v>
      </c>
      <c r="E367" s="6">
        <f>首页!$B$5+273.15</f>
        <v>1373.15</v>
      </c>
      <c r="F367" s="6">
        <f t="shared" si="45"/>
        <v>95</v>
      </c>
      <c r="G367" s="6">
        <f t="shared" si="46"/>
        <v>340.65</v>
      </c>
      <c r="H367" s="6">
        <f t="shared" si="47"/>
        <v>1.9926207055139041E-5</v>
      </c>
      <c r="I367" s="7">
        <f t="shared" si="48"/>
        <v>1158916576932337.8</v>
      </c>
      <c r="J367" s="6">
        <f t="shared" si="49"/>
        <v>1.0226038455893147</v>
      </c>
      <c r="K367" s="7">
        <f>J367*H367*首页!$B$12/P367</f>
        <v>0.69532757496605813</v>
      </c>
      <c r="L367" s="6">
        <f>首页!$B$9*0.0000000567*((C367^4-D367^4)/(C367-D367))</f>
        <v>7.7687338005019564</v>
      </c>
      <c r="M367" s="6">
        <f>IF(首页!$B$13="自然对流",IF(首页!$B$14="立式圆筒",首页!$B$10,PI()*B367/2),PI()*B367/2)</f>
        <v>55.2</v>
      </c>
      <c r="N367" s="7">
        <f>IF(首页!$B$13="强制对流",首页!$B$11*M367/H367,0)</f>
        <v>0</v>
      </c>
      <c r="O367" s="6">
        <f>IF(首页!$B$13="自然对流",IF(首页!$B$14="立式圆筒",(0.825+0.3063*I367^(1/6))^2+0.87*(M367/B367),(0.752+0.303*I367^(1/6))^2),0.3+SQRT((0.592*N367^0.5)^2+(0.0262*N367^0.8/(1-0.5/N367^0.1))^2))</f>
        <v>10076.107976868549</v>
      </c>
      <c r="P367" s="6">
        <f t="shared" si="50"/>
        <v>2.9510194925512497E-2</v>
      </c>
      <c r="Q367" s="6">
        <f t="shared" si="51"/>
        <v>5.3867375088388085</v>
      </c>
      <c r="R367" s="6">
        <f t="shared" si="52"/>
        <v>13.155471309340765</v>
      </c>
      <c r="S367" s="6">
        <f>B367*LN(B367/首页!$B$4)</f>
        <v>1.646357674530941</v>
      </c>
      <c r="T367" s="6">
        <f>2*首页!$B$8*(E367-C367)/(R367*(C367-D367))</f>
        <v>7.0933064486581571E-2</v>
      </c>
      <c r="U367" t="str">
        <f>IF(首页!$B$13="自然对流","按自然对流公式", "按强制对流公式")</f>
        <v>按自然对流公式</v>
      </c>
      <c r="V367" s="6">
        <f t="shared" si="53"/>
        <v>1.5754246100443594</v>
      </c>
    </row>
    <row r="368" spans="1:22" x14ac:dyDescent="0.15">
      <c r="A368">
        <v>363</v>
      </c>
      <c r="B368" s="6">
        <f>首页!$B$4+2*A368/1000</f>
        <v>0.84599999999999997</v>
      </c>
      <c r="C368" s="6">
        <f>首页!$B$7+273.15</f>
        <v>388.15</v>
      </c>
      <c r="D368" s="6">
        <f>首页!$B$6+273.15</f>
        <v>293.14999999999998</v>
      </c>
      <c r="E368" s="6">
        <f>首页!$B$5+273.15</f>
        <v>1373.15</v>
      </c>
      <c r="F368" s="6">
        <f t="shared" si="45"/>
        <v>95</v>
      </c>
      <c r="G368" s="6">
        <f t="shared" si="46"/>
        <v>340.65</v>
      </c>
      <c r="H368" s="6">
        <f t="shared" si="47"/>
        <v>1.9926207055139041E-5</v>
      </c>
      <c r="I368" s="7">
        <f t="shared" si="48"/>
        <v>1158916576932337.8</v>
      </c>
      <c r="J368" s="6">
        <f t="shared" si="49"/>
        <v>1.0226038455893147</v>
      </c>
      <c r="K368" s="7">
        <f>J368*H368*首页!$B$12/P368</f>
        <v>0.69532757496605813</v>
      </c>
      <c r="L368" s="6">
        <f>首页!$B$9*0.0000000567*((C368^4-D368^4)/(C368-D368))</f>
        <v>7.7687338005019564</v>
      </c>
      <c r="M368" s="6">
        <f>IF(首页!$B$13="自然对流",IF(首页!$B$14="立式圆筒",首页!$B$10,PI()*B368/2),PI()*B368/2)</f>
        <v>55.2</v>
      </c>
      <c r="N368" s="7">
        <f>IF(首页!$B$13="强制对流",首页!$B$11*M368/H368,0)</f>
        <v>0</v>
      </c>
      <c r="O368" s="6">
        <f>IF(首页!$B$13="自然对流",IF(首页!$B$14="立式圆筒",(0.825+0.3063*I368^(1/6))^2+0.87*(M368/B368),(0.752+0.303*I368^(1/6))^2),0.3+SQRT((0.592*N368^0.5)^2+(0.0262*N368^0.8/(1-0.5/N368^0.1))^2))</f>
        <v>10075.973460381709</v>
      </c>
      <c r="P368" s="6">
        <f t="shared" si="50"/>
        <v>2.9510194925512497E-2</v>
      </c>
      <c r="Q368" s="6">
        <f t="shared" si="51"/>
        <v>5.3866655956549794</v>
      </c>
      <c r="R368" s="6">
        <f t="shared" si="52"/>
        <v>13.155399396156936</v>
      </c>
      <c r="S368" s="6">
        <f>B368*LN(B368/首页!$B$4)</f>
        <v>1.6522613638332539</v>
      </c>
      <c r="T368" s="6">
        <f>2*首页!$B$8*(E368-C368)/(R368*(C368-D368))</f>
        <v>7.0933452237827446E-2</v>
      </c>
      <c r="U368" t="str">
        <f>IF(首页!$B$13="自然对流","按自然对流公式", "按强制对流公式")</f>
        <v>按自然对流公式</v>
      </c>
      <c r="V368" s="6">
        <f t="shared" si="53"/>
        <v>1.5813279115954264</v>
      </c>
    </row>
    <row r="369" spans="1:22" x14ac:dyDescent="0.15">
      <c r="A369">
        <v>364</v>
      </c>
      <c r="B369" s="6">
        <f>首页!$B$4+2*A369/1000</f>
        <v>0.84799999999999998</v>
      </c>
      <c r="C369" s="6">
        <f>首页!$B$7+273.15</f>
        <v>388.15</v>
      </c>
      <c r="D369" s="6">
        <f>首页!$B$6+273.15</f>
        <v>293.14999999999998</v>
      </c>
      <c r="E369" s="6">
        <f>首页!$B$5+273.15</f>
        <v>1373.15</v>
      </c>
      <c r="F369" s="6">
        <f t="shared" si="45"/>
        <v>95</v>
      </c>
      <c r="G369" s="6">
        <f t="shared" si="46"/>
        <v>340.65</v>
      </c>
      <c r="H369" s="6">
        <f t="shared" si="47"/>
        <v>1.9926207055139041E-5</v>
      </c>
      <c r="I369" s="7">
        <f t="shared" si="48"/>
        <v>1158916576932337.8</v>
      </c>
      <c r="J369" s="6">
        <f t="shared" si="49"/>
        <v>1.0226038455893147</v>
      </c>
      <c r="K369" s="7">
        <f>J369*H369*首页!$B$12/P369</f>
        <v>0.69532757496605813</v>
      </c>
      <c r="L369" s="6">
        <f>首页!$B$9*0.0000000567*((C369^4-D369^4)/(C369-D369))</f>
        <v>7.7687338005019564</v>
      </c>
      <c r="M369" s="6">
        <f>IF(首页!$B$13="自然对流",IF(首页!$B$14="立式圆筒",首页!$B$10,PI()*B369/2),PI()*B369/2)</f>
        <v>55.2</v>
      </c>
      <c r="N369" s="7">
        <f>IF(首页!$B$13="强制对流",首页!$B$11*M369/H369,0)</f>
        <v>0</v>
      </c>
      <c r="O369" s="6">
        <f>IF(首页!$B$13="自然对流",IF(首页!$B$14="立式圆筒",(0.825+0.3063*I369^(1/6))^2+0.87*(M369/B369),(0.752+0.303*I369^(1/6))^2),0.3+SQRT((0.592*N369^0.5)^2+(0.0262*N369^0.8/(1-0.5/N369^0.1))^2))</f>
        <v>10075.839578406598</v>
      </c>
      <c r="P369" s="6">
        <f t="shared" si="50"/>
        <v>2.9510194925512497E-2</v>
      </c>
      <c r="Q369" s="6">
        <f t="shared" si="51"/>
        <v>5.3865940216842816</v>
      </c>
      <c r="R369" s="6">
        <f t="shared" si="52"/>
        <v>13.155327822186237</v>
      </c>
      <c r="S369" s="6">
        <f>B369*LN(B369/首页!$B$4)</f>
        <v>1.6581697812723588</v>
      </c>
      <c r="T369" s="6">
        <f>2*首页!$B$8*(E369-C369)/(R369*(C369-D369))</f>
        <v>7.0933838164267349E-2</v>
      </c>
      <c r="U369" t="str">
        <f>IF(首页!$B$13="自然对流","按自然对流公式", "按强制对流公式")</f>
        <v>按自然对流公式</v>
      </c>
      <c r="V369" s="6">
        <f t="shared" si="53"/>
        <v>1.5872359431080914</v>
      </c>
    </row>
    <row r="370" spans="1:22" x14ac:dyDescent="0.15">
      <c r="A370">
        <v>365</v>
      </c>
      <c r="B370" s="6">
        <f>首页!$B$4+2*A370/1000</f>
        <v>0.85</v>
      </c>
      <c r="C370" s="6">
        <f>首页!$B$7+273.15</f>
        <v>388.15</v>
      </c>
      <c r="D370" s="6">
        <f>首页!$B$6+273.15</f>
        <v>293.14999999999998</v>
      </c>
      <c r="E370" s="6">
        <f>首页!$B$5+273.15</f>
        <v>1373.15</v>
      </c>
      <c r="F370" s="6">
        <f t="shared" si="45"/>
        <v>95</v>
      </c>
      <c r="G370" s="6">
        <f t="shared" si="46"/>
        <v>340.65</v>
      </c>
      <c r="H370" s="6">
        <f t="shared" si="47"/>
        <v>1.9926207055139041E-5</v>
      </c>
      <c r="I370" s="7">
        <f t="shared" si="48"/>
        <v>1158916576932337.8</v>
      </c>
      <c r="J370" s="6">
        <f t="shared" si="49"/>
        <v>1.0226038455893147</v>
      </c>
      <c r="K370" s="7">
        <f>J370*H370*首页!$B$12/P370</f>
        <v>0.69532757496605813</v>
      </c>
      <c r="L370" s="6">
        <f>首页!$B$9*0.0000000567*((C370^4-D370^4)/(C370-D370))</f>
        <v>7.7687338005019564</v>
      </c>
      <c r="M370" s="6">
        <f>IF(首页!$B$13="自然对流",IF(首页!$B$14="立式圆筒",首页!$B$10,PI()*B370/2),PI()*B370/2)</f>
        <v>55.2</v>
      </c>
      <c r="N370" s="7">
        <f>IF(首页!$B$13="强制对流",首页!$B$11*M370/H370,0)</f>
        <v>0</v>
      </c>
      <c r="O370" s="6">
        <f>IF(首页!$B$13="自然对流",IF(首页!$B$14="立式圆筒",(0.825+0.3063*I370^(1/6))^2+0.87*(M370/B370),(0.752+0.303*I370^(1/6))^2),0.3+SQRT((0.592*N370^0.5)^2+(0.0262*N370^0.8/(1-0.5/N370^0.1))^2))</f>
        <v>10075.706326464311</v>
      </c>
      <c r="P370" s="6">
        <f t="shared" si="50"/>
        <v>2.9510194925512497E-2</v>
      </c>
      <c r="Q370" s="6">
        <f t="shared" si="51"/>
        <v>5.3865227845322696</v>
      </c>
      <c r="R370" s="6">
        <f t="shared" si="52"/>
        <v>13.155256585034227</v>
      </c>
      <c r="S370" s="6">
        <f>B370*LN(B370/首页!$B$4)</f>
        <v>1.6640829156969685</v>
      </c>
      <c r="T370" s="6">
        <f>2*首页!$B$8*(E370-C370)/(R370*(C370-D370))</f>
        <v>7.0934222278752637E-2</v>
      </c>
      <c r="U370" t="str">
        <f>IF(首页!$B$13="自然对流","按自然对流公式", "按强制对流公式")</f>
        <v>按自然对流公式</v>
      </c>
      <c r="V370" s="6">
        <f t="shared" si="53"/>
        <v>1.593148693418216</v>
      </c>
    </row>
    <row r="371" spans="1:22" x14ac:dyDescent="0.15">
      <c r="A371">
        <v>366</v>
      </c>
      <c r="B371" s="6">
        <f>首页!$B$4+2*A371/1000</f>
        <v>0.85199999999999998</v>
      </c>
      <c r="C371" s="6">
        <f>首页!$B$7+273.15</f>
        <v>388.15</v>
      </c>
      <c r="D371" s="6">
        <f>首页!$B$6+273.15</f>
        <v>293.14999999999998</v>
      </c>
      <c r="E371" s="6">
        <f>首页!$B$5+273.15</f>
        <v>1373.15</v>
      </c>
      <c r="F371" s="6">
        <f t="shared" si="45"/>
        <v>95</v>
      </c>
      <c r="G371" s="6">
        <f t="shared" si="46"/>
        <v>340.65</v>
      </c>
      <c r="H371" s="6">
        <f t="shared" si="47"/>
        <v>1.9926207055139041E-5</v>
      </c>
      <c r="I371" s="7">
        <f t="shared" si="48"/>
        <v>1158916576932337.8</v>
      </c>
      <c r="J371" s="6">
        <f t="shared" si="49"/>
        <v>1.0226038455893147</v>
      </c>
      <c r="K371" s="7">
        <f>J371*H371*首页!$B$12/P371</f>
        <v>0.69532757496605813</v>
      </c>
      <c r="L371" s="6">
        <f>首页!$B$9*0.0000000567*((C371^4-D371^4)/(C371-D371))</f>
        <v>7.7687338005019564</v>
      </c>
      <c r="M371" s="6">
        <f>IF(首页!$B$13="自然对流",IF(首页!$B$14="立式圆筒",首页!$B$10,PI()*B371/2),PI()*B371/2)</f>
        <v>55.2</v>
      </c>
      <c r="N371" s="7">
        <f>IF(首页!$B$13="强制对流",首页!$B$11*M371/H371,0)</f>
        <v>0</v>
      </c>
      <c r="O371" s="6">
        <f>IF(首页!$B$13="自然对流",IF(首页!$B$14="立式圆筒",(0.825+0.3063*I371^(1/6))^2+0.87*(M371/B371),(0.752+0.303*I371^(1/6))^2),0.3+SQRT((0.592*N371^0.5)^2+(0.0262*N371^0.8/(1-0.5/N371^0.1))^2))</f>
        <v>10075.573700117999</v>
      </c>
      <c r="P371" s="6">
        <f t="shared" si="50"/>
        <v>2.9510194925512497E-2</v>
      </c>
      <c r="Q371" s="6">
        <f t="shared" si="51"/>
        <v>5.3864518818269804</v>
      </c>
      <c r="R371" s="6">
        <f t="shared" si="52"/>
        <v>13.155185682328938</v>
      </c>
      <c r="S371" s="6">
        <f>B371*LN(B371/首页!$B$4)</f>
        <v>1.6700007560082739</v>
      </c>
      <c r="T371" s="6">
        <f>2*首页!$B$8*(E371-C371)/(R371*(C371-D371))</f>
        <v>7.0934604594014364E-2</v>
      </c>
      <c r="U371" t="str">
        <f>IF(首页!$B$13="自然对流","按自然对流公式", "按强制对流公式")</f>
        <v>按自然对流公式</v>
      </c>
      <c r="V371" s="6">
        <f t="shared" si="53"/>
        <v>1.5990661514142595</v>
      </c>
    </row>
    <row r="372" spans="1:22" x14ac:dyDescent="0.15">
      <c r="A372">
        <v>367</v>
      </c>
      <c r="B372" s="6">
        <f>首页!$B$4+2*A372/1000</f>
        <v>0.85399999999999998</v>
      </c>
      <c r="C372" s="6">
        <f>首页!$B$7+273.15</f>
        <v>388.15</v>
      </c>
      <c r="D372" s="6">
        <f>首页!$B$6+273.15</f>
        <v>293.14999999999998</v>
      </c>
      <c r="E372" s="6">
        <f>首页!$B$5+273.15</f>
        <v>1373.15</v>
      </c>
      <c r="F372" s="6">
        <f t="shared" si="45"/>
        <v>95</v>
      </c>
      <c r="G372" s="6">
        <f t="shared" si="46"/>
        <v>340.65</v>
      </c>
      <c r="H372" s="6">
        <f t="shared" si="47"/>
        <v>1.9926207055139041E-5</v>
      </c>
      <c r="I372" s="7">
        <f t="shared" si="48"/>
        <v>1158916576932337.8</v>
      </c>
      <c r="J372" s="6">
        <f t="shared" si="49"/>
        <v>1.0226038455893147</v>
      </c>
      <c r="K372" s="7">
        <f>J372*H372*首页!$B$12/P372</f>
        <v>0.69532757496605813</v>
      </c>
      <c r="L372" s="6">
        <f>首页!$B$9*0.0000000567*((C372^4-D372^4)/(C372-D372))</f>
        <v>7.7687338005019564</v>
      </c>
      <c r="M372" s="6">
        <f>IF(首页!$B$13="自然对流",IF(首页!$B$14="立式圆筒",首页!$B$10,PI()*B372/2),PI()*B372/2)</f>
        <v>55.2</v>
      </c>
      <c r="N372" s="7">
        <f>IF(首页!$B$13="强制对流",首页!$B$11*M372/H372,0)</f>
        <v>0</v>
      </c>
      <c r="O372" s="6">
        <f>IF(首页!$B$13="自然对流",IF(首页!$B$14="立式圆筒",(0.825+0.3063*I372^(1/6))^2+0.87*(M372/B372),(0.752+0.303*I372^(1/6))^2),0.3+SQRT((0.592*N372^0.5)^2+(0.0262*N372^0.8/(1-0.5/N372^0.1))^2))</f>
        <v>10075.441694972371</v>
      </c>
      <c r="P372" s="6">
        <f t="shared" si="50"/>
        <v>2.9510194925512497E-2</v>
      </c>
      <c r="Q372" s="6">
        <f t="shared" si="51"/>
        <v>5.3863813112186714</v>
      </c>
      <c r="R372" s="6">
        <f t="shared" si="52"/>
        <v>13.155115111720628</v>
      </c>
      <c r="S372" s="6">
        <f>B372*LN(B372/首页!$B$4)</f>
        <v>1.6759232911595714</v>
      </c>
      <c r="T372" s="6">
        <f>2*首页!$B$8*(E372-C372)/(R372*(C372-D372))</f>
        <v>7.0934985122664537E-2</v>
      </c>
      <c r="U372" t="str">
        <f>IF(首页!$B$13="自然对流","按自然对流公式", "按强制对流公式")</f>
        <v>按自然对流公式</v>
      </c>
      <c r="V372" s="6">
        <f t="shared" si="53"/>
        <v>1.6049883060369068</v>
      </c>
    </row>
    <row r="373" spans="1:22" x14ac:dyDescent="0.15">
      <c r="A373">
        <v>368</v>
      </c>
      <c r="B373" s="6">
        <f>首页!$B$4+2*A373/1000</f>
        <v>0.85599999999999998</v>
      </c>
      <c r="C373" s="6">
        <f>首页!$B$7+273.15</f>
        <v>388.15</v>
      </c>
      <c r="D373" s="6">
        <f>首页!$B$6+273.15</f>
        <v>293.14999999999998</v>
      </c>
      <c r="E373" s="6">
        <f>首页!$B$5+273.15</f>
        <v>1373.15</v>
      </c>
      <c r="F373" s="6">
        <f t="shared" si="45"/>
        <v>95</v>
      </c>
      <c r="G373" s="6">
        <f t="shared" si="46"/>
        <v>340.65</v>
      </c>
      <c r="H373" s="6">
        <f t="shared" si="47"/>
        <v>1.9926207055139041E-5</v>
      </c>
      <c r="I373" s="7">
        <f t="shared" si="48"/>
        <v>1158916576932337.8</v>
      </c>
      <c r="J373" s="6">
        <f t="shared" si="49"/>
        <v>1.0226038455893147</v>
      </c>
      <c r="K373" s="7">
        <f>J373*H373*首页!$B$12/P373</f>
        <v>0.69532757496605813</v>
      </c>
      <c r="L373" s="6">
        <f>首页!$B$9*0.0000000567*((C373^4-D373^4)/(C373-D373))</f>
        <v>7.7687338005019564</v>
      </c>
      <c r="M373" s="6">
        <f>IF(首页!$B$13="自然对流",IF(首页!$B$14="立式圆筒",首页!$B$10,PI()*B373/2),PI()*B373/2)</f>
        <v>55.2</v>
      </c>
      <c r="N373" s="7">
        <f>IF(首页!$B$13="强制对流",首页!$B$11*M373/H373,0)</f>
        <v>0</v>
      </c>
      <c r="O373" s="6">
        <f>IF(首页!$B$13="自然对流",IF(首页!$B$14="立式圆筒",(0.825+0.3063*I373^(1/6))^2+0.87*(M373/B373),(0.752+0.303*I373^(1/6))^2),0.3+SQRT((0.592*N373^0.5)^2+(0.0262*N373^0.8/(1-0.5/N373^0.1))^2))</f>
        <v>10075.310306673218</v>
      </c>
      <c r="P373" s="6">
        <f t="shared" si="50"/>
        <v>2.9510194925512497E-2</v>
      </c>
      <c r="Q373" s="6">
        <f t="shared" si="51"/>
        <v>5.38631107037956</v>
      </c>
      <c r="R373" s="6">
        <f t="shared" si="52"/>
        <v>13.155044870881516</v>
      </c>
      <c r="S373" s="6">
        <f>B373*LN(B373/首页!$B$4)</f>
        <v>1.6818505101558998</v>
      </c>
      <c r="T373" s="6">
        <f>2*首页!$B$8*(E373-C373)/(R373*(C373-D373))</f>
        <v>7.0935363877197594E-2</v>
      </c>
      <c r="U373" t="str">
        <f>IF(首页!$B$13="自然对流","按自然对流公式", "按强制对流公式")</f>
        <v>按自然对流公式</v>
      </c>
      <c r="V373" s="6">
        <f t="shared" si="53"/>
        <v>1.6109151462787021</v>
      </c>
    </row>
    <row r="374" spans="1:22" x14ac:dyDescent="0.15">
      <c r="A374">
        <v>369</v>
      </c>
      <c r="B374" s="6">
        <f>首页!$B$4+2*A374/1000</f>
        <v>0.85799999999999998</v>
      </c>
      <c r="C374" s="6">
        <f>首页!$B$7+273.15</f>
        <v>388.15</v>
      </c>
      <c r="D374" s="6">
        <f>首页!$B$6+273.15</f>
        <v>293.14999999999998</v>
      </c>
      <c r="E374" s="6">
        <f>首页!$B$5+273.15</f>
        <v>1373.15</v>
      </c>
      <c r="F374" s="6">
        <f t="shared" si="45"/>
        <v>95</v>
      </c>
      <c r="G374" s="6">
        <f t="shared" si="46"/>
        <v>340.65</v>
      </c>
      <c r="H374" s="6">
        <f t="shared" si="47"/>
        <v>1.9926207055139041E-5</v>
      </c>
      <c r="I374" s="7">
        <f t="shared" si="48"/>
        <v>1158916576932337.8</v>
      </c>
      <c r="J374" s="6">
        <f t="shared" si="49"/>
        <v>1.0226038455893147</v>
      </c>
      <c r="K374" s="7">
        <f>J374*H374*首页!$B$12/P374</f>
        <v>0.69532757496605813</v>
      </c>
      <c r="L374" s="6">
        <f>首页!$B$9*0.0000000567*((C374^4-D374^4)/(C374-D374))</f>
        <v>7.7687338005019564</v>
      </c>
      <c r="M374" s="6">
        <f>IF(首页!$B$13="自然对流",IF(首页!$B$14="立式圆筒",首页!$B$10,PI()*B374/2),PI()*B374/2)</f>
        <v>55.2</v>
      </c>
      <c r="N374" s="7">
        <f>IF(首页!$B$13="强制对流",首页!$B$11*M374/H374,0)</f>
        <v>0</v>
      </c>
      <c r="O374" s="6">
        <f>IF(首页!$B$13="自然对流",IF(首页!$B$14="立式圆筒",(0.825+0.3063*I374^(1/6))^2+0.87*(M374/B374),(0.752+0.303*I374^(1/6))^2),0.3+SQRT((0.592*N374^0.5)^2+(0.0262*N374^0.8/(1-0.5/N374^0.1))^2))</f>
        <v>10075.179530906928</v>
      </c>
      <c r="P374" s="6">
        <f t="shared" si="50"/>
        <v>2.9510194925512497E-2</v>
      </c>
      <c r="Q374" s="6">
        <f t="shared" si="51"/>
        <v>5.3862411570035684</v>
      </c>
      <c r="R374" s="6">
        <f t="shared" si="52"/>
        <v>13.154974957505525</v>
      </c>
      <c r="S374" s="6">
        <f>B374*LN(B374/首页!$B$4)</f>
        <v>1.6877824020536762</v>
      </c>
      <c r="T374" s="6">
        <f>2*首页!$B$8*(E374-C374)/(R374*(C374-D374))</f>
        <v>7.0935740869991715E-2</v>
      </c>
      <c r="U374" t="str">
        <f>IF(首页!$B$13="自然对流","按自然对流公式", "按强制对流公式")</f>
        <v>按自然对流公式</v>
      </c>
      <c r="V374" s="6">
        <f t="shared" si="53"/>
        <v>1.6168466611836845</v>
      </c>
    </row>
    <row r="375" spans="1:22" x14ac:dyDescent="0.15">
      <c r="A375">
        <v>370</v>
      </c>
      <c r="B375" s="6">
        <f>首页!$B$4+2*A375/1000</f>
        <v>0.86</v>
      </c>
      <c r="C375" s="6">
        <f>首页!$B$7+273.15</f>
        <v>388.15</v>
      </c>
      <c r="D375" s="6">
        <f>首页!$B$6+273.15</f>
        <v>293.14999999999998</v>
      </c>
      <c r="E375" s="6">
        <f>首页!$B$5+273.15</f>
        <v>1373.15</v>
      </c>
      <c r="F375" s="6">
        <f t="shared" si="45"/>
        <v>95</v>
      </c>
      <c r="G375" s="6">
        <f t="shared" si="46"/>
        <v>340.65</v>
      </c>
      <c r="H375" s="6">
        <f t="shared" si="47"/>
        <v>1.9926207055139041E-5</v>
      </c>
      <c r="I375" s="7">
        <f t="shared" si="48"/>
        <v>1158916576932337.8</v>
      </c>
      <c r="J375" s="6">
        <f t="shared" si="49"/>
        <v>1.0226038455893147</v>
      </c>
      <c r="K375" s="7">
        <f>J375*H375*首页!$B$12/P375</f>
        <v>0.69532757496605813</v>
      </c>
      <c r="L375" s="6">
        <f>首页!$B$9*0.0000000567*((C375^4-D375^4)/(C375-D375))</f>
        <v>7.7687338005019564</v>
      </c>
      <c r="M375" s="6">
        <f>IF(首页!$B$13="自然对流",IF(首页!$B$14="立式圆筒",首页!$B$10,PI()*B375/2),PI()*B375/2)</f>
        <v>55.2</v>
      </c>
      <c r="N375" s="7">
        <f>IF(首页!$B$13="强制对流",首页!$B$11*M375/H375,0)</f>
        <v>0</v>
      </c>
      <c r="O375" s="6">
        <f>IF(首页!$B$13="自然对流",IF(首页!$B$14="立式圆筒",(0.825+0.3063*I375^(1/6))^2+0.87*(M375/B375),(0.752+0.303*I375^(1/6))^2),0.3+SQRT((0.592*N375^0.5)^2+(0.0262*N375^0.8/(1-0.5/N375^0.1))^2))</f>
        <v>10075.049363400016</v>
      </c>
      <c r="P375" s="6">
        <f t="shared" si="50"/>
        <v>2.9510194925512497E-2</v>
      </c>
      <c r="Q375" s="6">
        <f t="shared" si="51"/>
        <v>5.3861715688060698</v>
      </c>
      <c r="R375" s="6">
        <f t="shared" si="52"/>
        <v>13.154905369308025</v>
      </c>
      <c r="S375" s="6">
        <f>B375*LN(B375/首页!$B$4)</f>
        <v>1.6937189559603363</v>
      </c>
      <c r="T375" s="6">
        <f>2*首页!$B$8*(E375-C375)/(R375*(C375-D375))</f>
        <v>7.0936116113310216E-2</v>
      </c>
      <c r="U375" t="str">
        <f>IF(首页!$B$13="自然对流","按自然对流公式", "按强制对流公式")</f>
        <v>按自然对流公式</v>
      </c>
      <c r="V375" s="6">
        <f t="shared" si="53"/>
        <v>1.6227828398470261</v>
      </c>
    </row>
    <row r="376" spans="1:22" x14ac:dyDescent="0.15">
      <c r="A376">
        <v>371</v>
      </c>
      <c r="B376" s="6">
        <f>首页!$B$4+2*A376/1000</f>
        <v>0.86199999999999999</v>
      </c>
      <c r="C376" s="6">
        <f>首页!$B$7+273.15</f>
        <v>388.15</v>
      </c>
      <c r="D376" s="6">
        <f>首页!$B$6+273.15</f>
        <v>293.14999999999998</v>
      </c>
      <c r="E376" s="6">
        <f>首页!$B$5+273.15</f>
        <v>1373.15</v>
      </c>
      <c r="F376" s="6">
        <f t="shared" si="45"/>
        <v>95</v>
      </c>
      <c r="G376" s="6">
        <f t="shared" si="46"/>
        <v>340.65</v>
      </c>
      <c r="H376" s="6">
        <f t="shared" si="47"/>
        <v>1.9926207055139041E-5</v>
      </c>
      <c r="I376" s="7">
        <f t="shared" si="48"/>
        <v>1158916576932337.8</v>
      </c>
      <c r="J376" s="6">
        <f t="shared" si="49"/>
        <v>1.0226038455893147</v>
      </c>
      <c r="K376" s="7">
        <f>J376*H376*首页!$B$12/P376</f>
        <v>0.69532757496605813</v>
      </c>
      <c r="L376" s="6">
        <f>首页!$B$9*0.0000000567*((C376^4-D376^4)/(C376-D376))</f>
        <v>7.7687338005019564</v>
      </c>
      <c r="M376" s="6">
        <f>IF(首页!$B$13="自然对流",IF(首页!$B$14="立式圆筒",首页!$B$10,PI()*B376/2),PI()*B376/2)</f>
        <v>55.2</v>
      </c>
      <c r="N376" s="7">
        <f>IF(首页!$B$13="强制对流",首页!$B$11*M376/H376,0)</f>
        <v>0</v>
      </c>
      <c r="O376" s="6">
        <f>IF(首页!$B$13="自然对流",IF(首页!$B$14="立式圆筒",(0.825+0.3063*I376^(1/6))^2+0.87*(M376/B376),(0.752+0.303*I376^(1/6))^2),0.3+SQRT((0.592*N376^0.5)^2+(0.0262*N376^0.8/(1-0.5/N376^0.1))^2))</f>
        <v>10074.919799918658</v>
      </c>
      <c r="P376" s="6">
        <f t="shared" si="50"/>
        <v>2.9510194925512497E-2</v>
      </c>
      <c r="Q376" s="6">
        <f t="shared" si="51"/>
        <v>5.3861023035236402</v>
      </c>
      <c r="R376" s="6">
        <f t="shared" si="52"/>
        <v>13.154836104025597</v>
      </c>
      <c r="S376" s="6">
        <f>B376*LN(B376/首页!$B$4)</f>
        <v>1.6996601610339799</v>
      </c>
      <c r="T376" s="6">
        <f>2*首页!$B$8*(E376-C376)/(R376*(C376-D376))</f>
        <v>7.093648961930285E-2</v>
      </c>
      <c r="U376" t="str">
        <f>IF(首页!$B$13="自然对流","按自然对流公式", "按强制对流公式")</f>
        <v>按自然对流公式</v>
      </c>
      <c r="V376" s="6">
        <f t="shared" si="53"/>
        <v>1.6287236714146771</v>
      </c>
    </row>
    <row r="377" spans="1:22" x14ac:dyDescent="0.15">
      <c r="A377">
        <v>372</v>
      </c>
      <c r="B377" s="6">
        <f>首页!$B$4+2*A377/1000</f>
        <v>0.86399999999999999</v>
      </c>
      <c r="C377" s="6">
        <f>首页!$B$7+273.15</f>
        <v>388.15</v>
      </c>
      <c r="D377" s="6">
        <f>首页!$B$6+273.15</f>
        <v>293.14999999999998</v>
      </c>
      <c r="E377" s="6">
        <f>首页!$B$5+273.15</f>
        <v>1373.15</v>
      </c>
      <c r="F377" s="6">
        <f t="shared" si="45"/>
        <v>95</v>
      </c>
      <c r="G377" s="6">
        <f t="shared" si="46"/>
        <v>340.65</v>
      </c>
      <c r="H377" s="6">
        <f t="shared" si="47"/>
        <v>1.9926207055139041E-5</v>
      </c>
      <c r="I377" s="7">
        <f t="shared" si="48"/>
        <v>1158916576932337.8</v>
      </c>
      <c r="J377" s="6">
        <f t="shared" si="49"/>
        <v>1.0226038455893147</v>
      </c>
      <c r="K377" s="7">
        <f>J377*H377*首页!$B$12/P377</f>
        <v>0.69532757496605813</v>
      </c>
      <c r="L377" s="6">
        <f>首页!$B$9*0.0000000567*((C377^4-D377^4)/(C377-D377))</f>
        <v>7.7687338005019564</v>
      </c>
      <c r="M377" s="6">
        <f>IF(首页!$B$13="自然对流",IF(首页!$B$14="立式圆筒",首页!$B$10,PI()*B377/2),PI()*B377/2)</f>
        <v>55.2</v>
      </c>
      <c r="N377" s="7">
        <f>IF(首页!$B$13="强制对流",首页!$B$11*M377/H377,0)</f>
        <v>0</v>
      </c>
      <c r="O377" s="6">
        <f>IF(首页!$B$13="自然对流",IF(首页!$B$14="立式圆筒",(0.825+0.3063*I377^(1/6))^2+0.87*(M377/B377),(0.752+0.303*I377^(1/6))^2),0.3+SQRT((0.592*N377^0.5)^2+(0.0262*N377^0.8/(1-0.5/N377^0.1))^2))</f>
        <v>10074.790836268234</v>
      </c>
      <c r="P377" s="6">
        <f t="shared" si="50"/>
        <v>2.9510194925512497E-2</v>
      </c>
      <c r="Q377" s="6">
        <f t="shared" si="51"/>
        <v>5.3860333589138154</v>
      </c>
      <c r="R377" s="6">
        <f t="shared" si="52"/>
        <v>13.154767159415773</v>
      </c>
      <c r="S377" s="6">
        <f>B377*LN(B377/首页!$B$4)</f>
        <v>1.7056060064830163</v>
      </c>
      <c r="T377" s="6">
        <f>2*首页!$B$8*(E377-C377)/(R377*(C377-D377))</f>
        <v>7.0936861400007142E-2</v>
      </c>
      <c r="U377" t="str">
        <f>IF(首页!$B$13="自然对流","按自然对流公式", "按强制对流公式")</f>
        <v>按自然对流公式</v>
      </c>
      <c r="V377" s="6">
        <f t="shared" si="53"/>
        <v>1.6346691450830091</v>
      </c>
    </row>
    <row r="378" spans="1:22" x14ac:dyDescent="0.15">
      <c r="A378">
        <v>373</v>
      </c>
      <c r="B378" s="6">
        <f>首页!$B$4+2*A378/1000</f>
        <v>0.86599999999999999</v>
      </c>
      <c r="C378" s="6">
        <f>首页!$B$7+273.15</f>
        <v>388.15</v>
      </c>
      <c r="D378" s="6">
        <f>首页!$B$6+273.15</f>
        <v>293.14999999999998</v>
      </c>
      <c r="E378" s="6">
        <f>首页!$B$5+273.15</f>
        <v>1373.15</v>
      </c>
      <c r="F378" s="6">
        <f t="shared" si="45"/>
        <v>95</v>
      </c>
      <c r="G378" s="6">
        <f t="shared" si="46"/>
        <v>340.65</v>
      </c>
      <c r="H378" s="6">
        <f t="shared" si="47"/>
        <v>1.9926207055139041E-5</v>
      </c>
      <c r="I378" s="7">
        <f t="shared" si="48"/>
        <v>1158916576932337.8</v>
      </c>
      <c r="J378" s="6">
        <f t="shared" si="49"/>
        <v>1.0226038455893147</v>
      </c>
      <c r="K378" s="7">
        <f>J378*H378*首页!$B$12/P378</f>
        <v>0.69532757496605813</v>
      </c>
      <c r="L378" s="6">
        <f>首页!$B$9*0.0000000567*((C378^4-D378^4)/(C378-D378))</f>
        <v>7.7687338005019564</v>
      </c>
      <c r="M378" s="6">
        <f>IF(首页!$B$13="自然对流",IF(首页!$B$14="立式圆筒",首页!$B$10,PI()*B378/2),PI()*B378/2)</f>
        <v>55.2</v>
      </c>
      <c r="N378" s="7">
        <f>IF(首页!$B$13="强制对流",首页!$B$11*M378/H378,0)</f>
        <v>0</v>
      </c>
      <c r="O378" s="6">
        <f>IF(首页!$B$13="自然对流",IF(首页!$B$14="立式圆筒",(0.825+0.3063*I378^(1/6))^2+0.87*(M378/B378),(0.752+0.303*I378^(1/6))^2),0.3+SQRT((0.592*N378^0.5)^2+(0.0262*N378^0.8/(1-0.5/N378^0.1))^2))</f>
        <v>10074.662468292867</v>
      </c>
      <c r="P378" s="6">
        <f t="shared" si="50"/>
        <v>2.9510194925512497E-2</v>
      </c>
      <c r="Q378" s="6">
        <f t="shared" si="51"/>
        <v>5.385964732754843</v>
      </c>
      <c r="R378" s="6">
        <f t="shared" si="52"/>
        <v>13.154698533256798</v>
      </c>
      <c r="S378" s="6">
        <f>B378*LN(B378/首页!$B$4)</f>
        <v>1.7115564815658171</v>
      </c>
      <c r="T378" s="6">
        <f>2*首页!$B$8*(E378-C378)/(R378*(C378-D378))</f>
        <v>7.0937231467349635E-2</v>
      </c>
      <c r="U378" t="str">
        <f>IF(首页!$B$13="自然对流","按自然对流公式", "按强制对流公式")</f>
        <v>按自然对流公式</v>
      </c>
      <c r="V378" s="6">
        <f t="shared" si="53"/>
        <v>1.6406192500984675</v>
      </c>
    </row>
    <row r="379" spans="1:22" x14ac:dyDescent="0.15">
      <c r="A379">
        <v>374</v>
      </c>
      <c r="B379" s="6">
        <f>首页!$B$4+2*A379/1000</f>
        <v>0.86799999999999999</v>
      </c>
      <c r="C379" s="6">
        <f>首页!$B$7+273.15</f>
        <v>388.15</v>
      </c>
      <c r="D379" s="6">
        <f>首页!$B$6+273.15</f>
        <v>293.14999999999998</v>
      </c>
      <c r="E379" s="6">
        <f>首页!$B$5+273.15</f>
        <v>1373.15</v>
      </c>
      <c r="F379" s="6">
        <f t="shared" si="45"/>
        <v>95</v>
      </c>
      <c r="G379" s="6">
        <f t="shared" si="46"/>
        <v>340.65</v>
      </c>
      <c r="H379" s="6">
        <f t="shared" si="47"/>
        <v>1.9926207055139041E-5</v>
      </c>
      <c r="I379" s="7">
        <f t="shared" si="48"/>
        <v>1158916576932337.8</v>
      </c>
      <c r="J379" s="6">
        <f t="shared" si="49"/>
        <v>1.0226038455893147</v>
      </c>
      <c r="K379" s="7">
        <f>J379*H379*首页!$B$12/P379</f>
        <v>0.69532757496605813</v>
      </c>
      <c r="L379" s="6">
        <f>首页!$B$9*0.0000000567*((C379^4-D379^4)/(C379-D379))</f>
        <v>7.7687338005019564</v>
      </c>
      <c r="M379" s="6">
        <f>IF(首页!$B$13="自然对流",IF(首页!$B$14="立式圆筒",首页!$B$10,PI()*B379/2),PI()*B379/2)</f>
        <v>55.2</v>
      </c>
      <c r="N379" s="7">
        <f>IF(首页!$B$13="强制对流",首页!$B$11*M379/H379,0)</f>
        <v>0</v>
      </c>
      <c r="O379" s="6">
        <f>IF(首页!$B$13="自然对流",IF(首页!$B$14="立式圆筒",(0.825+0.3063*I379^(1/6))^2+0.87*(M379/B379),(0.752+0.303*I379^(1/6))^2),0.3+SQRT((0.592*N379^0.5)^2+(0.0262*N379^0.8/(1-0.5/N379^0.1))^2))</f>
        <v>10074.534691874993</v>
      </c>
      <c r="P379" s="6">
        <f t="shared" si="50"/>
        <v>2.9510194925512497E-2</v>
      </c>
      <c r="Q379" s="6">
        <f t="shared" si="51"/>
        <v>5.3858964228454527</v>
      </c>
      <c r="R379" s="6">
        <f t="shared" si="52"/>
        <v>13.154630223347409</v>
      </c>
      <c r="S379" s="6">
        <f>B379*LN(B379/首页!$B$4)</f>
        <v>1.717511575590368</v>
      </c>
      <c r="T379" s="6">
        <f>2*首页!$B$8*(E379-C379)/(R379*(C379-D379))</f>
        <v>7.0937599833147194E-2</v>
      </c>
      <c r="U379" t="str">
        <f>IF(首页!$B$13="自然对流","按自然对流公式", "按强制对流公式")</f>
        <v>按自然对流公式</v>
      </c>
      <c r="V379" s="6">
        <f t="shared" si="53"/>
        <v>1.6465739757572209</v>
      </c>
    </row>
    <row r="380" spans="1:22" x14ac:dyDescent="0.15">
      <c r="A380">
        <v>375</v>
      </c>
      <c r="B380" s="6">
        <f>首页!$B$4+2*A380/1000</f>
        <v>0.87</v>
      </c>
      <c r="C380" s="6">
        <f>首页!$B$7+273.15</f>
        <v>388.15</v>
      </c>
      <c r="D380" s="6">
        <f>首页!$B$6+273.15</f>
        <v>293.14999999999998</v>
      </c>
      <c r="E380" s="6">
        <f>首页!$B$5+273.15</f>
        <v>1373.15</v>
      </c>
      <c r="F380" s="6">
        <f t="shared" si="45"/>
        <v>95</v>
      </c>
      <c r="G380" s="6">
        <f t="shared" si="46"/>
        <v>340.65</v>
      </c>
      <c r="H380" s="6">
        <f t="shared" si="47"/>
        <v>1.9926207055139041E-5</v>
      </c>
      <c r="I380" s="7">
        <f t="shared" si="48"/>
        <v>1158916576932337.8</v>
      </c>
      <c r="J380" s="6">
        <f t="shared" si="49"/>
        <v>1.0226038455893147</v>
      </c>
      <c r="K380" s="7">
        <f>J380*H380*首页!$B$12/P380</f>
        <v>0.69532757496605813</v>
      </c>
      <c r="L380" s="6">
        <f>首页!$B$9*0.0000000567*((C380^4-D380^4)/(C380-D380))</f>
        <v>7.7687338005019564</v>
      </c>
      <c r="M380" s="6">
        <f>IF(首页!$B$13="自然对流",IF(首页!$B$14="立式圆筒",首页!$B$10,PI()*B380/2),PI()*B380/2)</f>
        <v>55.2</v>
      </c>
      <c r="N380" s="7">
        <f>IF(首页!$B$13="强制对流",首页!$B$11*M380/H380,0)</f>
        <v>0</v>
      </c>
      <c r="O380" s="6">
        <f>IF(首页!$B$13="自然对流",IF(首页!$B$14="立式圆筒",(0.825+0.3063*I380^(1/6))^2+0.87*(M380/B380),(0.752+0.303*I380^(1/6))^2),0.3+SQRT((0.592*N380^0.5)^2+(0.0262*N380^0.8/(1-0.5/N380^0.1))^2))</f>
        <v>10074.407502934901</v>
      </c>
      <c r="P380" s="6">
        <f t="shared" si="50"/>
        <v>2.9510194925512497E-2</v>
      </c>
      <c r="Q380" s="6">
        <f t="shared" si="51"/>
        <v>5.3858284270046104</v>
      </c>
      <c r="R380" s="6">
        <f t="shared" si="52"/>
        <v>13.154562227506567</v>
      </c>
      <c r="S380" s="6">
        <f>B380*LN(B380/首页!$B$4)</f>
        <v>1.7234712779139274</v>
      </c>
      <c r="T380" s="6">
        <f>2*首页!$B$8*(E380-C380)/(R380*(C380-D380))</f>
        <v>7.0937966509108316E-2</v>
      </c>
      <c r="U380" t="str">
        <f>IF(首页!$B$13="自然对流","按自然对流公式", "按强制对流公式")</f>
        <v>按自然对流公式</v>
      </c>
      <c r="V380" s="6">
        <f t="shared" si="53"/>
        <v>1.6525333114048191</v>
      </c>
    </row>
    <row r="381" spans="1:22" x14ac:dyDescent="0.15">
      <c r="A381">
        <v>376</v>
      </c>
      <c r="B381" s="6">
        <f>首页!$B$4+2*A381/1000</f>
        <v>0.872</v>
      </c>
      <c r="C381" s="6">
        <f>首页!$B$7+273.15</f>
        <v>388.15</v>
      </c>
      <c r="D381" s="6">
        <f>首页!$B$6+273.15</f>
        <v>293.14999999999998</v>
      </c>
      <c r="E381" s="6">
        <f>首页!$B$5+273.15</f>
        <v>1373.15</v>
      </c>
      <c r="F381" s="6">
        <f t="shared" si="45"/>
        <v>95</v>
      </c>
      <c r="G381" s="6">
        <f t="shared" si="46"/>
        <v>340.65</v>
      </c>
      <c r="H381" s="6">
        <f t="shared" si="47"/>
        <v>1.9926207055139041E-5</v>
      </c>
      <c r="I381" s="7">
        <f t="shared" si="48"/>
        <v>1158916576932337.8</v>
      </c>
      <c r="J381" s="6">
        <f t="shared" si="49"/>
        <v>1.0226038455893147</v>
      </c>
      <c r="K381" s="7">
        <f>J381*H381*首页!$B$12/P381</f>
        <v>0.69532757496605813</v>
      </c>
      <c r="L381" s="6">
        <f>首页!$B$9*0.0000000567*((C381^4-D381^4)/(C381-D381))</f>
        <v>7.7687338005019564</v>
      </c>
      <c r="M381" s="6">
        <f>IF(首页!$B$13="自然对流",IF(首页!$B$14="立式圆筒",首页!$B$10,PI()*B381/2),PI()*B381/2)</f>
        <v>55.2</v>
      </c>
      <c r="N381" s="7">
        <f>IF(首页!$B$13="强制对流",首页!$B$11*M381/H381,0)</f>
        <v>0</v>
      </c>
      <c r="O381" s="6">
        <f>IF(首页!$B$13="自然对流",IF(首页!$B$14="立式圆筒",(0.825+0.3063*I381^(1/6))^2+0.87*(M381/B381),(0.752+0.303*I381^(1/6))^2),0.3+SQRT((0.592*N381^0.5)^2+(0.0262*N381^0.8/(1-0.5/N381^0.1))^2))</f>
        <v>10074.280897430313</v>
      </c>
      <c r="P381" s="6">
        <f t="shared" si="50"/>
        <v>2.9510194925512497E-2</v>
      </c>
      <c r="Q381" s="6">
        <f t="shared" si="51"/>
        <v>5.3857607430712955</v>
      </c>
      <c r="R381" s="6">
        <f t="shared" si="52"/>
        <v>13.154494543573252</v>
      </c>
      <c r="S381" s="6">
        <f>B381*LN(B381/首页!$B$4)</f>
        <v>1.7294355779426862</v>
      </c>
      <c r="T381" s="6">
        <f>2*首页!$B$8*(E381-C381)/(R381*(C381-D381))</f>
        <v>7.093833150683429E-2</v>
      </c>
      <c r="U381" t="str">
        <f>IF(首页!$B$13="自然对流","按自然对流公式", "按强制对流公式")</f>
        <v>按自然对流公式</v>
      </c>
      <c r="V381" s="6">
        <f t="shared" si="53"/>
        <v>1.6584972464358518</v>
      </c>
    </row>
    <row r="382" spans="1:22" x14ac:dyDescent="0.15">
      <c r="A382">
        <v>377</v>
      </c>
      <c r="B382" s="6">
        <f>首页!$B$4+2*A382/1000</f>
        <v>0.874</v>
      </c>
      <c r="C382" s="6">
        <f>首页!$B$7+273.15</f>
        <v>388.15</v>
      </c>
      <c r="D382" s="6">
        <f>首页!$B$6+273.15</f>
        <v>293.14999999999998</v>
      </c>
      <c r="E382" s="6">
        <f>首页!$B$5+273.15</f>
        <v>1373.15</v>
      </c>
      <c r="F382" s="6">
        <f t="shared" si="45"/>
        <v>95</v>
      </c>
      <c r="G382" s="6">
        <f t="shared" si="46"/>
        <v>340.65</v>
      </c>
      <c r="H382" s="6">
        <f t="shared" si="47"/>
        <v>1.9926207055139041E-5</v>
      </c>
      <c r="I382" s="7">
        <f t="shared" si="48"/>
        <v>1158916576932337.8</v>
      </c>
      <c r="J382" s="6">
        <f t="shared" si="49"/>
        <v>1.0226038455893147</v>
      </c>
      <c r="K382" s="7">
        <f>J382*H382*首页!$B$12/P382</f>
        <v>0.69532757496605813</v>
      </c>
      <c r="L382" s="6">
        <f>首页!$B$9*0.0000000567*((C382^4-D382^4)/(C382-D382))</f>
        <v>7.7687338005019564</v>
      </c>
      <c r="M382" s="6">
        <f>IF(首页!$B$13="自然对流",IF(首页!$B$14="立式圆筒",首页!$B$10,PI()*B382/2),PI()*B382/2)</f>
        <v>55.2</v>
      </c>
      <c r="N382" s="7">
        <f>IF(首页!$B$13="强制对流",首页!$B$11*M382/H382,0)</f>
        <v>0</v>
      </c>
      <c r="O382" s="6">
        <f>IF(首页!$B$13="自然对流",IF(首页!$B$14="立式圆筒",(0.825+0.3063*I382^(1/6))^2+0.87*(M382/B382),(0.752+0.303*I382^(1/6))^2),0.3+SQRT((0.592*N382^0.5)^2+(0.0262*N382^0.8/(1-0.5/N382^0.1))^2))</f>
        <v>10074.154871355953</v>
      </c>
      <c r="P382" s="6">
        <f t="shared" si="50"/>
        <v>2.9510194925512497E-2</v>
      </c>
      <c r="Q382" s="6">
        <f t="shared" si="51"/>
        <v>5.3856933689042652</v>
      </c>
      <c r="R382" s="6">
        <f t="shared" si="52"/>
        <v>13.154427169406222</v>
      </c>
      <c r="S382" s="6">
        <f>B382*LN(B382/首页!$B$4)</f>
        <v>1.7354044651314298</v>
      </c>
      <c r="T382" s="6">
        <f>2*首页!$B$8*(E382-C382)/(R382*(C382-D382))</f>
        <v>7.0938694837820435E-2</v>
      </c>
      <c r="U382" t="str">
        <f>IF(首页!$B$13="自然对流","按自然对流公式", "按强制对流公式")</f>
        <v>按自然对流公式</v>
      </c>
      <c r="V382" s="6">
        <f t="shared" si="53"/>
        <v>1.6644657702936094</v>
      </c>
    </row>
    <row r="383" spans="1:22" x14ac:dyDescent="0.15">
      <c r="A383">
        <v>378</v>
      </c>
      <c r="B383" s="6">
        <f>首页!$B$4+2*A383/1000</f>
        <v>0.876</v>
      </c>
      <c r="C383" s="6">
        <f>首页!$B$7+273.15</f>
        <v>388.15</v>
      </c>
      <c r="D383" s="6">
        <f>首页!$B$6+273.15</f>
        <v>293.14999999999998</v>
      </c>
      <c r="E383" s="6">
        <f>首页!$B$5+273.15</f>
        <v>1373.15</v>
      </c>
      <c r="F383" s="6">
        <f t="shared" si="45"/>
        <v>95</v>
      </c>
      <c r="G383" s="6">
        <f t="shared" si="46"/>
        <v>340.65</v>
      </c>
      <c r="H383" s="6">
        <f t="shared" si="47"/>
        <v>1.9926207055139041E-5</v>
      </c>
      <c r="I383" s="7">
        <f t="shared" si="48"/>
        <v>1158916576932337.8</v>
      </c>
      <c r="J383" s="6">
        <f t="shared" si="49"/>
        <v>1.0226038455893147</v>
      </c>
      <c r="K383" s="7">
        <f>J383*H383*首页!$B$12/P383</f>
        <v>0.69532757496605813</v>
      </c>
      <c r="L383" s="6">
        <f>首页!$B$9*0.0000000567*((C383^4-D383^4)/(C383-D383))</f>
        <v>7.7687338005019564</v>
      </c>
      <c r="M383" s="6">
        <f>IF(首页!$B$13="自然对流",IF(首页!$B$14="立式圆筒",首页!$B$10,PI()*B383/2),PI()*B383/2)</f>
        <v>55.2</v>
      </c>
      <c r="N383" s="7">
        <f>IF(首页!$B$13="强制对流",首页!$B$11*M383/H383,0)</f>
        <v>0</v>
      </c>
      <c r="O383" s="6">
        <f>IF(首页!$B$13="自然对流",IF(首页!$B$14="立式圆筒",(0.825+0.3063*I383^(1/6))^2+0.87*(M383/B383),(0.752+0.303*I383^(1/6))^2),0.3+SQRT((0.592*N383^0.5)^2+(0.0262*N383^0.8/(1-0.5/N383^0.1))^2))</f>
        <v>10074.02942074312</v>
      </c>
      <c r="P383" s="6">
        <f t="shared" si="50"/>
        <v>2.9510194925512497E-2</v>
      </c>
      <c r="Q383" s="6">
        <f t="shared" si="51"/>
        <v>5.3856263023818327</v>
      </c>
      <c r="R383" s="6">
        <f t="shared" si="52"/>
        <v>13.154360102883789</v>
      </c>
      <c r="S383" s="6">
        <f>B383*LN(B383/首页!$B$4)</f>
        <v>1.7413779289832068</v>
      </c>
      <c r="T383" s="6">
        <f>2*首页!$B$8*(E383-C383)/(R383*(C383-D383))</f>
        <v>7.0939056513457374E-2</v>
      </c>
      <c r="U383" t="str">
        <f>IF(首页!$B$13="自然对流","按自然对流公式", "按强制对流公式")</f>
        <v>按自然对流公式</v>
      </c>
      <c r="V383" s="6">
        <f t="shared" si="53"/>
        <v>1.6704388724697494</v>
      </c>
    </row>
    <row r="384" spans="1:22" x14ac:dyDescent="0.15">
      <c r="A384">
        <v>379</v>
      </c>
      <c r="B384" s="6">
        <f>首页!$B$4+2*A384/1000</f>
        <v>0.878</v>
      </c>
      <c r="C384" s="6">
        <f>首页!$B$7+273.15</f>
        <v>388.15</v>
      </c>
      <c r="D384" s="6">
        <f>首页!$B$6+273.15</f>
        <v>293.14999999999998</v>
      </c>
      <c r="E384" s="6">
        <f>首页!$B$5+273.15</f>
        <v>1373.15</v>
      </c>
      <c r="F384" s="6">
        <f t="shared" si="45"/>
        <v>95</v>
      </c>
      <c r="G384" s="6">
        <f t="shared" si="46"/>
        <v>340.65</v>
      </c>
      <c r="H384" s="6">
        <f t="shared" si="47"/>
        <v>1.9926207055139041E-5</v>
      </c>
      <c r="I384" s="7">
        <f t="shared" si="48"/>
        <v>1158916576932337.8</v>
      </c>
      <c r="J384" s="6">
        <f t="shared" si="49"/>
        <v>1.0226038455893147</v>
      </c>
      <c r="K384" s="7">
        <f>J384*H384*首页!$B$12/P384</f>
        <v>0.69532757496605813</v>
      </c>
      <c r="L384" s="6">
        <f>首页!$B$9*0.0000000567*((C384^4-D384^4)/(C384-D384))</f>
        <v>7.7687338005019564</v>
      </c>
      <c r="M384" s="6">
        <f>IF(首页!$B$13="自然对流",IF(首页!$B$14="立式圆筒",首页!$B$10,PI()*B384/2),PI()*B384/2)</f>
        <v>55.2</v>
      </c>
      <c r="N384" s="7">
        <f>IF(首页!$B$13="强制对流",首页!$B$11*M384/H384,0)</f>
        <v>0</v>
      </c>
      <c r="O384" s="6">
        <f>IF(首页!$B$13="自然对流",IF(首页!$B$14="立式圆筒",(0.825+0.3063*I384^(1/6))^2+0.87*(M384/B384),(0.752+0.303*I384^(1/6))^2),0.3+SQRT((0.592*N384^0.5)^2+(0.0262*N384^0.8/(1-0.5/N384^0.1))^2))</f>
        <v>10073.904541659273</v>
      </c>
      <c r="P384" s="6">
        <f t="shared" si="50"/>
        <v>2.9510194925512497E-2</v>
      </c>
      <c r="Q384" s="6">
        <f t="shared" si="51"/>
        <v>5.3855595414016442</v>
      </c>
      <c r="R384" s="6">
        <f t="shared" si="52"/>
        <v>13.1542933419036</v>
      </c>
      <c r="S384" s="6">
        <f>B384*LN(B384/首页!$B$4)</f>
        <v>1.747355959048996</v>
      </c>
      <c r="T384" s="6">
        <f>2*首页!$B$8*(E384-C384)/(R384*(C384-D384))</f>
        <v>7.0939416545032122E-2</v>
      </c>
      <c r="U384" t="str">
        <f>IF(首页!$B$13="自然对流","按自然对流公式", "按强制对流公式")</f>
        <v>按自然对流公式</v>
      </c>
      <c r="V384" s="6">
        <f t="shared" si="53"/>
        <v>1.6764165425039639</v>
      </c>
    </row>
    <row r="385" spans="1:22" x14ac:dyDescent="0.15">
      <c r="A385">
        <v>380</v>
      </c>
      <c r="B385" s="6">
        <f>首页!$B$4+2*A385/1000</f>
        <v>0.88</v>
      </c>
      <c r="C385" s="6">
        <f>首页!$B$7+273.15</f>
        <v>388.15</v>
      </c>
      <c r="D385" s="6">
        <f>首页!$B$6+273.15</f>
        <v>293.14999999999998</v>
      </c>
      <c r="E385" s="6">
        <f>首页!$B$5+273.15</f>
        <v>1373.15</v>
      </c>
      <c r="F385" s="6">
        <f t="shared" si="45"/>
        <v>95</v>
      </c>
      <c r="G385" s="6">
        <f t="shared" si="46"/>
        <v>340.65</v>
      </c>
      <c r="H385" s="6">
        <f t="shared" si="47"/>
        <v>1.9926207055139041E-5</v>
      </c>
      <c r="I385" s="7">
        <f t="shared" si="48"/>
        <v>1158916576932337.8</v>
      </c>
      <c r="J385" s="6">
        <f t="shared" si="49"/>
        <v>1.0226038455893147</v>
      </c>
      <c r="K385" s="7">
        <f>J385*H385*首页!$B$12/P385</f>
        <v>0.69532757496605813</v>
      </c>
      <c r="L385" s="6">
        <f>首页!$B$9*0.0000000567*((C385^4-D385^4)/(C385-D385))</f>
        <v>7.7687338005019564</v>
      </c>
      <c r="M385" s="6">
        <f>IF(首页!$B$13="自然对流",IF(首页!$B$14="立式圆筒",首页!$B$10,PI()*B385/2),PI()*B385/2)</f>
        <v>55.2</v>
      </c>
      <c r="N385" s="7">
        <f>IF(首页!$B$13="强制对流",首页!$B$11*M385/H385,0)</f>
        <v>0</v>
      </c>
      <c r="O385" s="6">
        <f>IF(首页!$B$13="自然对流",IF(首页!$B$14="立式圆筒",(0.825+0.3063*I385^(1/6))^2+0.87*(M385/B385),(0.752+0.303*I385^(1/6))^2),0.3+SQRT((0.592*N385^0.5)^2+(0.0262*N385^0.8/(1-0.5/N385^0.1))^2))</f>
        <v>10073.780230207627</v>
      </c>
      <c r="P385" s="6">
        <f t="shared" si="50"/>
        <v>2.9510194925512497E-2</v>
      </c>
      <c r="Q385" s="6">
        <f t="shared" si="51"/>
        <v>5.3854930838804576</v>
      </c>
      <c r="R385" s="6">
        <f t="shared" si="52"/>
        <v>13.154226884382414</v>
      </c>
      <c r="S385" s="6">
        <f>B385*LN(B385/首页!$B$4)</f>
        <v>1.7533385449273815</v>
      </c>
      <c r="T385" s="6">
        <f>2*首页!$B$8*(E385-C385)/(R385*(C385-D385))</f>
        <v>7.0939774943729314E-2</v>
      </c>
      <c r="U385" t="str">
        <f>IF(首页!$B$13="自然对流","按自然对流公式", "按强制对流公式")</f>
        <v>按自然对流公式</v>
      </c>
      <c r="V385" s="6">
        <f t="shared" si="53"/>
        <v>1.6823987699836522</v>
      </c>
    </row>
    <row r="386" spans="1:22" x14ac:dyDescent="0.15">
      <c r="A386">
        <v>381</v>
      </c>
      <c r="B386" s="6">
        <f>首页!$B$4+2*A386/1000</f>
        <v>0.88200000000000001</v>
      </c>
      <c r="C386" s="6">
        <f>首页!$B$7+273.15</f>
        <v>388.15</v>
      </c>
      <c r="D386" s="6">
        <f>首页!$B$6+273.15</f>
        <v>293.14999999999998</v>
      </c>
      <c r="E386" s="6">
        <f>首页!$B$5+273.15</f>
        <v>1373.15</v>
      </c>
      <c r="F386" s="6">
        <f t="shared" si="45"/>
        <v>95</v>
      </c>
      <c r="G386" s="6">
        <f t="shared" si="46"/>
        <v>340.65</v>
      </c>
      <c r="H386" s="6">
        <f t="shared" si="47"/>
        <v>1.9926207055139041E-5</v>
      </c>
      <c r="I386" s="7">
        <f t="shared" si="48"/>
        <v>1158916576932337.8</v>
      </c>
      <c r="J386" s="6">
        <f t="shared" si="49"/>
        <v>1.0226038455893147</v>
      </c>
      <c r="K386" s="7">
        <f>J386*H386*首页!$B$12/P386</f>
        <v>0.69532757496605813</v>
      </c>
      <c r="L386" s="6">
        <f>首页!$B$9*0.0000000567*((C386^4-D386^4)/(C386-D386))</f>
        <v>7.7687338005019564</v>
      </c>
      <c r="M386" s="6">
        <f>IF(首页!$B$13="自然对流",IF(首页!$B$14="立式圆筒",首页!$B$10,PI()*B386/2),PI()*B386/2)</f>
        <v>55.2</v>
      </c>
      <c r="N386" s="7">
        <f>IF(首页!$B$13="强制对流",首页!$B$11*M386/H386,0)</f>
        <v>0</v>
      </c>
      <c r="O386" s="6">
        <f>IF(首页!$B$13="自然对流",IF(首页!$B$14="立式圆筒",(0.825+0.3063*I386^(1/6))^2+0.87*(M386/B386),(0.752+0.303*I386^(1/6))^2),0.3+SQRT((0.592*N386^0.5)^2+(0.0262*N386^0.8/(1-0.5/N386^0.1))^2))</f>
        <v>10073.656482526736</v>
      </c>
      <c r="P386" s="6">
        <f t="shared" si="50"/>
        <v>2.9510194925512497E-2</v>
      </c>
      <c r="Q386" s="6">
        <f t="shared" si="51"/>
        <v>5.3854269277539224</v>
      </c>
      <c r="R386" s="6">
        <f t="shared" si="52"/>
        <v>13.154160728255878</v>
      </c>
      <c r="S386" s="6">
        <f>B386*LN(B386/首页!$B$4)</f>
        <v>1.7593256762642255</v>
      </c>
      <c r="T386" s="6">
        <f>2*首页!$B$8*(E386-C386)/(R386*(C386-D386))</f>
        <v>7.0940131720632432E-2</v>
      </c>
      <c r="U386" t="str">
        <f>IF(首页!$B$13="自然对流","按自然对流公式", "按强制对流公式")</f>
        <v>按自然对流公式</v>
      </c>
      <c r="V386" s="6">
        <f t="shared" si="53"/>
        <v>1.6883855445435931</v>
      </c>
    </row>
    <row r="387" spans="1:22" x14ac:dyDescent="0.15">
      <c r="A387">
        <v>382</v>
      </c>
      <c r="B387" s="6">
        <f>首页!$B$4+2*A387/1000</f>
        <v>0.88400000000000001</v>
      </c>
      <c r="C387" s="6">
        <f>首页!$B$7+273.15</f>
        <v>388.15</v>
      </c>
      <c r="D387" s="6">
        <f>首页!$B$6+273.15</f>
        <v>293.14999999999998</v>
      </c>
      <c r="E387" s="6">
        <f>首页!$B$5+273.15</f>
        <v>1373.15</v>
      </c>
      <c r="F387" s="6">
        <f t="shared" si="45"/>
        <v>95</v>
      </c>
      <c r="G387" s="6">
        <f t="shared" si="46"/>
        <v>340.65</v>
      </c>
      <c r="H387" s="6">
        <f t="shared" si="47"/>
        <v>1.9926207055139041E-5</v>
      </c>
      <c r="I387" s="7">
        <f t="shared" si="48"/>
        <v>1158916576932337.8</v>
      </c>
      <c r="J387" s="6">
        <f t="shared" si="49"/>
        <v>1.0226038455893147</v>
      </c>
      <c r="K387" s="7">
        <f>J387*H387*首页!$B$12/P387</f>
        <v>0.69532757496605813</v>
      </c>
      <c r="L387" s="6">
        <f>首页!$B$9*0.0000000567*((C387^4-D387^4)/(C387-D387))</f>
        <v>7.7687338005019564</v>
      </c>
      <c r="M387" s="6">
        <f>IF(首页!$B$13="自然对流",IF(首页!$B$14="立式圆筒",首页!$B$10,PI()*B387/2),PI()*B387/2)</f>
        <v>55.2</v>
      </c>
      <c r="N387" s="7">
        <f>IF(首页!$B$13="强制对流",首页!$B$11*M387/H387,0)</f>
        <v>0</v>
      </c>
      <c r="O387" s="6">
        <f>IF(首页!$B$13="自然对流",IF(首页!$B$14="立式圆筒",(0.825+0.3063*I387^(1/6))^2+0.87*(M387/B387),(0.752+0.303*I387^(1/6))^2),0.3+SQRT((0.592*N387^0.5)^2+(0.0262*N387^0.8/(1-0.5/N387^0.1))^2))</f>
        <v>10073.533294790104</v>
      </c>
      <c r="P387" s="6">
        <f t="shared" si="50"/>
        <v>2.9510194925512497E-2</v>
      </c>
      <c r="Q387" s="6">
        <f t="shared" si="51"/>
        <v>5.3853610709763782</v>
      </c>
      <c r="R387" s="6">
        <f t="shared" si="52"/>
        <v>13.154094871478335</v>
      </c>
      <c r="S387" s="6">
        <f>B387*LN(B387/首页!$B$4)</f>
        <v>1.7653173427523481</v>
      </c>
      <c r="T387" s="6">
        <f>2*首页!$B$8*(E387-C387)/(R387*(C387-D387))</f>
        <v>7.0940486886724746E-2</v>
      </c>
      <c r="U387" t="str">
        <f>IF(首页!$B$13="自然对流","按自然对流公式", "按强制对流公式")</f>
        <v>按自然对流公式</v>
      </c>
      <c r="V387" s="6">
        <f t="shared" si="53"/>
        <v>1.6943768558656234</v>
      </c>
    </row>
    <row r="388" spans="1:22" x14ac:dyDescent="0.15">
      <c r="A388">
        <v>383</v>
      </c>
      <c r="B388" s="6">
        <f>首页!$B$4+2*A388/1000</f>
        <v>0.88600000000000001</v>
      </c>
      <c r="C388" s="6">
        <f>首页!$B$7+273.15</f>
        <v>388.15</v>
      </c>
      <c r="D388" s="6">
        <f>首页!$B$6+273.15</f>
        <v>293.14999999999998</v>
      </c>
      <c r="E388" s="6">
        <f>首页!$B$5+273.15</f>
        <v>1373.15</v>
      </c>
      <c r="F388" s="6">
        <f t="shared" si="45"/>
        <v>95</v>
      </c>
      <c r="G388" s="6">
        <f t="shared" si="46"/>
        <v>340.65</v>
      </c>
      <c r="H388" s="6">
        <f t="shared" si="47"/>
        <v>1.9926207055139041E-5</v>
      </c>
      <c r="I388" s="7">
        <f t="shared" si="48"/>
        <v>1158916576932337.8</v>
      </c>
      <c r="J388" s="6">
        <f t="shared" si="49"/>
        <v>1.0226038455893147</v>
      </c>
      <c r="K388" s="7">
        <f>J388*H388*首页!$B$12/P388</f>
        <v>0.69532757496605813</v>
      </c>
      <c r="L388" s="6">
        <f>首页!$B$9*0.0000000567*((C388^4-D388^4)/(C388-D388))</f>
        <v>7.7687338005019564</v>
      </c>
      <c r="M388" s="6">
        <f>IF(首页!$B$13="自然对流",IF(首页!$B$14="立式圆筒",首页!$B$10,PI()*B388/2),PI()*B388/2)</f>
        <v>55.2</v>
      </c>
      <c r="N388" s="7">
        <f>IF(首页!$B$13="强制对流",首页!$B$11*M388/H388,0)</f>
        <v>0</v>
      </c>
      <c r="O388" s="6">
        <f>IF(首页!$B$13="自然对流",IF(首页!$B$14="立式圆筒",(0.825+0.3063*I388^(1/6))^2+0.87*(M388/B388),(0.752+0.303*I388^(1/6))^2),0.3+SQRT((0.592*N388^0.5)^2+(0.0262*N388^0.8/(1-0.5/N388^0.1))^2))</f>
        <v>10073.410663205781</v>
      </c>
      <c r="P388" s="6">
        <f t="shared" si="50"/>
        <v>2.9510194925512497E-2</v>
      </c>
      <c r="Q388" s="6">
        <f t="shared" si="51"/>
        <v>5.3852955115206287</v>
      </c>
      <c r="R388" s="6">
        <f t="shared" si="52"/>
        <v>13.154029312022585</v>
      </c>
      <c r="S388" s="6">
        <f>B388*LN(B388/首页!$B$4)</f>
        <v>1.771313534131209</v>
      </c>
      <c r="T388" s="6">
        <f>2*首页!$B$8*(E388-C388)/(R388*(C388-D388))</f>
        <v>7.0940840452890716E-2</v>
      </c>
      <c r="U388" t="str">
        <f>IF(首页!$B$13="自然对流","按自然对流公式", "按强制对流公式")</f>
        <v>按自然对流公式</v>
      </c>
      <c r="V388" s="6">
        <f t="shared" si="53"/>
        <v>1.7003726936783183</v>
      </c>
    </row>
    <row r="389" spans="1:22" x14ac:dyDescent="0.15">
      <c r="A389">
        <v>384</v>
      </c>
      <c r="B389" s="6">
        <f>首页!$B$4+2*A389/1000</f>
        <v>0.88800000000000001</v>
      </c>
      <c r="C389" s="6">
        <f>首页!$B$7+273.15</f>
        <v>388.15</v>
      </c>
      <c r="D389" s="6">
        <f>首页!$B$6+273.15</f>
        <v>293.14999999999998</v>
      </c>
      <c r="E389" s="6">
        <f>首页!$B$5+273.15</f>
        <v>1373.15</v>
      </c>
      <c r="F389" s="6">
        <f t="shared" ref="F389:F452" si="54">C389-D389</f>
        <v>95</v>
      </c>
      <c r="G389" s="6">
        <f t="shared" ref="G389:G452" si="55">(C389+D389)/2</f>
        <v>340.65</v>
      </c>
      <c r="H389" s="6">
        <f t="shared" ref="H389:H452" si="56">0.0000000042113*G389^2.5/(112+G389)</f>
        <v>1.9926207055139041E-5</v>
      </c>
      <c r="I389" s="7">
        <f t="shared" ref="I389:I452" si="57">9.81*M389^3*F389/(H389^2*G389)</f>
        <v>1158916576932337.8</v>
      </c>
      <c r="J389" s="6">
        <f t="shared" ref="J389:J452" si="58">348.35/G389</f>
        <v>1.0226038455893147</v>
      </c>
      <c r="K389" s="7">
        <f>J389*H389*首页!$B$12/P389</f>
        <v>0.69532757496605813</v>
      </c>
      <c r="L389" s="6">
        <f>首页!$B$9*0.0000000567*((C389^4-D389^4)/(C389-D389))</f>
        <v>7.7687338005019564</v>
      </c>
      <c r="M389" s="6">
        <f>IF(首页!$B$13="自然对流",IF(首页!$B$14="立式圆筒",首页!$B$10,PI()*B389/2),PI()*B389/2)</f>
        <v>55.2</v>
      </c>
      <c r="N389" s="7">
        <f>IF(首页!$B$13="强制对流",首页!$B$11*M389/H389,0)</f>
        <v>0</v>
      </c>
      <c r="O389" s="6">
        <f>IF(首页!$B$13="自然对流",IF(首页!$B$14="立式圆筒",(0.825+0.3063*I389^(1/6))^2+0.87*(M389/B389),(0.752+0.303*I389^(1/6))^2),0.3+SQRT((0.592*N389^0.5)^2+(0.0262*N389^0.8/(1-0.5/N389^0.1))^2))</f>
        <v>10073.288584015982</v>
      </c>
      <c r="P389" s="6">
        <f t="shared" ref="P389:P452" si="59">0.0243+0.000078421*(G389-273)-0.000000020755*(G389-273)^2</f>
        <v>2.9510194925512497E-2</v>
      </c>
      <c r="Q389" s="6">
        <f t="shared" ref="Q389:Q452" si="60">O389*P389/M389</f>
        <v>5.3852302473777414</v>
      </c>
      <c r="R389" s="6">
        <f t="shared" ref="R389:R452" si="61">L389+Q389</f>
        <v>13.153964047879697</v>
      </c>
      <c r="S389" s="6">
        <f>B389*LN(B389/首页!$B$4)</f>
        <v>1.7773142401865905</v>
      </c>
      <c r="T389" s="6">
        <f>2*首页!$B$8*(E389-C389)/(R389*(C389-D389))</f>
        <v>7.0941192429916894E-2</v>
      </c>
      <c r="U389" t="str">
        <f>IF(首页!$B$13="自然对流","按自然对流公式", "按强制对流公式")</f>
        <v>按自然对流公式</v>
      </c>
      <c r="V389" s="6">
        <f t="shared" ref="V389:V452" si="62">ABS(S389-T389)</f>
        <v>1.7063730477566736</v>
      </c>
    </row>
    <row r="390" spans="1:22" x14ac:dyDescent="0.15">
      <c r="A390">
        <v>385</v>
      </c>
      <c r="B390" s="6">
        <f>首页!$B$4+2*A390/1000</f>
        <v>0.89</v>
      </c>
      <c r="C390" s="6">
        <f>首页!$B$7+273.15</f>
        <v>388.15</v>
      </c>
      <c r="D390" s="6">
        <f>首页!$B$6+273.15</f>
        <v>293.14999999999998</v>
      </c>
      <c r="E390" s="6">
        <f>首页!$B$5+273.15</f>
        <v>1373.15</v>
      </c>
      <c r="F390" s="6">
        <f t="shared" si="54"/>
        <v>95</v>
      </c>
      <c r="G390" s="6">
        <f t="shared" si="55"/>
        <v>340.65</v>
      </c>
      <c r="H390" s="6">
        <f t="shared" si="56"/>
        <v>1.9926207055139041E-5</v>
      </c>
      <c r="I390" s="7">
        <f t="shared" si="57"/>
        <v>1158916576932337.8</v>
      </c>
      <c r="J390" s="6">
        <f t="shared" si="58"/>
        <v>1.0226038455893147</v>
      </c>
      <c r="K390" s="7">
        <f>J390*H390*首页!$B$12/P390</f>
        <v>0.69532757496605813</v>
      </c>
      <c r="L390" s="6">
        <f>首页!$B$9*0.0000000567*((C390^4-D390^4)/(C390-D390))</f>
        <v>7.7687338005019564</v>
      </c>
      <c r="M390" s="6">
        <f>IF(首页!$B$13="自然对流",IF(首页!$B$14="立式圆筒",首页!$B$10,PI()*B390/2),PI()*B390/2)</f>
        <v>55.2</v>
      </c>
      <c r="N390" s="7">
        <f>IF(首页!$B$13="强制对流",首页!$B$11*M390/H390,0)</f>
        <v>0</v>
      </c>
      <c r="O390" s="6">
        <f>IF(首页!$B$13="自然对流",IF(首页!$B$14="立式圆筒",(0.825+0.3063*I390^(1/6))^2+0.87*(M390/B390),(0.752+0.303*I390^(1/6))^2),0.3+SQRT((0.592*N390^0.5)^2+(0.0262*N390^0.8/(1-0.5/N390^0.1))^2))</f>
        <v>10073.167053496698</v>
      </c>
      <c r="P390" s="6">
        <f t="shared" si="59"/>
        <v>2.9510194925512497E-2</v>
      </c>
      <c r="Q390" s="6">
        <f t="shared" si="60"/>
        <v>5.3851652765568456</v>
      </c>
      <c r="R390" s="6">
        <f t="shared" si="61"/>
        <v>13.153899077058803</v>
      </c>
      <c r="S390" s="6">
        <f>B390*LN(B390/首页!$B$4)</f>
        <v>1.7833194507502843</v>
      </c>
      <c r="T390" s="6">
        <f>2*首页!$B$8*(E390-C390)/(R390*(C390-D390))</f>
        <v>7.0941542828493048E-2</v>
      </c>
      <c r="U390" t="str">
        <f>IF(首页!$B$13="自然对流","按自然对流公式", "按强制对流公式")</f>
        <v>按自然对流公式</v>
      </c>
      <c r="V390" s="6">
        <f t="shared" si="62"/>
        <v>1.7123779079217913</v>
      </c>
    </row>
    <row r="391" spans="1:22" x14ac:dyDescent="0.15">
      <c r="A391">
        <v>386</v>
      </c>
      <c r="B391" s="6">
        <f>首页!$B$4+2*A391/1000</f>
        <v>0.89200000000000002</v>
      </c>
      <c r="C391" s="6">
        <f>首页!$B$7+273.15</f>
        <v>388.15</v>
      </c>
      <c r="D391" s="6">
        <f>首页!$B$6+273.15</f>
        <v>293.14999999999998</v>
      </c>
      <c r="E391" s="6">
        <f>首页!$B$5+273.15</f>
        <v>1373.15</v>
      </c>
      <c r="F391" s="6">
        <f t="shared" si="54"/>
        <v>95</v>
      </c>
      <c r="G391" s="6">
        <f t="shared" si="55"/>
        <v>340.65</v>
      </c>
      <c r="H391" s="6">
        <f t="shared" si="56"/>
        <v>1.9926207055139041E-5</v>
      </c>
      <c r="I391" s="7">
        <f t="shared" si="57"/>
        <v>1158916576932337.8</v>
      </c>
      <c r="J391" s="6">
        <f t="shared" si="58"/>
        <v>1.0226038455893147</v>
      </c>
      <c r="K391" s="7">
        <f>J391*H391*首页!$B$12/P391</f>
        <v>0.69532757496605813</v>
      </c>
      <c r="L391" s="6">
        <f>首页!$B$9*0.0000000567*((C391^4-D391^4)/(C391-D391))</f>
        <v>7.7687338005019564</v>
      </c>
      <c r="M391" s="6">
        <f>IF(首页!$B$13="自然对流",IF(首页!$B$14="立式圆筒",首页!$B$10,PI()*B391/2),PI()*B391/2)</f>
        <v>55.2</v>
      </c>
      <c r="N391" s="7">
        <f>IF(首页!$B$13="强制对流",首页!$B$11*M391/H391,0)</f>
        <v>0</v>
      </c>
      <c r="O391" s="6">
        <f>IF(首页!$B$13="自然对流",IF(首页!$B$14="立式圆筒",(0.825+0.3063*I391^(1/6))^2+0.87*(M391/B391),(0.752+0.303*I391^(1/6))^2),0.3+SQRT((0.592*N391^0.5)^2+(0.0262*N391^0.8/(1-0.5/N391^0.1))^2))</f>
        <v>10073.046067957321</v>
      </c>
      <c r="P391" s="6">
        <f t="shared" si="59"/>
        <v>2.9510194925512497E-2</v>
      </c>
      <c r="Q391" s="6">
        <f t="shared" si="60"/>
        <v>5.3851005970849224</v>
      </c>
      <c r="R391" s="6">
        <f t="shared" si="61"/>
        <v>13.153834397586879</v>
      </c>
      <c r="S391" s="6">
        <f>B391*LN(B391/首页!$B$4)</f>
        <v>1.7893291556997835</v>
      </c>
      <c r="T391" s="6">
        <f>2*首页!$B$8*(E391-C391)/(R391*(C391-D391))</f>
        <v>7.0941891659213344E-2</v>
      </c>
      <c r="U391" t="str">
        <f>IF(首页!$B$13="自然对流","按自然对流公式", "按强制对流公式")</f>
        <v>按自然对流公式</v>
      </c>
      <c r="V391" s="6">
        <f t="shared" si="62"/>
        <v>1.7183872640405702</v>
      </c>
    </row>
    <row r="392" spans="1:22" x14ac:dyDescent="0.15">
      <c r="A392">
        <v>387</v>
      </c>
      <c r="B392" s="6">
        <f>首页!$B$4+2*A392/1000</f>
        <v>0.89400000000000002</v>
      </c>
      <c r="C392" s="6">
        <f>首页!$B$7+273.15</f>
        <v>388.15</v>
      </c>
      <c r="D392" s="6">
        <f>首页!$B$6+273.15</f>
        <v>293.14999999999998</v>
      </c>
      <c r="E392" s="6">
        <f>首页!$B$5+273.15</f>
        <v>1373.15</v>
      </c>
      <c r="F392" s="6">
        <f t="shared" si="54"/>
        <v>95</v>
      </c>
      <c r="G392" s="6">
        <f t="shared" si="55"/>
        <v>340.65</v>
      </c>
      <c r="H392" s="6">
        <f t="shared" si="56"/>
        <v>1.9926207055139041E-5</v>
      </c>
      <c r="I392" s="7">
        <f t="shared" si="57"/>
        <v>1158916576932337.8</v>
      </c>
      <c r="J392" s="6">
        <f t="shared" si="58"/>
        <v>1.0226038455893147</v>
      </c>
      <c r="K392" s="7">
        <f>J392*H392*首页!$B$12/P392</f>
        <v>0.69532757496605813</v>
      </c>
      <c r="L392" s="6">
        <f>首页!$B$9*0.0000000567*((C392^4-D392^4)/(C392-D392))</f>
        <v>7.7687338005019564</v>
      </c>
      <c r="M392" s="6">
        <f>IF(首页!$B$13="自然对流",IF(首页!$B$14="立式圆筒",首页!$B$10,PI()*B392/2),PI()*B392/2)</f>
        <v>55.2</v>
      </c>
      <c r="N392" s="7">
        <f>IF(首页!$B$13="强制对流",首页!$B$11*M392/H392,0)</f>
        <v>0</v>
      </c>
      <c r="O392" s="6">
        <f>IF(首页!$B$13="自然对流",IF(首页!$B$14="立式圆筒",(0.825+0.3063*I392^(1/6))^2+0.87*(M392/B392),(0.752+0.303*I392^(1/6))^2),0.3+SQRT((0.592*N392^0.5)^2+(0.0262*N392^0.8/(1-0.5/N392^0.1))^2))</f>
        <v>10072.92562374027</v>
      </c>
      <c r="P392" s="6">
        <f t="shared" si="59"/>
        <v>2.9510194925512497E-2</v>
      </c>
      <c r="Q392" s="6">
        <f t="shared" si="60"/>
        <v>5.3850362070066096</v>
      </c>
      <c r="R392" s="6">
        <f t="shared" si="61"/>
        <v>13.153770007508566</v>
      </c>
      <c r="S392" s="6">
        <f>B392*LN(B392/首页!$B$4)</f>
        <v>1.7953433449579728</v>
      </c>
      <c r="T392" s="6">
        <f>2*首页!$B$8*(E392-C392)/(R392*(C392-D392))</f>
        <v>7.0942238932577326E-2</v>
      </c>
      <c r="U392" t="str">
        <f>IF(首页!$B$13="自然对流","按自然对流公式", "按强制对流公式")</f>
        <v>按自然对流公式</v>
      </c>
      <c r="V392" s="6">
        <f t="shared" si="62"/>
        <v>1.7244011060253954</v>
      </c>
    </row>
    <row r="393" spans="1:22" x14ac:dyDescent="0.15">
      <c r="A393">
        <v>388</v>
      </c>
      <c r="B393" s="6">
        <f>首页!$B$4+2*A393/1000</f>
        <v>0.89600000000000002</v>
      </c>
      <c r="C393" s="6">
        <f>首页!$B$7+273.15</f>
        <v>388.15</v>
      </c>
      <c r="D393" s="6">
        <f>首页!$B$6+273.15</f>
        <v>293.14999999999998</v>
      </c>
      <c r="E393" s="6">
        <f>首页!$B$5+273.15</f>
        <v>1373.15</v>
      </c>
      <c r="F393" s="6">
        <f t="shared" si="54"/>
        <v>95</v>
      </c>
      <c r="G393" s="6">
        <f t="shared" si="55"/>
        <v>340.65</v>
      </c>
      <c r="H393" s="6">
        <f t="shared" si="56"/>
        <v>1.9926207055139041E-5</v>
      </c>
      <c r="I393" s="7">
        <f t="shared" si="57"/>
        <v>1158916576932337.8</v>
      </c>
      <c r="J393" s="6">
        <f t="shared" si="58"/>
        <v>1.0226038455893147</v>
      </c>
      <c r="K393" s="7">
        <f>J393*H393*首页!$B$12/P393</f>
        <v>0.69532757496605813</v>
      </c>
      <c r="L393" s="6">
        <f>首页!$B$9*0.0000000567*((C393^4-D393^4)/(C393-D393))</f>
        <v>7.7687338005019564</v>
      </c>
      <c r="M393" s="6">
        <f>IF(首页!$B$13="自然对流",IF(首页!$B$14="立式圆筒",首页!$B$10,PI()*B393/2),PI()*B393/2)</f>
        <v>55.2</v>
      </c>
      <c r="N393" s="7">
        <f>IF(首页!$B$13="强制对流",首页!$B$11*M393/H393,0)</f>
        <v>0</v>
      </c>
      <c r="O393" s="6">
        <f>IF(首页!$B$13="自然对流",IF(首页!$B$14="立式圆筒",(0.825+0.3063*I393^(1/6))^2+0.87*(M393/B393),(0.752+0.303*I393^(1/6))^2),0.3+SQRT((0.592*N393^0.5)^2+(0.0262*N393^0.8/(1-0.5/N393^0.1))^2))</f>
        <v>10072.805717220614</v>
      </c>
      <c r="P393" s="6">
        <f t="shared" si="59"/>
        <v>2.9510194925512497E-2</v>
      </c>
      <c r="Q393" s="6">
        <f t="shared" si="60"/>
        <v>5.384972104384004</v>
      </c>
      <c r="R393" s="6">
        <f t="shared" si="61"/>
        <v>13.15370590488596</v>
      </c>
      <c r="S393" s="6">
        <f>B393*LN(B393/首页!$B$4)</f>
        <v>1.8013620084928246</v>
      </c>
      <c r="T393" s="6">
        <f>2*首页!$B$8*(E393-C393)/(R393*(C393-D393))</f>
        <v>7.0942584658991018E-2</v>
      </c>
      <c r="U393" t="str">
        <f>IF(首页!$B$13="自然对流","按自然对流公式", "按强制对流公式")</f>
        <v>按自然对流公式</v>
      </c>
      <c r="V393" s="6">
        <f t="shared" si="62"/>
        <v>1.7304194238338335</v>
      </c>
    </row>
    <row r="394" spans="1:22" x14ac:dyDescent="0.15">
      <c r="A394">
        <v>389</v>
      </c>
      <c r="B394" s="6">
        <f>首页!$B$4+2*A394/1000</f>
        <v>0.89800000000000002</v>
      </c>
      <c r="C394" s="6">
        <f>首页!$B$7+273.15</f>
        <v>388.15</v>
      </c>
      <c r="D394" s="6">
        <f>首页!$B$6+273.15</f>
        <v>293.14999999999998</v>
      </c>
      <c r="E394" s="6">
        <f>首页!$B$5+273.15</f>
        <v>1373.15</v>
      </c>
      <c r="F394" s="6">
        <f t="shared" si="54"/>
        <v>95</v>
      </c>
      <c r="G394" s="6">
        <f t="shared" si="55"/>
        <v>340.65</v>
      </c>
      <c r="H394" s="6">
        <f t="shared" si="56"/>
        <v>1.9926207055139041E-5</v>
      </c>
      <c r="I394" s="7">
        <f t="shared" si="57"/>
        <v>1158916576932337.8</v>
      </c>
      <c r="J394" s="6">
        <f t="shared" si="58"/>
        <v>1.0226038455893147</v>
      </c>
      <c r="K394" s="7">
        <f>J394*H394*首页!$B$12/P394</f>
        <v>0.69532757496605813</v>
      </c>
      <c r="L394" s="6">
        <f>首页!$B$9*0.0000000567*((C394^4-D394^4)/(C394-D394))</f>
        <v>7.7687338005019564</v>
      </c>
      <c r="M394" s="6">
        <f>IF(首页!$B$13="自然对流",IF(首页!$B$14="立式圆筒",首页!$B$10,PI()*B394/2),PI()*B394/2)</f>
        <v>55.2</v>
      </c>
      <c r="N394" s="7">
        <f>IF(首页!$B$13="强制对流",首页!$B$11*M394/H394,0)</f>
        <v>0</v>
      </c>
      <c r="O394" s="6">
        <f>IF(首页!$B$13="自然对流",IF(首页!$B$14="立式圆筒",(0.825+0.3063*I394^(1/6))^2+0.87*(M394/B394),(0.752+0.303*I394^(1/6))^2),0.3+SQRT((0.592*N394^0.5)^2+(0.0262*N394^0.8/(1-0.5/N394^0.1))^2))</f>
        <v>10072.686344805725</v>
      </c>
      <c r="P394" s="6">
        <f t="shared" si="59"/>
        <v>2.9510194925512497E-2</v>
      </c>
      <c r="Q394" s="6">
        <f t="shared" si="60"/>
        <v>5.384908287296466</v>
      </c>
      <c r="R394" s="6">
        <f t="shared" si="61"/>
        <v>13.153642087798422</v>
      </c>
      <c r="S394" s="6">
        <f>B394*LN(B394/首页!$B$4)</f>
        <v>1.8073851363170981</v>
      </c>
      <c r="T394" s="6">
        <f>2*首页!$B$8*(E394-C394)/(R394*(C394-D394))</f>
        <v>7.0942928848767878E-2</v>
      </c>
      <c r="U394" t="str">
        <f>IF(首页!$B$13="自然对流","按自然对流公式", "按强制对流公式")</f>
        <v>按自然对流公式</v>
      </c>
      <c r="V394" s="6">
        <f t="shared" si="62"/>
        <v>1.7364422074683301</v>
      </c>
    </row>
    <row r="395" spans="1:22" x14ac:dyDescent="0.15">
      <c r="A395">
        <v>390</v>
      </c>
      <c r="B395" s="6">
        <f>首页!$B$4+2*A395/1000</f>
        <v>0.9</v>
      </c>
      <c r="C395" s="6">
        <f>首页!$B$7+273.15</f>
        <v>388.15</v>
      </c>
      <c r="D395" s="6">
        <f>首页!$B$6+273.15</f>
        <v>293.14999999999998</v>
      </c>
      <c r="E395" s="6">
        <f>首页!$B$5+273.15</f>
        <v>1373.15</v>
      </c>
      <c r="F395" s="6">
        <f t="shared" si="54"/>
        <v>95</v>
      </c>
      <c r="G395" s="6">
        <f t="shared" si="55"/>
        <v>340.65</v>
      </c>
      <c r="H395" s="6">
        <f t="shared" si="56"/>
        <v>1.9926207055139041E-5</v>
      </c>
      <c r="I395" s="7">
        <f t="shared" si="57"/>
        <v>1158916576932337.8</v>
      </c>
      <c r="J395" s="6">
        <f t="shared" si="58"/>
        <v>1.0226038455893147</v>
      </c>
      <c r="K395" s="7">
        <f>J395*H395*首页!$B$12/P395</f>
        <v>0.69532757496605813</v>
      </c>
      <c r="L395" s="6">
        <f>首页!$B$9*0.0000000567*((C395^4-D395^4)/(C395-D395))</f>
        <v>7.7687338005019564</v>
      </c>
      <c r="M395" s="6">
        <f>IF(首页!$B$13="自然对流",IF(首页!$B$14="立式圆筒",首页!$B$10,PI()*B395/2),PI()*B395/2)</f>
        <v>55.2</v>
      </c>
      <c r="N395" s="7">
        <f>IF(首页!$B$13="强制对流",首页!$B$11*M395/H395,0)</f>
        <v>0</v>
      </c>
      <c r="O395" s="6">
        <f>IF(首页!$B$13="自然对流",IF(首页!$B$14="立式圆筒",(0.825+0.3063*I395^(1/6))^2+0.87*(M395/B395),(0.752+0.303*I395^(1/6))^2),0.3+SQRT((0.592*N395^0.5)^2+(0.0262*N395^0.8/(1-0.5/N395^0.1))^2))</f>
        <v>10072.5675029349</v>
      </c>
      <c r="P395" s="6">
        <f t="shared" si="59"/>
        <v>2.9510194925512497E-2</v>
      </c>
      <c r="Q395" s="6">
        <f t="shared" si="60"/>
        <v>5.3848447538404276</v>
      </c>
      <c r="R395" s="6">
        <f t="shared" si="61"/>
        <v>13.153578554342385</v>
      </c>
      <c r="S395" s="6">
        <f>B395*LN(B395/首页!$B$4)</f>
        <v>1.8134127184880382</v>
      </c>
      <c r="T395" s="6">
        <f>2*首页!$B$8*(E395-C395)/(R395*(C395-D395))</f>
        <v>7.0943271512129993E-2</v>
      </c>
      <c r="U395" t="str">
        <f>IF(首页!$B$13="自然对流","按自然对流公式", "按强制对流公式")</f>
        <v>按自然对流公式</v>
      </c>
      <c r="V395" s="6">
        <f t="shared" si="62"/>
        <v>1.7424694469759081</v>
      </c>
    </row>
    <row r="396" spans="1:22" x14ac:dyDescent="0.15">
      <c r="A396">
        <v>391</v>
      </c>
      <c r="B396" s="6">
        <f>首页!$B$4+2*A396/1000</f>
        <v>0.90200000000000002</v>
      </c>
      <c r="C396" s="6">
        <f>首页!$B$7+273.15</f>
        <v>388.15</v>
      </c>
      <c r="D396" s="6">
        <f>首页!$B$6+273.15</f>
        <v>293.14999999999998</v>
      </c>
      <c r="E396" s="6">
        <f>首页!$B$5+273.15</f>
        <v>1373.15</v>
      </c>
      <c r="F396" s="6">
        <f t="shared" si="54"/>
        <v>95</v>
      </c>
      <c r="G396" s="6">
        <f t="shared" si="55"/>
        <v>340.65</v>
      </c>
      <c r="H396" s="6">
        <f t="shared" si="56"/>
        <v>1.9926207055139041E-5</v>
      </c>
      <c r="I396" s="7">
        <f t="shared" si="57"/>
        <v>1158916576932337.8</v>
      </c>
      <c r="J396" s="6">
        <f t="shared" si="58"/>
        <v>1.0226038455893147</v>
      </c>
      <c r="K396" s="7">
        <f>J396*H396*首页!$B$12/P396</f>
        <v>0.69532757496605813</v>
      </c>
      <c r="L396" s="6">
        <f>首页!$B$9*0.0000000567*((C396^4-D396^4)/(C396-D396))</f>
        <v>7.7687338005019564</v>
      </c>
      <c r="M396" s="6">
        <f>IF(首页!$B$13="自然对流",IF(首页!$B$14="立式圆筒",首页!$B$10,PI()*B396/2),PI()*B396/2)</f>
        <v>55.2</v>
      </c>
      <c r="N396" s="7">
        <f>IF(首页!$B$13="强制对流",首页!$B$11*M396/H396,0)</f>
        <v>0</v>
      </c>
      <c r="O396" s="6">
        <f>IF(首页!$B$13="自然对流",IF(首页!$B$14="立式圆筒",(0.825+0.3063*I396^(1/6))^2+0.87*(M396/B396),(0.752+0.303*I396^(1/6))^2),0.3+SQRT((0.592*N396^0.5)^2+(0.0262*N396^0.8/(1-0.5/N396^0.1))^2))</f>
        <v>10072.449188079025</v>
      </c>
      <c r="P396" s="6">
        <f t="shared" si="59"/>
        <v>2.9510194925512497E-2</v>
      </c>
      <c r="Q396" s="6">
        <f t="shared" si="60"/>
        <v>5.3847815021292043</v>
      </c>
      <c r="R396" s="6">
        <f t="shared" si="61"/>
        <v>13.15351530263116</v>
      </c>
      <c r="S396" s="6">
        <f>B396*LN(B396/首页!$B$4)</f>
        <v>1.8194447451070812</v>
      </c>
      <c r="T396" s="6">
        <f>2*首页!$B$8*(E396-C396)/(R396*(C396-D396))</f>
        <v>7.0943612659208927E-2</v>
      </c>
      <c r="U396" t="str">
        <f>IF(首页!$B$13="自然对流","按自然对流公式", "按强制对流公式")</f>
        <v>按自然对流公式</v>
      </c>
      <c r="V396" s="6">
        <f t="shared" si="62"/>
        <v>1.7485011324478723</v>
      </c>
    </row>
    <row r="397" spans="1:22" x14ac:dyDescent="0.15">
      <c r="A397">
        <v>392</v>
      </c>
      <c r="B397" s="6">
        <f>首页!$B$4+2*A397/1000</f>
        <v>0.90400000000000003</v>
      </c>
      <c r="C397" s="6">
        <f>首页!$B$7+273.15</f>
        <v>388.15</v>
      </c>
      <c r="D397" s="6">
        <f>首页!$B$6+273.15</f>
        <v>293.14999999999998</v>
      </c>
      <c r="E397" s="6">
        <f>首页!$B$5+273.15</f>
        <v>1373.15</v>
      </c>
      <c r="F397" s="6">
        <f t="shared" si="54"/>
        <v>95</v>
      </c>
      <c r="G397" s="6">
        <f t="shared" si="55"/>
        <v>340.65</v>
      </c>
      <c r="H397" s="6">
        <f t="shared" si="56"/>
        <v>1.9926207055139041E-5</v>
      </c>
      <c r="I397" s="7">
        <f t="shared" si="57"/>
        <v>1158916576932337.8</v>
      </c>
      <c r="J397" s="6">
        <f t="shared" si="58"/>
        <v>1.0226038455893147</v>
      </c>
      <c r="K397" s="7">
        <f>J397*H397*首页!$B$12/P397</f>
        <v>0.69532757496605813</v>
      </c>
      <c r="L397" s="6">
        <f>首页!$B$9*0.0000000567*((C397^4-D397^4)/(C397-D397))</f>
        <v>7.7687338005019564</v>
      </c>
      <c r="M397" s="6">
        <f>IF(首页!$B$13="自然对流",IF(首页!$B$14="立式圆筒",首页!$B$10,PI()*B397/2),PI()*B397/2)</f>
        <v>55.2</v>
      </c>
      <c r="N397" s="7">
        <f>IF(首页!$B$13="强制对流",首页!$B$11*M397/H397,0)</f>
        <v>0</v>
      </c>
      <c r="O397" s="6">
        <f>IF(首页!$B$13="自然对流",IF(首页!$B$14="立式圆筒",(0.825+0.3063*I397^(1/6))^2+0.87*(M397/B397),(0.752+0.303*I397^(1/6))^2),0.3+SQRT((0.592*N397^0.5)^2+(0.0262*N397^0.8/(1-0.5/N397^0.1))^2))</f>
        <v>10072.33139674021</v>
      </c>
      <c r="P397" s="6">
        <f t="shared" si="59"/>
        <v>2.9510194925512497E-2</v>
      </c>
      <c r="Q397" s="6">
        <f t="shared" si="60"/>
        <v>5.38471853029281</v>
      </c>
      <c r="R397" s="6">
        <f t="shared" si="61"/>
        <v>13.153452330794767</v>
      </c>
      <c r="S397" s="6">
        <f>B397*LN(B397/首页!$B$4)</f>
        <v>1.8254812063195582</v>
      </c>
      <c r="T397" s="6">
        <f>2*首页!$B$8*(E397-C397)/(R397*(C397-D397))</f>
        <v>7.09439523000467E-2</v>
      </c>
      <c r="U397" t="str">
        <f>IF(首页!$B$13="自然对流","按自然对流公式", "按强制对流公式")</f>
        <v>按自然对流公式</v>
      </c>
      <c r="V397" s="6">
        <f t="shared" si="62"/>
        <v>1.7545372540195114</v>
      </c>
    </row>
    <row r="398" spans="1:22" x14ac:dyDescent="0.15">
      <c r="A398">
        <v>393</v>
      </c>
      <c r="B398" s="6">
        <f>首页!$B$4+2*A398/1000</f>
        <v>0.90600000000000003</v>
      </c>
      <c r="C398" s="6">
        <f>首页!$B$7+273.15</f>
        <v>388.15</v>
      </c>
      <c r="D398" s="6">
        <f>首页!$B$6+273.15</f>
        <v>293.14999999999998</v>
      </c>
      <c r="E398" s="6">
        <f>首页!$B$5+273.15</f>
        <v>1373.15</v>
      </c>
      <c r="F398" s="6">
        <f t="shared" si="54"/>
        <v>95</v>
      </c>
      <c r="G398" s="6">
        <f t="shared" si="55"/>
        <v>340.65</v>
      </c>
      <c r="H398" s="6">
        <f t="shared" si="56"/>
        <v>1.9926207055139041E-5</v>
      </c>
      <c r="I398" s="7">
        <f t="shared" si="57"/>
        <v>1158916576932337.8</v>
      </c>
      <c r="J398" s="6">
        <f t="shared" si="58"/>
        <v>1.0226038455893147</v>
      </c>
      <c r="K398" s="7">
        <f>J398*H398*首页!$B$12/P398</f>
        <v>0.69532757496605813</v>
      </c>
      <c r="L398" s="6">
        <f>首页!$B$9*0.0000000567*((C398^4-D398^4)/(C398-D398))</f>
        <v>7.7687338005019564</v>
      </c>
      <c r="M398" s="6">
        <f>IF(首页!$B$13="自然对流",IF(首页!$B$14="立式圆筒",首页!$B$10,PI()*B398/2),PI()*B398/2)</f>
        <v>55.2</v>
      </c>
      <c r="N398" s="7">
        <f>IF(首页!$B$13="强制对流",首页!$B$11*M398/H398,0)</f>
        <v>0</v>
      </c>
      <c r="O398" s="6">
        <f>IF(首页!$B$13="自然对流",IF(首页!$B$14="立式圆筒",(0.825+0.3063*I398^(1/6))^2+0.87*(M398/B398),(0.752+0.303*I398^(1/6))^2),0.3+SQRT((0.592*N398^0.5)^2+(0.0262*N398^0.8/(1-0.5/N398^0.1))^2))</f>
        <v>10072.214125451455</v>
      </c>
      <c r="P398" s="6">
        <f t="shared" si="59"/>
        <v>2.9510194925512497E-2</v>
      </c>
      <c r="Q398" s="6">
        <f t="shared" si="60"/>
        <v>5.3846558364777675</v>
      </c>
      <c r="R398" s="6">
        <f t="shared" si="61"/>
        <v>13.153389636979725</v>
      </c>
      <c r="S398" s="6">
        <f>B398*LN(B398/首页!$B$4)</f>
        <v>1.8315220923144058</v>
      </c>
      <c r="T398" s="6">
        <f>2*首页!$B$8*(E398-C398)/(R398*(C398-D398))</f>
        <v>7.0944290444597019E-2</v>
      </c>
      <c r="U398" t="str">
        <f>IF(首页!$B$13="自然对流","按自然对流公式", "按强制对流公式")</f>
        <v>按自然对流公式</v>
      </c>
      <c r="V398" s="6">
        <f t="shared" si="62"/>
        <v>1.7605778018698088</v>
      </c>
    </row>
    <row r="399" spans="1:22" x14ac:dyDescent="0.15">
      <c r="A399">
        <v>394</v>
      </c>
      <c r="B399" s="6">
        <f>首页!$B$4+2*A399/1000</f>
        <v>0.90800000000000003</v>
      </c>
      <c r="C399" s="6">
        <f>首页!$B$7+273.15</f>
        <v>388.15</v>
      </c>
      <c r="D399" s="6">
        <f>首页!$B$6+273.15</f>
        <v>293.14999999999998</v>
      </c>
      <c r="E399" s="6">
        <f>首页!$B$5+273.15</f>
        <v>1373.15</v>
      </c>
      <c r="F399" s="6">
        <f t="shared" si="54"/>
        <v>95</v>
      </c>
      <c r="G399" s="6">
        <f t="shared" si="55"/>
        <v>340.65</v>
      </c>
      <c r="H399" s="6">
        <f t="shared" si="56"/>
        <v>1.9926207055139041E-5</v>
      </c>
      <c r="I399" s="7">
        <f t="shared" si="57"/>
        <v>1158916576932337.8</v>
      </c>
      <c r="J399" s="6">
        <f t="shared" si="58"/>
        <v>1.0226038455893147</v>
      </c>
      <c r="K399" s="7">
        <f>J399*H399*首页!$B$12/P399</f>
        <v>0.69532757496605813</v>
      </c>
      <c r="L399" s="6">
        <f>首页!$B$9*0.0000000567*((C399^4-D399^4)/(C399-D399))</f>
        <v>7.7687338005019564</v>
      </c>
      <c r="M399" s="6">
        <f>IF(首页!$B$13="自然对流",IF(首页!$B$14="立式圆筒",首页!$B$10,PI()*B399/2),PI()*B399/2)</f>
        <v>55.2</v>
      </c>
      <c r="N399" s="7">
        <f>IF(首页!$B$13="强制对流",首页!$B$11*M399/H399,0)</f>
        <v>0</v>
      </c>
      <c r="O399" s="6">
        <f>IF(首页!$B$13="自然对流",IF(首页!$B$14="立式圆筒",(0.825+0.3063*I399^(1/6))^2+0.87*(M399/B399),(0.752+0.303*I399^(1/6))^2),0.3+SQRT((0.592*N399^0.5)^2+(0.0262*N399^0.8/(1-0.5/N399^0.1))^2))</f>
        <v>10072.09737077631</v>
      </c>
      <c r="P399" s="6">
        <f t="shared" si="59"/>
        <v>2.9510194925512497E-2</v>
      </c>
      <c r="Q399" s="6">
        <f t="shared" si="60"/>
        <v>5.3845934188469347</v>
      </c>
      <c r="R399" s="6">
        <f t="shared" si="61"/>
        <v>13.153327219348892</v>
      </c>
      <c r="S399" s="6">
        <f>B399*LN(B399/首页!$B$4)</f>
        <v>1.8375673933238768</v>
      </c>
      <c r="T399" s="6">
        <f>2*首页!$B$8*(E399-C399)/(R399*(C399-D399))</f>
        <v>7.0944627102725935E-2</v>
      </c>
      <c r="U399" t="str">
        <f>IF(首页!$B$13="自然对流","按自然对流公式", "按强制对流公式")</f>
        <v>按自然对流公式</v>
      </c>
      <c r="V399" s="6">
        <f t="shared" si="62"/>
        <v>1.7666227662211509</v>
      </c>
    </row>
    <row r="400" spans="1:22" x14ac:dyDescent="0.15">
      <c r="A400">
        <v>395</v>
      </c>
      <c r="B400" s="6">
        <f>首页!$B$4+2*A400/1000</f>
        <v>0.91</v>
      </c>
      <c r="C400" s="6">
        <f>首页!$B$7+273.15</f>
        <v>388.15</v>
      </c>
      <c r="D400" s="6">
        <f>首页!$B$6+273.15</f>
        <v>293.14999999999998</v>
      </c>
      <c r="E400" s="6">
        <f>首页!$B$5+273.15</f>
        <v>1373.15</v>
      </c>
      <c r="F400" s="6">
        <f t="shared" si="54"/>
        <v>95</v>
      </c>
      <c r="G400" s="6">
        <f t="shared" si="55"/>
        <v>340.65</v>
      </c>
      <c r="H400" s="6">
        <f t="shared" si="56"/>
        <v>1.9926207055139041E-5</v>
      </c>
      <c r="I400" s="7">
        <f t="shared" si="57"/>
        <v>1158916576932337.8</v>
      </c>
      <c r="J400" s="6">
        <f t="shared" si="58"/>
        <v>1.0226038455893147</v>
      </c>
      <c r="K400" s="7">
        <f>J400*H400*首页!$B$12/P400</f>
        <v>0.69532757496605813</v>
      </c>
      <c r="L400" s="6">
        <f>首页!$B$9*0.0000000567*((C400^4-D400^4)/(C400-D400))</f>
        <v>7.7687338005019564</v>
      </c>
      <c r="M400" s="6">
        <f>IF(首页!$B$13="自然对流",IF(首页!$B$14="立式圆筒",首页!$B$10,PI()*B400/2),PI()*B400/2)</f>
        <v>55.2</v>
      </c>
      <c r="N400" s="7">
        <f>IF(首页!$B$13="强制对流",首页!$B$11*M400/H400,0)</f>
        <v>0</v>
      </c>
      <c r="O400" s="6">
        <f>IF(首页!$B$13="自然对流",IF(首页!$B$14="立式圆筒",(0.825+0.3063*I400^(1/6))^2+0.87*(M400/B400),(0.752+0.303*I400^(1/6))^2),0.3+SQRT((0.592*N400^0.5)^2+(0.0262*N400^0.8/(1-0.5/N400^0.1))^2))</f>
        <v>10071.981129308526</v>
      </c>
      <c r="P400" s="6">
        <f t="shared" si="59"/>
        <v>2.9510194925512497E-2</v>
      </c>
      <c r="Q400" s="6">
        <f t="shared" si="60"/>
        <v>5.3845312755793131</v>
      </c>
      <c r="R400" s="6">
        <f t="shared" si="61"/>
        <v>13.153265076081269</v>
      </c>
      <c r="S400" s="6">
        <f>B400*LN(B400/首页!$B$4)</f>
        <v>1.8436170996232535</v>
      </c>
      <c r="T400" s="6">
        <f>2*首页!$B$8*(E400-C400)/(R400*(C400-D400))</f>
        <v>7.0944962284213042E-2</v>
      </c>
      <c r="U400" t="str">
        <f>IF(首页!$B$13="自然对流","按自然对流公式", "按强制对流公式")</f>
        <v>按自然对流公式</v>
      </c>
      <c r="V400" s="6">
        <f t="shared" si="62"/>
        <v>1.7726721373390404</v>
      </c>
    </row>
    <row r="401" spans="1:22" x14ac:dyDescent="0.15">
      <c r="A401">
        <v>396</v>
      </c>
      <c r="B401" s="6">
        <f>首页!$B$4+2*A401/1000</f>
        <v>0.91200000000000003</v>
      </c>
      <c r="C401" s="6">
        <f>首页!$B$7+273.15</f>
        <v>388.15</v>
      </c>
      <c r="D401" s="6">
        <f>首页!$B$6+273.15</f>
        <v>293.14999999999998</v>
      </c>
      <c r="E401" s="6">
        <f>首页!$B$5+273.15</f>
        <v>1373.15</v>
      </c>
      <c r="F401" s="6">
        <f t="shared" si="54"/>
        <v>95</v>
      </c>
      <c r="G401" s="6">
        <f t="shared" si="55"/>
        <v>340.65</v>
      </c>
      <c r="H401" s="6">
        <f t="shared" si="56"/>
        <v>1.9926207055139041E-5</v>
      </c>
      <c r="I401" s="7">
        <f t="shared" si="57"/>
        <v>1158916576932337.8</v>
      </c>
      <c r="J401" s="6">
        <f t="shared" si="58"/>
        <v>1.0226038455893147</v>
      </c>
      <c r="K401" s="7">
        <f>J401*H401*首页!$B$12/P401</f>
        <v>0.69532757496605813</v>
      </c>
      <c r="L401" s="6">
        <f>首页!$B$9*0.0000000567*((C401^4-D401^4)/(C401-D401))</f>
        <v>7.7687338005019564</v>
      </c>
      <c r="M401" s="6">
        <f>IF(首页!$B$13="自然对流",IF(首页!$B$14="立式圆筒",首页!$B$10,PI()*B401/2),PI()*B401/2)</f>
        <v>55.2</v>
      </c>
      <c r="N401" s="7">
        <f>IF(首页!$B$13="强制对流",首页!$B$11*M401/H401,0)</f>
        <v>0</v>
      </c>
      <c r="O401" s="6">
        <f>IF(首页!$B$13="自然对流",IF(首页!$B$14="立式圆筒",(0.825+0.3063*I401^(1/6))^2+0.87*(M401/B401),(0.752+0.303*I401^(1/6))^2),0.3+SQRT((0.592*N401^0.5)^2+(0.0262*N401^0.8/(1-0.5/N401^0.1))^2))</f>
        <v>10071.865397671741</v>
      </c>
      <c r="P401" s="6">
        <f t="shared" si="59"/>
        <v>2.9510194925512497E-2</v>
      </c>
      <c r="Q401" s="6">
        <f t="shared" si="60"/>
        <v>5.3844694048698827</v>
      </c>
      <c r="R401" s="6">
        <f t="shared" si="61"/>
        <v>13.153203205371838</v>
      </c>
      <c r="S401" s="6">
        <f>B401*LN(B401/首页!$B$4)</f>
        <v>1.8496712015305645</v>
      </c>
      <c r="T401" s="6">
        <f>2*首页!$B$8*(E401-C401)/(R401*(C401-D401))</f>
        <v>7.0945295998752267E-2</v>
      </c>
      <c r="U401" t="str">
        <f>IF(首页!$B$13="自然对流","按自然对流公式", "按强制对流公式")</f>
        <v>按自然对流公式</v>
      </c>
      <c r="V401" s="6">
        <f t="shared" si="62"/>
        <v>1.7787259055318123</v>
      </c>
    </row>
    <row r="402" spans="1:22" x14ac:dyDescent="0.15">
      <c r="A402">
        <v>397</v>
      </c>
      <c r="B402" s="6">
        <f>首页!$B$4+2*A402/1000</f>
        <v>0.91400000000000003</v>
      </c>
      <c r="C402" s="6">
        <f>首页!$B$7+273.15</f>
        <v>388.15</v>
      </c>
      <c r="D402" s="6">
        <f>首页!$B$6+273.15</f>
        <v>293.14999999999998</v>
      </c>
      <c r="E402" s="6">
        <f>首页!$B$5+273.15</f>
        <v>1373.15</v>
      </c>
      <c r="F402" s="6">
        <f t="shared" si="54"/>
        <v>95</v>
      </c>
      <c r="G402" s="6">
        <f t="shared" si="55"/>
        <v>340.65</v>
      </c>
      <c r="H402" s="6">
        <f t="shared" si="56"/>
        <v>1.9926207055139041E-5</v>
      </c>
      <c r="I402" s="7">
        <f t="shared" si="57"/>
        <v>1158916576932337.8</v>
      </c>
      <c r="J402" s="6">
        <f t="shared" si="58"/>
        <v>1.0226038455893147</v>
      </c>
      <c r="K402" s="7">
        <f>J402*H402*首页!$B$12/P402</f>
        <v>0.69532757496605813</v>
      </c>
      <c r="L402" s="6">
        <f>首页!$B$9*0.0000000567*((C402^4-D402^4)/(C402-D402))</f>
        <v>7.7687338005019564</v>
      </c>
      <c r="M402" s="6">
        <f>IF(首页!$B$13="自然对流",IF(首页!$B$14="立式圆筒",首页!$B$10,PI()*B402/2),PI()*B402/2)</f>
        <v>55.2</v>
      </c>
      <c r="N402" s="7">
        <f>IF(首页!$B$13="强制对流",首页!$B$11*M402/H402,0)</f>
        <v>0</v>
      </c>
      <c r="O402" s="6">
        <f>IF(首页!$B$13="自然对流",IF(首页!$B$14="立式圆筒",(0.825+0.3063*I402^(1/6))^2+0.87*(M402/B402),(0.752+0.303*I402^(1/6))^2),0.3+SQRT((0.592*N402^0.5)^2+(0.0262*N402^0.8/(1-0.5/N402^0.1))^2))</f>
        <v>10071.750172519145</v>
      </c>
      <c r="P402" s="6">
        <f t="shared" si="59"/>
        <v>2.9510194925512497E-2</v>
      </c>
      <c r="Q402" s="6">
        <f t="shared" si="60"/>
        <v>5.3844078049294222</v>
      </c>
      <c r="R402" s="6">
        <f t="shared" si="61"/>
        <v>13.153141605431379</v>
      </c>
      <c r="S402" s="6">
        <f>B402*LN(B402/首页!$B$4)</f>
        <v>1.8557296894063033</v>
      </c>
      <c r="T402" s="6">
        <f>2*首页!$B$8*(E402-C402)/(R402*(C402-D402))</f>
        <v>7.0945628255952894E-2</v>
      </c>
      <c r="U402" t="str">
        <f>IF(首页!$B$13="自然对流","按自然对流公式", "按强制对流公式")</f>
        <v>按自然对流公式</v>
      </c>
      <c r="V402" s="6">
        <f t="shared" si="62"/>
        <v>1.7847840611503505</v>
      </c>
    </row>
    <row r="403" spans="1:22" x14ac:dyDescent="0.15">
      <c r="A403">
        <v>398</v>
      </c>
      <c r="B403" s="6">
        <f>首页!$B$4+2*A403/1000</f>
        <v>0.91600000000000004</v>
      </c>
      <c r="C403" s="6">
        <f>首页!$B$7+273.15</f>
        <v>388.15</v>
      </c>
      <c r="D403" s="6">
        <f>首页!$B$6+273.15</f>
        <v>293.14999999999998</v>
      </c>
      <c r="E403" s="6">
        <f>首页!$B$5+273.15</f>
        <v>1373.15</v>
      </c>
      <c r="F403" s="6">
        <f t="shared" si="54"/>
        <v>95</v>
      </c>
      <c r="G403" s="6">
        <f t="shared" si="55"/>
        <v>340.65</v>
      </c>
      <c r="H403" s="6">
        <f t="shared" si="56"/>
        <v>1.9926207055139041E-5</v>
      </c>
      <c r="I403" s="7">
        <f t="shared" si="57"/>
        <v>1158916576932337.8</v>
      </c>
      <c r="J403" s="6">
        <f t="shared" si="58"/>
        <v>1.0226038455893147</v>
      </c>
      <c r="K403" s="7">
        <f>J403*H403*首页!$B$12/P403</f>
        <v>0.69532757496605813</v>
      </c>
      <c r="L403" s="6">
        <f>首页!$B$9*0.0000000567*((C403^4-D403^4)/(C403-D403))</f>
        <v>7.7687338005019564</v>
      </c>
      <c r="M403" s="6">
        <f>IF(首页!$B$13="自然对流",IF(首页!$B$14="立式圆筒",首页!$B$10,PI()*B403/2),PI()*B403/2)</f>
        <v>55.2</v>
      </c>
      <c r="N403" s="7">
        <f>IF(首页!$B$13="强制对流",首页!$B$11*M403/H403,0)</f>
        <v>0</v>
      </c>
      <c r="O403" s="6">
        <f>IF(首页!$B$13="自然对流",IF(首页!$B$14="立式圆筒",(0.825+0.3063*I403^(1/6))^2+0.87*(M403/B403),(0.752+0.303*I403^(1/6))^2),0.3+SQRT((0.592*N403^0.5)^2+(0.0262*N403^0.8/(1-0.5/N403^0.1))^2))</f>
        <v>10071.635450533153</v>
      </c>
      <c r="P403" s="6">
        <f t="shared" si="59"/>
        <v>2.9510194925512497E-2</v>
      </c>
      <c r="Q403" s="6">
        <f t="shared" si="60"/>
        <v>5.3843464739843334</v>
      </c>
      <c r="R403" s="6">
        <f t="shared" si="61"/>
        <v>13.153080274486289</v>
      </c>
      <c r="S403" s="6">
        <f>B403*LN(B403/首页!$B$4)</f>
        <v>1.8617925536531494</v>
      </c>
      <c r="T403" s="6">
        <f>2*首页!$B$8*(E403-C403)/(R403*(C403-D403))</f>
        <v>7.0945959065340528E-2</v>
      </c>
      <c r="U403" t="str">
        <f>IF(首页!$B$13="自然对流","按自然对流公式", "按强制对流公式")</f>
        <v>按自然对流公式</v>
      </c>
      <c r="V403" s="6">
        <f t="shared" si="62"/>
        <v>1.7908465945878089</v>
      </c>
    </row>
    <row r="404" spans="1:22" x14ac:dyDescent="0.15">
      <c r="A404">
        <v>399</v>
      </c>
      <c r="B404" s="6">
        <f>首页!$B$4+2*A404/1000</f>
        <v>0.91800000000000004</v>
      </c>
      <c r="C404" s="6">
        <f>首页!$B$7+273.15</f>
        <v>388.15</v>
      </c>
      <c r="D404" s="6">
        <f>首页!$B$6+273.15</f>
        <v>293.14999999999998</v>
      </c>
      <c r="E404" s="6">
        <f>首页!$B$5+273.15</f>
        <v>1373.15</v>
      </c>
      <c r="F404" s="6">
        <f t="shared" si="54"/>
        <v>95</v>
      </c>
      <c r="G404" s="6">
        <f t="shared" si="55"/>
        <v>340.65</v>
      </c>
      <c r="H404" s="6">
        <f t="shared" si="56"/>
        <v>1.9926207055139041E-5</v>
      </c>
      <c r="I404" s="7">
        <f t="shared" si="57"/>
        <v>1158916576932337.8</v>
      </c>
      <c r="J404" s="6">
        <f t="shared" si="58"/>
        <v>1.0226038455893147</v>
      </c>
      <c r="K404" s="7">
        <f>J404*H404*首页!$B$12/P404</f>
        <v>0.69532757496605813</v>
      </c>
      <c r="L404" s="6">
        <f>首页!$B$9*0.0000000567*((C404^4-D404^4)/(C404-D404))</f>
        <v>7.7687338005019564</v>
      </c>
      <c r="M404" s="6">
        <f>IF(首页!$B$13="自然对流",IF(首页!$B$14="立式圆筒",首页!$B$10,PI()*B404/2),PI()*B404/2)</f>
        <v>55.2</v>
      </c>
      <c r="N404" s="7">
        <f>IF(首页!$B$13="强制对流",首页!$B$11*M404/H404,0)</f>
        <v>0</v>
      </c>
      <c r="O404" s="6">
        <f>IF(首页!$B$13="自然对流",IF(首页!$B$14="立式圆筒",(0.825+0.3063*I404^(1/6))^2+0.87*(M404/B404),(0.752+0.303*I404^(1/6))^2),0.3+SQRT((0.592*N404^0.5)^2+(0.0262*N404^0.8/(1-0.5/N404^0.1))^2))</f>
        <v>10071.521228425096</v>
      </c>
      <c r="P404" s="6">
        <f t="shared" si="59"/>
        <v>2.9510194925512497E-2</v>
      </c>
      <c r="Q404" s="6">
        <f t="shared" si="60"/>
        <v>5.3842854102764788</v>
      </c>
      <c r="R404" s="6">
        <f t="shared" si="61"/>
        <v>13.153019210778435</v>
      </c>
      <c r="S404" s="6">
        <f>B404*LN(B404/首页!$B$4)</f>
        <v>1.8678597847156921</v>
      </c>
      <c r="T404" s="6">
        <f>2*首页!$B$8*(E404-C404)/(R404*(C404-D404))</f>
        <v>7.0946288436357793E-2</v>
      </c>
      <c r="U404" t="str">
        <f>IF(首页!$B$13="自然对流","按自然对流公式", "按强制对流公式")</f>
        <v>按自然对流公式</v>
      </c>
      <c r="V404" s="6">
        <f t="shared" si="62"/>
        <v>1.7969134962793343</v>
      </c>
    </row>
    <row r="405" spans="1:22" x14ac:dyDescent="0.15">
      <c r="A405">
        <v>400</v>
      </c>
      <c r="B405" s="6">
        <f>首页!$B$4+2*A405/1000</f>
        <v>0.92</v>
      </c>
      <c r="C405" s="6">
        <f>首页!$B$7+273.15</f>
        <v>388.15</v>
      </c>
      <c r="D405" s="6">
        <f>首页!$B$6+273.15</f>
        <v>293.14999999999998</v>
      </c>
      <c r="E405" s="6">
        <f>首页!$B$5+273.15</f>
        <v>1373.15</v>
      </c>
      <c r="F405" s="6">
        <f t="shared" si="54"/>
        <v>95</v>
      </c>
      <c r="G405" s="6">
        <f t="shared" si="55"/>
        <v>340.65</v>
      </c>
      <c r="H405" s="6">
        <f t="shared" si="56"/>
        <v>1.9926207055139041E-5</v>
      </c>
      <c r="I405" s="7">
        <f t="shared" si="57"/>
        <v>1158916576932337.8</v>
      </c>
      <c r="J405" s="6">
        <f t="shared" si="58"/>
        <v>1.0226038455893147</v>
      </c>
      <c r="K405" s="7">
        <f>J405*H405*首页!$B$12/P405</f>
        <v>0.69532757496605813</v>
      </c>
      <c r="L405" s="6">
        <f>首页!$B$9*0.0000000567*((C405^4-D405^4)/(C405-D405))</f>
        <v>7.7687338005019564</v>
      </c>
      <c r="M405" s="6">
        <f>IF(首页!$B$13="自然对流",IF(首页!$B$14="立式圆筒",首页!$B$10,PI()*B405/2),PI()*B405/2)</f>
        <v>55.2</v>
      </c>
      <c r="N405" s="7">
        <f>IF(首页!$B$13="强制对流",首页!$B$11*M405/H405,0)</f>
        <v>0</v>
      </c>
      <c r="O405" s="6">
        <f>IF(首页!$B$13="自然对流",IF(首页!$B$14="立式圆筒",(0.825+0.3063*I405^(1/6))^2+0.87*(M405/B405),(0.752+0.303*I405^(1/6))^2),0.3+SQRT((0.592*N405^0.5)^2+(0.0262*N405^0.8/(1-0.5/N405^0.1))^2))</f>
        <v>10071.407502934901</v>
      </c>
      <c r="P405" s="6">
        <f t="shared" si="59"/>
        <v>2.9510194925512497E-2</v>
      </c>
      <c r="Q405" s="6">
        <f t="shared" si="60"/>
        <v>5.3842246120630062</v>
      </c>
      <c r="R405" s="6">
        <f t="shared" si="61"/>
        <v>13.152958412564963</v>
      </c>
      <c r="S405" s="6">
        <f>B405*LN(B405/首页!$B$4)</f>
        <v>1.873931373080157</v>
      </c>
      <c r="T405" s="6">
        <f>2*首页!$B$8*(E405-C405)/(R405*(C405-D405))</f>
        <v>7.0946616378365523E-2</v>
      </c>
      <c r="U405" t="str">
        <f>IF(首页!$B$13="自然对流","按自然对流公式", "按强制对流公式")</f>
        <v>按自然对流公式</v>
      </c>
      <c r="V405" s="6">
        <f t="shared" si="62"/>
        <v>1.8029847567017914</v>
      </c>
    </row>
    <row r="406" spans="1:22" x14ac:dyDescent="0.15">
      <c r="A406">
        <v>401</v>
      </c>
      <c r="B406" s="6">
        <f>首页!$B$4+2*A406/1000</f>
        <v>0.92200000000000004</v>
      </c>
      <c r="C406" s="6">
        <f>首页!$B$7+273.15</f>
        <v>388.15</v>
      </c>
      <c r="D406" s="6">
        <f>首页!$B$6+273.15</f>
        <v>293.14999999999998</v>
      </c>
      <c r="E406" s="6">
        <f>首页!$B$5+273.15</f>
        <v>1373.15</v>
      </c>
      <c r="F406" s="6">
        <f t="shared" si="54"/>
        <v>95</v>
      </c>
      <c r="G406" s="6">
        <f t="shared" si="55"/>
        <v>340.65</v>
      </c>
      <c r="H406" s="6">
        <f t="shared" si="56"/>
        <v>1.9926207055139041E-5</v>
      </c>
      <c r="I406" s="7">
        <f t="shared" si="57"/>
        <v>1158916576932337.8</v>
      </c>
      <c r="J406" s="6">
        <f t="shared" si="58"/>
        <v>1.0226038455893147</v>
      </c>
      <c r="K406" s="7">
        <f>J406*H406*首页!$B$12/P406</f>
        <v>0.69532757496605813</v>
      </c>
      <c r="L406" s="6">
        <f>首页!$B$9*0.0000000567*((C406^4-D406^4)/(C406-D406))</f>
        <v>7.7687338005019564</v>
      </c>
      <c r="M406" s="6">
        <f>IF(首页!$B$13="自然对流",IF(首页!$B$14="立式圆筒",首页!$B$10,PI()*B406/2),PI()*B406/2)</f>
        <v>55.2</v>
      </c>
      <c r="N406" s="7">
        <f>IF(首页!$B$13="强制对流",首页!$B$11*M406/H406,0)</f>
        <v>0</v>
      </c>
      <c r="O406" s="6">
        <f>IF(首页!$B$13="自然对流",IF(首页!$B$14="立式圆筒",(0.825+0.3063*I406^(1/6))^2+0.87*(M406/B406),(0.752+0.303*I406^(1/6))^2),0.3+SQRT((0.592*N406^0.5)^2+(0.0262*N406^0.8/(1-0.5/N406^0.1))^2))</f>
        <v>10071.294270830778</v>
      </c>
      <c r="P406" s="6">
        <f t="shared" si="59"/>
        <v>2.9510194925512497E-2</v>
      </c>
      <c r="Q406" s="6">
        <f t="shared" si="60"/>
        <v>5.3841640776161874</v>
      </c>
      <c r="R406" s="6">
        <f t="shared" si="61"/>
        <v>13.152897878118143</v>
      </c>
      <c r="S406" s="6">
        <f>B406*LN(B406/首页!$B$4)</f>
        <v>1.8800073092741332</v>
      </c>
      <c r="T406" s="6">
        <f>2*首页!$B$8*(E406-C406)/(R406*(C406-D406))</f>
        <v>7.0946942900643434E-2</v>
      </c>
      <c r="U406" t="str">
        <f>IF(首页!$B$13="自然对流","按自然对流公式", "按强制对流公式")</f>
        <v>按自然对流公式</v>
      </c>
      <c r="V406" s="6">
        <f t="shared" si="62"/>
        <v>1.8090603663734897</v>
      </c>
    </row>
    <row r="407" spans="1:22" x14ac:dyDescent="0.15">
      <c r="A407">
        <v>402</v>
      </c>
      <c r="B407" s="6">
        <f>首页!$B$4+2*A407/1000</f>
        <v>0.92400000000000004</v>
      </c>
      <c r="C407" s="6">
        <f>首页!$B$7+273.15</f>
        <v>388.15</v>
      </c>
      <c r="D407" s="6">
        <f>首页!$B$6+273.15</f>
        <v>293.14999999999998</v>
      </c>
      <c r="E407" s="6">
        <f>首页!$B$5+273.15</f>
        <v>1373.15</v>
      </c>
      <c r="F407" s="6">
        <f t="shared" si="54"/>
        <v>95</v>
      </c>
      <c r="G407" s="6">
        <f t="shared" si="55"/>
        <v>340.65</v>
      </c>
      <c r="H407" s="6">
        <f t="shared" si="56"/>
        <v>1.9926207055139041E-5</v>
      </c>
      <c r="I407" s="7">
        <f t="shared" si="57"/>
        <v>1158916576932337.8</v>
      </c>
      <c r="J407" s="6">
        <f t="shared" si="58"/>
        <v>1.0226038455893147</v>
      </c>
      <c r="K407" s="7">
        <f>J407*H407*首页!$B$12/P407</f>
        <v>0.69532757496605813</v>
      </c>
      <c r="L407" s="6">
        <f>首页!$B$9*0.0000000567*((C407^4-D407^4)/(C407-D407))</f>
        <v>7.7687338005019564</v>
      </c>
      <c r="M407" s="6">
        <f>IF(首页!$B$13="自然对流",IF(首页!$B$14="立式圆筒",首页!$B$10,PI()*B407/2),PI()*B407/2)</f>
        <v>55.2</v>
      </c>
      <c r="N407" s="7">
        <f>IF(首页!$B$13="强制对流",首页!$B$11*M407/H407,0)</f>
        <v>0</v>
      </c>
      <c r="O407" s="6">
        <f>IF(首页!$B$13="自然对流",IF(首页!$B$14="立式圆筒",(0.825+0.3063*I407^(1/6))^2+0.87*(M407/B407),(0.752+0.303*I407^(1/6))^2),0.3+SQRT((0.592*N407^0.5)^2+(0.0262*N407^0.8/(1-0.5/N407^0.1))^2))</f>
        <v>10071.181528908926</v>
      </c>
      <c r="P407" s="6">
        <f t="shared" si="59"/>
        <v>2.9510194925512497E-2</v>
      </c>
      <c r="Q407" s="6">
        <f t="shared" si="60"/>
        <v>5.3841038052232495</v>
      </c>
      <c r="R407" s="6">
        <f t="shared" si="61"/>
        <v>13.152837605725207</v>
      </c>
      <c r="S407" s="6">
        <f>B407*LN(B407/首页!$B$4)</f>
        <v>1.8860875838663058</v>
      </c>
      <c r="T407" s="6">
        <f>2*首页!$B$8*(E407-C407)/(R407*(C407-D407))</f>
        <v>7.0947268012391068E-2</v>
      </c>
      <c r="U407" t="str">
        <f>IF(首页!$B$13="自然对流","按自然对流公式", "按强制对流公式")</f>
        <v>按自然对流公式</v>
      </c>
      <c r="V407" s="6">
        <f t="shared" si="62"/>
        <v>1.8151403158539148</v>
      </c>
    </row>
    <row r="408" spans="1:22" x14ac:dyDescent="0.15">
      <c r="A408">
        <v>403</v>
      </c>
      <c r="B408" s="6">
        <f>首页!$B$4+2*A408/1000</f>
        <v>0.92600000000000005</v>
      </c>
      <c r="C408" s="6">
        <f>首页!$B$7+273.15</f>
        <v>388.15</v>
      </c>
      <c r="D408" s="6">
        <f>首页!$B$6+273.15</f>
        <v>293.14999999999998</v>
      </c>
      <c r="E408" s="6">
        <f>首页!$B$5+273.15</f>
        <v>1373.15</v>
      </c>
      <c r="F408" s="6">
        <f t="shared" si="54"/>
        <v>95</v>
      </c>
      <c r="G408" s="6">
        <f t="shared" si="55"/>
        <v>340.65</v>
      </c>
      <c r="H408" s="6">
        <f t="shared" si="56"/>
        <v>1.9926207055139041E-5</v>
      </c>
      <c r="I408" s="7">
        <f t="shared" si="57"/>
        <v>1158916576932337.8</v>
      </c>
      <c r="J408" s="6">
        <f t="shared" si="58"/>
        <v>1.0226038455893147</v>
      </c>
      <c r="K408" s="7">
        <f>J408*H408*首页!$B$12/P408</f>
        <v>0.69532757496605813</v>
      </c>
      <c r="L408" s="6">
        <f>首页!$B$9*0.0000000567*((C408^4-D408^4)/(C408-D408))</f>
        <v>7.7687338005019564</v>
      </c>
      <c r="M408" s="6">
        <f>IF(首页!$B$13="自然对流",IF(首页!$B$14="立式圆筒",首页!$B$10,PI()*B408/2),PI()*B408/2)</f>
        <v>55.2</v>
      </c>
      <c r="N408" s="7">
        <f>IF(首页!$B$13="强制对流",首页!$B$11*M408/H408,0)</f>
        <v>0</v>
      </c>
      <c r="O408" s="6">
        <f>IF(首页!$B$13="自然对流",IF(首页!$B$14="立式圆筒",(0.825+0.3063*I408^(1/6))^2+0.87*(M408/B408),(0.752+0.303*I408^(1/6))^2),0.3+SQRT((0.592*N408^0.5)^2+(0.0262*N408^0.8/(1-0.5/N408^0.1))^2))</f>
        <v>10071.069273993215</v>
      </c>
      <c r="P408" s="6">
        <f t="shared" si="59"/>
        <v>2.9510194925512497E-2</v>
      </c>
      <c r="Q408" s="6">
        <f t="shared" si="60"/>
        <v>5.3840437931862208</v>
      </c>
      <c r="R408" s="6">
        <f t="shared" si="61"/>
        <v>13.152777593688178</v>
      </c>
      <c r="S408" s="6">
        <f>B408*LN(B408/首页!$B$4)</f>
        <v>1.8921721874661879</v>
      </c>
      <c r="T408" s="6">
        <f>2*首页!$B$8*(E408-C408)/(R408*(C408-D408))</f>
        <v>7.0947591722728645E-2</v>
      </c>
      <c r="U408" t="str">
        <f>IF(首页!$B$13="自然对流","按自然对流公式", "按强制对流公式")</f>
        <v>按自然对流公式</v>
      </c>
      <c r="V408" s="6">
        <f t="shared" si="62"/>
        <v>1.8212245957434592</v>
      </c>
    </row>
    <row r="409" spans="1:22" x14ac:dyDescent="0.15">
      <c r="A409">
        <v>404</v>
      </c>
      <c r="B409" s="6">
        <f>首页!$B$4+2*A409/1000</f>
        <v>0.92800000000000005</v>
      </c>
      <c r="C409" s="6">
        <f>首页!$B$7+273.15</f>
        <v>388.15</v>
      </c>
      <c r="D409" s="6">
        <f>首页!$B$6+273.15</f>
        <v>293.14999999999998</v>
      </c>
      <c r="E409" s="6">
        <f>首页!$B$5+273.15</f>
        <v>1373.15</v>
      </c>
      <c r="F409" s="6">
        <f t="shared" si="54"/>
        <v>95</v>
      </c>
      <c r="G409" s="6">
        <f t="shared" si="55"/>
        <v>340.65</v>
      </c>
      <c r="H409" s="6">
        <f t="shared" si="56"/>
        <v>1.9926207055139041E-5</v>
      </c>
      <c r="I409" s="7">
        <f t="shared" si="57"/>
        <v>1158916576932337.8</v>
      </c>
      <c r="J409" s="6">
        <f t="shared" si="58"/>
        <v>1.0226038455893147</v>
      </c>
      <c r="K409" s="7">
        <f>J409*H409*首页!$B$12/P409</f>
        <v>0.69532757496605813</v>
      </c>
      <c r="L409" s="6">
        <f>首页!$B$9*0.0000000567*((C409^4-D409^4)/(C409-D409))</f>
        <v>7.7687338005019564</v>
      </c>
      <c r="M409" s="6">
        <f>IF(首页!$B$13="自然对流",IF(首页!$B$14="立式圆筒",首页!$B$10,PI()*B409/2),PI()*B409/2)</f>
        <v>55.2</v>
      </c>
      <c r="N409" s="7">
        <f>IF(首页!$B$13="强制对流",首页!$B$11*M409/H409,0)</f>
        <v>0</v>
      </c>
      <c r="O409" s="6">
        <f>IF(首页!$B$13="自然对流",IF(首页!$B$14="立式圆筒",(0.825+0.3063*I409^(1/6))^2+0.87*(M409/B409),(0.752+0.303*I409^(1/6))^2),0.3+SQRT((0.592*N409^0.5)^2+(0.0262*N409^0.8/(1-0.5/N409^0.1))^2))</f>
        <v>10070.9575029349</v>
      </c>
      <c r="P409" s="6">
        <f t="shared" si="59"/>
        <v>2.9510194925512497E-2</v>
      </c>
      <c r="Q409" s="6">
        <f t="shared" si="60"/>
        <v>5.3839840398217653</v>
      </c>
      <c r="R409" s="6">
        <f t="shared" si="61"/>
        <v>13.152717840323721</v>
      </c>
      <c r="S409" s="6">
        <f>B409*LN(B409/首页!$B$4)</f>
        <v>1.8982611107238558</v>
      </c>
      <c r="T409" s="6">
        <f>2*首页!$B$8*(E409-C409)/(R409*(C409-D409))</f>
        <v>7.0947914040697987E-2</v>
      </c>
      <c r="U409" t="str">
        <f>IF(首页!$B$13="自然对流","按自然对流公式", "按强制对流公式")</f>
        <v>按自然对流公式</v>
      </c>
      <c r="V409" s="6">
        <f t="shared" si="62"/>
        <v>1.8273131966831579</v>
      </c>
    </row>
    <row r="410" spans="1:22" x14ac:dyDescent="0.15">
      <c r="A410">
        <v>405</v>
      </c>
      <c r="B410" s="6">
        <f>首页!$B$4+2*A410/1000</f>
        <v>0.93</v>
      </c>
      <c r="C410" s="6">
        <f>首页!$B$7+273.15</f>
        <v>388.15</v>
      </c>
      <c r="D410" s="6">
        <f>首页!$B$6+273.15</f>
        <v>293.14999999999998</v>
      </c>
      <c r="E410" s="6">
        <f>首页!$B$5+273.15</f>
        <v>1373.15</v>
      </c>
      <c r="F410" s="6">
        <f t="shared" si="54"/>
        <v>95</v>
      </c>
      <c r="G410" s="6">
        <f t="shared" si="55"/>
        <v>340.65</v>
      </c>
      <c r="H410" s="6">
        <f t="shared" si="56"/>
        <v>1.9926207055139041E-5</v>
      </c>
      <c r="I410" s="7">
        <f t="shared" si="57"/>
        <v>1158916576932337.8</v>
      </c>
      <c r="J410" s="6">
        <f t="shared" si="58"/>
        <v>1.0226038455893147</v>
      </c>
      <c r="K410" s="7">
        <f>J410*H410*首页!$B$12/P410</f>
        <v>0.69532757496605813</v>
      </c>
      <c r="L410" s="6">
        <f>首页!$B$9*0.0000000567*((C410^4-D410^4)/(C410-D410))</f>
        <v>7.7687338005019564</v>
      </c>
      <c r="M410" s="6">
        <f>IF(首页!$B$13="自然对流",IF(首页!$B$14="立式圆筒",首页!$B$10,PI()*B410/2),PI()*B410/2)</f>
        <v>55.2</v>
      </c>
      <c r="N410" s="7">
        <f>IF(首页!$B$13="强制对流",首页!$B$11*M410/H410,0)</f>
        <v>0</v>
      </c>
      <c r="O410" s="6">
        <f>IF(首页!$B$13="自然对流",IF(首页!$B$14="立式圆筒",(0.825+0.3063*I410^(1/6))^2+0.87*(M410/B410),(0.752+0.303*I410^(1/6))^2),0.3+SQRT((0.592*N410^0.5)^2+(0.0262*N410^0.8/(1-0.5/N410^0.1))^2))</f>
        <v>10070.84621261232</v>
      </c>
      <c r="P410" s="6">
        <f t="shared" si="59"/>
        <v>2.9510194925512497E-2</v>
      </c>
      <c r="Q410" s="6">
        <f t="shared" si="60"/>
        <v>5.3839245434610286</v>
      </c>
      <c r="R410" s="6">
        <f t="shared" si="61"/>
        <v>13.152658343962985</v>
      </c>
      <c r="S410" s="6">
        <f>B410*LN(B410/首页!$B$4)</f>
        <v>1.9043543443296882</v>
      </c>
      <c r="T410" s="6">
        <f>2*首页!$B$8*(E410-C410)/(R410*(C410-D410))</f>
        <v>7.0948234975263216E-2</v>
      </c>
      <c r="U410" t="str">
        <f>IF(首页!$B$13="自然对流","按自然对流公式", "按强制对流公式")</f>
        <v>按自然对流公式</v>
      </c>
      <c r="V410" s="6">
        <f t="shared" si="62"/>
        <v>1.8334061093544249</v>
      </c>
    </row>
    <row r="411" spans="1:22" x14ac:dyDescent="0.15">
      <c r="A411">
        <v>406</v>
      </c>
      <c r="B411" s="6">
        <f>首页!$B$4+2*A411/1000</f>
        <v>0.93200000000000005</v>
      </c>
      <c r="C411" s="6">
        <f>首页!$B$7+273.15</f>
        <v>388.15</v>
      </c>
      <c r="D411" s="6">
        <f>首页!$B$6+273.15</f>
        <v>293.14999999999998</v>
      </c>
      <c r="E411" s="6">
        <f>首页!$B$5+273.15</f>
        <v>1373.15</v>
      </c>
      <c r="F411" s="6">
        <f t="shared" si="54"/>
        <v>95</v>
      </c>
      <c r="G411" s="6">
        <f t="shared" si="55"/>
        <v>340.65</v>
      </c>
      <c r="H411" s="6">
        <f t="shared" si="56"/>
        <v>1.9926207055139041E-5</v>
      </c>
      <c r="I411" s="7">
        <f t="shared" si="57"/>
        <v>1158916576932337.8</v>
      </c>
      <c r="J411" s="6">
        <f t="shared" si="58"/>
        <v>1.0226038455893147</v>
      </c>
      <c r="K411" s="7">
        <f>J411*H411*首页!$B$12/P411</f>
        <v>0.69532757496605813</v>
      </c>
      <c r="L411" s="6">
        <f>首页!$B$9*0.0000000567*((C411^4-D411^4)/(C411-D411))</f>
        <v>7.7687338005019564</v>
      </c>
      <c r="M411" s="6">
        <f>IF(首页!$B$13="自然对流",IF(首页!$B$14="立式圆筒",首页!$B$10,PI()*B411/2),PI()*B411/2)</f>
        <v>55.2</v>
      </c>
      <c r="N411" s="7">
        <f>IF(首页!$B$13="强制对流",首页!$B$11*M411/H411,0)</f>
        <v>0</v>
      </c>
      <c r="O411" s="6">
        <f>IF(首页!$B$13="自然对流",IF(首页!$B$14="立式圆筒",(0.825+0.3063*I411^(1/6))^2+0.87*(M411/B411),(0.752+0.303*I411^(1/6))^2),0.3+SQRT((0.592*N411^0.5)^2+(0.0262*N411^0.8/(1-0.5/N411^0.1))^2))</f>
        <v>10070.735399930609</v>
      </c>
      <c r="P411" s="6">
        <f t="shared" si="59"/>
        <v>2.9510194925512497E-2</v>
      </c>
      <c r="Q411" s="6">
        <f t="shared" si="60"/>
        <v>5.3838653024494807</v>
      </c>
      <c r="R411" s="6">
        <f t="shared" si="61"/>
        <v>13.152599102951438</v>
      </c>
      <c r="S411" s="6">
        <f>B411*LN(B411/首页!$B$4)</f>
        <v>1.9104518790141041</v>
      </c>
      <c r="T411" s="6">
        <f>2*首页!$B$8*(E411-C411)/(R411*(C411-D411))</f>
        <v>7.0948554535311723E-2</v>
      </c>
      <c r="U411" t="str">
        <f>IF(首页!$B$13="自然对流","按自然对流公式", "按强制对流公式")</f>
        <v>按自然对流公式</v>
      </c>
      <c r="V411" s="6">
        <f t="shared" si="62"/>
        <v>1.8395033244787924</v>
      </c>
    </row>
    <row r="412" spans="1:22" x14ac:dyDescent="0.15">
      <c r="A412">
        <v>407</v>
      </c>
      <c r="B412" s="6">
        <f>首页!$B$4+2*A412/1000</f>
        <v>0.93399999999999994</v>
      </c>
      <c r="C412" s="6">
        <f>首页!$B$7+273.15</f>
        <v>388.15</v>
      </c>
      <c r="D412" s="6">
        <f>首页!$B$6+273.15</f>
        <v>293.14999999999998</v>
      </c>
      <c r="E412" s="6">
        <f>首页!$B$5+273.15</f>
        <v>1373.15</v>
      </c>
      <c r="F412" s="6">
        <f t="shared" si="54"/>
        <v>95</v>
      </c>
      <c r="G412" s="6">
        <f t="shared" si="55"/>
        <v>340.65</v>
      </c>
      <c r="H412" s="6">
        <f t="shared" si="56"/>
        <v>1.9926207055139041E-5</v>
      </c>
      <c r="I412" s="7">
        <f t="shared" si="57"/>
        <v>1158916576932337.8</v>
      </c>
      <c r="J412" s="6">
        <f t="shared" si="58"/>
        <v>1.0226038455893147</v>
      </c>
      <c r="K412" s="7">
        <f>J412*H412*首页!$B$12/P412</f>
        <v>0.69532757496605813</v>
      </c>
      <c r="L412" s="6">
        <f>首页!$B$9*0.0000000567*((C412^4-D412^4)/(C412-D412))</f>
        <v>7.7687338005019564</v>
      </c>
      <c r="M412" s="6">
        <f>IF(首页!$B$13="自然对流",IF(首页!$B$14="立式圆筒",首页!$B$10,PI()*B412/2),PI()*B412/2)</f>
        <v>55.2</v>
      </c>
      <c r="N412" s="7">
        <f>IF(首页!$B$13="强制对流",首页!$B$11*M412/H412,0)</f>
        <v>0</v>
      </c>
      <c r="O412" s="6">
        <f>IF(首页!$B$13="自然对流",IF(首页!$B$14="立式圆筒",(0.825+0.3063*I412^(1/6))^2+0.87*(M412/B412),(0.752+0.303*I412^(1/6))^2),0.3+SQRT((0.592*N412^0.5)^2+(0.0262*N412^0.8/(1-0.5/N412^0.1))^2))</f>
        <v>10070.625061821409</v>
      </c>
      <c r="P412" s="6">
        <f t="shared" si="59"/>
        <v>2.9510194925512497E-2</v>
      </c>
      <c r="Q412" s="6">
        <f t="shared" si="60"/>
        <v>5.3838063151467592</v>
      </c>
      <c r="R412" s="6">
        <f t="shared" si="61"/>
        <v>13.152540115648716</v>
      </c>
      <c r="S412" s="6">
        <f>B412*LN(B412/首页!$B$4)</f>
        <v>1.9165537055473079</v>
      </c>
      <c r="T412" s="6">
        <f>2*首页!$B$8*(E412-C412)/(R412*(C412-D412))</f>
        <v>7.0948872729654971E-2</v>
      </c>
      <c r="U412" t="str">
        <f>IF(首页!$B$13="自然对流","按自然对流公式", "按强制对流公式")</f>
        <v>按自然对流公式</v>
      </c>
      <c r="V412" s="6">
        <f t="shared" si="62"/>
        <v>1.8456048328176529</v>
      </c>
    </row>
    <row r="413" spans="1:22" x14ac:dyDescent="0.15">
      <c r="A413">
        <v>408</v>
      </c>
      <c r="B413" s="6">
        <f>首页!$B$4+2*A413/1000</f>
        <v>0.93599999999999994</v>
      </c>
      <c r="C413" s="6">
        <f>首页!$B$7+273.15</f>
        <v>388.15</v>
      </c>
      <c r="D413" s="6">
        <f>首页!$B$6+273.15</f>
        <v>293.14999999999998</v>
      </c>
      <c r="E413" s="6">
        <f>首页!$B$5+273.15</f>
        <v>1373.15</v>
      </c>
      <c r="F413" s="6">
        <f t="shared" si="54"/>
        <v>95</v>
      </c>
      <c r="G413" s="6">
        <f t="shared" si="55"/>
        <v>340.65</v>
      </c>
      <c r="H413" s="6">
        <f t="shared" si="56"/>
        <v>1.9926207055139041E-5</v>
      </c>
      <c r="I413" s="7">
        <f t="shared" si="57"/>
        <v>1158916576932337.8</v>
      </c>
      <c r="J413" s="6">
        <f t="shared" si="58"/>
        <v>1.0226038455893147</v>
      </c>
      <c r="K413" s="7">
        <f>J413*H413*首页!$B$12/P413</f>
        <v>0.69532757496605813</v>
      </c>
      <c r="L413" s="6">
        <f>首页!$B$9*0.0000000567*((C413^4-D413^4)/(C413-D413))</f>
        <v>7.7687338005019564</v>
      </c>
      <c r="M413" s="6">
        <f>IF(首页!$B$13="自然对流",IF(首页!$B$14="立式圆筒",首页!$B$10,PI()*B413/2),PI()*B413/2)</f>
        <v>55.2</v>
      </c>
      <c r="N413" s="7">
        <f>IF(首页!$B$13="强制对流",首页!$B$11*M413/H413,0)</f>
        <v>0</v>
      </c>
      <c r="O413" s="6">
        <f>IF(首页!$B$13="自然对流",IF(首页!$B$14="立式圆筒",(0.825+0.3063*I413^(1/6))^2+0.87*(M413/B413),(0.752+0.303*I413^(1/6))^2),0.3+SQRT((0.592*N413^0.5)^2+(0.0262*N413^0.8/(1-0.5/N413^0.1))^2))</f>
        <v>10070.515195242591</v>
      </c>
      <c r="P413" s="6">
        <f t="shared" si="59"/>
        <v>2.9510194925512497E-2</v>
      </c>
      <c r="Q413" s="6">
        <f t="shared" si="60"/>
        <v>5.3837475799265286</v>
      </c>
      <c r="R413" s="6">
        <f t="shared" si="61"/>
        <v>13.152481380428485</v>
      </c>
      <c r="S413" s="6">
        <f>B413*LN(B413/首页!$B$4)</f>
        <v>1.9226598147390312</v>
      </c>
      <c r="T413" s="6">
        <f>2*首页!$B$8*(E413-C413)/(R413*(C413-D413))</f>
        <v>7.0949189567029169E-2</v>
      </c>
      <c r="U413" t="str">
        <f>IF(首页!$B$13="自然对流","按自然对流公式", "按强制对流公式")</f>
        <v>按自然对流公式</v>
      </c>
      <c r="V413" s="6">
        <f t="shared" si="62"/>
        <v>1.8517106251720021</v>
      </c>
    </row>
    <row r="414" spans="1:22" x14ac:dyDescent="0.15">
      <c r="A414">
        <v>409</v>
      </c>
      <c r="B414" s="6">
        <f>首页!$B$4+2*A414/1000</f>
        <v>0.93799999999999994</v>
      </c>
      <c r="C414" s="6">
        <f>首页!$B$7+273.15</f>
        <v>388.15</v>
      </c>
      <c r="D414" s="6">
        <f>首页!$B$6+273.15</f>
        <v>293.14999999999998</v>
      </c>
      <c r="E414" s="6">
        <f>首页!$B$5+273.15</f>
        <v>1373.15</v>
      </c>
      <c r="F414" s="6">
        <f t="shared" si="54"/>
        <v>95</v>
      </c>
      <c r="G414" s="6">
        <f t="shared" si="55"/>
        <v>340.65</v>
      </c>
      <c r="H414" s="6">
        <f t="shared" si="56"/>
        <v>1.9926207055139041E-5</v>
      </c>
      <c r="I414" s="7">
        <f t="shared" si="57"/>
        <v>1158916576932337.8</v>
      </c>
      <c r="J414" s="6">
        <f t="shared" si="58"/>
        <v>1.0226038455893147</v>
      </c>
      <c r="K414" s="7">
        <f>J414*H414*首页!$B$12/P414</f>
        <v>0.69532757496605813</v>
      </c>
      <c r="L414" s="6">
        <f>首页!$B$9*0.0000000567*((C414^4-D414^4)/(C414-D414))</f>
        <v>7.7687338005019564</v>
      </c>
      <c r="M414" s="6">
        <f>IF(首页!$B$13="自然对流",IF(首页!$B$14="立式圆筒",首页!$B$10,PI()*B414/2),PI()*B414/2)</f>
        <v>55.2</v>
      </c>
      <c r="N414" s="7">
        <f>IF(首页!$B$13="强制对流",首页!$B$11*M414/H414,0)</f>
        <v>0</v>
      </c>
      <c r="O414" s="6">
        <f>IF(首页!$B$13="自然对流",IF(首页!$B$14="立式圆筒",(0.825+0.3063*I414^(1/6))^2+0.87*(M414/B414),(0.752+0.303*I414^(1/6))^2),0.3+SQRT((0.592*N414^0.5)^2+(0.0262*N414^0.8/(1-0.5/N414^0.1))^2))</f>
        <v>10070.405797177969</v>
      </c>
      <c r="P414" s="6">
        <f t="shared" si="59"/>
        <v>2.9510194925512497E-2</v>
      </c>
      <c r="Q414" s="6">
        <f t="shared" si="60"/>
        <v>5.3836890951763214</v>
      </c>
      <c r="R414" s="6">
        <f t="shared" si="61"/>
        <v>13.152422895678278</v>
      </c>
      <c r="S414" s="6">
        <f>B414*LN(B414/首页!$B$4)</f>
        <v>1.9287701974382796</v>
      </c>
      <c r="T414" s="6">
        <f>2*首页!$B$8*(E414-C414)/(R414*(C414-D414))</f>
        <v>7.0949505056096263E-2</v>
      </c>
      <c r="U414" t="str">
        <f>IF(首页!$B$13="自然对流","按自然对流公式", "按强制对流公式")</f>
        <v>按自然对流公式</v>
      </c>
      <c r="V414" s="6">
        <f t="shared" si="62"/>
        <v>1.8578206923821834</v>
      </c>
    </row>
    <row r="415" spans="1:22" x14ac:dyDescent="0.15">
      <c r="A415">
        <v>410</v>
      </c>
      <c r="B415" s="6">
        <f>首页!$B$4+2*A415/1000</f>
        <v>0.94</v>
      </c>
      <c r="C415" s="6">
        <f>首页!$B$7+273.15</f>
        <v>388.15</v>
      </c>
      <c r="D415" s="6">
        <f>首页!$B$6+273.15</f>
        <v>293.14999999999998</v>
      </c>
      <c r="E415" s="6">
        <f>首页!$B$5+273.15</f>
        <v>1373.15</v>
      </c>
      <c r="F415" s="6">
        <f t="shared" si="54"/>
        <v>95</v>
      </c>
      <c r="G415" s="6">
        <f t="shared" si="55"/>
        <v>340.65</v>
      </c>
      <c r="H415" s="6">
        <f t="shared" si="56"/>
        <v>1.9926207055139041E-5</v>
      </c>
      <c r="I415" s="7">
        <f t="shared" si="57"/>
        <v>1158916576932337.8</v>
      </c>
      <c r="J415" s="6">
        <f t="shared" si="58"/>
        <v>1.0226038455893147</v>
      </c>
      <c r="K415" s="7">
        <f>J415*H415*首页!$B$12/P415</f>
        <v>0.69532757496605813</v>
      </c>
      <c r="L415" s="6">
        <f>首页!$B$9*0.0000000567*((C415^4-D415^4)/(C415-D415))</f>
        <v>7.7687338005019564</v>
      </c>
      <c r="M415" s="6">
        <f>IF(首页!$B$13="自然对流",IF(首页!$B$14="立式圆筒",首页!$B$10,PI()*B415/2),PI()*B415/2)</f>
        <v>55.2</v>
      </c>
      <c r="N415" s="7">
        <f>IF(首页!$B$13="强制对流",首页!$B$11*M415/H415,0)</f>
        <v>0</v>
      </c>
      <c r="O415" s="6">
        <f>IF(首页!$B$13="自然对流",IF(首页!$B$14="立式圆筒",(0.825+0.3063*I415^(1/6))^2+0.87*(M415/B415),(0.752+0.303*I415^(1/6))^2),0.3+SQRT((0.592*N415^0.5)^2+(0.0262*N415^0.8/(1-0.5/N415^0.1))^2))</f>
        <v>10070.296864637028</v>
      </c>
      <c r="P415" s="6">
        <f t="shared" si="59"/>
        <v>2.9510194925512497E-2</v>
      </c>
      <c r="Q415" s="6">
        <f t="shared" si="60"/>
        <v>5.3836308592973916</v>
      </c>
      <c r="R415" s="6">
        <f t="shared" si="61"/>
        <v>13.152364659799348</v>
      </c>
      <c r="S415" s="6">
        <f>B415*LN(B415/首页!$B$4)</f>
        <v>1.9348848445330831</v>
      </c>
      <c r="T415" s="6">
        <f>2*首页!$B$8*(E415-C415)/(R415*(C415-D415))</f>
        <v>7.0949819205444561E-2</v>
      </c>
      <c r="U415" t="str">
        <f>IF(首页!$B$13="自然对流","按自然对流公式", "按强制对流公式")</f>
        <v>按自然对流公式</v>
      </c>
      <c r="V415" s="6">
        <f t="shared" si="62"/>
        <v>1.8639350253276386</v>
      </c>
    </row>
    <row r="416" spans="1:22" x14ac:dyDescent="0.15">
      <c r="A416">
        <v>411</v>
      </c>
      <c r="B416" s="6">
        <f>首页!$B$4+2*A416/1000</f>
        <v>0.94199999999999995</v>
      </c>
      <c r="C416" s="6">
        <f>首页!$B$7+273.15</f>
        <v>388.15</v>
      </c>
      <c r="D416" s="6">
        <f>首页!$B$6+273.15</f>
        <v>293.14999999999998</v>
      </c>
      <c r="E416" s="6">
        <f>首页!$B$5+273.15</f>
        <v>1373.15</v>
      </c>
      <c r="F416" s="6">
        <f t="shared" si="54"/>
        <v>95</v>
      </c>
      <c r="G416" s="6">
        <f t="shared" si="55"/>
        <v>340.65</v>
      </c>
      <c r="H416" s="6">
        <f t="shared" si="56"/>
        <v>1.9926207055139041E-5</v>
      </c>
      <c r="I416" s="7">
        <f t="shared" si="57"/>
        <v>1158916576932337.8</v>
      </c>
      <c r="J416" s="6">
        <f t="shared" si="58"/>
        <v>1.0226038455893147</v>
      </c>
      <c r="K416" s="7">
        <f>J416*H416*首页!$B$12/P416</f>
        <v>0.69532757496605813</v>
      </c>
      <c r="L416" s="6">
        <f>首页!$B$9*0.0000000567*((C416^4-D416^4)/(C416-D416))</f>
        <v>7.7687338005019564</v>
      </c>
      <c r="M416" s="6">
        <f>IF(首页!$B$13="自然对流",IF(首页!$B$14="立式圆筒",首页!$B$10,PI()*B416/2),PI()*B416/2)</f>
        <v>55.2</v>
      </c>
      <c r="N416" s="7">
        <f>IF(首页!$B$13="强制对流",首页!$B$11*M416/H416,0)</f>
        <v>0</v>
      </c>
      <c r="O416" s="6">
        <f>IF(首页!$B$13="自然对流",IF(首页!$B$14="立式圆筒",(0.825+0.3063*I416^(1/6))^2+0.87*(M416/B416),(0.752+0.303*I416^(1/6))^2),0.3+SQRT((0.592*N416^0.5)^2+(0.0262*N416^0.8/(1-0.5/N416^0.1))^2))</f>
        <v>10070.188394654646</v>
      </c>
      <c r="P416" s="6">
        <f t="shared" si="59"/>
        <v>2.9510194925512497E-2</v>
      </c>
      <c r="Q416" s="6">
        <f t="shared" si="60"/>
        <v>5.3835728707045707</v>
      </c>
      <c r="R416" s="6">
        <f t="shared" si="61"/>
        <v>13.152306671206528</v>
      </c>
      <c r="S416" s="6">
        <f>B416*LN(B416/首页!$B$4)</f>
        <v>1.9410037469502464</v>
      </c>
      <c r="T416" s="6">
        <f>2*首页!$B$8*(E416-C416)/(R416*(C416-D416))</f>
        <v>7.0950132023589657E-2</v>
      </c>
      <c r="U416" t="str">
        <f>IF(首页!$B$13="自然对流","按自然对流公式", "按强制对流公式")</f>
        <v>按自然对流公式</v>
      </c>
      <c r="V416" s="6">
        <f t="shared" si="62"/>
        <v>1.8700536149266567</v>
      </c>
    </row>
    <row r="417" spans="1:22" x14ac:dyDescent="0.15">
      <c r="A417">
        <v>412</v>
      </c>
      <c r="B417" s="6">
        <f>首页!$B$4+2*A417/1000</f>
        <v>0.94399999999999995</v>
      </c>
      <c r="C417" s="6">
        <f>首页!$B$7+273.15</f>
        <v>388.15</v>
      </c>
      <c r="D417" s="6">
        <f>首页!$B$6+273.15</f>
        <v>293.14999999999998</v>
      </c>
      <c r="E417" s="6">
        <f>首页!$B$5+273.15</f>
        <v>1373.15</v>
      </c>
      <c r="F417" s="6">
        <f t="shared" si="54"/>
        <v>95</v>
      </c>
      <c r="G417" s="6">
        <f t="shared" si="55"/>
        <v>340.65</v>
      </c>
      <c r="H417" s="6">
        <f t="shared" si="56"/>
        <v>1.9926207055139041E-5</v>
      </c>
      <c r="I417" s="7">
        <f t="shared" si="57"/>
        <v>1158916576932337.8</v>
      </c>
      <c r="J417" s="6">
        <f t="shared" si="58"/>
        <v>1.0226038455893147</v>
      </c>
      <c r="K417" s="7">
        <f>J417*H417*首页!$B$12/P417</f>
        <v>0.69532757496605813</v>
      </c>
      <c r="L417" s="6">
        <f>首页!$B$9*0.0000000567*((C417^4-D417^4)/(C417-D417))</f>
        <v>7.7687338005019564</v>
      </c>
      <c r="M417" s="6">
        <f>IF(首页!$B$13="自然对流",IF(首页!$B$14="立式圆筒",首页!$B$10,PI()*B417/2),PI()*B417/2)</f>
        <v>55.2</v>
      </c>
      <c r="N417" s="7">
        <f>IF(首页!$B$13="强制对流",首页!$B$11*M417/H417,0)</f>
        <v>0</v>
      </c>
      <c r="O417" s="6">
        <f>IF(首页!$B$13="自然对流",IF(首页!$B$14="立式圆筒",(0.825+0.3063*I417^(1/6))^2+0.87*(M417/B417),(0.752+0.303*I417^(1/6))^2),0.3+SQRT((0.592*N417^0.5)^2+(0.0262*N417^0.8/(1-0.5/N417^0.1))^2))</f>
        <v>10070.080384290832</v>
      </c>
      <c r="P417" s="6">
        <f t="shared" si="59"/>
        <v>2.9510194925512497E-2</v>
      </c>
      <c r="Q417" s="6">
        <f t="shared" si="60"/>
        <v>5.3835151278261275</v>
      </c>
      <c r="R417" s="6">
        <f t="shared" si="61"/>
        <v>13.152248928328085</v>
      </c>
      <c r="S417" s="6">
        <f>B417*LN(B417/首页!$B$4)</f>
        <v>1.9471268956551011</v>
      </c>
      <c r="T417" s="6">
        <f>2*首页!$B$8*(E417-C417)/(R417*(C417-D417))</f>
        <v>7.0950443518975073E-2</v>
      </c>
      <c r="U417" t="str">
        <f>IF(首页!$B$13="自然对流","按自然对流公式", "按强制对流公式")</f>
        <v>按自然对流公式</v>
      </c>
      <c r="V417" s="6">
        <f t="shared" si="62"/>
        <v>1.8761764521361259</v>
      </c>
    </row>
    <row r="418" spans="1:22" x14ac:dyDescent="0.15">
      <c r="A418">
        <v>413</v>
      </c>
      <c r="B418" s="6">
        <f>首页!$B$4+2*A418/1000</f>
        <v>0.94599999999999995</v>
      </c>
      <c r="C418" s="6">
        <f>首页!$B$7+273.15</f>
        <v>388.15</v>
      </c>
      <c r="D418" s="6">
        <f>首页!$B$6+273.15</f>
        <v>293.14999999999998</v>
      </c>
      <c r="E418" s="6">
        <f>首页!$B$5+273.15</f>
        <v>1373.15</v>
      </c>
      <c r="F418" s="6">
        <f t="shared" si="54"/>
        <v>95</v>
      </c>
      <c r="G418" s="6">
        <f t="shared" si="55"/>
        <v>340.65</v>
      </c>
      <c r="H418" s="6">
        <f t="shared" si="56"/>
        <v>1.9926207055139041E-5</v>
      </c>
      <c r="I418" s="7">
        <f t="shared" si="57"/>
        <v>1158916576932337.8</v>
      </c>
      <c r="J418" s="6">
        <f t="shared" si="58"/>
        <v>1.0226038455893147</v>
      </c>
      <c r="K418" s="7">
        <f>J418*H418*首页!$B$12/P418</f>
        <v>0.69532757496605813</v>
      </c>
      <c r="L418" s="6">
        <f>首页!$B$9*0.0000000567*((C418^4-D418^4)/(C418-D418))</f>
        <v>7.7687338005019564</v>
      </c>
      <c r="M418" s="6">
        <f>IF(首页!$B$13="自然对流",IF(首页!$B$14="立式圆筒",首页!$B$10,PI()*B418/2),PI()*B418/2)</f>
        <v>55.2</v>
      </c>
      <c r="N418" s="7">
        <f>IF(首页!$B$13="强制对流",首页!$B$11*M418/H418,0)</f>
        <v>0</v>
      </c>
      <c r="O418" s="6">
        <f>IF(首页!$B$13="自然对流",IF(首页!$B$14="立式圆筒",(0.825+0.3063*I418^(1/6))^2+0.87*(M418/B418),(0.752+0.303*I418^(1/6))^2),0.3+SQRT((0.592*N418^0.5)^2+(0.0262*N418^0.8/(1-0.5/N418^0.1))^2))</f>
        <v>10069.972830630461</v>
      </c>
      <c r="P418" s="6">
        <f t="shared" si="59"/>
        <v>2.9510194925512497E-2</v>
      </c>
      <c r="Q418" s="6">
        <f t="shared" si="60"/>
        <v>5.383457629103618</v>
      </c>
      <c r="R418" s="6">
        <f t="shared" si="61"/>
        <v>13.152191429605574</v>
      </c>
      <c r="S418" s="6">
        <f>B418*LN(B418/首页!$B$4)</f>
        <v>1.9532542816512612</v>
      </c>
      <c r="T418" s="6">
        <f>2*首页!$B$8*(E418-C418)/(R418*(C418-D418))</f>
        <v>7.0950753699973099E-2</v>
      </c>
      <c r="U418" t="str">
        <f>IF(首页!$B$13="自然对流","按自然对流公式", "按强制对流公式")</f>
        <v>按自然对流公式</v>
      </c>
      <c r="V418" s="6">
        <f t="shared" si="62"/>
        <v>1.8823035279512881</v>
      </c>
    </row>
    <row r="419" spans="1:22" x14ac:dyDescent="0.15">
      <c r="A419">
        <v>414</v>
      </c>
      <c r="B419" s="6">
        <f>首页!$B$4+2*A419/1000</f>
        <v>0.94799999999999995</v>
      </c>
      <c r="C419" s="6">
        <f>首页!$B$7+273.15</f>
        <v>388.15</v>
      </c>
      <c r="D419" s="6">
        <f>首页!$B$6+273.15</f>
        <v>293.14999999999998</v>
      </c>
      <c r="E419" s="6">
        <f>首页!$B$5+273.15</f>
        <v>1373.15</v>
      </c>
      <c r="F419" s="6">
        <f t="shared" si="54"/>
        <v>95</v>
      </c>
      <c r="G419" s="6">
        <f t="shared" si="55"/>
        <v>340.65</v>
      </c>
      <c r="H419" s="6">
        <f t="shared" si="56"/>
        <v>1.9926207055139041E-5</v>
      </c>
      <c r="I419" s="7">
        <f t="shared" si="57"/>
        <v>1158916576932337.8</v>
      </c>
      <c r="J419" s="6">
        <f t="shared" si="58"/>
        <v>1.0226038455893147</v>
      </c>
      <c r="K419" s="7">
        <f>J419*H419*首页!$B$12/P419</f>
        <v>0.69532757496605813</v>
      </c>
      <c r="L419" s="6">
        <f>首页!$B$9*0.0000000567*((C419^4-D419^4)/(C419-D419))</f>
        <v>7.7687338005019564</v>
      </c>
      <c r="M419" s="6">
        <f>IF(首页!$B$13="自然对流",IF(首页!$B$14="立式圆筒",首页!$B$10,PI()*B419/2),PI()*B419/2)</f>
        <v>55.2</v>
      </c>
      <c r="N419" s="7">
        <f>IF(首页!$B$13="强制对流",首页!$B$11*M419/H419,0)</f>
        <v>0</v>
      </c>
      <c r="O419" s="6">
        <f>IF(首页!$B$13="自然对流",IF(首页!$B$14="立式圆筒",(0.825+0.3063*I419^(1/6))^2+0.87*(M419/B419),(0.752+0.303*I419^(1/6))^2),0.3+SQRT((0.592*N419^0.5)^2+(0.0262*N419^0.8/(1-0.5/N419^0.1))^2))</f>
        <v>10069.865730783002</v>
      </c>
      <c r="P419" s="6">
        <f t="shared" si="59"/>
        <v>2.9510194925512497E-2</v>
      </c>
      <c r="Q419" s="6">
        <f t="shared" si="60"/>
        <v>5.3834003729917512</v>
      </c>
      <c r="R419" s="6">
        <f t="shared" si="61"/>
        <v>13.152134173493707</v>
      </c>
      <c r="S419" s="6">
        <f>B419*LN(B419/首页!$B$4)</f>
        <v>1.9593858959803807</v>
      </c>
      <c r="T419" s="6">
        <f>2*首页!$B$8*(E419-C419)/(R419*(C419-D419))</f>
        <v>7.0951062574885523E-2</v>
      </c>
      <c r="U419" t="str">
        <f>IF(首页!$B$13="自然对流","按自然对流公式", "按强制对流公式")</f>
        <v>按自然对流公式</v>
      </c>
      <c r="V419" s="6">
        <f t="shared" si="62"/>
        <v>1.8884348334054952</v>
      </c>
    </row>
    <row r="420" spans="1:22" x14ac:dyDescent="0.15">
      <c r="A420">
        <v>415</v>
      </c>
      <c r="B420" s="6">
        <f>首页!$B$4+2*A420/1000</f>
        <v>0.95</v>
      </c>
      <c r="C420" s="6">
        <f>首页!$B$7+273.15</f>
        <v>388.15</v>
      </c>
      <c r="D420" s="6">
        <f>首页!$B$6+273.15</f>
        <v>293.14999999999998</v>
      </c>
      <c r="E420" s="6">
        <f>首页!$B$5+273.15</f>
        <v>1373.15</v>
      </c>
      <c r="F420" s="6">
        <f t="shared" si="54"/>
        <v>95</v>
      </c>
      <c r="G420" s="6">
        <f t="shared" si="55"/>
        <v>340.65</v>
      </c>
      <c r="H420" s="6">
        <f t="shared" si="56"/>
        <v>1.9926207055139041E-5</v>
      </c>
      <c r="I420" s="7">
        <f t="shared" si="57"/>
        <v>1158916576932337.8</v>
      </c>
      <c r="J420" s="6">
        <f t="shared" si="58"/>
        <v>1.0226038455893147</v>
      </c>
      <c r="K420" s="7">
        <f>J420*H420*首页!$B$12/P420</f>
        <v>0.69532757496605813</v>
      </c>
      <c r="L420" s="6">
        <f>首页!$B$9*0.0000000567*((C420^4-D420^4)/(C420-D420))</f>
        <v>7.7687338005019564</v>
      </c>
      <c r="M420" s="6">
        <f>IF(首页!$B$13="自然对流",IF(首页!$B$14="立式圆筒",首页!$B$10,PI()*B420/2),PI()*B420/2)</f>
        <v>55.2</v>
      </c>
      <c r="N420" s="7">
        <f>IF(首页!$B$13="强制对流",首页!$B$11*M420/H420,0)</f>
        <v>0</v>
      </c>
      <c r="O420" s="6">
        <f>IF(首页!$B$13="自然对流",IF(首页!$B$14="立式圆筒",(0.825+0.3063*I420^(1/6))^2+0.87*(M420/B420),(0.752+0.303*I420^(1/6))^2),0.3+SQRT((0.592*N420^0.5)^2+(0.0262*N420^0.8/(1-0.5/N420^0.1))^2))</f>
        <v>10069.759081882268</v>
      </c>
      <c r="P420" s="6">
        <f t="shared" si="59"/>
        <v>2.9510194925512497E-2</v>
      </c>
      <c r="Q420" s="6">
        <f t="shared" si="60"/>
        <v>5.3833433579582515</v>
      </c>
      <c r="R420" s="6">
        <f t="shared" si="61"/>
        <v>13.152077158460209</v>
      </c>
      <c r="S420" s="6">
        <f>B420*LN(B420/首页!$B$4)</f>
        <v>1.9655217297219132</v>
      </c>
      <c r="T420" s="6">
        <f>2*首页!$B$8*(E420-C420)/(R420*(C420-D420))</f>
        <v>7.0951370151944318E-2</v>
      </c>
      <c r="U420" t="str">
        <f>IF(首页!$B$13="自然对流","按自然对流公式", "按强制对流公式")</f>
        <v>按自然对流公式</v>
      </c>
      <c r="V420" s="6">
        <f t="shared" si="62"/>
        <v>1.8945703595699688</v>
      </c>
    </row>
    <row r="421" spans="1:22" x14ac:dyDescent="0.15">
      <c r="A421">
        <v>416</v>
      </c>
      <c r="B421" s="6">
        <f>首页!$B$4+2*A421/1000</f>
        <v>0.95199999999999996</v>
      </c>
      <c r="C421" s="6">
        <f>首页!$B$7+273.15</f>
        <v>388.15</v>
      </c>
      <c r="D421" s="6">
        <f>首页!$B$6+273.15</f>
        <v>293.14999999999998</v>
      </c>
      <c r="E421" s="6">
        <f>首页!$B$5+273.15</f>
        <v>1373.15</v>
      </c>
      <c r="F421" s="6">
        <f t="shared" si="54"/>
        <v>95</v>
      </c>
      <c r="G421" s="6">
        <f t="shared" si="55"/>
        <v>340.65</v>
      </c>
      <c r="H421" s="6">
        <f t="shared" si="56"/>
        <v>1.9926207055139041E-5</v>
      </c>
      <c r="I421" s="7">
        <f t="shared" si="57"/>
        <v>1158916576932337.8</v>
      </c>
      <c r="J421" s="6">
        <f t="shared" si="58"/>
        <v>1.0226038455893147</v>
      </c>
      <c r="K421" s="7">
        <f>J421*H421*首页!$B$12/P421</f>
        <v>0.69532757496605813</v>
      </c>
      <c r="L421" s="6">
        <f>首页!$B$9*0.0000000567*((C421^4-D421^4)/(C421-D421))</f>
        <v>7.7687338005019564</v>
      </c>
      <c r="M421" s="6">
        <f>IF(首页!$B$13="自然对流",IF(首页!$B$14="立式圆筒",首页!$B$10,PI()*B421/2),PI()*B421/2)</f>
        <v>55.2</v>
      </c>
      <c r="N421" s="7">
        <f>IF(首页!$B$13="强制对流",首页!$B$11*M421/H421,0)</f>
        <v>0</v>
      </c>
      <c r="O421" s="6">
        <f>IF(首页!$B$13="自然对流",IF(首页!$B$14="立式圆筒",(0.825+0.3063*I421^(1/6))^2+0.87*(M421/B421),(0.752+0.303*I421^(1/6))^2),0.3+SQRT((0.592*N421^0.5)^2+(0.0262*N421^0.8/(1-0.5/N421^0.1))^2))</f>
        <v>10069.65288108616</v>
      </c>
      <c r="P421" s="6">
        <f t="shared" si="59"/>
        <v>2.9510194925512497E-2</v>
      </c>
      <c r="Q421" s="6">
        <f t="shared" si="60"/>
        <v>5.3832865824837155</v>
      </c>
      <c r="R421" s="6">
        <f t="shared" si="61"/>
        <v>13.152020382985672</v>
      </c>
      <c r="S421" s="6">
        <f>B421*LN(B421/首页!$B$4)</f>
        <v>1.9716617739928721</v>
      </c>
      <c r="T421" s="6">
        <f>2*首页!$B$8*(E421-C421)/(R421*(C421-D421))</f>
        <v>7.0951676439312494E-2</v>
      </c>
      <c r="U421" t="str">
        <f>IF(首页!$B$13="自然对流","按自然对流公式", "按强制对流公式")</f>
        <v>按自然对流公式</v>
      </c>
      <c r="V421" s="6">
        <f t="shared" si="62"/>
        <v>1.9007100975535596</v>
      </c>
    </row>
    <row r="422" spans="1:22" x14ac:dyDescent="0.15">
      <c r="A422">
        <v>417</v>
      </c>
      <c r="B422" s="6">
        <f>首页!$B$4+2*A422/1000</f>
        <v>0.95399999999999996</v>
      </c>
      <c r="C422" s="6">
        <f>首页!$B$7+273.15</f>
        <v>388.15</v>
      </c>
      <c r="D422" s="6">
        <f>首页!$B$6+273.15</f>
        <v>293.14999999999998</v>
      </c>
      <c r="E422" s="6">
        <f>首页!$B$5+273.15</f>
        <v>1373.15</v>
      </c>
      <c r="F422" s="6">
        <f t="shared" si="54"/>
        <v>95</v>
      </c>
      <c r="G422" s="6">
        <f t="shared" si="55"/>
        <v>340.65</v>
      </c>
      <c r="H422" s="6">
        <f t="shared" si="56"/>
        <v>1.9926207055139041E-5</v>
      </c>
      <c r="I422" s="7">
        <f t="shared" si="57"/>
        <v>1158916576932337.8</v>
      </c>
      <c r="J422" s="6">
        <f t="shared" si="58"/>
        <v>1.0226038455893147</v>
      </c>
      <c r="K422" s="7">
        <f>J422*H422*首页!$B$12/P422</f>
        <v>0.69532757496605813</v>
      </c>
      <c r="L422" s="6">
        <f>首页!$B$9*0.0000000567*((C422^4-D422^4)/(C422-D422))</f>
        <v>7.7687338005019564</v>
      </c>
      <c r="M422" s="6">
        <f>IF(首页!$B$13="自然对流",IF(首页!$B$14="立式圆筒",首页!$B$10,PI()*B422/2),PI()*B422/2)</f>
        <v>55.2</v>
      </c>
      <c r="N422" s="7">
        <f>IF(首页!$B$13="强制对流",首页!$B$11*M422/H422,0)</f>
        <v>0</v>
      </c>
      <c r="O422" s="6">
        <f>IF(首页!$B$13="自然对流",IF(首页!$B$14="立式圆筒",(0.825+0.3063*I422^(1/6))^2+0.87*(M422/B422),(0.752+0.303*I422^(1/6))^2),0.3+SQRT((0.592*N422^0.5)^2+(0.0262*N422^0.8/(1-0.5/N422^0.1))^2))</f>
        <v>10069.54712557641</v>
      </c>
      <c r="P422" s="6">
        <f t="shared" si="59"/>
        <v>2.9510194925512497E-2</v>
      </c>
      <c r="Q422" s="6">
        <f t="shared" si="60"/>
        <v>5.3832300450614836</v>
      </c>
      <c r="R422" s="6">
        <f t="shared" si="61"/>
        <v>13.15196384556344</v>
      </c>
      <c r="S422" s="6">
        <f>B422*LN(B422/首页!$B$4)</f>
        <v>1.9778060199475935</v>
      </c>
      <c r="T422" s="6">
        <f>2*首页!$B$8*(E422-C422)/(R422*(C422-D422))</f>
        <v>7.0951981445084716E-2</v>
      </c>
      <c r="U422" t="str">
        <f>IF(首页!$B$13="自然对流","按自然对流公式", "按强制对流公式")</f>
        <v>按自然对流公式</v>
      </c>
      <c r="V422" s="6">
        <f t="shared" si="62"/>
        <v>1.9068540385025088</v>
      </c>
    </row>
    <row r="423" spans="1:22" x14ac:dyDescent="0.15">
      <c r="A423">
        <v>418</v>
      </c>
      <c r="B423" s="6">
        <f>首页!$B$4+2*A423/1000</f>
        <v>0.95599999999999996</v>
      </c>
      <c r="C423" s="6">
        <f>首页!$B$7+273.15</f>
        <v>388.15</v>
      </c>
      <c r="D423" s="6">
        <f>首页!$B$6+273.15</f>
        <v>293.14999999999998</v>
      </c>
      <c r="E423" s="6">
        <f>首页!$B$5+273.15</f>
        <v>1373.15</v>
      </c>
      <c r="F423" s="6">
        <f t="shared" si="54"/>
        <v>95</v>
      </c>
      <c r="G423" s="6">
        <f t="shared" si="55"/>
        <v>340.65</v>
      </c>
      <c r="H423" s="6">
        <f t="shared" si="56"/>
        <v>1.9926207055139041E-5</v>
      </c>
      <c r="I423" s="7">
        <f t="shared" si="57"/>
        <v>1158916576932337.8</v>
      </c>
      <c r="J423" s="6">
        <f t="shared" si="58"/>
        <v>1.0226038455893147</v>
      </c>
      <c r="K423" s="7">
        <f>J423*H423*首页!$B$12/P423</f>
        <v>0.69532757496605813</v>
      </c>
      <c r="L423" s="6">
        <f>首页!$B$9*0.0000000567*((C423^4-D423^4)/(C423-D423))</f>
        <v>7.7687338005019564</v>
      </c>
      <c r="M423" s="6">
        <f>IF(首页!$B$13="自然对流",IF(首页!$B$14="立式圆筒",首页!$B$10,PI()*B423/2),PI()*B423/2)</f>
        <v>55.2</v>
      </c>
      <c r="N423" s="7">
        <f>IF(首页!$B$13="强制对流",首页!$B$11*M423/H423,0)</f>
        <v>0</v>
      </c>
      <c r="O423" s="6">
        <f>IF(首页!$B$13="自然对流",IF(首页!$B$14="立式圆筒",(0.825+0.3063*I423^(1/6))^2+0.87*(M423/B423),(0.752+0.303*I423^(1/6))^2),0.3+SQRT((0.592*N423^0.5)^2+(0.0262*N423^0.8/(1-0.5/N423^0.1))^2))</f>
        <v>10069.441812558331</v>
      </c>
      <c r="P423" s="6">
        <f t="shared" si="59"/>
        <v>2.9510194925512497E-2</v>
      </c>
      <c r="Q423" s="6">
        <f t="shared" si="60"/>
        <v>5.3831737441975038</v>
      </c>
      <c r="R423" s="6">
        <f t="shared" si="61"/>
        <v>13.15190754469946</v>
      </c>
      <c r="S423" s="6">
        <f>B423*LN(B423/首页!$B$4)</f>
        <v>1.9839544587775033</v>
      </c>
      <c r="T423" s="6">
        <f>2*首页!$B$8*(E423-C423)/(R423*(C423-D423))</f>
        <v>7.0952285177288035E-2</v>
      </c>
      <c r="U423" t="str">
        <f>IF(首页!$B$13="自然对流","按自然对流公式", "按强制对流公式")</f>
        <v>按自然对流公式</v>
      </c>
      <c r="V423" s="6">
        <f t="shared" si="62"/>
        <v>1.9130021736002152</v>
      </c>
    </row>
    <row r="424" spans="1:22" x14ac:dyDescent="0.15">
      <c r="A424">
        <v>419</v>
      </c>
      <c r="B424" s="6">
        <f>首页!$B$4+2*A424/1000</f>
        <v>0.95799999999999996</v>
      </c>
      <c r="C424" s="6">
        <f>首页!$B$7+273.15</f>
        <v>388.15</v>
      </c>
      <c r="D424" s="6">
        <f>首页!$B$6+273.15</f>
        <v>293.14999999999998</v>
      </c>
      <c r="E424" s="6">
        <f>首页!$B$5+273.15</f>
        <v>1373.15</v>
      </c>
      <c r="F424" s="6">
        <f t="shared" si="54"/>
        <v>95</v>
      </c>
      <c r="G424" s="6">
        <f t="shared" si="55"/>
        <v>340.65</v>
      </c>
      <c r="H424" s="6">
        <f t="shared" si="56"/>
        <v>1.9926207055139041E-5</v>
      </c>
      <c r="I424" s="7">
        <f t="shared" si="57"/>
        <v>1158916576932337.8</v>
      </c>
      <c r="J424" s="6">
        <f t="shared" si="58"/>
        <v>1.0226038455893147</v>
      </c>
      <c r="K424" s="7">
        <f>J424*H424*首页!$B$12/P424</f>
        <v>0.69532757496605813</v>
      </c>
      <c r="L424" s="6">
        <f>首页!$B$9*0.0000000567*((C424^4-D424^4)/(C424-D424))</f>
        <v>7.7687338005019564</v>
      </c>
      <c r="M424" s="6">
        <f>IF(首页!$B$13="自然对流",IF(首页!$B$14="立式圆筒",首页!$B$10,PI()*B424/2),PI()*B424/2)</f>
        <v>55.2</v>
      </c>
      <c r="N424" s="7">
        <f>IF(首页!$B$13="强制对流",首页!$B$11*M424/H424,0)</f>
        <v>0</v>
      </c>
      <c r="O424" s="6">
        <f>IF(首页!$B$13="自然对流",IF(首页!$B$14="立式圆筒",(0.825+0.3063*I424^(1/6))^2+0.87*(M424/B424),(0.752+0.303*I424^(1/6))^2),0.3+SQRT((0.592*N424^0.5)^2+(0.0262*N424^0.8/(1-0.5/N424^0.1))^2))</f>
        <v>10069.336939260578</v>
      </c>
      <c r="P424" s="6">
        <f t="shared" si="59"/>
        <v>2.9510194925512497E-2</v>
      </c>
      <c r="Q424" s="6">
        <f t="shared" si="60"/>
        <v>5.3831176784101995</v>
      </c>
      <c r="R424" s="6">
        <f t="shared" si="61"/>
        <v>13.151851478912157</v>
      </c>
      <c r="S424" s="6">
        <f>B424*LN(B424/首页!$B$4)</f>
        <v>1.9901070817108841</v>
      </c>
      <c r="T424" s="6">
        <f>2*首页!$B$8*(E424-C424)/(R424*(C424-D424))</f>
        <v>7.0952587643882639E-2</v>
      </c>
      <c r="U424" t="str">
        <f>IF(首页!$B$13="自然对流","按自然对流公式", "按强制对流公式")</f>
        <v>按自然对流公式</v>
      </c>
      <c r="V424" s="6">
        <f t="shared" si="62"/>
        <v>1.9191544940670016</v>
      </c>
    </row>
    <row r="425" spans="1:22" x14ac:dyDescent="0.15">
      <c r="A425">
        <v>420</v>
      </c>
      <c r="B425" s="6">
        <f>首页!$B$4+2*A425/1000</f>
        <v>0.96</v>
      </c>
      <c r="C425" s="6">
        <f>首页!$B$7+273.15</f>
        <v>388.15</v>
      </c>
      <c r="D425" s="6">
        <f>首页!$B$6+273.15</f>
        <v>293.14999999999998</v>
      </c>
      <c r="E425" s="6">
        <f>首页!$B$5+273.15</f>
        <v>1373.15</v>
      </c>
      <c r="F425" s="6">
        <f t="shared" si="54"/>
        <v>95</v>
      </c>
      <c r="G425" s="6">
        <f t="shared" si="55"/>
        <v>340.65</v>
      </c>
      <c r="H425" s="6">
        <f t="shared" si="56"/>
        <v>1.9926207055139041E-5</v>
      </c>
      <c r="I425" s="7">
        <f t="shared" si="57"/>
        <v>1158916576932337.8</v>
      </c>
      <c r="J425" s="6">
        <f t="shared" si="58"/>
        <v>1.0226038455893147</v>
      </c>
      <c r="K425" s="7">
        <f>J425*H425*首页!$B$12/P425</f>
        <v>0.69532757496605813</v>
      </c>
      <c r="L425" s="6">
        <f>首页!$B$9*0.0000000567*((C425^4-D425^4)/(C425-D425))</f>
        <v>7.7687338005019564</v>
      </c>
      <c r="M425" s="6">
        <f>IF(首页!$B$13="自然对流",IF(首页!$B$14="立式圆筒",首页!$B$10,PI()*B425/2),PI()*B425/2)</f>
        <v>55.2</v>
      </c>
      <c r="N425" s="7">
        <f>IF(首页!$B$13="强制对流",首页!$B$11*M425/H425,0)</f>
        <v>0</v>
      </c>
      <c r="O425" s="6">
        <f>IF(首页!$B$13="自然对流",IF(首页!$B$14="立式圆筒",(0.825+0.3063*I425^(1/6))^2+0.87*(M425/B425),(0.752+0.303*I425^(1/6))^2),0.3+SQRT((0.592*N425^0.5)^2+(0.0262*N425^0.8/(1-0.5/N425^0.1))^2))</f>
        <v>10069.232502934899</v>
      </c>
      <c r="P425" s="6">
        <f t="shared" si="59"/>
        <v>2.9510194925512497E-2</v>
      </c>
      <c r="Q425" s="6">
        <f t="shared" si="60"/>
        <v>5.3830618462303441</v>
      </c>
      <c r="R425" s="6">
        <f t="shared" si="61"/>
        <v>13.1517956467323</v>
      </c>
      <c r="S425" s="6">
        <f>B425*LN(B425/首页!$B$4)</f>
        <v>1.9962638800126422</v>
      </c>
      <c r="T425" s="6">
        <f>2*首页!$B$8*(E425-C425)/(R425*(C425-D425))</f>
        <v>7.0952888852762463E-2</v>
      </c>
      <c r="U425" t="str">
        <f>IF(首页!$B$13="自然对流","按自然对流公式", "按强制对流公式")</f>
        <v>按自然对流公式</v>
      </c>
      <c r="V425" s="6">
        <f t="shared" si="62"/>
        <v>1.9253109911598798</v>
      </c>
    </row>
    <row r="426" spans="1:22" x14ac:dyDescent="0.15">
      <c r="A426">
        <v>421</v>
      </c>
      <c r="B426" s="6">
        <f>首页!$B$4+2*A426/1000</f>
        <v>0.96199999999999997</v>
      </c>
      <c r="C426" s="6">
        <f>首页!$B$7+273.15</f>
        <v>388.15</v>
      </c>
      <c r="D426" s="6">
        <f>首页!$B$6+273.15</f>
        <v>293.14999999999998</v>
      </c>
      <c r="E426" s="6">
        <f>首页!$B$5+273.15</f>
        <v>1373.15</v>
      </c>
      <c r="F426" s="6">
        <f t="shared" si="54"/>
        <v>95</v>
      </c>
      <c r="G426" s="6">
        <f t="shared" si="55"/>
        <v>340.65</v>
      </c>
      <c r="H426" s="6">
        <f t="shared" si="56"/>
        <v>1.9926207055139041E-5</v>
      </c>
      <c r="I426" s="7">
        <f t="shared" si="57"/>
        <v>1158916576932337.8</v>
      </c>
      <c r="J426" s="6">
        <f t="shared" si="58"/>
        <v>1.0226038455893147</v>
      </c>
      <c r="K426" s="7">
        <f>J426*H426*首页!$B$12/P426</f>
        <v>0.69532757496605813</v>
      </c>
      <c r="L426" s="6">
        <f>首页!$B$9*0.0000000567*((C426^4-D426^4)/(C426-D426))</f>
        <v>7.7687338005019564</v>
      </c>
      <c r="M426" s="6">
        <f>IF(首页!$B$13="自然对流",IF(首页!$B$14="立式圆筒",首页!$B$10,PI()*B426/2),PI()*B426/2)</f>
        <v>55.2</v>
      </c>
      <c r="N426" s="7">
        <f>IF(首页!$B$13="强制对流",首页!$B$11*M426/H426,0)</f>
        <v>0</v>
      </c>
      <c r="O426" s="6">
        <f>IF(首页!$B$13="自然对流",IF(首页!$B$14="立式圆筒",(0.825+0.3063*I426^(1/6))^2+0.87*(M426/B426),(0.752+0.303*I426^(1/6))^2),0.3+SQRT((0.592*N426^0.5)^2+(0.0262*N426^0.8/(1-0.5/N426^0.1))^2))</f>
        <v>10069.128500855897</v>
      </c>
      <c r="P426" s="6">
        <f t="shared" si="59"/>
        <v>2.9510194925512497E-2</v>
      </c>
      <c r="Q426" s="6">
        <f t="shared" si="60"/>
        <v>5.3830062462009227</v>
      </c>
      <c r="R426" s="6">
        <f t="shared" si="61"/>
        <v>13.15174004670288</v>
      </c>
      <c r="S426" s="6">
        <f>B426*LN(B426/首页!$B$4)</f>
        <v>2.0024248449840814</v>
      </c>
      <c r="T426" s="6">
        <f>2*首页!$B$8*(E426-C426)/(R426*(C426-D426))</f>
        <v>7.095318881175601E-2</v>
      </c>
      <c r="U426" t="str">
        <f>IF(首页!$B$13="自然对流","按自然对流公式", "按强制对流公式")</f>
        <v>按自然对流公式</v>
      </c>
      <c r="V426" s="6">
        <f t="shared" si="62"/>
        <v>1.9314716561723253</v>
      </c>
    </row>
    <row r="427" spans="1:22" x14ac:dyDescent="0.15">
      <c r="A427">
        <v>422</v>
      </c>
      <c r="B427" s="6">
        <f>首页!$B$4+2*A427/1000</f>
        <v>0.96399999999999997</v>
      </c>
      <c r="C427" s="6">
        <f>首页!$B$7+273.15</f>
        <v>388.15</v>
      </c>
      <c r="D427" s="6">
        <f>首页!$B$6+273.15</f>
        <v>293.14999999999998</v>
      </c>
      <c r="E427" s="6">
        <f>首页!$B$5+273.15</f>
        <v>1373.15</v>
      </c>
      <c r="F427" s="6">
        <f t="shared" si="54"/>
        <v>95</v>
      </c>
      <c r="G427" s="6">
        <f t="shared" si="55"/>
        <v>340.65</v>
      </c>
      <c r="H427" s="6">
        <f t="shared" si="56"/>
        <v>1.9926207055139041E-5</v>
      </c>
      <c r="I427" s="7">
        <f t="shared" si="57"/>
        <v>1158916576932337.8</v>
      </c>
      <c r="J427" s="6">
        <f t="shared" si="58"/>
        <v>1.0226038455893147</v>
      </c>
      <c r="K427" s="7">
        <f>J427*H427*首页!$B$12/P427</f>
        <v>0.69532757496605813</v>
      </c>
      <c r="L427" s="6">
        <f>首页!$B$9*0.0000000567*((C427^4-D427^4)/(C427-D427))</f>
        <v>7.7687338005019564</v>
      </c>
      <c r="M427" s="6">
        <f>IF(首页!$B$13="自然对流",IF(首页!$B$14="立式圆筒",首页!$B$10,PI()*B427/2),PI()*B427/2)</f>
        <v>55.2</v>
      </c>
      <c r="N427" s="7">
        <f>IF(首页!$B$13="强制对流",首页!$B$11*M427/H427,0)</f>
        <v>0</v>
      </c>
      <c r="O427" s="6">
        <f>IF(首页!$B$13="自然对流",IF(首页!$B$14="立式圆筒",(0.825+0.3063*I427^(1/6))^2+0.87*(M427/B427),(0.752+0.303*I427^(1/6))^2),0.3+SQRT((0.592*N427^0.5)^2+(0.0262*N427^0.8/(1-0.5/N427^0.1))^2))</f>
        <v>10069.024930320791</v>
      </c>
      <c r="P427" s="6">
        <f t="shared" si="59"/>
        <v>2.9510194925512497E-2</v>
      </c>
      <c r="Q427" s="6">
        <f t="shared" si="60"/>
        <v>5.3829508768770182</v>
      </c>
      <c r="R427" s="6">
        <f t="shared" si="61"/>
        <v>13.151684677378974</v>
      </c>
      <c r="S427" s="6">
        <f>B427*LN(B427/首页!$B$4)</f>
        <v>2.0085899679626738</v>
      </c>
      <c r="T427" s="6">
        <f>2*首页!$B$8*(E427-C427)/(R427*(C427-D427))</f>
        <v>7.0953487528626874E-2</v>
      </c>
      <c r="U427" t="str">
        <f>IF(首页!$B$13="自然对流","按自然对流公式", "按强制对流公式")</f>
        <v>按自然对流公式</v>
      </c>
      <c r="V427" s="6">
        <f t="shared" si="62"/>
        <v>1.9376364804340469</v>
      </c>
    </row>
    <row r="428" spans="1:22" x14ac:dyDescent="0.15">
      <c r="A428">
        <v>423</v>
      </c>
      <c r="B428" s="6">
        <f>首页!$B$4+2*A428/1000</f>
        <v>0.96599999999999997</v>
      </c>
      <c r="C428" s="6">
        <f>首页!$B$7+273.15</f>
        <v>388.15</v>
      </c>
      <c r="D428" s="6">
        <f>首页!$B$6+273.15</f>
        <v>293.14999999999998</v>
      </c>
      <c r="E428" s="6">
        <f>首页!$B$5+273.15</f>
        <v>1373.15</v>
      </c>
      <c r="F428" s="6">
        <f t="shared" si="54"/>
        <v>95</v>
      </c>
      <c r="G428" s="6">
        <f t="shared" si="55"/>
        <v>340.65</v>
      </c>
      <c r="H428" s="6">
        <f t="shared" si="56"/>
        <v>1.9926207055139041E-5</v>
      </c>
      <c r="I428" s="7">
        <f t="shared" si="57"/>
        <v>1158916576932337.8</v>
      </c>
      <c r="J428" s="6">
        <f t="shared" si="58"/>
        <v>1.0226038455893147</v>
      </c>
      <c r="K428" s="7">
        <f>J428*H428*首页!$B$12/P428</f>
        <v>0.69532757496605813</v>
      </c>
      <c r="L428" s="6">
        <f>首页!$B$9*0.0000000567*((C428^4-D428^4)/(C428-D428))</f>
        <v>7.7687338005019564</v>
      </c>
      <c r="M428" s="6">
        <f>IF(首页!$B$13="自然对流",IF(首页!$B$14="立式圆筒",首页!$B$10,PI()*B428/2),PI()*B428/2)</f>
        <v>55.2</v>
      </c>
      <c r="N428" s="7">
        <f>IF(首页!$B$13="强制对流",首页!$B$11*M428/H428,0)</f>
        <v>0</v>
      </c>
      <c r="O428" s="6">
        <f>IF(首页!$B$13="自然对流",IF(首页!$B$14="立式圆筒",(0.825+0.3063*I428^(1/6))^2+0.87*(M428/B428),(0.752+0.303*I428^(1/6))^2),0.3+SQRT((0.592*N428^0.5)^2+(0.0262*N428^0.8/(1-0.5/N428^0.1))^2))</f>
        <v>10068.921788649186</v>
      </c>
      <c r="P428" s="6">
        <f t="shared" si="59"/>
        <v>2.9510194925512497E-2</v>
      </c>
      <c r="Q428" s="6">
        <f t="shared" si="60"/>
        <v>5.3828957368256773</v>
      </c>
      <c r="R428" s="6">
        <f t="shared" si="61"/>
        <v>13.151629537327633</v>
      </c>
      <c r="S428" s="6">
        <f>B428*LN(B428/首页!$B$4)</f>
        <v>2.014759240321836</v>
      </c>
      <c r="T428" s="6">
        <f>2*首页!$B$8*(E428-C428)/(R428*(C428-D428))</f>
        <v>7.0953785011074508E-2</v>
      </c>
      <c r="U428" t="str">
        <f>IF(首页!$B$13="自然对流","按自然对流公式", "按强制对流公式")</f>
        <v>按自然对流公式</v>
      </c>
      <c r="V428" s="6">
        <f t="shared" si="62"/>
        <v>1.9438054553107615</v>
      </c>
    </row>
    <row r="429" spans="1:22" x14ac:dyDescent="0.15">
      <c r="A429">
        <v>424</v>
      </c>
      <c r="B429" s="6">
        <f>首页!$B$4+2*A429/1000</f>
        <v>0.96799999999999997</v>
      </c>
      <c r="C429" s="6">
        <f>首页!$B$7+273.15</f>
        <v>388.15</v>
      </c>
      <c r="D429" s="6">
        <f>首页!$B$6+273.15</f>
        <v>293.14999999999998</v>
      </c>
      <c r="E429" s="6">
        <f>首页!$B$5+273.15</f>
        <v>1373.15</v>
      </c>
      <c r="F429" s="6">
        <f t="shared" si="54"/>
        <v>95</v>
      </c>
      <c r="G429" s="6">
        <f t="shared" si="55"/>
        <v>340.65</v>
      </c>
      <c r="H429" s="6">
        <f t="shared" si="56"/>
        <v>1.9926207055139041E-5</v>
      </c>
      <c r="I429" s="7">
        <f t="shared" si="57"/>
        <v>1158916576932337.8</v>
      </c>
      <c r="J429" s="6">
        <f t="shared" si="58"/>
        <v>1.0226038455893147</v>
      </c>
      <c r="K429" s="7">
        <f>J429*H429*首页!$B$12/P429</f>
        <v>0.69532757496605813</v>
      </c>
      <c r="L429" s="6">
        <f>首页!$B$9*0.0000000567*((C429^4-D429^4)/(C429-D429))</f>
        <v>7.7687338005019564</v>
      </c>
      <c r="M429" s="6">
        <f>IF(首页!$B$13="自然对流",IF(首页!$B$14="立式圆筒",首页!$B$10,PI()*B429/2),PI()*B429/2)</f>
        <v>55.2</v>
      </c>
      <c r="N429" s="7">
        <f>IF(首页!$B$13="强制对流",首页!$B$11*M429/H429,0)</f>
        <v>0</v>
      </c>
      <c r="O429" s="6">
        <f>IF(首页!$B$13="自然对流",IF(首页!$B$14="立式圆筒",(0.825+0.3063*I429^(1/6))^2+0.87*(M429/B429),(0.752+0.303*I429^(1/6))^2),0.3+SQRT((0.592*N429^0.5)^2+(0.0262*N429^0.8/(1-0.5/N429^0.1))^2))</f>
        <v>10068.819073182834</v>
      </c>
      <c r="P429" s="6">
        <f t="shared" si="59"/>
        <v>2.9510194925512497E-2</v>
      </c>
      <c r="Q429" s="6">
        <f t="shared" si="60"/>
        <v>5.3828408246257879</v>
      </c>
      <c r="R429" s="6">
        <f t="shared" si="61"/>
        <v>13.151574625127743</v>
      </c>
      <c r="S429" s="6">
        <f>B429*LN(B429/首页!$B$4)</f>
        <v>2.0209326534707057</v>
      </c>
      <c r="T429" s="6">
        <f>2*首页!$B$8*(E429-C429)/(R429*(C429-D429))</f>
        <v>7.0954081266734872E-2</v>
      </c>
      <c r="U429" t="str">
        <f>IF(首页!$B$13="自然对流","按自然对流公式", "按强制对流公式")</f>
        <v>按自然对流公式</v>
      </c>
      <c r="V429" s="6">
        <f t="shared" si="62"/>
        <v>1.9499785722039709</v>
      </c>
    </row>
    <row r="430" spans="1:22" x14ac:dyDescent="0.15">
      <c r="A430">
        <v>425</v>
      </c>
      <c r="B430" s="6">
        <f>首页!$B$4+2*A430/1000</f>
        <v>0.97</v>
      </c>
      <c r="C430" s="6">
        <f>首页!$B$7+273.15</f>
        <v>388.15</v>
      </c>
      <c r="D430" s="6">
        <f>首页!$B$6+273.15</f>
        <v>293.14999999999998</v>
      </c>
      <c r="E430" s="6">
        <f>首页!$B$5+273.15</f>
        <v>1373.15</v>
      </c>
      <c r="F430" s="6">
        <f t="shared" si="54"/>
        <v>95</v>
      </c>
      <c r="G430" s="6">
        <f t="shared" si="55"/>
        <v>340.65</v>
      </c>
      <c r="H430" s="6">
        <f t="shared" si="56"/>
        <v>1.9926207055139041E-5</v>
      </c>
      <c r="I430" s="7">
        <f t="shared" si="57"/>
        <v>1158916576932337.8</v>
      </c>
      <c r="J430" s="6">
        <f t="shared" si="58"/>
        <v>1.0226038455893147</v>
      </c>
      <c r="K430" s="7">
        <f>J430*H430*首页!$B$12/P430</f>
        <v>0.69532757496605813</v>
      </c>
      <c r="L430" s="6">
        <f>首页!$B$9*0.0000000567*((C430^4-D430^4)/(C430-D430))</f>
        <v>7.7687338005019564</v>
      </c>
      <c r="M430" s="6">
        <f>IF(首页!$B$13="自然对流",IF(首页!$B$14="立式圆筒",首页!$B$10,PI()*B430/2),PI()*B430/2)</f>
        <v>55.2</v>
      </c>
      <c r="N430" s="7">
        <f>IF(首页!$B$13="强制对流",首页!$B$11*M430/H430,0)</f>
        <v>0</v>
      </c>
      <c r="O430" s="6">
        <f>IF(首页!$B$13="自然对流",IF(首页!$B$14="立式圆筒",(0.825+0.3063*I430^(1/6))^2+0.87*(M430/B430),(0.752+0.303*I430^(1/6))^2),0.3+SQRT((0.592*N430^0.5)^2+(0.0262*N430^0.8/(1-0.5/N430^0.1))^2))</f>
        <v>10068.716781285415</v>
      </c>
      <c r="P430" s="6">
        <f t="shared" si="59"/>
        <v>2.9510194925512497E-2</v>
      </c>
      <c r="Q430" s="6">
        <f t="shared" si="60"/>
        <v>5.3827861388679592</v>
      </c>
      <c r="R430" s="6">
        <f t="shared" si="61"/>
        <v>13.151519939369916</v>
      </c>
      <c r="S430" s="6">
        <f>B430*LN(B430/首页!$B$4)</f>
        <v>2.0271101988539209</v>
      </c>
      <c r="T430" s="6">
        <f>2*首页!$B$8*(E430-C430)/(R430*(C430-D430))</f>
        <v>7.0954376303181077E-2</v>
      </c>
      <c r="U430" t="str">
        <f>IF(首页!$B$13="自然对流","按自然对流公式", "按强制对流公式")</f>
        <v>按自然对流公式</v>
      </c>
      <c r="V430" s="6">
        <f t="shared" si="62"/>
        <v>1.9561558225507398</v>
      </c>
    </row>
    <row r="431" spans="1:22" x14ac:dyDescent="0.15">
      <c r="A431">
        <v>426</v>
      </c>
      <c r="B431" s="6">
        <f>首页!$B$4+2*A431/1000</f>
        <v>0.97199999999999998</v>
      </c>
      <c r="C431" s="6">
        <f>首页!$B$7+273.15</f>
        <v>388.15</v>
      </c>
      <c r="D431" s="6">
        <f>首页!$B$6+273.15</f>
        <v>293.14999999999998</v>
      </c>
      <c r="E431" s="6">
        <f>首页!$B$5+273.15</f>
        <v>1373.15</v>
      </c>
      <c r="F431" s="6">
        <f t="shared" si="54"/>
        <v>95</v>
      </c>
      <c r="G431" s="6">
        <f t="shared" si="55"/>
        <v>340.65</v>
      </c>
      <c r="H431" s="6">
        <f t="shared" si="56"/>
        <v>1.9926207055139041E-5</v>
      </c>
      <c r="I431" s="7">
        <f t="shared" si="57"/>
        <v>1158916576932337.8</v>
      </c>
      <c r="J431" s="6">
        <f t="shared" si="58"/>
        <v>1.0226038455893147</v>
      </c>
      <c r="K431" s="7">
        <f>J431*H431*首页!$B$12/P431</f>
        <v>0.69532757496605813</v>
      </c>
      <c r="L431" s="6">
        <f>首页!$B$9*0.0000000567*((C431^4-D431^4)/(C431-D431))</f>
        <v>7.7687338005019564</v>
      </c>
      <c r="M431" s="6">
        <f>IF(首页!$B$13="自然对流",IF(首页!$B$14="立式圆筒",首页!$B$10,PI()*B431/2),PI()*B431/2)</f>
        <v>55.2</v>
      </c>
      <c r="N431" s="7">
        <f>IF(首页!$B$13="强制对流",首页!$B$11*M431/H431,0)</f>
        <v>0</v>
      </c>
      <c r="O431" s="6">
        <f>IF(首页!$B$13="自然对流",IF(首页!$B$14="立式圆筒",(0.825+0.3063*I431^(1/6))^2+0.87*(M431/B431),(0.752+0.303*I431^(1/6))^2),0.3+SQRT((0.592*N431^0.5)^2+(0.0262*N431^0.8/(1-0.5/N431^0.1))^2))</f>
        <v>10068.614910342307</v>
      </c>
      <c r="P431" s="6">
        <f t="shared" si="59"/>
        <v>2.9510194925512497E-2</v>
      </c>
      <c r="Q431" s="6">
        <f t="shared" si="60"/>
        <v>5.3827316781544017</v>
      </c>
      <c r="R431" s="6">
        <f t="shared" si="61"/>
        <v>13.151465478656359</v>
      </c>
      <c r="S431" s="6">
        <f>B431*LN(B431/首页!$B$4)</f>
        <v>2.033291867951398</v>
      </c>
      <c r="T431" s="6">
        <f>2*首页!$B$8*(E431-C431)/(R431*(C431-D431))</f>
        <v>7.0954670127924016E-2</v>
      </c>
      <c r="U431" t="str">
        <f>IF(首页!$B$13="自然对流","按自然对流公式", "按强制对流公式")</f>
        <v>按自然对流公式</v>
      </c>
      <c r="V431" s="6">
        <f t="shared" si="62"/>
        <v>1.962337197823474</v>
      </c>
    </row>
    <row r="432" spans="1:22" x14ac:dyDescent="0.15">
      <c r="A432">
        <v>427</v>
      </c>
      <c r="B432" s="6">
        <f>首页!$B$4+2*A432/1000</f>
        <v>0.97399999999999998</v>
      </c>
      <c r="C432" s="6">
        <f>首页!$B$7+273.15</f>
        <v>388.15</v>
      </c>
      <c r="D432" s="6">
        <f>首页!$B$6+273.15</f>
        <v>293.14999999999998</v>
      </c>
      <c r="E432" s="6">
        <f>首页!$B$5+273.15</f>
        <v>1373.15</v>
      </c>
      <c r="F432" s="6">
        <f t="shared" si="54"/>
        <v>95</v>
      </c>
      <c r="G432" s="6">
        <f t="shared" si="55"/>
        <v>340.65</v>
      </c>
      <c r="H432" s="6">
        <f t="shared" si="56"/>
        <v>1.9926207055139041E-5</v>
      </c>
      <c r="I432" s="7">
        <f t="shared" si="57"/>
        <v>1158916576932337.8</v>
      </c>
      <c r="J432" s="6">
        <f t="shared" si="58"/>
        <v>1.0226038455893147</v>
      </c>
      <c r="K432" s="7">
        <f>J432*H432*首页!$B$12/P432</f>
        <v>0.69532757496605813</v>
      </c>
      <c r="L432" s="6">
        <f>首页!$B$9*0.0000000567*((C432^4-D432^4)/(C432-D432))</f>
        <v>7.7687338005019564</v>
      </c>
      <c r="M432" s="6">
        <f>IF(首页!$B$13="自然对流",IF(首页!$B$14="立式圆筒",首页!$B$10,PI()*B432/2),PI()*B432/2)</f>
        <v>55.2</v>
      </c>
      <c r="N432" s="7">
        <f>IF(首页!$B$13="强制对流",首页!$B$11*M432/H432,0)</f>
        <v>0</v>
      </c>
      <c r="O432" s="6">
        <f>IF(首页!$B$13="自然对流",IF(首页!$B$14="立式圆筒",(0.825+0.3063*I432^(1/6))^2+0.87*(M432/B432),(0.752+0.303*I432^(1/6))^2),0.3+SQRT((0.592*N432^0.5)^2+(0.0262*N432^0.8/(1-0.5/N432^0.1))^2))</f>
        <v>10068.513457760362</v>
      </c>
      <c r="P432" s="6">
        <f t="shared" si="59"/>
        <v>2.9510194925512497E-2</v>
      </c>
      <c r="Q432" s="6">
        <f t="shared" si="60"/>
        <v>5.3826774410988065</v>
      </c>
      <c r="R432" s="6">
        <f t="shared" si="61"/>
        <v>13.151411241600762</v>
      </c>
      <c r="S432" s="6">
        <f>B432*LN(B432/首页!$B$4)</f>
        <v>2.0394776522781166</v>
      </c>
      <c r="T432" s="6">
        <f>2*首页!$B$8*(E432-C432)/(R432*(C432-D432))</f>
        <v>7.0954962748413009E-2</v>
      </c>
      <c r="U432" t="str">
        <f>IF(首页!$B$13="自然对流","按自然对流公式", "按强制对流公式")</f>
        <v>按自然对流公式</v>
      </c>
      <c r="V432" s="6">
        <f t="shared" si="62"/>
        <v>1.9685226895297037</v>
      </c>
    </row>
    <row r="433" spans="1:22" x14ac:dyDescent="0.15">
      <c r="A433">
        <v>428</v>
      </c>
      <c r="B433" s="6">
        <f>首页!$B$4+2*A433/1000</f>
        <v>0.97599999999999998</v>
      </c>
      <c r="C433" s="6">
        <f>首页!$B$7+273.15</f>
        <v>388.15</v>
      </c>
      <c r="D433" s="6">
        <f>首页!$B$6+273.15</f>
        <v>293.14999999999998</v>
      </c>
      <c r="E433" s="6">
        <f>首页!$B$5+273.15</f>
        <v>1373.15</v>
      </c>
      <c r="F433" s="6">
        <f t="shared" si="54"/>
        <v>95</v>
      </c>
      <c r="G433" s="6">
        <f t="shared" si="55"/>
        <v>340.65</v>
      </c>
      <c r="H433" s="6">
        <f t="shared" si="56"/>
        <v>1.9926207055139041E-5</v>
      </c>
      <c r="I433" s="7">
        <f t="shared" si="57"/>
        <v>1158916576932337.8</v>
      </c>
      <c r="J433" s="6">
        <f t="shared" si="58"/>
        <v>1.0226038455893147</v>
      </c>
      <c r="K433" s="7">
        <f>J433*H433*首页!$B$12/P433</f>
        <v>0.69532757496605813</v>
      </c>
      <c r="L433" s="6">
        <f>首页!$B$9*0.0000000567*((C433^4-D433^4)/(C433-D433))</f>
        <v>7.7687338005019564</v>
      </c>
      <c r="M433" s="6">
        <f>IF(首页!$B$13="自然对流",IF(首页!$B$14="立式圆筒",首页!$B$10,PI()*B433/2),PI()*B433/2)</f>
        <v>55.2</v>
      </c>
      <c r="N433" s="7">
        <f>IF(首页!$B$13="强制对流",首页!$B$11*M433/H433,0)</f>
        <v>0</v>
      </c>
      <c r="O433" s="6">
        <f>IF(首页!$B$13="自然对流",IF(首页!$B$14="立式圆筒",(0.825+0.3063*I433^(1/6))^2+0.87*(M433/B433),(0.752+0.303*I433^(1/6))^2),0.3+SQRT((0.592*N433^0.5)^2+(0.0262*N433^0.8/(1-0.5/N433^0.1))^2))</f>
        <v>10068.412420967687</v>
      </c>
      <c r="P433" s="6">
        <f t="shared" si="59"/>
        <v>2.9510194925512497E-2</v>
      </c>
      <c r="Q433" s="6">
        <f t="shared" si="60"/>
        <v>5.3826234263262247</v>
      </c>
      <c r="R433" s="6">
        <f t="shared" si="61"/>
        <v>13.151357226828182</v>
      </c>
      <c r="S433" s="6">
        <f>B433*LN(B433/首页!$B$4)</f>
        <v>2.0456675433839009</v>
      </c>
      <c r="T433" s="6">
        <f>2*首页!$B$8*(E433-C433)/(R433*(C433-D433))</f>
        <v>7.095525417203645E-2</v>
      </c>
      <c r="U433" t="str">
        <f>IF(首页!$B$13="自然对流","按自然对流公式", "按强制对流公式")</f>
        <v>按自然对流公式</v>
      </c>
      <c r="V433" s="6">
        <f t="shared" si="62"/>
        <v>1.9747122892118645</v>
      </c>
    </row>
    <row r="434" spans="1:22" x14ac:dyDescent="0.15">
      <c r="A434">
        <v>429</v>
      </c>
      <c r="B434" s="6">
        <f>首页!$B$4+2*A434/1000</f>
        <v>0.97799999999999998</v>
      </c>
      <c r="C434" s="6">
        <f>首页!$B$7+273.15</f>
        <v>388.15</v>
      </c>
      <c r="D434" s="6">
        <f>首页!$B$6+273.15</f>
        <v>293.14999999999998</v>
      </c>
      <c r="E434" s="6">
        <f>首页!$B$5+273.15</f>
        <v>1373.15</v>
      </c>
      <c r="F434" s="6">
        <f t="shared" si="54"/>
        <v>95</v>
      </c>
      <c r="G434" s="6">
        <f t="shared" si="55"/>
        <v>340.65</v>
      </c>
      <c r="H434" s="6">
        <f t="shared" si="56"/>
        <v>1.9926207055139041E-5</v>
      </c>
      <c r="I434" s="7">
        <f t="shared" si="57"/>
        <v>1158916576932337.8</v>
      </c>
      <c r="J434" s="6">
        <f t="shared" si="58"/>
        <v>1.0226038455893147</v>
      </c>
      <c r="K434" s="7">
        <f>J434*H434*首页!$B$12/P434</f>
        <v>0.69532757496605813</v>
      </c>
      <c r="L434" s="6">
        <f>首页!$B$9*0.0000000567*((C434^4-D434^4)/(C434-D434))</f>
        <v>7.7687338005019564</v>
      </c>
      <c r="M434" s="6">
        <f>IF(首页!$B$13="自然对流",IF(首页!$B$14="立式圆筒",首页!$B$10,PI()*B434/2),PI()*B434/2)</f>
        <v>55.2</v>
      </c>
      <c r="N434" s="7">
        <f>IF(首页!$B$13="强制对流",首页!$B$11*M434/H434,0)</f>
        <v>0</v>
      </c>
      <c r="O434" s="6">
        <f>IF(首页!$B$13="自然对流",IF(首页!$B$14="立式圆筒",(0.825+0.3063*I434^(1/6))^2+0.87*(M434/B434),(0.752+0.303*I434^(1/6))^2),0.3+SQRT((0.592*N434^0.5)^2+(0.0262*N434^0.8/(1-0.5/N434^0.1))^2))</f>
        <v>10068.311797413427</v>
      </c>
      <c r="P434" s="6">
        <f t="shared" si="59"/>
        <v>2.9510194925512497E-2</v>
      </c>
      <c r="Q434" s="6">
        <f t="shared" si="60"/>
        <v>5.3825696324729586</v>
      </c>
      <c r="R434" s="6">
        <f t="shared" si="61"/>
        <v>13.151303432974915</v>
      </c>
      <c r="S434" s="6">
        <f>B434*LN(B434/首页!$B$4)</f>
        <v>2.0518615328532106</v>
      </c>
      <c r="T434" s="6">
        <f>2*首页!$B$8*(E434-C434)/(R434*(C434-D434))</f>
        <v>7.0955544406122451E-2</v>
      </c>
      <c r="U434" t="str">
        <f>IF(首页!$B$13="自然对流","按自然对流公式", "按强制对流公式")</f>
        <v>按自然对流公式</v>
      </c>
      <c r="V434" s="6">
        <f t="shared" si="62"/>
        <v>1.9809059884470881</v>
      </c>
    </row>
    <row r="435" spans="1:22" x14ac:dyDescent="0.15">
      <c r="A435">
        <v>430</v>
      </c>
      <c r="B435" s="6">
        <f>首页!$B$4+2*A435/1000</f>
        <v>0.98</v>
      </c>
      <c r="C435" s="6">
        <f>首页!$B$7+273.15</f>
        <v>388.15</v>
      </c>
      <c r="D435" s="6">
        <f>首页!$B$6+273.15</f>
        <v>293.14999999999998</v>
      </c>
      <c r="E435" s="6">
        <f>首页!$B$5+273.15</f>
        <v>1373.15</v>
      </c>
      <c r="F435" s="6">
        <f t="shared" si="54"/>
        <v>95</v>
      </c>
      <c r="G435" s="6">
        <f t="shared" si="55"/>
        <v>340.65</v>
      </c>
      <c r="H435" s="6">
        <f t="shared" si="56"/>
        <v>1.9926207055139041E-5</v>
      </c>
      <c r="I435" s="7">
        <f t="shared" si="57"/>
        <v>1158916576932337.8</v>
      </c>
      <c r="J435" s="6">
        <f t="shared" si="58"/>
        <v>1.0226038455893147</v>
      </c>
      <c r="K435" s="7">
        <f>J435*H435*首页!$B$12/P435</f>
        <v>0.69532757496605813</v>
      </c>
      <c r="L435" s="6">
        <f>首页!$B$9*0.0000000567*((C435^4-D435^4)/(C435-D435))</f>
        <v>7.7687338005019564</v>
      </c>
      <c r="M435" s="6">
        <f>IF(首页!$B$13="自然对流",IF(首页!$B$14="立式圆筒",首页!$B$10,PI()*B435/2),PI()*B435/2)</f>
        <v>55.2</v>
      </c>
      <c r="N435" s="7">
        <f>IF(首页!$B$13="强制对流",首页!$B$11*M435/H435,0)</f>
        <v>0</v>
      </c>
      <c r="O435" s="6">
        <f>IF(首页!$B$13="自然对流",IF(首页!$B$14="立式圆筒",(0.825+0.3063*I435^(1/6))^2+0.87*(M435/B435),(0.752+0.303*I435^(1/6))^2),0.3+SQRT((0.592*N435^0.5)^2+(0.0262*N435^0.8/(1-0.5/N435^0.1))^2))</f>
        <v>10068.211584567553</v>
      </c>
      <c r="P435" s="6">
        <f t="shared" si="59"/>
        <v>2.9510194925512497E-2</v>
      </c>
      <c r="Q435" s="6">
        <f t="shared" si="60"/>
        <v>5.3825160581864404</v>
      </c>
      <c r="R435" s="6">
        <f t="shared" si="61"/>
        <v>13.151249858688397</v>
      </c>
      <c r="S435" s="6">
        <f>B435*LN(B435/首页!$B$4)</f>
        <v>2.0580596123049202</v>
      </c>
      <c r="T435" s="6">
        <f>2*首页!$B$8*(E435-C435)/(R435*(C435-D435))</f>
        <v>7.0955833457939349E-2</v>
      </c>
      <c r="U435" t="str">
        <f>IF(首页!$B$13="自然对流","按自然对流公式", "按强制对流公式")</f>
        <v>按自然对流公式</v>
      </c>
      <c r="V435" s="6">
        <f t="shared" si="62"/>
        <v>1.9871037788469808</v>
      </c>
    </row>
    <row r="436" spans="1:22" x14ac:dyDescent="0.15">
      <c r="A436">
        <v>431</v>
      </c>
      <c r="B436" s="6">
        <f>首页!$B$4+2*A436/1000</f>
        <v>0.98199999999999998</v>
      </c>
      <c r="C436" s="6">
        <f>首页!$B$7+273.15</f>
        <v>388.15</v>
      </c>
      <c r="D436" s="6">
        <f>首页!$B$6+273.15</f>
        <v>293.14999999999998</v>
      </c>
      <c r="E436" s="6">
        <f>首页!$B$5+273.15</f>
        <v>1373.15</v>
      </c>
      <c r="F436" s="6">
        <f t="shared" si="54"/>
        <v>95</v>
      </c>
      <c r="G436" s="6">
        <f t="shared" si="55"/>
        <v>340.65</v>
      </c>
      <c r="H436" s="6">
        <f t="shared" si="56"/>
        <v>1.9926207055139041E-5</v>
      </c>
      <c r="I436" s="7">
        <f t="shared" si="57"/>
        <v>1158916576932337.8</v>
      </c>
      <c r="J436" s="6">
        <f t="shared" si="58"/>
        <v>1.0226038455893147</v>
      </c>
      <c r="K436" s="7">
        <f>J436*H436*首页!$B$12/P436</f>
        <v>0.69532757496605813</v>
      </c>
      <c r="L436" s="6">
        <f>首页!$B$9*0.0000000567*((C436^4-D436^4)/(C436-D436))</f>
        <v>7.7687338005019564</v>
      </c>
      <c r="M436" s="6">
        <f>IF(首页!$B$13="自然对流",IF(首页!$B$14="立式圆筒",首页!$B$10,PI()*B436/2),PI()*B436/2)</f>
        <v>55.2</v>
      </c>
      <c r="N436" s="7">
        <f>IF(首页!$B$13="强制对流",首页!$B$11*M436/H436,0)</f>
        <v>0</v>
      </c>
      <c r="O436" s="6">
        <f>IF(首页!$B$13="自然对流",IF(首页!$B$14="立式圆筒",(0.825+0.3063*I436^(1/6))^2+0.87*(M436/B436),(0.752+0.303*I436^(1/6))^2),0.3+SQRT((0.592*N436^0.5)^2+(0.0262*N436^0.8/(1-0.5/N436^0.1))^2))</f>
        <v>10068.111779920644</v>
      </c>
      <c r="P436" s="6">
        <f t="shared" si="59"/>
        <v>2.9510194925512497E-2</v>
      </c>
      <c r="Q436" s="6">
        <f t="shared" si="60"/>
        <v>5.3824627021251228</v>
      </c>
      <c r="R436" s="6">
        <f t="shared" si="61"/>
        <v>13.15119650262708</v>
      </c>
      <c r="S436" s="6">
        <f>B436*LN(B436/首页!$B$4)</f>
        <v>2.0642617733921163</v>
      </c>
      <c r="T436" s="6">
        <f>2*首页!$B$8*(E436-C436)/(R436*(C436-D436))</f>
        <v>7.0956121334696406E-2</v>
      </c>
      <c r="U436" t="str">
        <f>IF(首页!$B$13="自然对流","按自然对流公式", "按强制对流公式")</f>
        <v>按自然对流公式</v>
      </c>
      <c r="V436" s="6">
        <f t="shared" si="62"/>
        <v>1.9933056520574199</v>
      </c>
    </row>
    <row r="437" spans="1:22" x14ac:dyDescent="0.15">
      <c r="A437">
        <v>432</v>
      </c>
      <c r="B437" s="6">
        <f>首页!$B$4+2*A437/1000</f>
        <v>0.98399999999999999</v>
      </c>
      <c r="C437" s="6">
        <f>首页!$B$7+273.15</f>
        <v>388.15</v>
      </c>
      <c r="D437" s="6">
        <f>首页!$B$6+273.15</f>
        <v>293.14999999999998</v>
      </c>
      <c r="E437" s="6">
        <f>首页!$B$5+273.15</f>
        <v>1373.15</v>
      </c>
      <c r="F437" s="6">
        <f t="shared" si="54"/>
        <v>95</v>
      </c>
      <c r="G437" s="6">
        <f t="shared" si="55"/>
        <v>340.65</v>
      </c>
      <c r="H437" s="6">
        <f t="shared" si="56"/>
        <v>1.9926207055139041E-5</v>
      </c>
      <c r="I437" s="7">
        <f t="shared" si="57"/>
        <v>1158916576932337.8</v>
      </c>
      <c r="J437" s="6">
        <f t="shared" si="58"/>
        <v>1.0226038455893147</v>
      </c>
      <c r="K437" s="7">
        <f>J437*H437*首页!$B$12/P437</f>
        <v>0.69532757496605813</v>
      </c>
      <c r="L437" s="6">
        <f>首页!$B$9*0.0000000567*((C437^4-D437^4)/(C437-D437))</f>
        <v>7.7687338005019564</v>
      </c>
      <c r="M437" s="6">
        <f>IF(首页!$B$13="自然对流",IF(首页!$B$14="立式圆筒",首页!$B$10,PI()*B437/2),PI()*B437/2)</f>
        <v>55.2</v>
      </c>
      <c r="N437" s="7">
        <f>IF(首页!$B$13="强制对流",首页!$B$11*M437/H437,0)</f>
        <v>0</v>
      </c>
      <c r="O437" s="6">
        <f>IF(首页!$B$13="自然对流",IF(首页!$B$14="立式圆筒",(0.825+0.3063*I437^(1/6))^2+0.87*(M437/B437),(0.752+0.303*I437^(1/6))^2),0.3+SQRT((0.592*N437^0.5)^2+(0.0262*N437^0.8/(1-0.5/N437^0.1))^2))</f>
        <v>10068.01238098368</v>
      </c>
      <c r="P437" s="6">
        <f t="shared" si="59"/>
        <v>2.9510194925512497E-2</v>
      </c>
      <c r="Q437" s="6">
        <f t="shared" si="60"/>
        <v>5.3824095629583617</v>
      </c>
      <c r="R437" s="6">
        <f t="shared" si="61"/>
        <v>13.151143363460317</v>
      </c>
      <c r="S437" s="6">
        <f>B437*LN(B437/首页!$B$4)</f>
        <v>2.070468007801884</v>
      </c>
      <c r="T437" s="6">
        <f>2*首页!$B$8*(E437-C437)/(R437*(C437-D437))</f>
        <v>7.0956408043544472E-2</v>
      </c>
      <c r="U437" t="str">
        <f>IF(首页!$B$13="自然对流","按自然对流公式", "按强制对流公式")</f>
        <v>按自然对流公式</v>
      </c>
      <c r="V437" s="6">
        <f t="shared" si="62"/>
        <v>1.9995115997583395</v>
      </c>
    </row>
    <row r="438" spans="1:22" x14ac:dyDescent="0.15">
      <c r="A438">
        <v>433</v>
      </c>
      <c r="B438" s="6">
        <f>首页!$B$4+2*A438/1000</f>
        <v>0.98599999999999999</v>
      </c>
      <c r="C438" s="6">
        <f>首页!$B$7+273.15</f>
        <v>388.15</v>
      </c>
      <c r="D438" s="6">
        <f>首页!$B$6+273.15</f>
        <v>293.14999999999998</v>
      </c>
      <c r="E438" s="6">
        <f>首页!$B$5+273.15</f>
        <v>1373.15</v>
      </c>
      <c r="F438" s="6">
        <f t="shared" si="54"/>
        <v>95</v>
      </c>
      <c r="G438" s="6">
        <f t="shared" si="55"/>
        <v>340.65</v>
      </c>
      <c r="H438" s="6">
        <f t="shared" si="56"/>
        <v>1.9926207055139041E-5</v>
      </c>
      <c r="I438" s="7">
        <f t="shared" si="57"/>
        <v>1158916576932337.8</v>
      </c>
      <c r="J438" s="6">
        <f t="shared" si="58"/>
        <v>1.0226038455893147</v>
      </c>
      <c r="K438" s="7">
        <f>J438*H438*首页!$B$12/P438</f>
        <v>0.69532757496605813</v>
      </c>
      <c r="L438" s="6">
        <f>首页!$B$9*0.0000000567*((C438^4-D438^4)/(C438-D438))</f>
        <v>7.7687338005019564</v>
      </c>
      <c r="M438" s="6">
        <f>IF(首页!$B$13="自然对流",IF(首页!$B$14="立式圆筒",首页!$B$10,PI()*B438/2),PI()*B438/2)</f>
        <v>55.2</v>
      </c>
      <c r="N438" s="7">
        <f>IF(首页!$B$13="强制对流",首页!$B$11*M438/H438,0)</f>
        <v>0</v>
      </c>
      <c r="O438" s="6">
        <f>IF(首页!$B$13="自然对流",IF(首页!$B$14="立式圆筒",(0.825+0.3063*I438^(1/6))^2+0.87*(M438/B438),(0.752+0.303*I438^(1/6))^2),0.3+SQRT((0.592*N438^0.5)^2+(0.0262*N438^0.8/(1-0.5/N438^0.1))^2))</f>
        <v>10067.91338528784</v>
      </c>
      <c r="P438" s="6">
        <f t="shared" si="59"/>
        <v>2.9510194925512497E-2</v>
      </c>
      <c r="Q438" s="6">
        <f t="shared" si="60"/>
        <v>5.3823566393663143</v>
      </c>
      <c r="R438" s="6">
        <f t="shared" si="61"/>
        <v>13.15109043986827</v>
      </c>
      <c r="S438" s="6">
        <f>B438*LN(B438/首页!$B$4)</f>
        <v>2.0766783072551012</v>
      </c>
      <c r="T438" s="6">
        <f>2*首页!$B$8*(E438-C438)/(R438*(C438-D438))</f>
        <v>7.0956693591576372E-2</v>
      </c>
      <c r="U438" t="str">
        <f>IF(首页!$B$13="自然对流","按自然对流公式", "按强制对流公式")</f>
        <v>按自然对流公式</v>
      </c>
      <c r="V438" s="6">
        <f t="shared" si="62"/>
        <v>2.0057216136635247</v>
      </c>
    </row>
    <row r="439" spans="1:22" x14ac:dyDescent="0.15">
      <c r="A439">
        <v>434</v>
      </c>
      <c r="B439" s="6">
        <f>首页!$B$4+2*A439/1000</f>
        <v>0.98799999999999999</v>
      </c>
      <c r="C439" s="6">
        <f>首页!$B$7+273.15</f>
        <v>388.15</v>
      </c>
      <c r="D439" s="6">
        <f>首页!$B$6+273.15</f>
        <v>293.14999999999998</v>
      </c>
      <c r="E439" s="6">
        <f>首页!$B$5+273.15</f>
        <v>1373.15</v>
      </c>
      <c r="F439" s="6">
        <f t="shared" si="54"/>
        <v>95</v>
      </c>
      <c r="G439" s="6">
        <f t="shared" si="55"/>
        <v>340.65</v>
      </c>
      <c r="H439" s="6">
        <f t="shared" si="56"/>
        <v>1.9926207055139041E-5</v>
      </c>
      <c r="I439" s="7">
        <f t="shared" si="57"/>
        <v>1158916576932337.8</v>
      </c>
      <c r="J439" s="6">
        <f t="shared" si="58"/>
        <v>1.0226038455893147</v>
      </c>
      <c r="K439" s="7">
        <f>J439*H439*首页!$B$12/P439</f>
        <v>0.69532757496605813</v>
      </c>
      <c r="L439" s="6">
        <f>首页!$B$9*0.0000000567*((C439^4-D439^4)/(C439-D439))</f>
        <v>7.7687338005019564</v>
      </c>
      <c r="M439" s="6">
        <f>IF(首页!$B$13="自然对流",IF(首页!$B$14="立式圆筒",首页!$B$10,PI()*B439/2),PI()*B439/2)</f>
        <v>55.2</v>
      </c>
      <c r="N439" s="7">
        <f>IF(首页!$B$13="强制对流",首页!$B$11*M439/H439,0)</f>
        <v>0</v>
      </c>
      <c r="O439" s="6">
        <f>IF(首页!$B$13="自然对流",IF(首页!$B$14="立式圆筒",(0.825+0.3063*I439^(1/6))^2+0.87*(M439/B439),(0.752+0.303*I439^(1/6))^2),0.3+SQRT((0.592*N439^0.5)^2+(0.0262*N439^0.8/(1-0.5/N439^0.1))^2))</f>
        <v>10067.814790384293</v>
      </c>
      <c r="P439" s="6">
        <f t="shared" si="59"/>
        <v>2.9510194925512497E-2</v>
      </c>
      <c r="Q439" s="6">
        <f t="shared" si="60"/>
        <v>5.3823039300398223</v>
      </c>
      <c r="R439" s="6">
        <f t="shared" si="61"/>
        <v>13.151037730541779</v>
      </c>
      <c r="S439" s="6">
        <f>B439*LN(B439/首页!$B$4)</f>
        <v>2.0828926635062319</v>
      </c>
      <c r="T439" s="6">
        <f>2*首页!$B$8*(E439-C439)/(R439*(C439-D439))</f>
        <v>7.0956977985827674E-2</v>
      </c>
      <c r="U439" t="str">
        <f>IF(首页!$B$13="自然对流","按自然对流公式", "按强制对流公式")</f>
        <v>按自然对流公式</v>
      </c>
      <c r="V439" s="6">
        <f t="shared" si="62"/>
        <v>2.0119356855204042</v>
      </c>
    </row>
    <row r="440" spans="1:22" x14ac:dyDescent="0.15">
      <c r="A440">
        <v>435</v>
      </c>
      <c r="B440" s="6">
        <f>首页!$B$4+2*A440/1000</f>
        <v>0.99</v>
      </c>
      <c r="C440" s="6">
        <f>首页!$B$7+273.15</f>
        <v>388.15</v>
      </c>
      <c r="D440" s="6">
        <f>首页!$B$6+273.15</f>
        <v>293.14999999999998</v>
      </c>
      <c r="E440" s="6">
        <f>首页!$B$5+273.15</f>
        <v>1373.15</v>
      </c>
      <c r="F440" s="6">
        <f t="shared" si="54"/>
        <v>95</v>
      </c>
      <c r="G440" s="6">
        <f t="shared" si="55"/>
        <v>340.65</v>
      </c>
      <c r="H440" s="6">
        <f t="shared" si="56"/>
        <v>1.9926207055139041E-5</v>
      </c>
      <c r="I440" s="7">
        <f t="shared" si="57"/>
        <v>1158916576932337.8</v>
      </c>
      <c r="J440" s="6">
        <f t="shared" si="58"/>
        <v>1.0226038455893147</v>
      </c>
      <c r="K440" s="7">
        <f>J440*H440*首页!$B$12/P440</f>
        <v>0.69532757496605813</v>
      </c>
      <c r="L440" s="6">
        <f>首页!$B$9*0.0000000567*((C440^4-D440^4)/(C440-D440))</f>
        <v>7.7687338005019564</v>
      </c>
      <c r="M440" s="6">
        <f>IF(首页!$B$13="自然对流",IF(首页!$B$14="立式圆筒",首页!$B$10,PI()*B440/2),PI()*B440/2)</f>
        <v>55.2</v>
      </c>
      <c r="N440" s="7">
        <f>IF(首页!$B$13="强制对流",首页!$B$11*M440/H440,0)</f>
        <v>0</v>
      </c>
      <c r="O440" s="6">
        <f>IF(首页!$B$13="自然对流",IF(首页!$B$14="立式圆筒",(0.825+0.3063*I440^(1/6))^2+0.87*(M440/B440),(0.752+0.303*I440^(1/6))^2),0.3+SQRT((0.592*N440^0.5)^2+(0.0262*N440^0.8/(1-0.5/N440^0.1))^2))</f>
        <v>10067.71659384399</v>
      </c>
      <c r="P440" s="6">
        <f t="shared" si="59"/>
        <v>2.9510194925512497E-2</v>
      </c>
      <c r="Q440" s="6">
        <f t="shared" si="60"/>
        <v>5.3822514336803051</v>
      </c>
      <c r="R440" s="6">
        <f t="shared" si="61"/>
        <v>13.150985234182262</v>
      </c>
      <c r="S440" s="6">
        <f>B440*LN(B440/首页!$B$4)</f>
        <v>2.0891110683431235</v>
      </c>
      <c r="T440" s="6">
        <f>2*首页!$B$8*(E440-C440)/(R440*(C440-D440))</f>
        <v>7.0957261233277225E-2</v>
      </c>
      <c r="U440" t="str">
        <f>IF(首页!$B$13="自然对流","按自然对流公式", "按强制对流公式")</f>
        <v>按自然对流公式</v>
      </c>
      <c r="V440" s="6">
        <f t="shared" si="62"/>
        <v>2.0181538071098464</v>
      </c>
    </row>
    <row r="441" spans="1:22" x14ac:dyDescent="0.15">
      <c r="A441">
        <v>436</v>
      </c>
      <c r="B441" s="6">
        <f>首页!$B$4+2*A441/1000</f>
        <v>0.99199999999999999</v>
      </c>
      <c r="C441" s="6">
        <f>首页!$B$7+273.15</f>
        <v>388.15</v>
      </c>
      <c r="D441" s="6">
        <f>首页!$B$6+273.15</f>
        <v>293.14999999999998</v>
      </c>
      <c r="E441" s="6">
        <f>首页!$B$5+273.15</f>
        <v>1373.15</v>
      </c>
      <c r="F441" s="6">
        <f t="shared" si="54"/>
        <v>95</v>
      </c>
      <c r="G441" s="6">
        <f t="shared" si="55"/>
        <v>340.65</v>
      </c>
      <c r="H441" s="6">
        <f t="shared" si="56"/>
        <v>1.9926207055139041E-5</v>
      </c>
      <c r="I441" s="7">
        <f t="shared" si="57"/>
        <v>1158916576932337.8</v>
      </c>
      <c r="J441" s="6">
        <f t="shared" si="58"/>
        <v>1.0226038455893147</v>
      </c>
      <c r="K441" s="7">
        <f>J441*H441*首页!$B$12/P441</f>
        <v>0.69532757496605813</v>
      </c>
      <c r="L441" s="6">
        <f>首页!$B$9*0.0000000567*((C441^4-D441^4)/(C441-D441))</f>
        <v>7.7687338005019564</v>
      </c>
      <c r="M441" s="6">
        <f>IF(首页!$B$13="自然对流",IF(首页!$B$14="立式圆筒",首页!$B$10,PI()*B441/2),PI()*B441/2)</f>
        <v>55.2</v>
      </c>
      <c r="N441" s="7">
        <f>IF(首页!$B$13="强制对流",首页!$B$11*M441/H441,0)</f>
        <v>0</v>
      </c>
      <c r="O441" s="6">
        <f>IF(首页!$B$13="自然对流",IF(首页!$B$14="立式圆筒",(0.825+0.3063*I441^(1/6))^2+0.87*(M441/B441),(0.752+0.303*I441^(1/6))^2),0.3+SQRT((0.592*N441^0.5)^2+(0.0262*N441^0.8/(1-0.5/N441^0.1))^2))</f>
        <v>10067.618793257481</v>
      </c>
      <c r="P441" s="6">
        <f t="shared" si="59"/>
        <v>2.9510194925512497E-2</v>
      </c>
      <c r="Q441" s="6">
        <f t="shared" si="60"/>
        <v>5.3821991489996588</v>
      </c>
      <c r="R441" s="6">
        <f t="shared" si="61"/>
        <v>13.150932949501616</v>
      </c>
      <c r="S441" s="6">
        <f>B441*LN(B441/首页!$B$4)</f>
        <v>2.0953335135868043</v>
      </c>
      <c r="T441" s="6">
        <f>2*首页!$B$8*(E441-C441)/(R441*(C441-D441))</f>
        <v>7.095754334084764E-2</v>
      </c>
      <c r="U441" t="str">
        <f>IF(首页!$B$13="自然对流","按自然对流公式", "按强制对流公式")</f>
        <v>按自然对流公式</v>
      </c>
      <c r="V441" s="6">
        <f t="shared" si="62"/>
        <v>2.0243759702459565</v>
      </c>
    </row>
    <row r="442" spans="1:22" x14ac:dyDescent="0.15">
      <c r="A442">
        <v>437</v>
      </c>
      <c r="B442" s="6">
        <f>首页!$B$4+2*A442/1000</f>
        <v>0.99399999999999999</v>
      </c>
      <c r="C442" s="6">
        <f>首页!$B$7+273.15</f>
        <v>388.15</v>
      </c>
      <c r="D442" s="6">
        <f>首页!$B$6+273.15</f>
        <v>293.14999999999998</v>
      </c>
      <c r="E442" s="6">
        <f>首页!$B$5+273.15</f>
        <v>1373.15</v>
      </c>
      <c r="F442" s="6">
        <f t="shared" si="54"/>
        <v>95</v>
      </c>
      <c r="G442" s="6">
        <f t="shared" si="55"/>
        <v>340.65</v>
      </c>
      <c r="H442" s="6">
        <f t="shared" si="56"/>
        <v>1.9926207055139041E-5</v>
      </c>
      <c r="I442" s="7">
        <f t="shared" si="57"/>
        <v>1158916576932337.8</v>
      </c>
      <c r="J442" s="6">
        <f t="shared" si="58"/>
        <v>1.0226038455893147</v>
      </c>
      <c r="K442" s="7">
        <f>J442*H442*首页!$B$12/P442</f>
        <v>0.69532757496605813</v>
      </c>
      <c r="L442" s="6">
        <f>首页!$B$9*0.0000000567*((C442^4-D442^4)/(C442-D442))</f>
        <v>7.7687338005019564</v>
      </c>
      <c r="M442" s="6">
        <f>IF(首页!$B$13="自然对流",IF(首页!$B$14="立式圆筒",首页!$B$10,PI()*B442/2),PI()*B442/2)</f>
        <v>55.2</v>
      </c>
      <c r="N442" s="7">
        <f>IF(首页!$B$13="强制对流",首页!$B$11*M442/H442,0)</f>
        <v>0</v>
      </c>
      <c r="O442" s="6">
        <f>IF(首页!$B$13="自然对流",IF(首页!$B$14="立式圆筒",(0.825+0.3063*I442^(1/6))^2+0.87*(M442/B442),(0.752+0.303*I442^(1/6))^2),0.3+SQRT((0.592*N442^0.5)^2+(0.0262*N442^0.8/(1-0.5/N442^0.1))^2))</f>
        <v>10067.521386234699</v>
      </c>
      <c r="P442" s="6">
        <f t="shared" si="59"/>
        <v>2.9510194925512497E-2</v>
      </c>
      <c r="Q442" s="6">
        <f t="shared" si="60"/>
        <v>5.3821470747201401</v>
      </c>
      <c r="R442" s="6">
        <f t="shared" si="61"/>
        <v>13.150880875222096</v>
      </c>
      <c r="S442" s="6">
        <f>B442*LN(B442/首页!$B$4)</f>
        <v>2.101559991091281</v>
      </c>
      <c r="T442" s="6">
        <f>2*首页!$B$8*(E442-C442)/(R442*(C442-D442))</f>
        <v>7.0957824315405996E-2</v>
      </c>
      <c r="U442" t="str">
        <f>IF(首页!$B$13="自然对流","按自然对流公式", "按强制对流公式")</f>
        <v>按自然对流公式</v>
      </c>
      <c r="V442" s="6">
        <f t="shared" si="62"/>
        <v>2.0306021667758749</v>
      </c>
    </row>
    <row r="443" spans="1:22" x14ac:dyDescent="0.15">
      <c r="A443">
        <v>438</v>
      </c>
      <c r="B443" s="6">
        <f>首页!$B$4+2*A443/1000</f>
        <v>0.996</v>
      </c>
      <c r="C443" s="6">
        <f>首页!$B$7+273.15</f>
        <v>388.15</v>
      </c>
      <c r="D443" s="6">
        <f>首页!$B$6+273.15</f>
        <v>293.14999999999998</v>
      </c>
      <c r="E443" s="6">
        <f>首页!$B$5+273.15</f>
        <v>1373.15</v>
      </c>
      <c r="F443" s="6">
        <f t="shared" si="54"/>
        <v>95</v>
      </c>
      <c r="G443" s="6">
        <f t="shared" si="55"/>
        <v>340.65</v>
      </c>
      <c r="H443" s="6">
        <f t="shared" si="56"/>
        <v>1.9926207055139041E-5</v>
      </c>
      <c r="I443" s="7">
        <f t="shared" si="57"/>
        <v>1158916576932337.8</v>
      </c>
      <c r="J443" s="6">
        <f t="shared" si="58"/>
        <v>1.0226038455893147</v>
      </c>
      <c r="K443" s="7">
        <f>J443*H443*首页!$B$12/P443</f>
        <v>0.69532757496605813</v>
      </c>
      <c r="L443" s="6">
        <f>首页!$B$9*0.0000000567*((C443^4-D443^4)/(C443-D443))</f>
        <v>7.7687338005019564</v>
      </c>
      <c r="M443" s="6">
        <f>IF(首页!$B$13="自然对流",IF(首页!$B$14="立式圆筒",首页!$B$10,PI()*B443/2),PI()*B443/2)</f>
        <v>55.2</v>
      </c>
      <c r="N443" s="7">
        <f>IF(首页!$B$13="强制对流",首页!$B$11*M443/H443,0)</f>
        <v>0</v>
      </c>
      <c r="O443" s="6">
        <f>IF(首页!$B$13="自然对流",IF(首页!$B$14="立式圆筒",(0.825+0.3063*I443^(1/6))^2+0.87*(M443/B443),(0.752+0.303*I443^(1/6))^2),0.3+SQRT((0.592*N443^0.5)^2+(0.0262*N443^0.8/(1-0.5/N443^0.1))^2))</f>
        <v>10067.424370404779</v>
      </c>
      <c r="P443" s="6">
        <f t="shared" si="59"/>
        <v>2.9510194925512497E-2</v>
      </c>
      <c r="Q443" s="6">
        <f t="shared" si="60"/>
        <v>5.382095209574274</v>
      </c>
      <c r="R443" s="6">
        <f t="shared" si="61"/>
        <v>13.15082901007623</v>
      </c>
      <c r="S443" s="6">
        <f>B443*LN(B443/首页!$B$4)</f>
        <v>2.1077904927433422</v>
      </c>
      <c r="T443" s="6">
        <f>2*首页!$B$8*(E443-C443)/(R443*(C443-D443))</f>
        <v>7.0958104163764274E-2</v>
      </c>
      <c r="U443" t="str">
        <f>IF(首页!$B$13="自然对流","按自然对流公式", "按强制对流公式")</f>
        <v>按自然对流公式</v>
      </c>
      <c r="V443" s="6">
        <f t="shared" si="62"/>
        <v>2.0368323885795778</v>
      </c>
    </row>
    <row r="444" spans="1:22" x14ac:dyDescent="0.15">
      <c r="A444">
        <v>439</v>
      </c>
      <c r="B444" s="6">
        <f>首页!$B$4+2*A444/1000</f>
        <v>0.998</v>
      </c>
      <c r="C444" s="6">
        <f>首页!$B$7+273.15</f>
        <v>388.15</v>
      </c>
      <c r="D444" s="6">
        <f>首页!$B$6+273.15</f>
        <v>293.14999999999998</v>
      </c>
      <c r="E444" s="6">
        <f>首页!$B$5+273.15</f>
        <v>1373.15</v>
      </c>
      <c r="F444" s="6">
        <f t="shared" si="54"/>
        <v>95</v>
      </c>
      <c r="G444" s="6">
        <f t="shared" si="55"/>
        <v>340.65</v>
      </c>
      <c r="H444" s="6">
        <f t="shared" si="56"/>
        <v>1.9926207055139041E-5</v>
      </c>
      <c r="I444" s="7">
        <f t="shared" si="57"/>
        <v>1158916576932337.8</v>
      </c>
      <c r="J444" s="6">
        <f t="shared" si="58"/>
        <v>1.0226038455893147</v>
      </c>
      <c r="K444" s="7">
        <f>J444*H444*首页!$B$12/P444</f>
        <v>0.69532757496605813</v>
      </c>
      <c r="L444" s="6">
        <f>首页!$B$9*0.0000000567*((C444^4-D444^4)/(C444-D444))</f>
        <v>7.7687338005019564</v>
      </c>
      <c r="M444" s="6">
        <f>IF(首页!$B$13="自然对流",IF(首页!$B$14="立式圆筒",首页!$B$10,PI()*B444/2),PI()*B444/2)</f>
        <v>55.2</v>
      </c>
      <c r="N444" s="7">
        <f>IF(首页!$B$13="强制对流",首页!$B$11*M444/H444,0)</f>
        <v>0</v>
      </c>
      <c r="O444" s="6">
        <f>IF(首页!$B$13="自然对流",IF(首页!$B$14="立式圆筒",(0.825+0.3063*I444^(1/6))^2+0.87*(M444/B444),(0.752+0.303*I444^(1/6))^2),0.3+SQRT((0.592*N444^0.5)^2+(0.0262*N444^0.8/(1-0.5/N444^0.1))^2))</f>
        <v>10067.327743415863</v>
      </c>
      <c r="P444" s="6">
        <f t="shared" si="59"/>
        <v>2.9510194925512497E-2</v>
      </c>
      <c r="Q444" s="6">
        <f t="shared" si="60"/>
        <v>5.3820435523047454</v>
      </c>
      <c r="R444" s="6">
        <f t="shared" si="61"/>
        <v>13.150777352806703</v>
      </c>
      <c r="S444" s="6">
        <f>B444*LN(B444/首页!$B$4)</f>
        <v>2.1140250104623592</v>
      </c>
      <c r="T444" s="6">
        <f>2*首页!$B$8*(E444-C444)/(R444*(C444-D444))</f>
        <v>7.0958382892679958E-2</v>
      </c>
      <c r="U444" t="str">
        <f>IF(首页!$B$13="自然对流","按自然对流公式", "按强制对流公式")</f>
        <v>按自然对流公式</v>
      </c>
      <c r="V444" s="6">
        <f t="shared" si="62"/>
        <v>2.0430666275696794</v>
      </c>
    </row>
    <row r="445" spans="1:22" x14ac:dyDescent="0.15">
      <c r="A445">
        <v>440</v>
      </c>
      <c r="B445" s="6">
        <f>首页!$B$4+2*A445/1000</f>
        <v>1</v>
      </c>
      <c r="C445" s="6">
        <f>首页!$B$7+273.15</f>
        <v>388.15</v>
      </c>
      <c r="D445" s="6">
        <f>首页!$B$6+273.15</f>
        <v>293.14999999999998</v>
      </c>
      <c r="E445" s="6">
        <f>首页!$B$5+273.15</f>
        <v>1373.15</v>
      </c>
      <c r="F445" s="6">
        <f t="shared" si="54"/>
        <v>95</v>
      </c>
      <c r="G445" s="6">
        <f t="shared" si="55"/>
        <v>340.65</v>
      </c>
      <c r="H445" s="6">
        <f t="shared" si="56"/>
        <v>1.9926207055139041E-5</v>
      </c>
      <c r="I445" s="7">
        <f t="shared" si="57"/>
        <v>1158916576932337.8</v>
      </c>
      <c r="J445" s="6">
        <f t="shared" si="58"/>
        <v>1.0226038455893147</v>
      </c>
      <c r="K445" s="7">
        <f>J445*H445*首页!$B$12/P445</f>
        <v>0.69532757496605813</v>
      </c>
      <c r="L445" s="6">
        <f>首页!$B$9*0.0000000567*((C445^4-D445^4)/(C445-D445))</f>
        <v>7.7687338005019564</v>
      </c>
      <c r="M445" s="6">
        <f>IF(首页!$B$13="自然对流",IF(首页!$B$14="立式圆筒",首页!$B$10,PI()*B445/2),PI()*B445/2)</f>
        <v>55.2</v>
      </c>
      <c r="N445" s="7">
        <f>IF(首页!$B$13="强制对流",首页!$B$11*M445/H445,0)</f>
        <v>0</v>
      </c>
      <c r="O445" s="6">
        <f>IF(首页!$B$13="自然对流",IF(首页!$B$14="立式圆筒",(0.825+0.3063*I445^(1/6))^2+0.87*(M445/B445),(0.752+0.303*I445^(1/6))^2),0.3+SQRT((0.592*N445^0.5)^2+(0.0262*N445^0.8/(1-0.5/N445^0.1))^2))</f>
        <v>10067.231502934899</v>
      </c>
      <c r="P445" s="6">
        <f t="shared" si="59"/>
        <v>2.9510194925512497E-2</v>
      </c>
      <c r="Q445" s="6">
        <f t="shared" si="60"/>
        <v>5.3819921016642933</v>
      </c>
      <c r="R445" s="6">
        <f t="shared" si="61"/>
        <v>13.150725902166251</v>
      </c>
      <c r="S445" s="6">
        <f>B445*LN(B445/首页!$B$4)</f>
        <v>2.120263536200091</v>
      </c>
      <c r="T445" s="6">
        <f>2*首页!$B$8*(E445-C445)/(R445*(C445-D445))</f>
        <v>7.0958660508856616E-2</v>
      </c>
      <c r="U445" t="str">
        <f>IF(首页!$B$13="自然对流","按自然对流公式", "按强制对流公式")</f>
        <v>按自然对流公式</v>
      </c>
      <c r="V445" s="6">
        <f t="shared" si="62"/>
        <v>2.0493048756912344</v>
      </c>
    </row>
    <row r="446" spans="1:22" x14ac:dyDescent="0.15">
      <c r="A446">
        <v>441</v>
      </c>
      <c r="B446" s="6">
        <f>首页!$B$4+2*A446/1000</f>
        <v>1.002</v>
      </c>
      <c r="C446" s="6">
        <f>首页!$B$7+273.15</f>
        <v>388.15</v>
      </c>
      <c r="D446" s="6">
        <f>首页!$B$6+273.15</f>
        <v>293.14999999999998</v>
      </c>
      <c r="E446" s="6">
        <f>首页!$B$5+273.15</f>
        <v>1373.15</v>
      </c>
      <c r="F446" s="6">
        <f t="shared" si="54"/>
        <v>95</v>
      </c>
      <c r="G446" s="6">
        <f t="shared" si="55"/>
        <v>340.65</v>
      </c>
      <c r="H446" s="6">
        <f t="shared" si="56"/>
        <v>1.9926207055139041E-5</v>
      </c>
      <c r="I446" s="7">
        <f t="shared" si="57"/>
        <v>1158916576932337.8</v>
      </c>
      <c r="J446" s="6">
        <f t="shared" si="58"/>
        <v>1.0226038455893147</v>
      </c>
      <c r="K446" s="7">
        <f>J446*H446*首页!$B$12/P446</f>
        <v>0.69532757496605813</v>
      </c>
      <c r="L446" s="6">
        <f>首页!$B$9*0.0000000567*((C446^4-D446^4)/(C446-D446))</f>
        <v>7.7687338005019564</v>
      </c>
      <c r="M446" s="6">
        <f>IF(首页!$B$13="自然对流",IF(首页!$B$14="立式圆筒",首页!$B$10,PI()*B446/2),PI()*B446/2)</f>
        <v>55.2</v>
      </c>
      <c r="N446" s="7">
        <f>IF(首页!$B$13="强制对流",首页!$B$11*M446/H446,0)</f>
        <v>0</v>
      </c>
      <c r="O446" s="6">
        <f>IF(首页!$B$13="自然对流",IF(首页!$B$14="立式圆筒",(0.825+0.3063*I446^(1/6))^2+0.87*(M446/B446),(0.752+0.303*I446^(1/6))^2),0.3+SQRT((0.592*N446^0.5)^2+(0.0262*N446^0.8/(1-0.5/N446^0.1))^2))</f>
        <v>10067.135646647475</v>
      </c>
      <c r="P446" s="6">
        <f t="shared" si="59"/>
        <v>2.9510194925512497E-2</v>
      </c>
      <c r="Q446" s="6">
        <f t="shared" si="60"/>
        <v>5.3819408564156213</v>
      </c>
      <c r="R446" s="6">
        <f t="shared" si="61"/>
        <v>13.150674656917577</v>
      </c>
      <c r="S446" s="6">
        <f>B446*LN(B446/首页!$B$4)</f>
        <v>2.1265060619404896</v>
      </c>
      <c r="T446" s="6">
        <f>2*首页!$B$8*(E446-C446)/(R446*(C446-D446))</f>
        <v>7.0958937018944374E-2</v>
      </c>
      <c r="U446" t="str">
        <f>IF(首页!$B$13="自然对流","按自然对流公式", "按强制对流公式")</f>
        <v>按自然对流公式</v>
      </c>
      <c r="V446" s="6">
        <f t="shared" si="62"/>
        <v>2.0555471249215453</v>
      </c>
    </row>
    <row r="447" spans="1:22" x14ac:dyDescent="0.15">
      <c r="A447">
        <v>442</v>
      </c>
      <c r="B447" s="6">
        <f>首页!$B$4+2*A447/1000</f>
        <v>1.004</v>
      </c>
      <c r="C447" s="6">
        <f>首页!$B$7+273.15</f>
        <v>388.15</v>
      </c>
      <c r="D447" s="6">
        <f>首页!$B$6+273.15</f>
        <v>293.14999999999998</v>
      </c>
      <c r="E447" s="6">
        <f>首页!$B$5+273.15</f>
        <v>1373.15</v>
      </c>
      <c r="F447" s="6">
        <f t="shared" si="54"/>
        <v>95</v>
      </c>
      <c r="G447" s="6">
        <f t="shared" si="55"/>
        <v>340.65</v>
      </c>
      <c r="H447" s="6">
        <f t="shared" si="56"/>
        <v>1.9926207055139041E-5</v>
      </c>
      <c r="I447" s="7">
        <f t="shared" si="57"/>
        <v>1158916576932337.8</v>
      </c>
      <c r="J447" s="6">
        <f t="shared" si="58"/>
        <v>1.0226038455893147</v>
      </c>
      <c r="K447" s="7">
        <f>J447*H447*首页!$B$12/P447</f>
        <v>0.69532757496605813</v>
      </c>
      <c r="L447" s="6">
        <f>首页!$B$9*0.0000000567*((C447^4-D447^4)/(C447-D447))</f>
        <v>7.7687338005019564</v>
      </c>
      <c r="M447" s="6">
        <f>IF(首页!$B$13="自然对流",IF(首页!$B$14="立式圆筒",首页!$B$10,PI()*B447/2),PI()*B447/2)</f>
        <v>55.2</v>
      </c>
      <c r="N447" s="7">
        <f>IF(首页!$B$13="强制对流",首页!$B$11*M447/H447,0)</f>
        <v>0</v>
      </c>
      <c r="O447" s="6">
        <f>IF(首页!$B$13="自然对流",IF(首页!$B$14="立式圆筒",(0.825+0.3063*I447^(1/6))^2+0.87*(M447/B447),(0.752+0.303*I447^(1/6))^2),0.3+SQRT((0.592*N447^0.5)^2+(0.0262*N447^0.8/(1-0.5/N447^0.1))^2))</f>
        <v>10067.04017225761</v>
      </c>
      <c r="P447" s="6">
        <f t="shared" si="59"/>
        <v>2.9510194925512497E-2</v>
      </c>
      <c r="Q447" s="6">
        <f t="shared" si="60"/>
        <v>5.3818898153312853</v>
      </c>
      <c r="R447" s="6">
        <f t="shared" si="61"/>
        <v>13.150623615833242</v>
      </c>
      <c r="S447" s="6">
        <f>B447*LN(B447/首页!$B$4)</f>
        <v>2.132752579699507</v>
      </c>
      <c r="T447" s="6">
        <f>2*首页!$B$8*(E447-C447)/(R447*(C447-D447))</f>
        <v>7.0959212429540439E-2</v>
      </c>
      <c r="U447" t="str">
        <f>IF(首页!$B$13="自然对流","按自然对流公式", "按强制对流公式")</f>
        <v>按自然对流公式</v>
      </c>
      <c r="V447" s="6">
        <f t="shared" si="62"/>
        <v>2.0617933672699666</v>
      </c>
    </row>
    <row r="448" spans="1:22" x14ac:dyDescent="0.15">
      <c r="A448">
        <v>443</v>
      </c>
      <c r="B448" s="6">
        <f>首页!$B$4+2*A448/1000</f>
        <v>1.006</v>
      </c>
      <c r="C448" s="6">
        <f>首页!$B$7+273.15</f>
        <v>388.15</v>
      </c>
      <c r="D448" s="6">
        <f>首页!$B$6+273.15</f>
        <v>293.14999999999998</v>
      </c>
      <c r="E448" s="6">
        <f>首页!$B$5+273.15</f>
        <v>1373.15</v>
      </c>
      <c r="F448" s="6">
        <f t="shared" si="54"/>
        <v>95</v>
      </c>
      <c r="G448" s="6">
        <f t="shared" si="55"/>
        <v>340.65</v>
      </c>
      <c r="H448" s="6">
        <f t="shared" si="56"/>
        <v>1.9926207055139041E-5</v>
      </c>
      <c r="I448" s="7">
        <f t="shared" si="57"/>
        <v>1158916576932337.8</v>
      </c>
      <c r="J448" s="6">
        <f t="shared" si="58"/>
        <v>1.0226038455893147</v>
      </c>
      <c r="K448" s="7">
        <f>J448*H448*首页!$B$12/P448</f>
        <v>0.69532757496605813</v>
      </c>
      <c r="L448" s="6">
        <f>首页!$B$9*0.0000000567*((C448^4-D448^4)/(C448-D448))</f>
        <v>7.7687338005019564</v>
      </c>
      <c r="M448" s="6">
        <f>IF(首页!$B$13="自然对流",IF(首页!$B$14="立式圆筒",首页!$B$10,PI()*B448/2),PI()*B448/2)</f>
        <v>55.2</v>
      </c>
      <c r="N448" s="7">
        <f>IF(首页!$B$13="强制对流",首页!$B$11*M448/H448,0)</f>
        <v>0</v>
      </c>
      <c r="O448" s="6">
        <f>IF(首页!$B$13="自然对流",IF(首页!$B$14="立式圆筒",(0.825+0.3063*I448^(1/6))^2+0.87*(M448/B448),(0.752+0.303*I448^(1/6))^2),0.3+SQRT((0.592*N448^0.5)^2+(0.0262*N448^0.8/(1-0.5/N448^0.1))^2))</f>
        <v>10066.945077487584</v>
      </c>
      <c r="P448" s="6">
        <f t="shared" si="59"/>
        <v>2.9510194925512497E-2</v>
      </c>
      <c r="Q448" s="6">
        <f t="shared" si="60"/>
        <v>5.381838977193607</v>
      </c>
      <c r="R448" s="6">
        <f t="shared" si="61"/>
        <v>13.150572777695563</v>
      </c>
      <c r="S448" s="6">
        <f>B448*LN(B448/首页!$B$4)</f>
        <v>2.1390030815249044</v>
      </c>
      <c r="T448" s="6">
        <f>2*首页!$B$8*(E448-C448)/(R448*(C448-D448))</f>
        <v>7.0959486747189715E-2</v>
      </c>
      <c r="U448" t="str">
        <f>IF(首页!$B$13="自然对流","按自然对流公式", "按强制对流公式")</f>
        <v>按自然对流公式</v>
      </c>
      <c r="V448" s="6">
        <f t="shared" si="62"/>
        <v>2.0680435947777145</v>
      </c>
    </row>
    <row r="449" spans="1:22" x14ac:dyDescent="0.15">
      <c r="A449">
        <v>444</v>
      </c>
      <c r="B449" s="6">
        <f>首页!$B$4+2*A449/1000</f>
        <v>1.008</v>
      </c>
      <c r="C449" s="6">
        <f>首页!$B$7+273.15</f>
        <v>388.15</v>
      </c>
      <c r="D449" s="6">
        <f>首页!$B$6+273.15</f>
        <v>293.14999999999998</v>
      </c>
      <c r="E449" s="6">
        <f>首页!$B$5+273.15</f>
        <v>1373.15</v>
      </c>
      <c r="F449" s="6">
        <f t="shared" si="54"/>
        <v>95</v>
      </c>
      <c r="G449" s="6">
        <f t="shared" si="55"/>
        <v>340.65</v>
      </c>
      <c r="H449" s="6">
        <f t="shared" si="56"/>
        <v>1.9926207055139041E-5</v>
      </c>
      <c r="I449" s="7">
        <f t="shared" si="57"/>
        <v>1158916576932337.8</v>
      </c>
      <c r="J449" s="6">
        <f t="shared" si="58"/>
        <v>1.0226038455893147</v>
      </c>
      <c r="K449" s="7">
        <f>J449*H449*首页!$B$12/P449</f>
        <v>0.69532757496605813</v>
      </c>
      <c r="L449" s="6">
        <f>首页!$B$9*0.0000000567*((C449^4-D449^4)/(C449-D449))</f>
        <v>7.7687338005019564</v>
      </c>
      <c r="M449" s="6">
        <f>IF(首页!$B$13="自然对流",IF(首页!$B$14="立式圆筒",首页!$B$10,PI()*B449/2),PI()*B449/2)</f>
        <v>55.2</v>
      </c>
      <c r="N449" s="7">
        <f>IF(首页!$B$13="强制对流",首页!$B$11*M449/H449,0)</f>
        <v>0</v>
      </c>
      <c r="O449" s="6">
        <f>IF(首页!$B$13="自然对流",IF(首页!$B$14="立式圆筒",(0.825+0.3063*I449^(1/6))^2+0.87*(M449/B449),(0.752+0.303*I449^(1/6))^2),0.3+SQRT((0.592*N449^0.5)^2+(0.0262*N449^0.8/(1-0.5/N449^0.1))^2))</f>
        <v>10066.850360077757</v>
      </c>
      <c r="P449" s="6">
        <f t="shared" si="59"/>
        <v>2.9510194925512497E-2</v>
      </c>
      <c r="Q449" s="6">
        <f t="shared" si="60"/>
        <v>5.3817883407945697</v>
      </c>
      <c r="R449" s="6">
        <f t="shared" si="61"/>
        <v>13.150522141296527</v>
      </c>
      <c r="S449" s="6">
        <f>B449*LN(B449/首页!$B$4)</f>
        <v>2.1452575594960619</v>
      </c>
      <c r="T449" s="6">
        <f>2*首页!$B$8*(E449-C449)/(R449*(C449-D449))</f>
        <v>7.0959759978385231E-2</v>
      </c>
      <c r="U449" t="str">
        <f>IF(首页!$B$13="自然对流","按自然对流公式", "按强制对流公式")</f>
        <v>按自然对流公式</v>
      </c>
      <c r="V449" s="6">
        <f t="shared" si="62"/>
        <v>2.0742977995176766</v>
      </c>
    </row>
    <row r="450" spans="1:22" x14ac:dyDescent="0.15">
      <c r="A450">
        <v>445</v>
      </c>
      <c r="B450" s="6">
        <f>首页!$B$4+2*A450/1000</f>
        <v>1.01</v>
      </c>
      <c r="C450" s="6">
        <f>首页!$B$7+273.15</f>
        <v>388.15</v>
      </c>
      <c r="D450" s="6">
        <f>首页!$B$6+273.15</f>
        <v>293.14999999999998</v>
      </c>
      <c r="E450" s="6">
        <f>首页!$B$5+273.15</f>
        <v>1373.15</v>
      </c>
      <c r="F450" s="6">
        <f t="shared" si="54"/>
        <v>95</v>
      </c>
      <c r="G450" s="6">
        <f t="shared" si="55"/>
        <v>340.65</v>
      </c>
      <c r="H450" s="6">
        <f t="shared" si="56"/>
        <v>1.9926207055139041E-5</v>
      </c>
      <c r="I450" s="7">
        <f t="shared" si="57"/>
        <v>1158916576932337.8</v>
      </c>
      <c r="J450" s="6">
        <f t="shared" si="58"/>
        <v>1.0226038455893147</v>
      </c>
      <c r="K450" s="7">
        <f>J450*H450*首页!$B$12/P450</f>
        <v>0.69532757496605813</v>
      </c>
      <c r="L450" s="6">
        <f>首页!$B$9*0.0000000567*((C450^4-D450^4)/(C450-D450))</f>
        <v>7.7687338005019564</v>
      </c>
      <c r="M450" s="6">
        <f>IF(首页!$B$13="自然对流",IF(首页!$B$14="立式圆筒",首页!$B$10,PI()*B450/2),PI()*B450/2)</f>
        <v>55.2</v>
      </c>
      <c r="N450" s="7">
        <f>IF(首页!$B$13="强制对流",首页!$B$11*M450/H450,0)</f>
        <v>0</v>
      </c>
      <c r="O450" s="6">
        <f>IF(首页!$B$13="自然对流",IF(首页!$B$14="立式圆筒",(0.825+0.3063*I450^(1/6))^2+0.87*(M450/B450),(0.752+0.303*I450^(1/6))^2),0.3+SQRT((0.592*N450^0.5)^2+(0.0262*N450^0.8/(1-0.5/N450^0.1))^2))</f>
        <v>10066.756017786385</v>
      </c>
      <c r="P450" s="6">
        <f t="shared" si="59"/>
        <v>2.9510194925512497E-2</v>
      </c>
      <c r="Q450" s="6">
        <f t="shared" si="60"/>
        <v>5.3817379049357275</v>
      </c>
      <c r="R450" s="6">
        <f t="shared" si="61"/>
        <v>13.150471705437685</v>
      </c>
      <c r="S450" s="6">
        <f>B450*LN(B450/首页!$B$4)</f>
        <v>2.1515160057237921</v>
      </c>
      <c r="T450" s="6">
        <f>2*首页!$B$8*(E450-C450)/(R450*(C450-D450))</f>
        <v>7.0960032129568709E-2</v>
      </c>
      <c r="U450" t="str">
        <f>IF(首页!$B$13="自然对流","按自然对流公式", "按强制对流公式")</f>
        <v>按自然对流公式</v>
      </c>
      <c r="V450" s="6">
        <f t="shared" si="62"/>
        <v>2.0805559735942234</v>
      </c>
    </row>
    <row r="451" spans="1:22" x14ac:dyDescent="0.15">
      <c r="A451">
        <v>446</v>
      </c>
      <c r="B451" s="6">
        <f>首页!$B$4+2*A451/1000</f>
        <v>1.012</v>
      </c>
      <c r="C451" s="6">
        <f>首页!$B$7+273.15</f>
        <v>388.15</v>
      </c>
      <c r="D451" s="6">
        <f>首页!$B$6+273.15</f>
        <v>293.14999999999998</v>
      </c>
      <c r="E451" s="6">
        <f>首页!$B$5+273.15</f>
        <v>1373.15</v>
      </c>
      <c r="F451" s="6">
        <f t="shared" si="54"/>
        <v>95</v>
      </c>
      <c r="G451" s="6">
        <f t="shared" si="55"/>
        <v>340.65</v>
      </c>
      <c r="H451" s="6">
        <f t="shared" si="56"/>
        <v>1.9926207055139041E-5</v>
      </c>
      <c r="I451" s="7">
        <f t="shared" si="57"/>
        <v>1158916576932337.8</v>
      </c>
      <c r="J451" s="6">
        <f t="shared" si="58"/>
        <v>1.0226038455893147</v>
      </c>
      <c r="K451" s="7">
        <f>J451*H451*首页!$B$12/P451</f>
        <v>0.69532757496605813</v>
      </c>
      <c r="L451" s="6">
        <f>首页!$B$9*0.0000000567*((C451^4-D451^4)/(C451-D451))</f>
        <v>7.7687338005019564</v>
      </c>
      <c r="M451" s="6">
        <f>IF(首页!$B$13="自然对流",IF(首页!$B$14="立式圆筒",首页!$B$10,PI()*B451/2),PI()*B451/2)</f>
        <v>55.2</v>
      </c>
      <c r="N451" s="7">
        <f>IF(首页!$B$13="强制对流",首页!$B$11*M451/H451,0)</f>
        <v>0</v>
      </c>
      <c r="O451" s="6">
        <f>IF(首页!$B$13="自然对流",IF(首页!$B$14="立式圆筒",(0.825+0.3063*I451^(1/6))^2+0.87*(M451/B451),(0.752+0.303*I451^(1/6))^2),0.3+SQRT((0.592*N451^0.5)^2+(0.0262*N451^0.8/(1-0.5/N451^0.1))^2))</f>
        <v>10066.662048389446</v>
      </c>
      <c r="P451" s="6">
        <f t="shared" si="59"/>
        <v>2.9510194925512497E-2</v>
      </c>
      <c r="Q451" s="6">
        <f t="shared" si="60"/>
        <v>5.3816876684281061</v>
      </c>
      <c r="R451" s="6">
        <f t="shared" si="61"/>
        <v>13.150421468930062</v>
      </c>
      <c r="S451" s="6">
        <f>B451*LN(B451/首页!$B$4)</f>
        <v>2.1577784123501491</v>
      </c>
      <c r="T451" s="6">
        <f>2*首页!$B$8*(E451-C451)/(R451*(C451-D451))</f>
        <v>7.0960303207130995E-2</v>
      </c>
      <c r="U451" t="str">
        <f>IF(首页!$B$13="自然对流","按自然对流公式", "按强制对流公式")</f>
        <v>按自然对流公式</v>
      </c>
      <c r="V451" s="6">
        <f t="shared" si="62"/>
        <v>2.0868181091430182</v>
      </c>
    </row>
    <row r="452" spans="1:22" x14ac:dyDescent="0.15">
      <c r="A452">
        <v>447</v>
      </c>
      <c r="B452" s="6">
        <f>首页!$B$4+2*A452/1000</f>
        <v>1.014</v>
      </c>
      <c r="C452" s="6">
        <f>首页!$B$7+273.15</f>
        <v>388.15</v>
      </c>
      <c r="D452" s="6">
        <f>首页!$B$6+273.15</f>
        <v>293.14999999999998</v>
      </c>
      <c r="E452" s="6">
        <f>首页!$B$5+273.15</f>
        <v>1373.15</v>
      </c>
      <c r="F452" s="6">
        <f t="shared" si="54"/>
        <v>95</v>
      </c>
      <c r="G452" s="6">
        <f t="shared" si="55"/>
        <v>340.65</v>
      </c>
      <c r="H452" s="6">
        <f t="shared" si="56"/>
        <v>1.9926207055139041E-5</v>
      </c>
      <c r="I452" s="7">
        <f t="shared" si="57"/>
        <v>1158916576932337.8</v>
      </c>
      <c r="J452" s="6">
        <f t="shared" si="58"/>
        <v>1.0226038455893147</v>
      </c>
      <c r="K452" s="7">
        <f>J452*H452*首页!$B$12/P452</f>
        <v>0.69532757496605813</v>
      </c>
      <c r="L452" s="6">
        <f>首页!$B$9*0.0000000567*((C452^4-D452^4)/(C452-D452))</f>
        <v>7.7687338005019564</v>
      </c>
      <c r="M452" s="6">
        <f>IF(首页!$B$13="自然对流",IF(首页!$B$14="立式圆筒",首页!$B$10,PI()*B452/2),PI()*B452/2)</f>
        <v>55.2</v>
      </c>
      <c r="N452" s="7">
        <f>IF(首页!$B$13="强制对流",首页!$B$11*M452/H452,0)</f>
        <v>0</v>
      </c>
      <c r="O452" s="6">
        <f>IF(首页!$B$13="自然对流",IF(首页!$B$14="立式圆筒",(0.825+0.3063*I452^(1/6))^2+0.87*(M452/B452),(0.752+0.303*I452^(1/6))^2),0.3+SQRT((0.592*N452^0.5)^2+(0.0262*N452^0.8/(1-0.5/N452^0.1))^2))</f>
        <v>10066.568449680462</v>
      </c>
      <c r="P452" s="6">
        <f t="shared" si="59"/>
        <v>2.9510194925512497E-2</v>
      </c>
      <c r="Q452" s="6">
        <f t="shared" si="60"/>
        <v>5.3816376300921123</v>
      </c>
      <c r="R452" s="6">
        <f t="shared" si="61"/>
        <v>13.150371430594069</v>
      </c>
      <c r="S452" s="6">
        <f>B452*LN(B452/首页!$B$4)</f>
        <v>2.1640447715482498</v>
      </c>
      <c r="T452" s="6">
        <f>2*首页!$B$8*(E452-C452)/(R452*(C452-D452))</f>
        <v>7.096057321741267E-2</v>
      </c>
      <c r="U452" t="str">
        <f>IF(首页!$B$13="自然对流","按自然对流公式", "按强制对流公式")</f>
        <v>按自然对流公式</v>
      </c>
      <c r="V452" s="6">
        <f t="shared" si="62"/>
        <v>2.0930841983308373</v>
      </c>
    </row>
    <row r="453" spans="1:22" x14ac:dyDescent="0.15">
      <c r="A453">
        <v>448</v>
      </c>
      <c r="B453" s="6">
        <f>首页!$B$4+2*A453/1000</f>
        <v>1.016</v>
      </c>
      <c r="C453" s="6">
        <f>首页!$B$7+273.15</f>
        <v>388.15</v>
      </c>
      <c r="D453" s="6">
        <f>首页!$B$6+273.15</f>
        <v>293.14999999999998</v>
      </c>
      <c r="E453" s="6">
        <f>首页!$B$5+273.15</f>
        <v>1373.15</v>
      </c>
      <c r="F453" s="6">
        <f t="shared" ref="F453:F516" si="63">C453-D453</f>
        <v>95</v>
      </c>
      <c r="G453" s="6">
        <f t="shared" ref="G453:G516" si="64">(C453+D453)/2</f>
        <v>340.65</v>
      </c>
      <c r="H453" s="6">
        <f t="shared" ref="H453:H516" si="65">0.0000000042113*G453^2.5/(112+G453)</f>
        <v>1.9926207055139041E-5</v>
      </c>
      <c r="I453" s="7">
        <f t="shared" ref="I453:I516" si="66">9.81*M453^3*F453/(H453^2*G453)</f>
        <v>1158916576932337.8</v>
      </c>
      <c r="J453" s="6">
        <f t="shared" ref="J453:J516" si="67">348.35/G453</f>
        <v>1.0226038455893147</v>
      </c>
      <c r="K453" s="7">
        <f>J453*H453*首页!$B$12/P453</f>
        <v>0.69532757496605813</v>
      </c>
      <c r="L453" s="6">
        <f>首页!$B$9*0.0000000567*((C453^4-D453^4)/(C453-D453))</f>
        <v>7.7687338005019564</v>
      </c>
      <c r="M453" s="6">
        <f>IF(首页!$B$13="自然对流",IF(首页!$B$14="立式圆筒",首页!$B$10,PI()*B453/2),PI()*B453/2)</f>
        <v>55.2</v>
      </c>
      <c r="N453" s="7">
        <f>IF(首页!$B$13="强制对流",首页!$B$11*M453/H453,0)</f>
        <v>0</v>
      </c>
      <c r="O453" s="6">
        <f>IF(首页!$B$13="自然对流",IF(首页!$B$14="立式圆筒",(0.825+0.3063*I453^(1/6))^2+0.87*(M453/B453),(0.752+0.303*I453^(1/6))^2),0.3+SQRT((0.592*N453^0.5)^2+(0.0262*N453^0.8/(1-0.5/N453^0.1))^2))</f>
        <v>10066.475219470332</v>
      </c>
      <c r="P453" s="6">
        <f t="shared" ref="P453:P516" si="68">0.0243+0.000078421*(G453-273)-0.000000020755*(G453-273)^2</f>
        <v>2.9510194925512497E-2</v>
      </c>
      <c r="Q453" s="6">
        <f t="shared" ref="Q453:Q516" si="69">O453*P453/M453</f>
        <v>5.3815877887574404</v>
      </c>
      <c r="R453" s="6">
        <f t="shared" ref="R453:R516" si="70">L453+Q453</f>
        <v>13.150321589259397</v>
      </c>
      <c r="S453" s="6">
        <f>B453*LN(B453/首页!$B$4)</f>
        <v>2.1703150755220832</v>
      </c>
      <c r="T453" s="6">
        <f>2*首页!$B$8*(E453-C453)/(R453*(C453-D453))</f>
        <v>7.0960842166704466E-2</v>
      </c>
      <c r="U453" t="str">
        <f>IF(首页!$B$13="自然对流","按自然对流公式", "按强制对流公式")</f>
        <v>按自然对流公式</v>
      </c>
      <c r="V453" s="6">
        <f t="shared" ref="V453:V516" si="71">ABS(S453-T453)</f>
        <v>2.099354233355379</v>
      </c>
    </row>
    <row r="454" spans="1:22" x14ac:dyDescent="0.15">
      <c r="A454">
        <v>449</v>
      </c>
      <c r="B454" s="6">
        <f>首页!$B$4+2*A454/1000</f>
        <v>1.018</v>
      </c>
      <c r="C454" s="6">
        <f>首页!$B$7+273.15</f>
        <v>388.15</v>
      </c>
      <c r="D454" s="6">
        <f>首页!$B$6+273.15</f>
        <v>293.14999999999998</v>
      </c>
      <c r="E454" s="6">
        <f>首页!$B$5+273.15</f>
        <v>1373.15</v>
      </c>
      <c r="F454" s="6">
        <f t="shared" si="63"/>
        <v>95</v>
      </c>
      <c r="G454" s="6">
        <f t="shared" si="64"/>
        <v>340.65</v>
      </c>
      <c r="H454" s="6">
        <f t="shared" si="65"/>
        <v>1.9926207055139041E-5</v>
      </c>
      <c r="I454" s="7">
        <f t="shared" si="66"/>
        <v>1158916576932337.8</v>
      </c>
      <c r="J454" s="6">
        <f t="shared" si="67"/>
        <v>1.0226038455893147</v>
      </c>
      <c r="K454" s="7">
        <f>J454*H454*首页!$B$12/P454</f>
        <v>0.69532757496605813</v>
      </c>
      <c r="L454" s="6">
        <f>首页!$B$9*0.0000000567*((C454^4-D454^4)/(C454-D454))</f>
        <v>7.7687338005019564</v>
      </c>
      <c r="M454" s="6">
        <f>IF(首页!$B$13="自然对流",IF(首页!$B$14="立式圆筒",首页!$B$10,PI()*B454/2),PI()*B454/2)</f>
        <v>55.2</v>
      </c>
      <c r="N454" s="7">
        <f>IF(首页!$B$13="强制对流",首页!$B$11*M454/H454,0)</f>
        <v>0</v>
      </c>
      <c r="O454" s="6">
        <f>IF(首页!$B$13="自然对流",IF(首页!$B$14="立式圆筒",(0.825+0.3063*I454^(1/6))^2+0.87*(M454/B454),(0.752+0.303*I454^(1/6))^2),0.3+SQRT((0.592*N454^0.5)^2+(0.0262*N454^0.8/(1-0.5/N454^0.1))^2))</f>
        <v>10066.382355587159</v>
      </c>
      <c r="P454" s="6">
        <f t="shared" si="68"/>
        <v>2.9510194925512497E-2</v>
      </c>
      <c r="Q454" s="6">
        <f t="shared" si="69"/>
        <v>5.3815381432629836</v>
      </c>
      <c r="R454" s="6">
        <f t="shared" si="70"/>
        <v>13.15027194376494</v>
      </c>
      <c r="S454" s="6">
        <f>B454*LN(B454/首页!$B$4)</f>
        <v>2.1765893165063339</v>
      </c>
      <c r="T454" s="6">
        <f>2*首页!$B$8*(E454-C454)/(R454*(C454-D454))</f>
        <v>7.0961110061247737E-2</v>
      </c>
      <c r="U454" t="str">
        <f>IF(首页!$B$13="自然对流","按自然对流公式", "按强制对流公式")</f>
        <v>按自然对流公式</v>
      </c>
      <c r="V454" s="6">
        <f t="shared" si="71"/>
        <v>2.1056282064450862</v>
      </c>
    </row>
    <row r="455" spans="1:22" x14ac:dyDescent="0.15">
      <c r="A455">
        <v>450</v>
      </c>
      <c r="B455" s="6">
        <f>首页!$B$4+2*A455/1000</f>
        <v>1.02</v>
      </c>
      <c r="C455" s="6">
        <f>首页!$B$7+273.15</f>
        <v>388.15</v>
      </c>
      <c r="D455" s="6">
        <f>首页!$B$6+273.15</f>
        <v>293.14999999999998</v>
      </c>
      <c r="E455" s="6">
        <f>首页!$B$5+273.15</f>
        <v>1373.15</v>
      </c>
      <c r="F455" s="6">
        <f t="shared" si="63"/>
        <v>95</v>
      </c>
      <c r="G455" s="6">
        <f t="shared" si="64"/>
        <v>340.65</v>
      </c>
      <c r="H455" s="6">
        <f t="shared" si="65"/>
        <v>1.9926207055139041E-5</v>
      </c>
      <c r="I455" s="7">
        <f t="shared" si="66"/>
        <v>1158916576932337.8</v>
      </c>
      <c r="J455" s="6">
        <f t="shared" si="67"/>
        <v>1.0226038455893147</v>
      </c>
      <c r="K455" s="7">
        <f>J455*H455*首页!$B$12/P455</f>
        <v>0.69532757496605813</v>
      </c>
      <c r="L455" s="6">
        <f>首页!$B$9*0.0000000567*((C455^4-D455^4)/(C455-D455))</f>
        <v>7.7687338005019564</v>
      </c>
      <c r="M455" s="6">
        <f>IF(首页!$B$13="自然对流",IF(首页!$B$14="立式圆筒",首页!$B$10,PI()*B455/2),PI()*B455/2)</f>
        <v>55.2</v>
      </c>
      <c r="N455" s="7">
        <f>IF(首页!$B$13="强制对流",首页!$B$11*M455/H455,0)</f>
        <v>0</v>
      </c>
      <c r="O455" s="6">
        <f>IF(首页!$B$13="自然对流",IF(首页!$B$14="立式圆筒",(0.825+0.3063*I455^(1/6))^2+0.87*(M455/B455),(0.752+0.303*I455^(1/6))^2),0.3+SQRT((0.592*N455^0.5)^2+(0.0262*N455^0.8/(1-0.5/N455^0.1))^2))</f>
        <v>10066.289855876077</v>
      </c>
      <c r="P455" s="6">
        <f t="shared" si="68"/>
        <v>2.9510194925512497E-2</v>
      </c>
      <c r="Q455" s="6">
        <f t="shared" si="69"/>
        <v>5.3814886924567418</v>
      </c>
      <c r="R455" s="6">
        <f t="shared" si="70"/>
        <v>13.150222492958697</v>
      </c>
      <c r="S455" s="6">
        <f>B455*LN(B455/首页!$B$4)</f>
        <v>2.1828674867661961</v>
      </c>
      <c r="T455" s="6">
        <f>2*首页!$B$8*(E455-C455)/(R455*(C455-D455))</f>
        <v>7.0961376907235044E-2</v>
      </c>
      <c r="U455" t="str">
        <f>IF(首页!$B$13="自然对流","按自然对流公式", "按强制对流公式")</f>
        <v>按自然对流公式</v>
      </c>
      <c r="V455" s="6">
        <f t="shared" si="71"/>
        <v>2.1119061098589609</v>
      </c>
    </row>
    <row r="456" spans="1:22" x14ac:dyDescent="0.15">
      <c r="A456">
        <v>451</v>
      </c>
      <c r="B456" s="6">
        <f>首页!$B$4+2*A456/1000</f>
        <v>1.022</v>
      </c>
      <c r="C456" s="6">
        <f>首页!$B$7+273.15</f>
        <v>388.15</v>
      </c>
      <c r="D456" s="6">
        <f>首页!$B$6+273.15</f>
        <v>293.14999999999998</v>
      </c>
      <c r="E456" s="6">
        <f>首页!$B$5+273.15</f>
        <v>1373.15</v>
      </c>
      <c r="F456" s="6">
        <f t="shared" si="63"/>
        <v>95</v>
      </c>
      <c r="G456" s="6">
        <f t="shared" si="64"/>
        <v>340.65</v>
      </c>
      <c r="H456" s="6">
        <f t="shared" si="65"/>
        <v>1.9926207055139041E-5</v>
      </c>
      <c r="I456" s="7">
        <f t="shared" si="66"/>
        <v>1158916576932337.8</v>
      </c>
      <c r="J456" s="6">
        <f t="shared" si="67"/>
        <v>1.0226038455893147</v>
      </c>
      <c r="K456" s="7">
        <f>J456*H456*首页!$B$12/P456</f>
        <v>0.69532757496605813</v>
      </c>
      <c r="L456" s="6">
        <f>首页!$B$9*0.0000000567*((C456^4-D456^4)/(C456-D456))</f>
        <v>7.7687338005019564</v>
      </c>
      <c r="M456" s="6">
        <f>IF(首页!$B$13="自然对流",IF(首页!$B$14="立式圆筒",首页!$B$10,PI()*B456/2),PI()*B456/2)</f>
        <v>55.2</v>
      </c>
      <c r="N456" s="7">
        <f>IF(首页!$B$13="强制对流",首页!$B$11*M456/H456,0)</f>
        <v>0</v>
      </c>
      <c r="O456" s="6">
        <f>IF(首页!$B$13="自然对流",IF(首页!$B$14="立式圆筒",(0.825+0.3063*I456^(1/6))^2+0.87*(M456/B456),(0.752+0.303*I456^(1/6))^2),0.3+SQRT((0.592*N456^0.5)^2+(0.0262*N456^0.8/(1-0.5/N456^0.1))^2))</f>
        <v>10066.197718199088</v>
      </c>
      <c r="P456" s="6">
        <f t="shared" si="68"/>
        <v>2.9510194925512497E-2</v>
      </c>
      <c r="Q456" s="6">
        <f t="shared" si="69"/>
        <v>5.3814394351957286</v>
      </c>
      <c r="R456" s="6">
        <f t="shared" si="70"/>
        <v>13.150173235697686</v>
      </c>
      <c r="S456" s="6">
        <f>B456*LN(B456/首页!$B$4)</f>
        <v>2.1891495785971995</v>
      </c>
      <c r="T456" s="6">
        <f>2*首页!$B$8*(E456-C456)/(R456*(C456-D456))</f>
        <v>7.0961642710810499E-2</v>
      </c>
      <c r="U456" t="str">
        <f>IF(首页!$B$13="自然对流","按自然对流公式", "按强制对流公式")</f>
        <v>按自然对流公式</v>
      </c>
      <c r="V456" s="6">
        <f t="shared" si="71"/>
        <v>2.1181879358863891</v>
      </c>
    </row>
    <row r="457" spans="1:22" x14ac:dyDescent="0.15">
      <c r="A457">
        <v>452</v>
      </c>
      <c r="B457" s="6">
        <f>首页!$B$4+2*A457/1000</f>
        <v>1.024</v>
      </c>
      <c r="C457" s="6">
        <f>首页!$B$7+273.15</f>
        <v>388.15</v>
      </c>
      <c r="D457" s="6">
        <f>首页!$B$6+273.15</f>
        <v>293.14999999999998</v>
      </c>
      <c r="E457" s="6">
        <f>首页!$B$5+273.15</f>
        <v>1373.15</v>
      </c>
      <c r="F457" s="6">
        <f t="shared" si="63"/>
        <v>95</v>
      </c>
      <c r="G457" s="6">
        <f t="shared" si="64"/>
        <v>340.65</v>
      </c>
      <c r="H457" s="6">
        <f t="shared" si="65"/>
        <v>1.9926207055139041E-5</v>
      </c>
      <c r="I457" s="7">
        <f t="shared" si="66"/>
        <v>1158916576932337.8</v>
      </c>
      <c r="J457" s="6">
        <f t="shared" si="67"/>
        <v>1.0226038455893147</v>
      </c>
      <c r="K457" s="7">
        <f>J457*H457*首页!$B$12/P457</f>
        <v>0.69532757496605813</v>
      </c>
      <c r="L457" s="6">
        <f>首页!$B$9*0.0000000567*((C457^4-D457^4)/(C457-D457))</f>
        <v>7.7687338005019564</v>
      </c>
      <c r="M457" s="6">
        <f>IF(首页!$B$13="自然对流",IF(首页!$B$14="立式圆筒",首页!$B$10,PI()*B457/2),PI()*B457/2)</f>
        <v>55.2</v>
      </c>
      <c r="N457" s="7">
        <f>IF(首页!$B$13="强制对流",首页!$B$11*M457/H457,0)</f>
        <v>0</v>
      </c>
      <c r="O457" s="6">
        <f>IF(首页!$B$13="自然对流",IF(首页!$B$14="立式圆筒",(0.825+0.3063*I457^(1/6))^2+0.87*(M457/B457),(0.752+0.303*I457^(1/6))^2),0.3+SQRT((0.592*N457^0.5)^2+(0.0262*N457^0.8/(1-0.5/N457^0.1))^2))</f>
        <v>10066.1059404349</v>
      </c>
      <c r="P457" s="6">
        <f t="shared" si="68"/>
        <v>2.9510194925512497E-2</v>
      </c>
      <c r="Q457" s="6">
        <f t="shared" si="69"/>
        <v>5.3813903703458905</v>
      </c>
      <c r="R457" s="6">
        <f t="shared" si="70"/>
        <v>13.150124170847846</v>
      </c>
      <c r="S457" s="6">
        <f>B457*LN(B457/首页!$B$4)</f>
        <v>2.1954355843250251</v>
      </c>
      <c r="T457" s="6">
        <f>2*首页!$B$8*(E457-C457)/(R457*(C457-D457))</f>
        <v>7.0961907478070407E-2</v>
      </c>
      <c r="U457" t="str">
        <f>IF(首页!$B$13="自然对流","按自然对流公式", "按强制对流公式")</f>
        <v>按自然对流公式</v>
      </c>
      <c r="V457" s="6">
        <f t="shared" si="71"/>
        <v>2.1244736768469545</v>
      </c>
    </row>
    <row r="458" spans="1:22" x14ac:dyDescent="0.15">
      <c r="A458">
        <v>453</v>
      </c>
      <c r="B458" s="6">
        <f>首页!$B$4+2*A458/1000</f>
        <v>1.026</v>
      </c>
      <c r="C458" s="6">
        <f>首页!$B$7+273.15</f>
        <v>388.15</v>
      </c>
      <c r="D458" s="6">
        <f>首页!$B$6+273.15</f>
        <v>293.14999999999998</v>
      </c>
      <c r="E458" s="6">
        <f>首页!$B$5+273.15</f>
        <v>1373.15</v>
      </c>
      <c r="F458" s="6">
        <f t="shared" si="63"/>
        <v>95</v>
      </c>
      <c r="G458" s="6">
        <f t="shared" si="64"/>
        <v>340.65</v>
      </c>
      <c r="H458" s="6">
        <f t="shared" si="65"/>
        <v>1.9926207055139041E-5</v>
      </c>
      <c r="I458" s="7">
        <f t="shared" si="66"/>
        <v>1158916576932337.8</v>
      </c>
      <c r="J458" s="6">
        <f t="shared" si="67"/>
        <v>1.0226038455893147</v>
      </c>
      <c r="K458" s="7">
        <f>J458*H458*首页!$B$12/P458</f>
        <v>0.69532757496605813</v>
      </c>
      <c r="L458" s="6">
        <f>首页!$B$9*0.0000000567*((C458^4-D458^4)/(C458-D458))</f>
        <v>7.7687338005019564</v>
      </c>
      <c r="M458" s="6">
        <f>IF(首页!$B$13="自然对流",IF(首页!$B$14="立式圆筒",首页!$B$10,PI()*B458/2),PI()*B458/2)</f>
        <v>55.2</v>
      </c>
      <c r="N458" s="7">
        <f>IF(首页!$B$13="强制对流",首页!$B$11*M458/H458,0)</f>
        <v>0</v>
      </c>
      <c r="O458" s="6">
        <f>IF(首页!$B$13="自然对流",IF(首页!$B$14="立式圆筒",(0.825+0.3063*I458^(1/6))^2+0.87*(M458/B458),(0.752+0.303*I458^(1/6))^2),0.3+SQRT((0.592*N458^0.5)^2+(0.0262*N458^0.8/(1-0.5/N458^0.1))^2))</f>
        <v>10066.014520478759</v>
      </c>
      <c r="P458" s="6">
        <f t="shared" si="68"/>
        <v>2.9510194925512497E-2</v>
      </c>
      <c r="Q458" s="6">
        <f t="shared" si="69"/>
        <v>5.3813414967820181</v>
      </c>
      <c r="R458" s="6">
        <f t="shared" si="70"/>
        <v>13.150075297283975</v>
      </c>
      <c r="S458" s="6">
        <f>B458*LN(B458/首页!$B$4)</f>
        <v>2.2017254963053343</v>
      </c>
      <c r="T458" s="6">
        <f>2*首页!$B$8*(E458-C458)/(R458*(C458-D458))</f>
        <v>7.0962171215063471E-2</v>
      </c>
      <c r="U458" t="str">
        <f>IF(首页!$B$13="自然对流","按自然对流公式", "按强制对流公式")</f>
        <v>按自然对流公式</v>
      </c>
      <c r="V458" s="6">
        <f t="shared" si="71"/>
        <v>2.1307633250902707</v>
      </c>
    </row>
    <row r="459" spans="1:22" x14ac:dyDescent="0.15">
      <c r="A459">
        <v>454</v>
      </c>
      <c r="B459" s="6">
        <f>首页!$B$4+2*A459/1000</f>
        <v>1.028</v>
      </c>
      <c r="C459" s="6">
        <f>首页!$B$7+273.15</f>
        <v>388.15</v>
      </c>
      <c r="D459" s="6">
        <f>首页!$B$6+273.15</f>
        <v>293.14999999999998</v>
      </c>
      <c r="E459" s="6">
        <f>首页!$B$5+273.15</f>
        <v>1373.15</v>
      </c>
      <c r="F459" s="6">
        <f t="shared" si="63"/>
        <v>95</v>
      </c>
      <c r="G459" s="6">
        <f t="shared" si="64"/>
        <v>340.65</v>
      </c>
      <c r="H459" s="6">
        <f t="shared" si="65"/>
        <v>1.9926207055139041E-5</v>
      </c>
      <c r="I459" s="7">
        <f t="shared" si="66"/>
        <v>1158916576932337.8</v>
      </c>
      <c r="J459" s="6">
        <f t="shared" si="67"/>
        <v>1.0226038455893147</v>
      </c>
      <c r="K459" s="7">
        <f>J459*H459*首页!$B$12/P459</f>
        <v>0.69532757496605813</v>
      </c>
      <c r="L459" s="6">
        <f>首页!$B$9*0.0000000567*((C459^4-D459^4)/(C459-D459))</f>
        <v>7.7687338005019564</v>
      </c>
      <c r="M459" s="6">
        <f>IF(首页!$B$13="自然对流",IF(首页!$B$14="立式圆筒",首页!$B$10,PI()*B459/2),PI()*B459/2)</f>
        <v>55.2</v>
      </c>
      <c r="N459" s="7">
        <f>IF(首页!$B$13="强制对流",首页!$B$11*M459/H459,0)</f>
        <v>0</v>
      </c>
      <c r="O459" s="6">
        <f>IF(首页!$B$13="自然对流",IF(首页!$B$14="立式圆筒",(0.825+0.3063*I459^(1/6))^2+0.87*(M459/B459),(0.752+0.303*I459^(1/6))^2),0.3+SQRT((0.592*N459^0.5)^2+(0.0262*N459^0.8/(1-0.5/N459^0.1))^2))</f>
        <v>10065.923456242293</v>
      </c>
      <c r="P459" s="6">
        <f t="shared" si="68"/>
        <v>2.9510194925512497E-2</v>
      </c>
      <c r="Q459" s="6">
        <f t="shared" si="69"/>
        <v>5.3812928133876552</v>
      </c>
      <c r="R459" s="6">
        <f t="shared" si="70"/>
        <v>13.150026613889612</v>
      </c>
      <c r="S459" s="6">
        <f>B459*LN(B459/首页!$B$4)</f>
        <v>2.2080193069235898</v>
      </c>
      <c r="T459" s="6">
        <f>2*首页!$B$8*(E459-C459)/(R459*(C459-D459))</f>
        <v>7.0962433927791557E-2</v>
      </c>
      <c r="U459" t="str">
        <f>IF(首页!$B$13="自然对流","按自然对流公式", "按强制对流公式")</f>
        <v>按自然对流公式</v>
      </c>
      <c r="V459" s="6">
        <f t="shared" si="71"/>
        <v>2.1370568729957982</v>
      </c>
    </row>
    <row r="460" spans="1:22" x14ac:dyDescent="0.15">
      <c r="A460">
        <v>455</v>
      </c>
      <c r="B460" s="6">
        <f>首页!$B$4+2*A460/1000</f>
        <v>1.03</v>
      </c>
      <c r="C460" s="6">
        <f>首页!$B$7+273.15</f>
        <v>388.15</v>
      </c>
      <c r="D460" s="6">
        <f>首页!$B$6+273.15</f>
        <v>293.14999999999998</v>
      </c>
      <c r="E460" s="6">
        <f>首页!$B$5+273.15</f>
        <v>1373.15</v>
      </c>
      <c r="F460" s="6">
        <f t="shared" si="63"/>
        <v>95</v>
      </c>
      <c r="G460" s="6">
        <f t="shared" si="64"/>
        <v>340.65</v>
      </c>
      <c r="H460" s="6">
        <f t="shared" si="65"/>
        <v>1.9926207055139041E-5</v>
      </c>
      <c r="I460" s="7">
        <f t="shared" si="66"/>
        <v>1158916576932337.8</v>
      </c>
      <c r="J460" s="6">
        <f t="shared" si="67"/>
        <v>1.0226038455893147</v>
      </c>
      <c r="K460" s="7">
        <f>J460*H460*首页!$B$12/P460</f>
        <v>0.69532757496605813</v>
      </c>
      <c r="L460" s="6">
        <f>首页!$B$9*0.0000000567*((C460^4-D460^4)/(C460-D460))</f>
        <v>7.7687338005019564</v>
      </c>
      <c r="M460" s="6">
        <f>IF(首页!$B$13="自然对流",IF(首页!$B$14="立式圆筒",首页!$B$10,PI()*B460/2),PI()*B460/2)</f>
        <v>55.2</v>
      </c>
      <c r="N460" s="7">
        <f>IF(首页!$B$13="强制对流",首页!$B$11*M460/H460,0)</f>
        <v>0</v>
      </c>
      <c r="O460" s="6">
        <f>IF(首页!$B$13="自然对流",IF(首页!$B$14="立式圆筒",(0.825+0.3063*I460^(1/6))^2+0.87*(M460/B460),(0.752+0.303*I460^(1/6))^2),0.3+SQRT((0.592*N460^0.5)^2+(0.0262*N460^0.8/(1-0.5/N460^0.1))^2))</f>
        <v>10065.832745653346</v>
      </c>
      <c r="P460" s="6">
        <f t="shared" si="68"/>
        <v>2.9510194925512497E-2</v>
      </c>
      <c r="Q460" s="6">
        <f t="shared" si="69"/>
        <v>5.3812443190550159</v>
      </c>
      <c r="R460" s="6">
        <f t="shared" si="70"/>
        <v>13.149978119556973</v>
      </c>
      <c r="S460" s="6">
        <f>B460*LN(B460/首页!$B$4)</f>
        <v>2.2143170085948847</v>
      </c>
      <c r="T460" s="6">
        <f>2*首页!$B$8*(E460-C460)/(R460*(C460-D460))</f>
        <v>7.0962695622209943E-2</v>
      </c>
      <c r="U460" t="str">
        <f>IF(首页!$B$13="自然对流","按自然对流公式", "按强制对流公式")</f>
        <v>按自然对流公式</v>
      </c>
      <c r="V460" s="6">
        <f t="shared" si="71"/>
        <v>2.1433543129726749</v>
      </c>
    </row>
    <row r="461" spans="1:22" x14ac:dyDescent="0.15">
      <c r="A461">
        <v>456</v>
      </c>
      <c r="B461" s="6">
        <f>首页!$B$4+2*A461/1000</f>
        <v>1.032</v>
      </c>
      <c r="C461" s="6">
        <f>首页!$B$7+273.15</f>
        <v>388.15</v>
      </c>
      <c r="D461" s="6">
        <f>首页!$B$6+273.15</f>
        <v>293.14999999999998</v>
      </c>
      <c r="E461" s="6">
        <f>首页!$B$5+273.15</f>
        <v>1373.15</v>
      </c>
      <c r="F461" s="6">
        <f t="shared" si="63"/>
        <v>95</v>
      </c>
      <c r="G461" s="6">
        <f t="shared" si="64"/>
        <v>340.65</v>
      </c>
      <c r="H461" s="6">
        <f t="shared" si="65"/>
        <v>1.9926207055139041E-5</v>
      </c>
      <c r="I461" s="7">
        <f t="shared" si="66"/>
        <v>1158916576932337.8</v>
      </c>
      <c r="J461" s="6">
        <f t="shared" si="67"/>
        <v>1.0226038455893147</v>
      </c>
      <c r="K461" s="7">
        <f>J461*H461*首页!$B$12/P461</f>
        <v>0.69532757496605813</v>
      </c>
      <c r="L461" s="6">
        <f>首页!$B$9*0.0000000567*((C461^4-D461^4)/(C461-D461))</f>
        <v>7.7687338005019564</v>
      </c>
      <c r="M461" s="6">
        <f>IF(首页!$B$13="自然对流",IF(首页!$B$14="立式圆筒",首页!$B$10,PI()*B461/2),PI()*B461/2)</f>
        <v>55.2</v>
      </c>
      <c r="N461" s="7">
        <f>IF(首页!$B$13="强制对流",首页!$B$11*M461/H461,0)</f>
        <v>0</v>
      </c>
      <c r="O461" s="6">
        <f>IF(首页!$B$13="自然对流",IF(首页!$B$14="立式圆筒",(0.825+0.3063*I461^(1/6))^2+0.87*(M461/B461),(0.752+0.303*I461^(1/6))^2),0.3+SQRT((0.592*N461^0.5)^2+(0.0262*N461^0.8/(1-0.5/N461^0.1))^2))</f>
        <v>10065.742386655829</v>
      </c>
      <c r="P461" s="6">
        <f t="shared" si="68"/>
        <v>2.9510194925512497E-2</v>
      </c>
      <c r="Q461" s="6">
        <f t="shared" si="69"/>
        <v>5.3811960126849074</v>
      </c>
      <c r="R461" s="6">
        <f t="shared" si="70"/>
        <v>13.149929813186864</v>
      </c>
      <c r="S461" s="6">
        <f>B461*LN(B461/首页!$B$4)</f>
        <v>2.2206185937637652</v>
      </c>
      <c r="T461" s="6">
        <f>2*首页!$B$8*(E461-C461)/(R461*(C461-D461))</f>
        <v>7.0962956304227831E-2</v>
      </c>
      <c r="U461" t="str">
        <f>IF(首页!$B$13="自然对流","按自然对流公式", "按强制对流公式")</f>
        <v>按自然对流公式</v>
      </c>
      <c r="V461" s="6">
        <f t="shared" si="71"/>
        <v>2.1496556374595372</v>
      </c>
    </row>
    <row r="462" spans="1:22" x14ac:dyDescent="0.15">
      <c r="A462">
        <v>457</v>
      </c>
      <c r="B462" s="6">
        <f>首页!$B$4+2*A462/1000</f>
        <v>1.034</v>
      </c>
      <c r="C462" s="6">
        <f>首页!$B$7+273.15</f>
        <v>388.15</v>
      </c>
      <c r="D462" s="6">
        <f>首页!$B$6+273.15</f>
        <v>293.14999999999998</v>
      </c>
      <c r="E462" s="6">
        <f>首页!$B$5+273.15</f>
        <v>1373.15</v>
      </c>
      <c r="F462" s="6">
        <f t="shared" si="63"/>
        <v>95</v>
      </c>
      <c r="G462" s="6">
        <f t="shared" si="64"/>
        <v>340.65</v>
      </c>
      <c r="H462" s="6">
        <f t="shared" si="65"/>
        <v>1.9926207055139041E-5</v>
      </c>
      <c r="I462" s="7">
        <f t="shared" si="66"/>
        <v>1158916576932337.8</v>
      </c>
      <c r="J462" s="6">
        <f t="shared" si="67"/>
        <v>1.0226038455893147</v>
      </c>
      <c r="K462" s="7">
        <f>J462*H462*首页!$B$12/P462</f>
        <v>0.69532757496605813</v>
      </c>
      <c r="L462" s="6">
        <f>首页!$B$9*0.0000000567*((C462^4-D462^4)/(C462-D462))</f>
        <v>7.7687338005019564</v>
      </c>
      <c r="M462" s="6">
        <f>IF(首页!$B$13="自然对流",IF(首页!$B$14="立式圆筒",首页!$B$10,PI()*B462/2),PI()*B462/2)</f>
        <v>55.2</v>
      </c>
      <c r="N462" s="7">
        <f>IF(首页!$B$13="强制对流",首页!$B$11*M462/H462,0)</f>
        <v>0</v>
      </c>
      <c r="O462" s="6">
        <f>IF(首页!$B$13="自然对流",IF(首页!$B$14="立式圆筒",(0.825+0.3063*I462^(1/6))^2+0.87*(M462/B462),(0.752+0.303*I462^(1/6))^2),0.3+SQRT((0.592*N462^0.5)^2+(0.0262*N462^0.8/(1-0.5/N462^0.1))^2))</f>
        <v>10065.652377209561</v>
      </c>
      <c r="P462" s="6">
        <f t="shared" si="68"/>
        <v>2.9510194925512497E-2</v>
      </c>
      <c r="Q462" s="6">
        <f t="shared" si="69"/>
        <v>5.381147893186637</v>
      </c>
      <c r="R462" s="6">
        <f t="shared" si="70"/>
        <v>13.149881693688593</v>
      </c>
      <c r="S462" s="6">
        <f>B462*LN(B462/首页!$B$4)</f>
        <v>2.2269240549040639</v>
      </c>
      <c r="T462" s="6">
        <f>2*首页!$B$8*(E462-C462)/(R462*(C462-D462))</f>
        <v>7.0963215979708769E-2</v>
      </c>
      <c r="U462" t="str">
        <f>IF(首页!$B$13="自然对流","按自然对流公式", "按强制对流公式")</f>
        <v>按自然对流公式</v>
      </c>
      <c r="V462" s="6">
        <f t="shared" si="71"/>
        <v>2.1559608389243552</v>
      </c>
    </row>
    <row r="463" spans="1:22" x14ac:dyDescent="0.15">
      <c r="A463">
        <v>458</v>
      </c>
      <c r="B463" s="6">
        <f>首页!$B$4+2*A463/1000</f>
        <v>1.036</v>
      </c>
      <c r="C463" s="6">
        <f>首页!$B$7+273.15</f>
        <v>388.15</v>
      </c>
      <c r="D463" s="6">
        <f>首页!$B$6+273.15</f>
        <v>293.14999999999998</v>
      </c>
      <c r="E463" s="6">
        <f>首页!$B$5+273.15</f>
        <v>1373.15</v>
      </c>
      <c r="F463" s="6">
        <f t="shared" si="63"/>
        <v>95</v>
      </c>
      <c r="G463" s="6">
        <f t="shared" si="64"/>
        <v>340.65</v>
      </c>
      <c r="H463" s="6">
        <f t="shared" si="65"/>
        <v>1.9926207055139041E-5</v>
      </c>
      <c r="I463" s="7">
        <f t="shared" si="66"/>
        <v>1158916576932337.8</v>
      </c>
      <c r="J463" s="6">
        <f t="shared" si="67"/>
        <v>1.0226038455893147</v>
      </c>
      <c r="K463" s="7">
        <f>J463*H463*首页!$B$12/P463</f>
        <v>0.69532757496605813</v>
      </c>
      <c r="L463" s="6">
        <f>首页!$B$9*0.0000000567*((C463^4-D463^4)/(C463-D463))</f>
        <v>7.7687338005019564</v>
      </c>
      <c r="M463" s="6">
        <f>IF(首页!$B$13="自然对流",IF(首页!$B$14="立式圆筒",首页!$B$10,PI()*B463/2),PI()*B463/2)</f>
        <v>55.2</v>
      </c>
      <c r="N463" s="7">
        <f>IF(首页!$B$13="强制对流",首页!$B$11*M463/H463,0)</f>
        <v>0</v>
      </c>
      <c r="O463" s="6">
        <f>IF(首页!$B$13="自然对流",IF(首页!$B$14="立式圆筒",(0.825+0.3063*I463^(1/6))^2+0.87*(M463/B463),(0.752+0.303*I463^(1/6))^2),0.3+SQRT((0.592*N463^0.5)^2+(0.0262*N463^0.8/(1-0.5/N463^0.1))^2))</f>
        <v>10065.562715290112</v>
      </c>
      <c r="P463" s="6">
        <f t="shared" si="68"/>
        <v>2.9510194925512497E-2</v>
      </c>
      <c r="Q463" s="6">
        <f t="shared" si="69"/>
        <v>5.3810999594779361</v>
      </c>
      <c r="R463" s="6">
        <f t="shared" si="70"/>
        <v>13.149833759979892</v>
      </c>
      <c r="S463" s="6">
        <f>B463*LN(B463/首页!$B$4)</f>
        <v>2.2332333845187282</v>
      </c>
      <c r="T463" s="6">
        <f>2*首页!$B$8*(E463-C463)/(R463*(C463-D463))</f>
        <v>7.0963474654471156E-2</v>
      </c>
      <c r="U463" t="str">
        <f>IF(首页!$B$13="自然对流","按自然对流公式", "按强制对流公式")</f>
        <v>按自然对流公式</v>
      </c>
      <c r="V463" s="6">
        <f t="shared" si="71"/>
        <v>2.162269909864257</v>
      </c>
    </row>
    <row r="464" spans="1:22" x14ac:dyDescent="0.15">
      <c r="A464">
        <v>459</v>
      </c>
      <c r="B464" s="6">
        <f>首页!$B$4+2*A464/1000</f>
        <v>1.038</v>
      </c>
      <c r="C464" s="6">
        <f>首页!$B$7+273.15</f>
        <v>388.15</v>
      </c>
      <c r="D464" s="6">
        <f>首页!$B$6+273.15</f>
        <v>293.14999999999998</v>
      </c>
      <c r="E464" s="6">
        <f>首页!$B$5+273.15</f>
        <v>1373.15</v>
      </c>
      <c r="F464" s="6">
        <f t="shared" si="63"/>
        <v>95</v>
      </c>
      <c r="G464" s="6">
        <f t="shared" si="64"/>
        <v>340.65</v>
      </c>
      <c r="H464" s="6">
        <f t="shared" si="65"/>
        <v>1.9926207055139041E-5</v>
      </c>
      <c r="I464" s="7">
        <f t="shared" si="66"/>
        <v>1158916576932337.8</v>
      </c>
      <c r="J464" s="6">
        <f t="shared" si="67"/>
        <v>1.0226038455893147</v>
      </c>
      <c r="K464" s="7">
        <f>J464*H464*首页!$B$12/P464</f>
        <v>0.69532757496605813</v>
      </c>
      <c r="L464" s="6">
        <f>首页!$B$9*0.0000000567*((C464^4-D464^4)/(C464-D464))</f>
        <v>7.7687338005019564</v>
      </c>
      <c r="M464" s="6">
        <f>IF(首页!$B$13="自然对流",IF(首页!$B$14="立式圆筒",首页!$B$10,PI()*B464/2),PI()*B464/2)</f>
        <v>55.2</v>
      </c>
      <c r="N464" s="7">
        <f>IF(首页!$B$13="强制对流",首页!$B$11*M464/H464,0)</f>
        <v>0</v>
      </c>
      <c r="O464" s="6">
        <f>IF(首页!$B$13="自然对流",IF(首页!$B$14="立式圆筒",(0.825+0.3063*I464^(1/6))^2+0.87*(M464/B464),(0.752+0.303*I464^(1/6))^2),0.3+SQRT((0.592*N464^0.5)^2+(0.0262*N464^0.8/(1-0.5/N464^0.1))^2))</f>
        <v>10065.473398888656</v>
      </c>
      <c r="P464" s="6">
        <f t="shared" si="68"/>
        <v>2.9510194925512497E-2</v>
      </c>
      <c r="Q464" s="6">
        <f t="shared" si="69"/>
        <v>5.3810522104848735</v>
      </c>
      <c r="R464" s="6">
        <f t="shared" si="70"/>
        <v>13.14978601098683</v>
      </c>
      <c r="S464" s="6">
        <f>B464*LN(B464/首页!$B$4)</f>
        <v>2.2395465751396522</v>
      </c>
      <c r="T464" s="6">
        <f>2*首页!$B$8*(E464-C464)/(R464*(C464-D464))</f>
        <v>7.0963732334288612E-2</v>
      </c>
      <c r="U464" t="str">
        <f>IF(首页!$B$13="自然对流","按自然对流公式", "按强制对流公式")</f>
        <v>按自然对流公式</v>
      </c>
      <c r="V464" s="6">
        <f t="shared" si="71"/>
        <v>2.1685828428053635</v>
      </c>
    </row>
    <row r="465" spans="1:22" x14ac:dyDescent="0.15">
      <c r="A465">
        <v>460</v>
      </c>
      <c r="B465" s="6">
        <f>首页!$B$4+2*A465/1000</f>
        <v>1.04</v>
      </c>
      <c r="C465" s="6">
        <f>首页!$B$7+273.15</f>
        <v>388.15</v>
      </c>
      <c r="D465" s="6">
        <f>首页!$B$6+273.15</f>
        <v>293.14999999999998</v>
      </c>
      <c r="E465" s="6">
        <f>首页!$B$5+273.15</f>
        <v>1373.15</v>
      </c>
      <c r="F465" s="6">
        <f t="shared" si="63"/>
        <v>95</v>
      </c>
      <c r="G465" s="6">
        <f t="shared" si="64"/>
        <v>340.65</v>
      </c>
      <c r="H465" s="6">
        <f t="shared" si="65"/>
        <v>1.9926207055139041E-5</v>
      </c>
      <c r="I465" s="7">
        <f t="shared" si="66"/>
        <v>1158916576932337.8</v>
      </c>
      <c r="J465" s="6">
        <f t="shared" si="67"/>
        <v>1.0226038455893147</v>
      </c>
      <c r="K465" s="7">
        <f>J465*H465*首页!$B$12/P465</f>
        <v>0.69532757496605813</v>
      </c>
      <c r="L465" s="6">
        <f>首页!$B$9*0.0000000567*((C465^4-D465^4)/(C465-D465))</f>
        <v>7.7687338005019564</v>
      </c>
      <c r="M465" s="6">
        <f>IF(首页!$B$13="自然对流",IF(首页!$B$14="立式圆筒",首页!$B$10,PI()*B465/2),PI()*B465/2)</f>
        <v>55.2</v>
      </c>
      <c r="N465" s="7">
        <f>IF(首页!$B$13="强制对流",首页!$B$11*M465/H465,0)</f>
        <v>0</v>
      </c>
      <c r="O465" s="6">
        <f>IF(首页!$B$13="自然对流",IF(首页!$B$14="立式圆筒",(0.825+0.3063*I465^(1/6))^2+0.87*(M465/B465),(0.752+0.303*I465^(1/6))^2),0.3+SQRT((0.592*N465^0.5)^2+(0.0262*N465^0.8/(1-0.5/N465^0.1))^2))</f>
        <v>10065.384426011822</v>
      </c>
      <c r="P465" s="6">
        <f t="shared" si="68"/>
        <v>2.9510194925512497E-2</v>
      </c>
      <c r="Q465" s="6">
        <f t="shared" si="69"/>
        <v>5.3810046451417852</v>
      </c>
      <c r="R465" s="6">
        <f t="shared" si="70"/>
        <v>13.149738445643742</v>
      </c>
      <c r="S465" s="6">
        <f>B465*LN(B465/首页!$B$4)</f>
        <v>2.2458636193275074</v>
      </c>
      <c r="T465" s="6">
        <f>2*首页!$B$8*(E465-C465)/(R465*(C465-D465))</f>
        <v>7.0963989024890428E-2</v>
      </c>
      <c r="U465" t="str">
        <f>IF(首页!$B$13="自然对流","按自然对流公式", "按强制对流公式")</f>
        <v>按自然对流公式</v>
      </c>
      <c r="V465" s="6">
        <f t="shared" si="71"/>
        <v>2.1748996303026171</v>
      </c>
    </row>
    <row r="466" spans="1:22" x14ac:dyDescent="0.15">
      <c r="A466">
        <v>461</v>
      </c>
      <c r="B466" s="6">
        <f>首页!$B$4+2*A466/1000</f>
        <v>1.042</v>
      </c>
      <c r="C466" s="6">
        <f>首页!$B$7+273.15</f>
        <v>388.15</v>
      </c>
      <c r="D466" s="6">
        <f>首页!$B$6+273.15</f>
        <v>293.14999999999998</v>
      </c>
      <c r="E466" s="6">
        <f>首页!$B$5+273.15</f>
        <v>1373.15</v>
      </c>
      <c r="F466" s="6">
        <f t="shared" si="63"/>
        <v>95</v>
      </c>
      <c r="G466" s="6">
        <f t="shared" si="64"/>
        <v>340.65</v>
      </c>
      <c r="H466" s="6">
        <f t="shared" si="65"/>
        <v>1.9926207055139041E-5</v>
      </c>
      <c r="I466" s="7">
        <f t="shared" si="66"/>
        <v>1158916576932337.8</v>
      </c>
      <c r="J466" s="6">
        <f t="shared" si="67"/>
        <v>1.0226038455893147</v>
      </c>
      <c r="K466" s="7">
        <f>J466*H466*首页!$B$12/P466</f>
        <v>0.69532757496605813</v>
      </c>
      <c r="L466" s="6">
        <f>首页!$B$9*0.0000000567*((C466^4-D466^4)/(C466-D466))</f>
        <v>7.7687338005019564</v>
      </c>
      <c r="M466" s="6">
        <f>IF(首页!$B$13="自然对流",IF(首页!$B$14="立式圆筒",首页!$B$10,PI()*B466/2),PI()*B466/2)</f>
        <v>55.2</v>
      </c>
      <c r="N466" s="7">
        <f>IF(首页!$B$13="强制对流",首页!$B$11*M466/H466,0)</f>
        <v>0</v>
      </c>
      <c r="O466" s="6">
        <f>IF(首页!$B$13="自然对流",IF(首页!$B$14="立式圆筒",(0.825+0.3063*I466^(1/6))^2+0.87*(M466/B466),(0.752+0.303*I466^(1/6))^2),0.3+SQRT((0.592*N466^0.5)^2+(0.0262*N466^0.8/(1-0.5/N466^0.1))^2))</f>
        <v>10065.29579468154</v>
      </c>
      <c r="P466" s="6">
        <f t="shared" si="68"/>
        <v>2.9510194925512497E-2</v>
      </c>
      <c r="Q466" s="6">
        <f t="shared" si="69"/>
        <v>5.3809572623911848</v>
      </c>
      <c r="R466" s="6">
        <f t="shared" si="70"/>
        <v>13.14969106289314</v>
      </c>
      <c r="S466" s="6">
        <f>B466*LN(B466/首页!$B$4)</f>
        <v>2.2521845096715793</v>
      </c>
      <c r="T466" s="6">
        <f>2*首页!$B$8*(E466-C466)/(R466*(C466-D466))</f>
        <v>7.0964244731961987E-2</v>
      </c>
      <c r="U466" t="str">
        <f>IF(首页!$B$13="自然对流","按自然对流公式", "按强制对流公式")</f>
        <v>按自然对流公式</v>
      </c>
      <c r="V466" s="6">
        <f t="shared" si="71"/>
        <v>2.1812202649396175</v>
      </c>
    </row>
    <row r="467" spans="1:22" x14ac:dyDescent="0.15">
      <c r="A467">
        <v>462</v>
      </c>
      <c r="B467" s="6">
        <f>首页!$B$4+2*A467/1000</f>
        <v>1.044</v>
      </c>
      <c r="C467" s="6">
        <f>首页!$B$7+273.15</f>
        <v>388.15</v>
      </c>
      <c r="D467" s="6">
        <f>首页!$B$6+273.15</f>
        <v>293.14999999999998</v>
      </c>
      <c r="E467" s="6">
        <f>首页!$B$5+273.15</f>
        <v>1373.15</v>
      </c>
      <c r="F467" s="6">
        <f t="shared" si="63"/>
        <v>95</v>
      </c>
      <c r="G467" s="6">
        <f t="shared" si="64"/>
        <v>340.65</v>
      </c>
      <c r="H467" s="6">
        <f t="shared" si="65"/>
        <v>1.9926207055139041E-5</v>
      </c>
      <c r="I467" s="7">
        <f t="shared" si="66"/>
        <v>1158916576932337.8</v>
      </c>
      <c r="J467" s="6">
        <f t="shared" si="67"/>
        <v>1.0226038455893147</v>
      </c>
      <c r="K467" s="7">
        <f>J467*H467*首页!$B$12/P467</f>
        <v>0.69532757496605813</v>
      </c>
      <c r="L467" s="6">
        <f>首页!$B$9*0.0000000567*((C467^4-D467^4)/(C467-D467))</f>
        <v>7.7687338005019564</v>
      </c>
      <c r="M467" s="6">
        <f>IF(首页!$B$13="自然对流",IF(首页!$B$14="立式圆筒",首页!$B$10,PI()*B467/2),PI()*B467/2)</f>
        <v>55.2</v>
      </c>
      <c r="N467" s="7">
        <f>IF(首页!$B$13="强制对流",首页!$B$11*M467/H467,0)</f>
        <v>0</v>
      </c>
      <c r="O467" s="6">
        <f>IF(首页!$B$13="自然对流",IF(首页!$B$14="立式圆筒",(0.825+0.3063*I467^(1/6))^2+0.87*(M467/B467),(0.752+0.303*I467^(1/6))^2),0.3+SQRT((0.592*N467^0.5)^2+(0.0262*N467^0.8/(1-0.5/N467^0.1))^2))</f>
        <v>10065.2075029349</v>
      </c>
      <c r="P467" s="6">
        <f t="shared" si="68"/>
        <v>2.9510194925512497E-2</v>
      </c>
      <c r="Q467" s="6">
        <f t="shared" si="69"/>
        <v>5.3809100611836911</v>
      </c>
      <c r="R467" s="6">
        <f t="shared" si="70"/>
        <v>13.149643861685647</v>
      </c>
      <c r="S467" s="6">
        <f>B467*LN(B467/首页!$B$4)</f>
        <v>2.258509238789602</v>
      </c>
      <c r="T467" s="6">
        <f>2*首页!$B$8*(E467-C467)/(R467*(C467-D467))</f>
        <v>7.0964499461145192E-2</v>
      </c>
      <c r="U467" t="str">
        <f>IF(首页!$B$13="自然对流","按自然对流公式", "按强制对流公式")</f>
        <v>按自然对流公式</v>
      </c>
      <c r="V467" s="6">
        <f t="shared" si="71"/>
        <v>2.1875447393284566</v>
      </c>
    </row>
    <row r="468" spans="1:22" x14ac:dyDescent="0.15">
      <c r="A468">
        <v>463</v>
      </c>
      <c r="B468" s="6">
        <f>首页!$B$4+2*A468/1000</f>
        <v>1.046</v>
      </c>
      <c r="C468" s="6">
        <f>首页!$B$7+273.15</f>
        <v>388.15</v>
      </c>
      <c r="D468" s="6">
        <f>首页!$B$6+273.15</f>
        <v>293.14999999999998</v>
      </c>
      <c r="E468" s="6">
        <f>首页!$B$5+273.15</f>
        <v>1373.15</v>
      </c>
      <c r="F468" s="6">
        <f t="shared" si="63"/>
        <v>95</v>
      </c>
      <c r="G468" s="6">
        <f t="shared" si="64"/>
        <v>340.65</v>
      </c>
      <c r="H468" s="6">
        <f t="shared" si="65"/>
        <v>1.9926207055139041E-5</v>
      </c>
      <c r="I468" s="7">
        <f t="shared" si="66"/>
        <v>1158916576932337.8</v>
      </c>
      <c r="J468" s="6">
        <f t="shared" si="67"/>
        <v>1.0226038455893147</v>
      </c>
      <c r="K468" s="7">
        <f>J468*H468*首页!$B$12/P468</f>
        <v>0.69532757496605813</v>
      </c>
      <c r="L468" s="6">
        <f>首页!$B$9*0.0000000567*((C468^4-D468^4)/(C468-D468))</f>
        <v>7.7687338005019564</v>
      </c>
      <c r="M468" s="6">
        <f>IF(首页!$B$13="自然对流",IF(首页!$B$14="立式圆筒",首页!$B$10,PI()*B468/2),PI()*B468/2)</f>
        <v>55.2</v>
      </c>
      <c r="N468" s="7">
        <f>IF(首页!$B$13="强制对流",首页!$B$11*M468/H468,0)</f>
        <v>0</v>
      </c>
      <c r="O468" s="6">
        <f>IF(首页!$B$13="自然对流",IF(首页!$B$14="立式圆筒",(0.825+0.3063*I468^(1/6))^2+0.87*(M468/B468),(0.752+0.303*I468^(1/6))^2),0.3+SQRT((0.592*N468^0.5)^2+(0.0262*N468^0.8/(1-0.5/N468^0.1))^2))</f>
        <v>10065.119548824001</v>
      </c>
      <c r="P468" s="6">
        <f t="shared" si="68"/>
        <v>2.9510194925512497E-2</v>
      </c>
      <c r="Q468" s="6">
        <f t="shared" si="69"/>
        <v>5.3808630404779469</v>
      </c>
      <c r="R468" s="6">
        <f t="shared" si="70"/>
        <v>13.149596840979903</v>
      </c>
      <c r="S468" s="6">
        <f>B468*LN(B468/首页!$B$4)</f>
        <v>2.2648377993275921</v>
      </c>
      <c r="T468" s="6">
        <f>2*首页!$B$8*(E468-C468)/(R468*(C468-D468))</f>
        <v>7.0964753218038856E-2</v>
      </c>
      <c r="U468" t="str">
        <f>IF(首页!$B$13="自然对流","按自然对流公式", "按强制对流公式")</f>
        <v>按自然对流公式</v>
      </c>
      <c r="V468" s="6">
        <f t="shared" si="71"/>
        <v>2.1938730461095535</v>
      </c>
    </row>
    <row r="469" spans="1:22" x14ac:dyDescent="0.15">
      <c r="A469">
        <v>464</v>
      </c>
      <c r="B469" s="6">
        <f>首页!$B$4+2*A469/1000</f>
        <v>1.048</v>
      </c>
      <c r="C469" s="6">
        <f>首页!$B$7+273.15</f>
        <v>388.15</v>
      </c>
      <c r="D469" s="6">
        <f>首页!$B$6+273.15</f>
        <v>293.14999999999998</v>
      </c>
      <c r="E469" s="6">
        <f>首页!$B$5+273.15</f>
        <v>1373.15</v>
      </c>
      <c r="F469" s="6">
        <f t="shared" si="63"/>
        <v>95</v>
      </c>
      <c r="G469" s="6">
        <f t="shared" si="64"/>
        <v>340.65</v>
      </c>
      <c r="H469" s="6">
        <f t="shared" si="65"/>
        <v>1.9926207055139041E-5</v>
      </c>
      <c r="I469" s="7">
        <f t="shared" si="66"/>
        <v>1158916576932337.8</v>
      </c>
      <c r="J469" s="6">
        <f t="shared" si="67"/>
        <v>1.0226038455893147</v>
      </c>
      <c r="K469" s="7">
        <f>J469*H469*首页!$B$12/P469</f>
        <v>0.69532757496605813</v>
      </c>
      <c r="L469" s="6">
        <f>首页!$B$9*0.0000000567*((C469^4-D469^4)/(C469-D469))</f>
        <v>7.7687338005019564</v>
      </c>
      <c r="M469" s="6">
        <f>IF(首页!$B$13="自然对流",IF(首页!$B$14="立式圆筒",首页!$B$10,PI()*B469/2),PI()*B469/2)</f>
        <v>55.2</v>
      </c>
      <c r="N469" s="7">
        <f>IF(首页!$B$13="强制对流",首页!$B$11*M469/H469,0)</f>
        <v>0</v>
      </c>
      <c r="O469" s="6">
        <f>IF(首页!$B$13="自然对流",IF(首页!$B$14="立式圆筒",(0.825+0.3063*I469^(1/6))^2+0.87*(M469/B469),(0.752+0.303*I469^(1/6))^2),0.3+SQRT((0.592*N469^0.5)^2+(0.0262*N469^0.8/(1-0.5/N469^0.1))^2))</f>
        <v>10065.031930415817</v>
      </c>
      <c r="P469" s="6">
        <f t="shared" si="68"/>
        <v>2.9510194925512497E-2</v>
      </c>
      <c r="Q469" s="6">
        <f t="shared" si="69"/>
        <v>5.3808161992405443</v>
      </c>
      <c r="R469" s="6">
        <f t="shared" si="70"/>
        <v>13.149549999742501</v>
      </c>
      <c r="S469" s="6">
        <f>B469*LN(B469/首页!$B$4)</f>
        <v>2.2711701839596907</v>
      </c>
      <c r="T469" s="6">
        <f>2*首页!$B$8*(E469-C469)/(R469*(C469-D469))</f>
        <v>7.0965006008199188E-2</v>
      </c>
      <c r="U469" t="str">
        <f>IF(首页!$B$13="自然对流","按自然对流公式", "按强制对流公式")</f>
        <v>按自然对流公式</v>
      </c>
      <c r="V469" s="6">
        <f t="shared" si="71"/>
        <v>2.2002051779514917</v>
      </c>
    </row>
    <row r="470" spans="1:22" x14ac:dyDescent="0.15">
      <c r="A470">
        <v>465</v>
      </c>
      <c r="B470" s="6">
        <f>首页!$B$4+2*A470/1000</f>
        <v>1.05</v>
      </c>
      <c r="C470" s="6">
        <f>首页!$B$7+273.15</f>
        <v>388.15</v>
      </c>
      <c r="D470" s="6">
        <f>首页!$B$6+273.15</f>
        <v>293.14999999999998</v>
      </c>
      <c r="E470" s="6">
        <f>首页!$B$5+273.15</f>
        <v>1373.15</v>
      </c>
      <c r="F470" s="6">
        <f t="shared" si="63"/>
        <v>95</v>
      </c>
      <c r="G470" s="6">
        <f t="shared" si="64"/>
        <v>340.65</v>
      </c>
      <c r="H470" s="6">
        <f t="shared" si="65"/>
        <v>1.9926207055139041E-5</v>
      </c>
      <c r="I470" s="7">
        <f t="shared" si="66"/>
        <v>1158916576932337.8</v>
      </c>
      <c r="J470" s="6">
        <f t="shared" si="67"/>
        <v>1.0226038455893147</v>
      </c>
      <c r="K470" s="7">
        <f>J470*H470*首页!$B$12/P470</f>
        <v>0.69532757496605813</v>
      </c>
      <c r="L470" s="6">
        <f>首页!$B$9*0.0000000567*((C470^4-D470^4)/(C470-D470))</f>
        <v>7.7687338005019564</v>
      </c>
      <c r="M470" s="6">
        <f>IF(首页!$B$13="自然对流",IF(首页!$B$14="立式圆筒",首页!$B$10,PI()*B470/2),PI()*B470/2)</f>
        <v>55.2</v>
      </c>
      <c r="N470" s="7">
        <f>IF(首页!$B$13="强制对流",首页!$B$11*M470/H470,0)</f>
        <v>0</v>
      </c>
      <c r="O470" s="6">
        <f>IF(首页!$B$13="自然对流",IF(首页!$B$14="立式圆筒",(0.825+0.3063*I470^(1/6))^2+0.87*(M470/B470),(0.752+0.303*I470^(1/6))^2),0.3+SQRT((0.592*N470^0.5)^2+(0.0262*N470^0.8/(1-0.5/N470^0.1))^2))</f>
        <v>10064.944645792042</v>
      </c>
      <c r="P470" s="6">
        <f t="shared" si="68"/>
        <v>2.9510194925512497E-2</v>
      </c>
      <c r="Q470" s="6">
        <f t="shared" si="69"/>
        <v>5.3807695364459507</v>
      </c>
      <c r="R470" s="6">
        <f t="shared" si="70"/>
        <v>13.149503336947907</v>
      </c>
      <c r="S470" s="6">
        <f>B470*LN(B470/首页!$B$4)</f>
        <v>2.2775063853879995</v>
      </c>
      <c r="T470" s="6">
        <f>2*首页!$B$8*(E470-C470)/(R470*(C470-D470))</f>
        <v>7.0965257837140083E-2</v>
      </c>
      <c r="U470" t="str">
        <f>IF(首页!$B$13="自然对流","按自然对流公式", "按强制对流公式")</f>
        <v>按自然对流公式</v>
      </c>
      <c r="V470" s="6">
        <f t="shared" si="71"/>
        <v>2.2065411275508593</v>
      </c>
    </row>
    <row r="471" spans="1:22" x14ac:dyDescent="0.15">
      <c r="A471">
        <v>466</v>
      </c>
      <c r="B471" s="6">
        <f>首页!$B$4+2*A471/1000</f>
        <v>1.052</v>
      </c>
      <c r="C471" s="6">
        <f>首页!$B$7+273.15</f>
        <v>388.15</v>
      </c>
      <c r="D471" s="6">
        <f>首页!$B$6+273.15</f>
        <v>293.14999999999998</v>
      </c>
      <c r="E471" s="6">
        <f>首页!$B$5+273.15</f>
        <v>1373.15</v>
      </c>
      <c r="F471" s="6">
        <f t="shared" si="63"/>
        <v>95</v>
      </c>
      <c r="G471" s="6">
        <f t="shared" si="64"/>
        <v>340.65</v>
      </c>
      <c r="H471" s="6">
        <f t="shared" si="65"/>
        <v>1.9926207055139041E-5</v>
      </c>
      <c r="I471" s="7">
        <f t="shared" si="66"/>
        <v>1158916576932337.8</v>
      </c>
      <c r="J471" s="6">
        <f t="shared" si="67"/>
        <v>1.0226038455893147</v>
      </c>
      <c r="K471" s="7">
        <f>J471*H471*首页!$B$12/P471</f>
        <v>0.69532757496605813</v>
      </c>
      <c r="L471" s="6">
        <f>首页!$B$9*0.0000000567*((C471^4-D471^4)/(C471-D471))</f>
        <v>7.7687338005019564</v>
      </c>
      <c r="M471" s="6">
        <f>IF(首页!$B$13="自然对流",IF(首页!$B$14="立式圆筒",首页!$B$10,PI()*B471/2),PI()*B471/2)</f>
        <v>55.2</v>
      </c>
      <c r="N471" s="7">
        <f>IF(首页!$B$13="强制对流",首页!$B$11*M471/H471,0)</f>
        <v>0</v>
      </c>
      <c r="O471" s="6">
        <f>IF(首页!$B$13="自然对流",IF(首页!$B$14="立式圆筒",(0.825+0.3063*I471^(1/6))^2+0.87*(M471/B471),(0.752+0.303*I471^(1/6))^2),0.3+SQRT((0.592*N471^0.5)^2+(0.0262*N471^0.8/(1-0.5/N471^0.1))^2))</f>
        <v>10064.857693048969</v>
      </c>
      <c r="P471" s="6">
        <f t="shared" si="68"/>
        <v>2.9510194925512497E-2</v>
      </c>
      <c r="Q471" s="6">
        <f t="shared" si="69"/>
        <v>5.3807230510764334</v>
      </c>
      <c r="R471" s="6">
        <f t="shared" si="70"/>
        <v>13.149456851578389</v>
      </c>
      <c r="S471" s="6">
        <f>B471*LN(B471/首页!$B$4)</f>
        <v>2.2838463963424211</v>
      </c>
      <c r="T471" s="6">
        <f>2*首页!$B$8*(E471-C471)/(R471*(C471-D471))</f>
        <v>7.0965508710333608E-2</v>
      </c>
      <c r="U471" t="str">
        <f>IF(首页!$B$13="自然对流","按自然对流公式", "按强制对流公式")</f>
        <v>按自然对流公式</v>
      </c>
      <c r="V471" s="6">
        <f t="shared" si="71"/>
        <v>2.2128808876320876</v>
      </c>
    </row>
    <row r="472" spans="1:22" x14ac:dyDescent="0.15">
      <c r="A472">
        <v>467</v>
      </c>
      <c r="B472" s="6">
        <f>首页!$B$4+2*A472/1000</f>
        <v>1.054</v>
      </c>
      <c r="C472" s="6">
        <f>首页!$B$7+273.15</f>
        <v>388.15</v>
      </c>
      <c r="D472" s="6">
        <f>首页!$B$6+273.15</f>
        <v>293.14999999999998</v>
      </c>
      <c r="E472" s="6">
        <f>首页!$B$5+273.15</f>
        <v>1373.15</v>
      </c>
      <c r="F472" s="6">
        <f t="shared" si="63"/>
        <v>95</v>
      </c>
      <c r="G472" s="6">
        <f t="shared" si="64"/>
        <v>340.65</v>
      </c>
      <c r="H472" s="6">
        <f t="shared" si="65"/>
        <v>1.9926207055139041E-5</v>
      </c>
      <c r="I472" s="7">
        <f t="shared" si="66"/>
        <v>1158916576932337.8</v>
      </c>
      <c r="J472" s="6">
        <f t="shared" si="67"/>
        <v>1.0226038455893147</v>
      </c>
      <c r="K472" s="7">
        <f>J472*H472*首页!$B$12/P472</f>
        <v>0.69532757496605813</v>
      </c>
      <c r="L472" s="6">
        <f>首页!$B$9*0.0000000567*((C472^4-D472^4)/(C472-D472))</f>
        <v>7.7687338005019564</v>
      </c>
      <c r="M472" s="6">
        <f>IF(首页!$B$13="自然对流",IF(首页!$B$14="立式圆筒",首页!$B$10,PI()*B472/2),PI()*B472/2)</f>
        <v>55.2</v>
      </c>
      <c r="N472" s="7">
        <f>IF(首页!$B$13="强制对流",首页!$B$11*M472/H472,0)</f>
        <v>0</v>
      </c>
      <c r="O472" s="6">
        <f>IF(首页!$B$13="自然对流",IF(首页!$B$14="立式圆筒",(0.825+0.3063*I472^(1/6))^2+0.87*(M472/B472),(0.752+0.303*I472^(1/6))^2),0.3+SQRT((0.592*N472^0.5)^2+(0.0262*N472^0.8/(1-0.5/N472^0.1))^2))</f>
        <v>10064.771070297329</v>
      </c>
      <c r="P472" s="6">
        <f t="shared" si="68"/>
        <v>2.9510194925512497E-2</v>
      </c>
      <c r="Q472" s="6">
        <f t="shared" si="69"/>
        <v>5.3806767421219792</v>
      </c>
      <c r="R472" s="6">
        <f t="shared" si="70"/>
        <v>13.149410542623936</v>
      </c>
      <c r="S472" s="6">
        <f>B472*LN(B472/首页!$B$4)</f>
        <v>2.2901902095805018</v>
      </c>
      <c r="T472" s="6">
        <f>2*首页!$B$8*(E472-C472)/(R472*(C472-D472))</f>
        <v>7.0965758633210377E-2</v>
      </c>
      <c r="U472" t="str">
        <f>IF(首页!$B$13="自然对流","按自然对流公式", "按强制对流公式")</f>
        <v>按自然对流公式</v>
      </c>
      <c r="V472" s="6">
        <f t="shared" si="71"/>
        <v>2.2192244509472916</v>
      </c>
    </row>
    <row r="473" spans="1:22" x14ac:dyDescent="0.15">
      <c r="A473">
        <v>468</v>
      </c>
      <c r="B473" s="6">
        <f>首页!$B$4+2*A473/1000</f>
        <v>1.056</v>
      </c>
      <c r="C473" s="6">
        <f>首页!$B$7+273.15</f>
        <v>388.15</v>
      </c>
      <c r="D473" s="6">
        <f>首页!$B$6+273.15</f>
        <v>293.14999999999998</v>
      </c>
      <c r="E473" s="6">
        <f>首页!$B$5+273.15</f>
        <v>1373.15</v>
      </c>
      <c r="F473" s="6">
        <f t="shared" si="63"/>
        <v>95</v>
      </c>
      <c r="G473" s="6">
        <f t="shared" si="64"/>
        <v>340.65</v>
      </c>
      <c r="H473" s="6">
        <f t="shared" si="65"/>
        <v>1.9926207055139041E-5</v>
      </c>
      <c r="I473" s="7">
        <f t="shared" si="66"/>
        <v>1158916576932337.8</v>
      </c>
      <c r="J473" s="6">
        <f t="shared" si="67"/>
        <v>1.0226038455893147</v>
      </c>
      <c r="K473" s="7">
        <f>J473*H473*首页!$B$12/P473</f>
        <v>0.69532757496605813</v>
      </c>
      <c r="L473" s="6">
        <f>首页!$B$9*0.0000000567*((C473^4-D473^4)/(C473-D473))</f>
        <v>7.7687338005019564</v>
      </c>
      <c r="M473" s="6">
        <f>IF(首页!$B$13="自然对流",IF(首页!$B$14="立式圆筒",首页!$B$10,PI()*B473/2),PI()*B473/2)</f>
        <v>55.2</v>
      </c>
      <c r="N473" s="7">
        <f>IF(首页!$B$13="强制对流",首页!$B$11*M473/H473,0)</f>
        <v>0</v>
      </c>
      <c r="O473" s="6">
        <f>IF(首页!$B$13="自然对流",IF(首页!$B$14="立式圆筒",(0.825+0.3063*I473^(1/6))^2+0.87*(M473/B473),(0.752+0.303*I473^(1/6))^2),0.3+SQRT((0.592*N473^0.5)^2+(0.0262*N473^0.8/(1-0.5/N473^0.1))^2))</f>
        <v>10064.684775662172</v>
      </c>
      <c r="P473" s="6">
        <f t="shared" si="68"/>
        <v>2.9510194925512497E-2</v>
      </c>
      <c r="Q473" s="6">
        <f t="shared" si="69"/>
        <v>5.3806306085802298</v>
      </c>
      <c r="R473" s="6">
        <f t="shared" si="70"/>
        <v>13.149364409082185</v>
      </c>
      <c r="S473" s="6">
        <f>B473*LN(B473/首页!$B$4)</f>
        <v>2.2965378178872742</v>
      </c>
      <c r="T473" s="6">
        <f>2*首页!$B$8*(E473-C473)/(R473*(C473-D473))</f>
        <v>7.0966007611159954E-2</v>
      </c>
      <c r="U473" t="str">
        <f>IF(首页!$B$13="自然对流","按自然对流公式", "按强制对流公式")</f>
        <v>按自然对流公式</v>
      </c>
      <c r="V473" s="6">
        <f t="shared" si="71"/>
        <v>2.2255718102761142</v>
      </c>
    </row>
    <row r="474" spans="1:22" x14ac:dyDescent="0.15">
      <c r="A474">
        <v>469</v>
      </c>
      <c r="B474" s="6">
        <f>首页!$B$4+2*A474/1000</f>
        <v>1.0579999999999998</v>
      </c>
      <c r="C474" s="6">
        <f>首页!$B$7+273.15</f>
        <v>388.15</v>
      </c>
      <c r="D474" s="6">
        <f>首页!$B$6+273.15</f>
        <v>293.14999999999998</v>
      </c>
      <c r="E474" s="6">
        <f>首页!$B$5+273.15</f>
        <v>1373.15</v>
      </c>
      <c r="F474" s="6">
        <f t="shared" si="63"/>
        <v>95</v>
      </c>
      <c r="G474" s="6">
        <f t="shared" si="64"/>
        <v>340.65</v>
      </c>
      <c r="H474" s="6">
        <f t="shared" si="65"/>
        <v>1.9926207055139041E-5</v>
      </c>
      <c r="I474" s="7">
        <f t="shared" si="66"/>
        <v>1158916576932337.8</v>
      </c>
      <c r="J474" s="6">
        <f t="shared" si="67"/>
        <v>1.0226038455893147</v>
      </c>
      <c r="K474" s="7">
        <f>J474*H474*首页!$B$12/P474</f>
        <v>0.69532757496605813</v>
      </c>
      <c r="L474" s="6">
        <f>首页!$B$9*0.0000000567*((C474^4-D474^4)/(C474-D474))</f>
        <v>7.7687338005019564</v>
      </c>
      <c r="M474" s="6">
        <f>IF(首页!$B$13="自然对流",IF(首页!$B$14="立式圆筒",首页!$B$10,PI()*B474/2),PI()*B474/2)</f>
        <v>55.2</v>
      </c>
      <c r="N474" s="7">
        <f>IF(首页!$B$13="强制对流",首页!$B$11*M474/H474,0)</f>
        <v>0</v>
      </c>
      <c r="O474" s="6">
        <f>IF(首页!$B$13="自然对流",IF(首页!$B$14="立式圆筒",(0.825+0.3063*I474^(1/6))^2+0.87*(M474/B474),(0.752+0.303*I474^(1/6))^2),0.3+SQRT((0.592*N474^0.5)^2+(0.0262*N474^0.8/(1-0.5/N474^0.1))^2))</f>
        <v>10064.598807282726</v>
      </c>
      <c r="P474" s="6">
        <f t="shared" si="68"/>
        <v>2.9510194925512497E-2</v>
      </c>
      <c r="Q474" s="6">
        <f t="shared" si="69"/>
        <v>5.3805846494564102</v>
      </c>
      <c r="R474" s="6">
        <f t="shared" si="70"/>
        <v>13.149318449958367</v>
      </c>
      <c r="S474" s="6">
        <f>B474*LN(B474/首页!$B$4)</f>
        <v>2.3028892140750976</v>
      </c>
      <c r="T474" s="6">
        <f>2*首页!$B$8*(E474-C474)/(R474*(C474-D474))</f>
        <v>7.0966255649531157E-2</v>
      </c>
      <c r="U474" t="str">
        <f>IF(首页!$B$13="自然对流","按自然对流公式", "按强制对流公式")</f>
        <v>按自然对流公式</v>
      </c>
      <c r="V474" s="6">
        <f t="shared" si="71"/>
        <v>2.2319229584255664</v>
      </c>
    </row>
    <row r="475" spans="1:22" x14ac:dyDescent="0.15">
      <c r="A475">
        <v>470</v>
      </c>
      <c r="B475" s="6">
        <f>首页!$B$4+2*A475/1000</f>
        <v>1.06</v>
      </c>
      <c r="C475" s="6">
        <f>首页!$B$7+273.15</f>
        <v>388.15</v>
      </c>
      <c r="D475" s="6">
        <f>首页!$B$6+273.15</f>
        <v>293.14999999999998</v>
      </c>
      <c r="E475" s="6">
        <f>首页!$B$5+273.15</f>
        <v>1373.15</v>
      </c>
      <c r="F475" s="6">
        <f t="shared" si="63"/>
        <v>95</v>
      </c>
      <c r="G475" s="6">
        <f t="shared" si="64"/>
        <v>340.65</v>
      </c>
      <c r="H475" s="6">
        <f t="shared" si="65"/>
        <v>1.9926207055139041E-5</v>
      </c>
      <c r="I475" s="7">
        <f t="shared" si="66"/>
        <v>1158916576932337.8</v>
      </c>
      <c r="J475" s="6">
        <f t="shared" si="67"/>
        <v>1.0226038455893147</v>
      </c>
      <c r="K475" s="7">
        <f>J475*H475*首页!$B$12/P475</f>
        <v>0.69532757496605813</v>
      </c>
      <c r="L475" s="6">
        <f>首页!$B$9*0.0000000567*((C475^4-D475^4)/(C475-D475))</f>
        <v>7.7687338005019564</v>
      </c>
      <c r="M475" s="6">
        <f>IF(首页!$B$13="自然对流",IF(首页!$B$14="立式圆筒",首页!$B$10,PI()*B475/2),PI()*B475/2)</f>
        <v>55.2</v>
      </c>
      <c r="N475" s="7">
        <f>IF(首页!$B$13="强制对流",首页!$B$11*M475/H475,0)</f>
        <v>0</v>
      </c>
      <c r="O475" s="6">
        <f>IF(首页!$B$13="自然对流",IF(首页!$B$14="立式圆筒",(0.825+0.3063*I475^(1/6))^2+0.87*(M475/B475),(0.752+0.303*I475^(1/6))^2),0.3+SQRT((0.592*N475^0.5)^2+(0.0262*N475^0.8/(1-0.5/N475^0.1))^2))</f>
        <v>10064.513163312258</v>
      </c>
      <c r="P475" s="6">
        <f t="shared" si="68"/>
        <v>2.9510194925512497E-2</v>
      </c>
      <c r="Q475" s="6">
        <f t="shared" si="69"/>
        <v>5.3805388637632445</v>
      </c>
      <c r="R475" s="6">
        <f t="shared" si="70"/>
        <v>13.149272664265201</v>
      </c>
      <c r="S475" s="6">
        <f>B475*LN(B475/首页!$B$4)</f>
        <v>2.309244390983511</v>
      </c>
      <c r="T475" s="6">
        <f>2*首页!$B$8*(E475-C475)/(R475*(C475-D475))</f>
        <v>7.0966502753632588E-2</v>
      </c>
      <c r="U475" t="str">
        <f>IF(首页!$B$13="自然对流","按自然对流公式", "按强制对流公式")</f>
        <v>按自然对流公式</v>
      </c>
      <c r="V475" s="6">
        <f t="shared" si="71"/>
        <v>2.2382778882298782</v>
      </c>
    </row>
    <row r="476" spans="1:22" x14ac:dyDescent="0.15">
      <c r="A476">
        <v>471</v>
      </c>
      <c r="B476" s="6">
        <f>首页!$B$4+2*A476/1000</f>
        <v>1.0619999999999998</v>
      </c>
      <c r="C476" s="6">
        <f>首页!$B$7+273.15</f>
        <v>388.15</v>
      </c>
      <c r="D476" s="6">
        <f>首页!$B$6+273.15</f>
        <v>293.14999999999998</v>
      </c>
      <c r="E476" s="6">
        <f>首页!$B$5+273.15</f>
        <v>1373.15</v>
      </c>
      <c r="F476" s="6">
        <f t="shared" si="63"/>
        <v>95</v>
      </c>
      <c r="G476" s="6">
        <f t="shared" si="64"/>
        <v>340.65</v>
      </c>
      <c r="H476" s="6">
        <f t="shared" si="65"/>
        <v>1.9926207055139041E-5</v>
      </c>
      <c r="I476" s="7">
        <f t="shared" si="66"/>
        <v>1158916576932337.8</v>
      </c>
      <c r="J476" s="6">
        <f t="shared" si="67"/>
        <v>1.0226038455893147</v>
      </c>
      <c r="K476" s="7">
        <f>J476*H476*首页!$B$12/P476</f>
        <v>0.69532757496605813</v>
      </c>
      <c r="L476" s="6">
        <f>首页!$B$9*0.0000000567*((C476^4-D476^4)/(C476-D476))</f>
        <v>7.7687338005019564</v>
      </c>
      <c r="M476" s="6">
        <f>IF(首页!$B$13="自然对流",IF(首页!$B$14="立式圆筒",首页!$B$10,PI()*B476/2),PI()*B476/2)</f>
        <v>55.2</v>
      </c>
      <c r="N476" s="7">
        <f>IF(首页!$B$13="强制对流",首页!$B$11*M476/H476,0)</f>
        <v>0</v>
      </c>
      <c r="O476" s="6">
        <f>IF(首页!$B$13="自然对流",IF(首页!$B$14="立式圆筒",(0.825+0.3063*I476^(1/6))^2+0.87*(M476/B476),(0.752+0.303*I476^(1/6))^2),0.3+SQRT((0.592*N476^0.5)^2+(0.0262*N476^0.8/(1-0.5/N476^0.1))^2))</f>
        <v>10064.42784191795</v>
      </c>
      <c r="P476" s="6">
        <f t="shared" si="68"/>
        <v>2.9510194925512497E-2</v>
      </c>
      <c r="Q476" s="6">
        <f t="shared" si="69"/>
        <v>5.3804932505209013</v>
      </c>
      <c r="R476" s="6">
        <f t="shared" si="70"/>
        <v>13.149227051022859</v>
      </c>
      <c r="S476" s="6">
        <f>B476*LN(B476/首页!$B$4)</f>
        <v>2.3156033414790675</v>
      </c>
      <c r="T476" s="6">
        <f>2*首页!$B$8*(E476-C476)/(R476*(C476-D476))</f>
        <v>7.0966748928732906E-2</v>
      </c>
      <c r="U476" t="str">
        <f>IF(首页!$B$13="自然对流","按自然对流公式", "按强制对流公式")</f>
        <v>按自然对流公式</v>
      </c>
      <c r="V476" s="6">
        <f t="shared" si="71"/>
        <v>2.2446365925503344</v>
      </c>
    </row>
    <row r="477" spans="1:22" x14ac:dyDescent="0.15">
      <c r="A477">
        <v>472</v>
      </c>
      <c r="B477" s="6">
        <f>首页!$B$4+2*A477/1000</f>
        <v>1.0640000000000001</v>
      </c>
      <c r="C477" s="6">
        <f>首页!$B$7+273.15</f>
        <v>388.15</v>
      </c>
      <c r="D477" s="6">
        <f>首页!$B$6+273.15</f>
        <v>293.14999999999998</v>
      </c>
      <c r="E477" s="6">
        <f>首页!$B$5+273.15</f>
        <v>1373.15</v>
      </c>
      <c r="F477" s="6">
        <f t="shared" si="63"/>
        <v>95</v>
      </c>
      <c r="G477" s="6">
        <f t="shared" si="64"/>
        <v>340.65</v>
      </c>
      <c r="H477" s="6">
        <f t="shared" si="65"/>
        <v>1.9926207055139041E-5</v>
      </c>
      <c r="I477" s="7">
        <f t="shared" si="66"/>
        <v>1158916576932337.8</v>
      </c>
      <c r="J477" s="6">
        <f t="shared" si="67"/>
        <v>1.0226038455893147</v>
      </c>
      <c r="K477" s="7">
        <f>J477*H477*首页!$B$12/P477</f>
        <v>0.69532757496605813</v>
      </c>
      <c r="L477" s="6">
        <f>首页!$B$9*0.0000000567*((C477^4-D477^4)/(C477-D477))</f>
        <v>7.7687338005019564</v>
      </c>
      <c r="M477" s="6">
        <f>IF(首页!$B$13="自然对流",IF(首页!$B$14="立式圆筒",首页!$B$10,PI()*B477/2),PI()*B477/2)</f>
        <v>55.2</v>
      </c>
      <c r="N477" s="7">
        <f>IF(首页!$B$13="强制对流",首页!$B$11*M477/H477,0)</f>
        <v>0</v>
      </c>
      <c r="O477" s="6">
        <f>IF(首页!$B$13="自然对流",IF(首页!$B$14="立式圆筒",(0.825+0.3063*I477^(1/6))^2+0.87*(M477/B477),(0.752+0.303*I477^(1/6))^2),0.3+SQRT((0.592*N477^0.5)^2+(0.0262*N477^0.8/(1-0.5/N477^0.1))^2))</f>
        <v>10064.342841280764</v>
      </c>
      <c r="P477" s="6">
        <f t="shared" si="68"/>
        <v>2.9510194925512497E-2</v>
      </c>
      <c r="Q477" s="6">
        <f t="shared" si="69"/>
        <v>5.3804478087569141</v>
      </c>
      <c r="R477" s="6">
        <f t="shared" si="70"/>
        <v>13.149181609258871</v>
      </c>
      <c r="S477" s="6">
        <f>B477*LN(B477/首页!$B$4)</f>
        <v>2.3219660584551947</v>
      </c>
      <c r="T477" s="6">
        <f>2*首页!$B$8*(E477-C477)/(R477*(C477-D477))</f>
        <v>7.0966994180061208E-2</v>
      </c>
      <c r="U477" t="str">
        <f>IF(首页!$B$13="自然对流","按自然对流公式", "按强制对流公式")</f>
        <v>按自然对流公式</v>
      </c>
      <c r="V477" s="6">
        <f t="shared" si="71"/>
        <v>2.2509990642751334</v>
      </c>
    </row>
    <row r="478" spans="1:22" x14ac:dyDescent="0.15">
      <c r="A478">
        <v>473</v>
      </c>
      <c r="B478" s="6">
        <f>首页!$B$4+2*A478/1000</f>
        <v>1.0659999999999998</v>
      </c>
      <c r="C478" s="6">
        <f>首页!$B$7+273.15</f>
        <v>388.15</v>
      </c>
      <c r="D478" s="6">
        <f>首页!$B$6+273.15</f>
        <v>293.14999999999998</v>
      </c>
      <c r="E478" s="6">
        <f>首页!$B$5+273.15</f>
        <v>1373.15</v>
      </c>
      <c r="F478" s="6">
        <f t="shared" si="63"/>
        <v>95</v>
      </c>
      <c r="G478" s="6">
        <f t="shared" si="64"/>
        <v>340.65</v>
      </c>
      <c r="H478" s="6">
        <f t="shared" si="65"/>
        <v>1.9926207055139041E-5</v>
      </c>
      <c r="I478" s="7">
        <f t="shared" si="66"/>
        <v>1158916576932337.8</v>
      </c>
      <c r="J478" s="6">
        <f t="shared" si="67"/>
        <v>1.0226038455893147</v>
      </c>
      <c r="K478" s="7">
        <f>J478*H478*首页!$B$12/P478</f>
        <v>0.69532757496605813</v>
      </c>
      <c r="L478" s="6">
        <f>首页!$B$9*0.0000000567*((C478^4-D478^4)/(C478-D478))</f>
        <v>7.7687338005019564</v>
      </c>
      <c r="M478" s="6">
        <f>IF(首页!$B$13="自然对流",IF(首页!$B$14="立式圆筒",首页!$B$10,PI()*B478/2),PI()*B478/2)</f>
        <v>55.2</v>
      </c>
      <c r="N478" s="7">
        <f>IF(首页!$B$13="强制对流",首页!$B$11*M478/H478,0)</f>
        <v>0</v>
      </c>
      <c r="O478" s="6">
        <f>IF(首页!$B$13="自然对流",IF(首页!$B$14="立式圆筒",(0.825+0.3063*I478^(1/6))^2+0.87*(M478/B478),(0.752+0.303*I478^(1/6))^2),0.3+SQRT((0.592*N478^0.5)^2+(0.0262*N478^0.8/(1-0.5/N478^0.1))^2))</f>
        <v>10064.258159595312</v>
      </c>
      <c r="P478" s="6">
        <f t="shared" si="68"/>
        <v>2.9510194925512497E-2</v>
      </c>
      <c r="Q478" s="6">
        <f t="shared" si="69"/>
        <v>5.3804025375061109</v>
      </c>
      <c r="R478" s="6">
        <f t="shared" si="70"/>
        <v>13.149136338008066</v>
      </c>
      <c r="S478" s="6">
        <f>B478*LN(B478/首页!$B$4)</f>
        <v>2.3283325348320307</v>
      </c>
      <c r="T478" s="6">
        <f>2*首页!$B$8*(E478-C478)/(R478*(C478-D478))</f>
        <v>7.0967238512807465E-2</v>
      </c>
      <c r="U478" t="str">
        <f>IF(首页!$B$13="自然对流","按自然对流公式", "按强制对流公式")</f>
        <v>按自然对流公式</v>
      </c>
      <c r="V478" s="6">
        <f t="shared" si="71"/>
        <v>2.2573652963192234</v>
      </c>
    </row>
    <row r="479" spans="1:22" x14ac:dyDescent="0.15">
      <c r="A479">
        <v>474</v>
      </c>
      <c r="B479" s="6">
        <f>首页!$B$4+2*A479/1000</f>
        <v>1.0680000000000001</v>
      </c>
      <c r="C479" s="6">
        <f>首页!$B$7+273.15</f>
        <v>388.15</v>
      </c>
      <c r="D479" s="6">
        <f>首页!$B$6+273.15</f>
        <v>293.14999999999998</v>
      </c>
      <c r="E479" s="6">
        <f>首页!$B$5+273.15</f>
        <v>1373.15</v>
      </c>
      <c r="F479" s="6">
        <f t="shared" si="63"/>
        <v>95</v>
      </c>
      <c r="G479" s="6">
        <f t="shared" si="64"/>
        <v>340.65</v>
      </c>
      <c r="H479" s="6">
        <f t="shared" si="65"/>
        <v>1.9926207055139041E-5</v>
      </c>
      <c r="I479" s="7">
        <f t="shared" si="66"/>
        <v>1158916576932337.8</v>
      </c>
      <c r="J479" s="6">
        <f t="shared" si="67"/>
        <v>1.0226038455893147</v>
      </c>
      <c r="K479" s="7">
        <f>J479*H479*首页!$B$12/P479</f>
        <v>0.69532757496605813</v>
      </c>
      <c r="L479" s="6">
        <f>首页!$B$9*0.0000000567*((C479^4-D479^4)/(C479-D479))</f>
        <v>7.7687338005019564</v>
      </c>
      <c r="M479" s="6">
        <f>IF(首页!$B$13="自然对流",IF(首页!$B$14="立式圆筒",首页!$B$10,PI()*B479/2),PI()*B479/2)</f>
        <v>55.2</v>
      </c>
      <c r="N479" s="7">
        <f>IF(首页!$B$13="强制对流",首页!$B$11*M479/H479,0)</f>
        <v>0</v>
      </c>
      <c r="O479" s="6">
        <f>IF(首页!$B$13="自然对流",IF(首页!$B$14="立式圆筒",(0.825+0.3063*I479^(1/6))^2+0.87*(M479/B479),(0.752+0.303*I479^(1/6))^2),0.3+SQRT((0.592*N479^0.5)^2+(0.0262*N479^0.8/(1-0.5/N479^0.1))^2))</f>
        <v>10064.173795069732</v>
      </c>
      <c r="P479" s="6">
        <f t="shared" si="68"/>
        <v>2.9510194925512497E-2</v>
      </c>
      <c r="Q479" s="6">
        <f t="shared" si="69"/>
        <v>5.3803574358105548</v>
      </c>
      <c r="R479" s="6">
        <f t="shared" si="70"/>
        <v>13.149091236312511</v>
      </c>
      <c r="S479" s="6">
        <f>B479*LN(B479/首页!$B$4)</f>
        <v>2.3347027635562849</v>
      </c>
      <c r="T479" s="6">
        <f>2*首页!$B$8*(E479-C479)/(R479*(C479-D479))</f>
        <v>7.0967481932122781E-2</v>
      </c>
      <c r="U479" t="str">
        <f>IF(首页!$B$13="自然对流","按自然对流公式", "按强制对流公式")</f>
        <v>按自然对流公式</v>
      </c>
      <c r="V479" s="6">
        <f t="shared" si="71"/>
        <v>2.2637352816241623</v>
      </c>
    </row>
    <row r="480" spans="1:22" x14ac:dyDescent="0.15">
      <c r="A480">
        <v>475</v>
      </c>
      <c r="B480" s="6">
        <f>首页!$B$4+2*A480/1000</f>
        <v>1.0699999999999998</v>
      </c>
      <c r="C480" s="6">
        <f>首页!$B$7+273.15</f>
        <v>388.15</v>
      </c>
      <c r="D480" s="6">
        <f>首页!$B$6+273.15</f>
        <v>293.14999999999998</v>
      </c>
      <c r="E480" s="6">
        <f>首页!$B$5+273.15</f>
        <v>1373.15</v>
      </c>
      <c r="F480" s="6">
        <f t="shared" si="63"/>
        <v>95</v>
      </c>
      <c r="G480" s="6">
        <f t="shared" si="64"/>
        <v>340.65</v>
      </c>
      <c r="H480" s="6">
        <f t="shared" si="65"/>
        <v>1.9926207055139041E-5</v>
      </c>
      <c r="I480" s="7">
        <f t="shared" si="66"/>
        <v>1158916576932337.8</v>
      </c>
      <c r="J480" s="6">
        <f t="shared" si="67"/>
        <v>1.0226038455893147</v>
      </c>
      <c r="K480" s="7">
        <f>J480*H480*首页!$B$12/P480</f>
        <v>0.69532757496605813</v>
      </c>
      <c r="L480" s="6">
        <f>首页!$B$9*0.0000000567*((C480^4-D480^4)/(C480-D480))</f>
        <v>7.7687338005019564</v>
      </c>
      <c r="M480" s="6">
        <f>IF(首页!$B$13="自然对流",IF(首页!$B$14="立式圆筒",首页!$B$10,PI()*B480/2),PI()*B480/2)</f>
        <v>55.2</v>
      </c>
      <c r="N480" s="7">
        <f>IF(首页!$B$13="强制对流",首页!$B$11*M480/H480,0)</f>
        <v>0</v>
      </c>
      <c r="O480" s="6">
        <f>IF(首页!$B$13="自然对流",IF(首页!$B$14="立式圆筒",(0.825+0.3063*I480^(1/6))^2+0.87*(M480/B480),(0.752+0.303*I480^(1/6))^2),0.3+SQRT((0.592*N480^0.5)^2+(0.0262*N480^0.8/(1-0.5/N480^0.1))^2))</f>
        <v>10064.089745925554</v>
      </c>
      <c r="P480" s="6">
        <f t="shared" si="68"/>
        <v>2.9510194925512497E-2</v>
      </c>
      <c r="Q480" s="6">
        <f t="shared" si="69"/>
        <v>5.3803125027194678</v>
      </c>
      <c r="R480" s="6">
        <f t="shared" si="70"/>
        <v>13.149046303221425</v>
      </c>
      <c r="S480" s="6">
        <f>B480*LN(B480/首页!$B$4)</f>
        <v>2.341076737601079</v>
      </c>
      <c r="T480" s="6">
        <f>2*首页!$B$8*(E480-C480)/(R480*(C480-D480))</f>
        <v>7.096772444311987E-2</v>
      </c>
      <c r="U480" t="str">
        <f>IF(首页!$B$13="自然对流","按自然对流公式", "按强制对流公式")</f>
        <v>按自然对流公式</v>
      </c>
      <c r="V480" s="6">
        <f t="shared" si="71"/>
        <v>2.2701090131579593</v>
      </c>
    </row>
    <row r="481" spans="1:22" x14ac:dyDescent="0.15">
      <c r="A481">
        <v>476</v>
      </c>
      <c r="B481" s="6">
        <f>首页!$B$4+2*A481/1000</f>
        <v>1.0720000000000001</v>
      </c>
      <c r="C481" s="6">
        <f>首页!$B$7+273.15</f>
        <v>388.15</v>
      </c>
      <c r="D481" s="6">
        <f>首页!$B$6+273.15</f>
        <v>293.14999999999998</v>
      </c>
      <c r="E481" s="6">
        <f>首页!$B$5+273.15</f>
        <v>1373.15</v>
      </c>
      <c r="F481" s="6">
        <f t="shared" si="63"/>
        <v>95</v>
      </c>
      <c r="G481" s="6">
        <f t="shared" si="64"/>
        <v>340.65</v>
      </c>
      <c r="H481" s="6">
        <f t="shared" si="65"/>
        <v>1.9926207055139041E-5</v>
      </c>
      <c r="I481" s="7">
        <f t="shared" si="66"/>
        <v>1158916576932337.8</v>
      </c>
      <c r="J481" s="6">
        <f t="shared" si="67"/>
        <v>1.0226038455893147</v>
      </c>
      <c r="K481" s="7">
        <f>J481*H481*首页!$B$12/P481</f>
        <v>0.69532757496605813</v>
      </c>
      <c r="L481" s="6">
        <f>首页!$B$9*0.0000000567*((C481^4-D481^4)/(C481-D481))</f>
        <v>7.7687338005019564</v>
      </c>
      <c r="M481" s="6">
        <f>IF(首页!$B$13="自然对流",IF(首页!$B$14="立式圆筒",首页!$B$10,PI()*B481/2),PI()*B481/2)</f>
        <v>55.2</v>
      </c>
      <c r="N481" s="7">
        <f>IF(首页!$B$13="强制对流",首页!$B$11*M481/H481,0)</f>
        <v>0</v>
      </c>
      <c r="O481" s="6">
        <f>IF(首页!$B$13="自然对流",IF(首页!$B$14="立式圆筒",(0.825+0.3063*I481^(1/6))^2+0.87*(M481/B481),(0.752+0.303*I481^(1/6))^2),0.3+SQRT((0.592*N481^0.5)^2+(0.0262*N481^0.8/(1-0.5/N481^0.1))^2))</f>
        <v>10064.006010397587</v>
      </c>
      <c r="P481" s="6">
        <f t="shared" si="68"/>
        <v>2.9510194925512497E-2</v>
      </c>
      <c r="Q481" s="6">
        <f t="shared" si="69"/>
        <v>5.3802677372891683</v>
      </c>
      <c r="R481" s="6">
        <f t="shared" si="70"/>
        <v>13.149001537791126</v>
      </c>
      <c r="S481" s="6">
        <f>B481*LN(B481/首页!$B$4)</f>
        <v>2.3474544499658081</v>
      </c>
      <c r="T481" s="6">
        <f>2*首页!$B$8*(E481-C481)/(R481*(C481-D481))</f>
        <v>7.0967966050873355E-2</v>
      </c>
      <c r="U481" t="str">
        <f>IF(首页!$B$13="自然对流","按自然对流公式", "按强制对流公式")</f>
        <v>按自然对流公式</v>
      </c>
      <c r="V481" s="6">
        <f t="shared" si="71"/>
        <v>2.2764864839149346</v>
      </c>
    </row>
    <row r="482" spans="1:22" x14ac:dyDescent="0.15">
      <c r="A482">
        <v>477</v>
      </c>
      <c r="B482" s="6">
        <f>首页!$B$4+2*A482/1000</f>
        <v>1.0739999999999998</v>
      </c>
      <c r="C482" s="6">
        <f>首页!$B$7+273.15</f>
        <v>388.15</v>
      </c>
      <c r="D482" s="6">
        <f>首页!$B$6+273.15</f>
        <v>293.14999999999998</v>
      </c>
      <c r="E482" s="6">
        <f>首页!$B$5+273.15</f>
        <v>1373.15</v>
      </c>
      <c r="F482" s="6">
        <f t="shared" si="63"/>
        <v>95</v>
      </c>
      <c r="G482" s="6">
        <f t="shared" si="64"/>
        <v>340.65</v>
      </c>
      <c r="H482" s="6">
        <f t="shared" si="65"/>
        <v>1.9926207055139041E-5</v>
      </c>
      <c r="I482" s="7">
        <f t="shared" si="66"/>
        <v>1158916576932337.8</v>
      </c>
      <c r="J482" s="6">
        <f t="shared" si="67"/>
        <v>1.0226038455893147</v>
      </c>
      <c r="K482" s="7">
        <f>J482*H482*首页!$B$12/P482</f>
        <v>0.69532757496605813</v>
      </c>
      <c r="L482" s="6">
        <f>首页!$B$9*0.0000000567*((C482^4-D482^4)/(C482-D482))</f>
        <v>7.7687338005019564</v>
      </c>
      <c r="M482" s="6">
        <f>IF(首页!$B$13="自然对流",IF(首页!$B$14="立式圆筒",首页!$B$10,PI()*B482/2),PI()*B482/2)</f>
        <v>55.2</v>
      </c>
      <c r="N482" s="7">
        <f>IF(首页!$B$13="强制对流",首页!$B$11*M482/H482,0)</f>
        <v>0</v>
      </c>
      <c r="O482" s="6">
        <f>IF(首页!$B$13="自然对流",IF(首页!$B$14="立式圆筒",(0.825+0.3063*I482^(1/6))^2+0.87*(M482/B482),(0.752+0.303*I482^(1/6))^2),0.3+SQRT((0.592*N482^0.5)^2+(0.0262*N482^0.8/(1-0.5/N482^0.1))^2))</f>
        <v>10063.922586733783</v>
      </c>
      <c r="P482" s="6">
        <f t="shared" si="68"/>
        <v>2.9510194925512497E-2</v>
      </c>
      <c r="Q482" s="6">
        <f t="shared" si="69"/>
        <v>5.3802231385830046</v>
      </c>
      <c r="R482" s="6">
        <f t="shared" si="70"/>
        <v>13.148956939084961</v>
      </c>
      <c r="S482" s="6">
        <f>B482*LN(B482/首页!$B$4)</f>
        <v>2.3538358936759844</v>
      </c>
      <c r="T482" s="6">
        <f>2*首页!$B$8*(E482-C482)/(R482*(C482-D482))</f>
        <v>7.0968206760420094E-2</v>
      </c>
      <c r="U482" t="str">
        <f>IF(首页!$B$13="自然对流","按自然对流公式", "按强制对流公式")</f>
        <v>按自然对流公式</v>
      </c>
      <c r="V482" s="6">
        <f t="shared" si="71"/>
        <v>2.2828676869155644</v>
      </c>
    </row>
    <row r="483" spans="1:22" x14ac:dyDescent="0.15">
      <c r="A483">
        <v>478</v>
      </c>
      <c r="B483" s="6">
        <f>首页!$B$4+2*A483/1000</f>
        <v>1.0760000000000001</v>
      </c>
      <c r="C483" s="6">
        <f>首页!$B$7+273.15</f>
        <v>388.15</v>
      </c>
      <c r="D483" s="6">
        <f>首页!$B$6+273.15</f>
        <v>293.14999999999998</v>
      </c>
      <c r="E483" s="6">
        <f>首页!$B$5+273.15</f>
        <v>1373.15</v>
      </c>
      <c r="F483" s="6">
        <f t="shared" si="63"/>
        <v>95</v>
      </c>
      <c r="G483" s="6">
        <f t="shared" si="64"/>
        <v>340.65</v>
      </c>
      <c r="H483" s="6">
        <f t="shared" si="65"/>
        <v>1.9926207055139041E-5</v>
      </c>
      <c r="I483" s="7">
        <f t="shared" si="66"/>
        <v>1158916576932337.8</v>
      </c>
      <c r="J483" s="6">
        <f t="shared" si="67"/>
        <v>1.0226038455893147</v>
      </c>
      <c r="K483" s="7">
        <f>J483*H483*首页!$B$12/P483</f>
        <v>0.69532757496605813</v>
      </c>
      <c r="L483" s="6">
        <f>首页!$B$9*0.0000000567*((C483^4-D483^4)/(C483-D483))</f>
        <v>7.7687338005019564</v>
      </c>
      <c r="M483" s="6">
        <f>IF(首页!$B$13="自然对流",IF(首页!$B$14="立式圆筒",首页!$B$10,PI()*B483/2),PI()*B483/2)</f>
        <v>55.2</v>
      </c>
      <c r="N483" s="7">
        <f>IF(首页!$B$13="强制对流",首页!$B$11*M483/H483,0)</f>
        <v>0</v>
      </c>
      <c r="O483" s="6">
        <f>IF(首页!$B$13="自然对流",IF(首页!$B$14="立式圆筒",(0.825+0.3063*I483^(1/6))^2+0.87*(M483/B483),(0.752+0.303*I483^(1/6))^2),0.3+SQRT((0.592*N483^0.5)^2+(0.0262*N483^0.8/(1-0.5/N483^0.1))^2))</f>
        <v>10063.839473195123</v>
      </c>
      <c r="P483" s="6">
        <f t="shared" si="68"/>
        <v>2.9510194925512497E-2</v>
      </c>
      <c r="Q483" s="6">
        <f t="shared" si="69"/>
        <v>5.3801787056712875</v>
      </c>
      <c r="R483" s="6">
        <f t="shared" si="70"/>
        <v>13.148912506173243</v>
      </c>
      <c r="S483" s="6">
        <f>B483*LN(B483/首页!$B$4)</f>
        <v>2.3602210617830996</v>
      </c>
      <c r="T483" s="6">
        <f>2*首页!$B$8*(E483-C483)/(R483*(C483-D483))</f>
        <v>7.0968446576759603E-2</v>
      </c>
      <c r="U483" t="str">
        <f>IF(首页!$B$13="自然对流","按自然对流公式", "按强制对流公式")</f>
        <v>按自然对流公式</v>
      </c>
      <c r="V483" s="6">
        <f t="shared" si="71"/>
        <v>2.2892526152063399</v>
      </c>
    </row>
    <row r="484" spans="1:22" x14ac:dyDescent="0.15">
      <c r="A484">
        <v>479</v>
      </c>
      <c r="B484" s="6">
        <f>首页!$B$4+2*A484/1000</f>
        <v>1.0779999999999998</v>
      </c>
      <c r="C484" s="6">
        <f>首页!$B$7+273.15</f>
        <v>388.15</v>
      </c>
      <c r="D484" s="6">
        <f>首页!$B$6+273.15</f>
        <v>293.14999999999998</v>
      </c>
      <c r="E484" s="6">
        <f>首页!$B$5+273.15</f>
        <v>1373.15</v>
      </c>
      <c r="F484" s="6">
        <f t="shared" si="63"/>
        <v>95</v>
      </c>
      <c r="G484" s="6">
        <f t="shared" si="64"/>
        <v>340.65</v>
      </c>
      <c r="H484" s="6">
        <f t="shared" si="65"/>
        <v>1.9926207055139041E-5</v>
      </c>
      <c r="I484" s="7">
        <f t="shared" si="66"/>
        <v>1158916576932337.8</v>
      </c>
      <c r="J484" s="6">
        <f t="shared" si="67"/>
        <v>1.0226038455893147</v>
      </c>
      <c r="K484" s="7">
        <f>J484*H484*首页!$B$12/P484</f>
        <v>0.69532757496605813</v>
      </c>
      <c r="L484" s="6">
        <f>首页!$B$9*0.0000000567*((C484^4-D484^4)/(C484-D484))</f>
        <v>7.7687338005019564</v>
      </c>
      <c r="M484" s="6">
        <f>IF(首页!$B$13="自然对流",IF(首页!$B$14="立式圆筒",首页!$B$10,PI()*B484/2),PI()*B484/2)</f>
        <v>55.2</v>
      </c>
      <c r="N484" s="7">
        <f>IF(首页!$B$13="强制对流",首页!$B$11*M484/H484,0)</f>
        <v>0</v>
      </c>
      <c r="O484" s="6">
        <f>IF(首页!$B$13="自然对流",IF(首页!$B$14="立式圆筒",(0.825+0.3063*I484^(1/6))^2+0.87*(M484/B484),(0.752+0.303*I484^(1/6))^2),0.3+SQRT((0.592*N484^0.5)^2+(0.0262*N484^0.8/(1-0.5/N484^0.1))^2))</f>
        <v>10063.756668055494</v>
      </c>
      <c r="P484" s="6">
        <f t="shared" si="68"/>
        <v>2.9510194925512497E-2</v>
      </c>
      <c r="Q484" s="6">
        <f t="shared" si="69"/>
        <v>5.3801344376312272</v>
      </c>
      <c r="R484" s="6">
        <f t="shared" si="70"/>
        <v>13.148868238133183</v>
      </c>
      <c r="S484" s="6">
        <f>B484*LN(B484/首页!$B$4)</f>
        <v>2.3666099473644739</v>
      </c>
      <c r="T484" s="6">
        <f>2*首页!$B$8*(E484-C484)/(R484*(C484-D484))</f>
        <v>7.0968685504854356E-2</v>
      </c>
      <c r="U484" t="str">
        <f>IF(首页!$B$13="自然对流","按自然对流公式", "按强制对流公式")</f>
        <v>按自然对流公式</v>
      </c>
      <c r="V484" s="6">
        <f t="shared" si="71"/>
        <v>2.2956412618596196</v>
      </c>
    </row>
    <row r="485" spans="1:22" x14ac:dyDescent="0.15">
      <c r="A485">
        <v>480</v>
      </c>
      <c r="B485" s="6">
        <f>首页!$B$4+2*A485/1000</f>
        <v>1.08</v>
      </c>
      <c r="C485" s="6">
        <f>首页!$B$7+273.15</f>
        <v>388.15</v>
      </c>
      <c r="D485" s="6">
        <f>首页!$B$6+273.15</f>
        <v>293.14999999999998</v>
      </c>
      <c r="E485" s="6">
        <f>首页!$B$5+273.15</f>
        <v>1373.15</v>
      </c>
      <c r="F485" s="6">
        <f t="shared" si="63"/>
        <v>95</v>
      </c>
      <c r="G485" s="6">
        <f t="shared" si="64"/>
        <v>340.65</v>
      </c>
      <c r="H485" s="6">
        <f t="shared" si="65"/>
        <v>1.9926207055139041E-5</v>
      </c>
      <c r="I485" s="7">
        <f t="shared" si="66"/>
        <v>1158916576932337.8</v>
      </c>
      <c r="J485" s="6">
        <f t="shared" si="67"/>
        <v>1.0226038455893147</v>
      </c>
      <c r="K485" s="7">
        <f>J485*H485*首页!$B$12/P485</f>
        <v>0.69532757496605813</v>
      </c>
      <c r="L485" s="6">
        <f>首页!$B$9*0.0000000567*((C485^4-D485^4)/(C485-D485))</f>
        <v>7.7687338005019564</v>
      </c>
      <c r="M485" s="6">
        <f>IF(首页!$B$13="自然对流",IF(首页!$B$14="立式圆筒",首页!$B$10,PI()*B485/2),PI()*B485/2)</f>
        <v>55.2</v>
      </c>
      <c r="N485" s="7">
        <f>IF(首页!$B$13="强制对流",首页!$B$11*M485/H485,0)</f>
        <v>0</v>
      </c>
      <c r="O485" s="6">
        <f>IF(首页!$B$13="自然对流",IF(首页!$B$14="立式圆筒",(0.825+0.3063*I485^(1/6))^2+0.87*(M485/B485),(0.752+0.303*I485^(1/6))^2),0.3+SQRT((0.592*N485^0.5)^2+(0.0262*N485^0.8/(1-0.5/N485^0.1))^2))</f>
        <v>10063.674169601567</v>
      </c>
      <c r="P485" s="6">
        <f t="shared" si="68"/>
        <v>2.9510194925512497E-2</v>
      </c>
      <c r="Q485" s="6">
        <f t="shared" si="69"/>
        <v>5.3800903335468719</v>
      </c>
      <c r="R485" s="6">
        <f t="shared" si="70"/>
        <v>13.148824134048828</v>
      </c>
      <c r="S485" s="6">
        <f>B485*LN(B485/首页!$B$4)</f>
        <v>2.3730025435231172</v>
      </c>
      <c r="T485" s="6">
        <f>2*首页!$B$8*(E485-C485)/(R485*(C485-D485))</f>
        <v>7.0968923549630067E-2</v>
      </c>
      <c r="U485" t="str">
        <f>IF(首页!$B$13="自然对流","按自然对流公式", "按强制对流公式")</f>
        <v>按自然对流公式</v>
      </c>
      <c r="V485" s="6">
        <f t="shared" si="71"/>
        <v>2.302033619973487</v>
      </c>
    </row>
    <row r="486" spans="1:22" x14ac:dyDescent="0.15">
      <c r="A486">
        <v>481</v>
      </c>
      <c r="B486" s="6">
        <f>首页!$B$4+2*A486/1000</f>
        <v>1.0819999999999999</v>
      </c>
      <c r="C486" s="6">
        <f>首页!$B$7+273.15</f>
        <v>388.15</v>
      </c>
      <c r="D486" s="6">
        <f>首页!$B$6+273.15</f>
        <v>293.14999999999998</v>
      </c>
      <c r="E486" s="6">
        <f>首页!$B$5+273.15</f>
        <v>1373.15</v>
      </c>
      <c r="F486" s="6">
        <f t="shared" si="63"/>
        <v>95</v>
      </c>
      <c r="G486" s="6">
        <f t="shared" si="64"/>
        <v>340.65</v>
      </c>
      <c r="H486" s="6">
        <f t="shared" si="65"/>
        <v>1.9926207055139041E-5</v>
      </c>
      <c r="I486" s="7">
        <f t="shared" si="66"/>
        <v>1158916576932337.8</v>
      </c>
      <c r="J486" s="6">
        <f t="shared" si="67"/>
        <v>1.0226038455893147</v>
      </c>
      <c r="K486" s="7">
        <f>J486*H486*首页!$B$12/P486</f>
        <v>0.69532757496605813</v>
      </c>
      <c r="L486" s="6">
        <f>首页!$B$9*0.0000000567*((C486^4-D486^4)/(C486-D486))</f>
        <v>7.7687338005019564</v>
      </c>
      <c r="M486" s="6">
        <f>IF(首页!$B$13="自然对流",IF(首页!$B$14="立式圆筒",首页!$B$10,PI()*B486/2),PI()*B486/2)</f>
        <v>55.2</v>
      </c>
      <c r="N486" s="7">
        <f>IF(首页!$B$13="强制对流",首页!$B$11*M486/H486,0)</f>
        <v>0</v>
      </c>
      <c r="O486" s="6">
        <f>IF(首页!$B$13="自然对流",IF(首页!$B$14="立式圆筒",(0.825+0.3063*I486^(1/6))^2+0.87*(M486/B486),(0.752+0.303*I486^(1/6))^2),0.3+SQRT((0.592*N486^0.5)^2+(0.0262*N486^0.8/(1-0.5/N486^0.1))^2))</f>
        <v>10063.591976132682</v>
      </c>
      <c r="P486" s="6">
        <f t="shared" si="68"/>
        <v>2.9510194925512497E-2</v>
      </c>
      <c r="Q486" s="6">
        <f t="shared" si="69"/>
        <v>5.3800463925090396</v>
      </c>
      <c r="R486" s="6">
        <f t="shared" si="70"/>
        <v>13.148780193010996</v>
      </c>
      <c r="S486" s="6">
        <f>B486*LN(B486/首页!$B$4)</f>
        <v>2.3793988433875795</v>
      </c>
      <c r="T486" s="6">
        <f>2*首页!$B$8*(E486-C486)/(R486*(C486-D486))</f>
        <v>7.0969160715976212E-2</v>
      </c>
      <c r="U486" t="str">
        <f>IF(首页!$B$13="自然对流","按自然对流公式", "按强制对流公式")</f>
        <v>按自然对流公式</v>
      </c>
      <c r="V486" s="6">
        <f t="shared" si="71"/>
        <v>2.3084296826716031</v>
      </c>
    </row>
    <row r="487" spans="1:22" x14ac:dyDescent="0.15">
      <c r="A487">
        <v>482</v>
      </c>
      <c r="B487" s="6">
        <f>首页!$B$4+2*A487/1000</f>
        <v>1.0840000000000001</v>
      </c>
      <c r="C487" s="6">
        <f>首页!$B$7+273.15</f>
        <v>388.15</v>
      </c>
      <c r="D487" s="6">
        <f>首页!$B$6+273.15</f>
        <v>293.14999999999998</v>
      </c>
      <c r="E487" s="6">
        <f>首页!$B$5+273.15</f>
        <v>1373.15</v>
      </c>
      <c r="F487" s="6">
        <f t="shared" si="63"/>
        <v>95</v>
      </c>
      <c r="G487" s="6">
        <f t="shared" si="64"/>
        <v>340.65</v>
      </c>
      <c r="H487" s="6">
        <f t="shared" si="65"/>
        <v>1.9926207055139041E-5</v>
      </c>
      <c r="I487" s="7">
        <f t="shared" si="66"/>
        <v>1158916576932337.8</v>
      </c>
      <c r="J487" s="6">
        <f t="shared" si="67"/>
        <v>1.0226038455893147</v>
      </c>
      <c r="K487" s="7">
        <f>J487*H487*首页!$B$12/P487</f>
        <v>0.69532757496605813</v>
      </c>
      <c r="L487" s="6">
        <f>首页!$B$9*0.0000000567*((C487^4-D487^4)/(C487-D487))</f>
        <v>7.7687338005019564</v>
      </c>
      <c r="M487" s="6">
        <f>IF(首页!$B$13="自然对流",IF(首页!$B$14="立式圆筒",首页!$B$10,PI()*B487/2),PI()*B487/2)</f>
        <v>55.2</v>
      </c>
      <c r="N487" s="7">
        <f>IF(首页!$B$13="强制对流",首页!$B$11*M487/H487,0)</f>
        <v>0</v>
      </c>
      <c r="O487" s="6">
        <f>IF(首页!$B$13="自然对流",IF(首页!$B$14="立式圆筒",(0.825+0.3063*I487^(1/6))^2+0.87*(M487/B487),(0.752+0.303*I487^(1/6))^2),0.3+SQRT((0.592*N487^0.5)^2+(0.0262*N487^0.8/(1-0.5/N487^0.1))^2))</f>
        <v>10063.51008596073</v>
      </c>
      <c r="P487" s="6">
        <f t="shared" si="68"/>
        <v>2.9510194925512497E-2</v>
      </c>
      <c r="Q487" s="6">
        <f t="shared" si="69"/>
        <v>5.3800026136152566</v>
      </c>
      <c r="R487" s="6">
        <f t="shared" si="70"/>
        <v>13.148736414117213</v>
      </c>
      <c r="S487" s="6">
        <f>B487*LN(B487/首页!$B$4)</f>
        <v>2.3857988401118195</v>
      </c>
      <c r="T487" s="6">
        <f>2*首页!$B$8*(E487-C487)/(R487*(C487-D487))</f>
        <v>7.0969397008746188E-2</v>
      </c>
      <c r="U487" t="str">
        <f>IF(首页!$B$13="自然对流","按自然对流公式", "按强制对流公式")</f>
        <v>按自然对流公式</v>
      </c>
      <c r="V487" s="6">
        <f t="shared" si="71"/>
        <v>2.3148294431030734</v>
      </c>
    </row>
    <row r="488" spans="1:22" x14ac:dyDescent="0.15">
      <c r="A488">
        <v>483</v>
      </c>
      <c r="B488" s="6">
        <f>首页!$B$4+2*A488/1000</f>
        <v>1.0859999999999999</v>
      </c>
      <c r="C488" s="6">
        <f>首页!$B$7+273.15</f>
        <v>388.15</v>
      </c>
      <c r="D488" s="6">
        <f>首页!$B$6+273.15</f>
        <v>293.14999999999998</v>
      </c>
      <c r="E488" s="6">
        <f>首页!$B$5+273.15</f>
        <v>1373.15</v>
      </c>
      <c r="F488" s="6">
        <f t="shared" si="63"/>
        <v>95</v>
      </c>
      <c r="G488" s="6">
        <f t="shared" si="64"/>
        <v>340.65</v>
      </c>
      <c r="H488" s="6">
        <f t="shared" si="65"/>
        <v>1.9926207055139041E-5</v>
      </c>
      <c r="I488" s="7">
        <f t="shared" si="66"/>
        <v>1158916576932337.8</v>
      </c>
      <c r="J488" s="6">
        <f t="shared" si="67"/>
        <v>1.0226038455893147</v>
      </c>
      <c r="K488" s="7">
        <f>J488*H488*首页!$B$12/P488</f>
        <v>0.69532757496605813</v>
      </c>
      <c r="L488" s="6">
        <f>首页!$B$9*0.0000000567*((C488^4-D488^4)/(C488-D488))</f>
        <v>7.7687338005019564</v>
      </c>
      <c r="M488" s="6">
        <f>IF(首页!$B$13="自然对流",IF(首页!$B$14="立式圆筒",首页!$B$10,PI()*B488/2),PI()*B488/2)</f>
        <v>55.2</v>
      </c>
      <c r="N488" s="7">
        <f>IF(首页!$B$13="强制对流",首页!$B$11*M488/H488,0)</f>
        <v>0</v>
      </c>
      <c r="O488" s="6">
        <f>IF(首页!$B$13="自然对流",IF(首页!$B$14="立式圆筒",(0.825+0.3063*I488^(1/6))^2+0.87*(M488/B488),(0.752+0.303*I488^(1/6))^2),0.3+SQRT((0.592*N488^0.5)^2+(0.0262*N488^0.8/(1-0.5/N488^0.1))^2))</f>
        <v>10063.428497410037</v>
      </c>
      <c r="P488" s="6">
        <f t="shared" si="68"/>
        <v>2.9510194925512497E-2</v>
      </c>
      <c r="Q488" s="6">
        <f t="shared" si="69"/>
        <v>5.3799589959697007</v>
      </c>
      <c r="R488" s="6">
        <f t="shared" si="70"/>
        <v>13.148692796471657</v>
      </c>
      <c r="S488" s="6">
        <f>B488*LN(B488/首页!$B$4)</f>
        <v>2.3922025268750522</v>
      </c>
      <c r="T488" s="6">
        <f>2*首页!$B$8*(E488-C488)/(R488*(C488-D488))</f>
        <v>7.0969632432757668E-2</v>
      </c>
      <c r="U488" t="str">
        <f>IF(首页!$B$13="自然对流","按自然对流公式", "按强制对流公式")</f>
        <v>按自然对流公式</v>
      </c>
      <c r="V488" s="6">
        <f t="shared" si="71"/>
        <v>2.3212328944422946</v>
      </c>
    </row>
    <row r="489" spans="1:22" x14ac:dyDescent="0.15">
      <c r="A489">
        <v>484</v>
      </c>
      <c r="B489" s="6">
        <f>首页!$B$4+2*A489/1000</f>
        <v>1.0880000000000001</v>
      </c>
      <c r="C489" s="6">
        <f>首页!$B$7+273.15</f>
        <v>388.15</v>
      </c>
      <c r="D489" s="6">
        <f>首页!$B$6+273.15</f>
        <v>293.14999999999998</v>
      </c>
      <c r="E489" s="6">
        <f>首页!$B$5+273.15</f>
        <v>1373.15</v>
      </c>
      <c r="F489" s="6">
        <f t="shared" si="63"/>
        <v>95</v>
      </c>
      <c r="G489" s="6">
        <f t="shared" si="64"/>
        <v>340.65</v>
      </c>
      <c r="H489" s="6">
        <f t="shared" si="65"/>
        <v>1.9926207055139041E-5</v>
      </c>
      <c r="I489" s="7">
        <f t="shared" si="66"/>
        <v>1158916576932337.8</v>
      </c>
      <c r="J489" s="6">
        <f t="shared" si="67"/>
        <v>1.0226038455893147</v>
      </c>
      <c r="K489" s="7">
        <f>J489*H489*首页!$B$12/P489</f>
        <v>0.69532757496605813</v>
      </c>
      <c r="L489" s="6">
        <f>首页!$B$9*0.0000000567*((C489^4-D489^4)/(C489-D489))</f>
        <v>7.7687338005019564</v>
      </c>
      <c r="M489" s="6">
        <f>IF(首页!$B$13="自然对流",IF(首页!$B$14="立式圆筒",首页!$B$10,PI()*B489/2),PI()*B489/2)</f>
        <v>55.2</v>
      </c>
      <c r="N489" s="7">
        <f>IF(首页!$B$13="强制对流",首页!$B$11*M489/H489,0)</f>
        <v>0</v>
      </c>
      <c r="O489" s="6">
        <f>IF(首页!$B$13="自然对流",IF(首页!$B$14="立式圆筒",(0.825+0.3063*I489^(1/6))^2+0.87*(M489/B489),(0.752+0.303*I489^(1/6))^2),0.3+SQRT((0.592*N489^0.5)^2+(0.0262*N489^0.8/(1-0.5/N489^0.1))^2))</f>
        <v>10063.347208817253</v>
      </c>
      <c r="P489" s="6">
        <f t="shared" si="68"/>
        <v>2.9510194925512497E-2</v>
      </c>
      <c r="Q489" s="6">
        <f t="shared" si="69"/>
        <v>5.3799155386831385</v>
      </c>
      <c r="R489" s="6">
        <f t="shared" si="70"/>
        <v>13.148649339185095</v>
      </c>
      <c r="S489" s="6">
        <f>B489*LN(B489/首页!$B$4)</f>
        <v>2.3986098968816205</v>
      </c>
      <c r="T489" s="6">
        <f>2*首页!$B$8*(E489-C489)/(R489*(C489-D489))</f>
        <v>7.0969866992793021E-2</v>
      </c>
      <c r="U489" t="str">
        <f>IF(首页!$B$13="自然对流","按自然对流公式", "按强制对流公式")</f>
        <v>按自然对流公式</v>
      </c>
      <c r="V489" s="6">
        <f t="shared" si="71"/>
        <v>2.3276400298888276</v>
      </c>
    </row>
    <row r="490" spans="1:22" x14ac:dyDescent="0.15">
      <c r="A490">
        <v>485</v>
      </c>
      <c r="B490" s="6">
        <f>首页!$B$4+2*A490/1000</f>
        <v>1.0899999999999999</v>
      </c>
      <c r="C490" s="6">
        <f>首页!$B$7+273.15</f>
        <v>388.15</v>
      </c>
      <c r="D490" s="6">
        <f>首页!$B$6+273.15</f>
        <v>293.14999999999998</v>
      </c>
      <c r="E490" s="6">
        <f>首页!$B$5+273.15</f>
        <v>1373.15</v>
      </c>
      <c r="F490" s="6">
        <f t="shared" si="63"/>
        <v>95</v>
      </c>
      <c r="G490" s="6">
        <f t="shared" si="64"/>
        <v>340.65</v>
      </c>
      <c r="H490" s="6">
        <f t="shared" si="65"/>
        <v>1.9926207055139041E-5</v>
      </c>
      <c r="I490" s="7">
        <f t="shared" si="66"/>
        <v>1158916576932337.8</v>
      </c>
      <c r="J490" s="6">
        <f t="shared" si="67"/>
        <v>1.0226038455893147</v>
      </c>
      <c r="K490" s="7">
        <f>J490*H490*首页!$B$12/P490</f>
        <v>0.69532757496605813</v>
      </c>
      <c r="L490" s="6">
        <f>首页!$B$9*0.0000000567*((C490^4-D490^4)/(C490-D490))</f>
        <v>7.7687338005019564</v>
      </c>
      <c r="M490" s="6">
        <f>IF(首页!$B$13="自然对流",IF(首页!$B$14="立式圆筒",首页!$B$10,PI()*B490/2),PI()*B490/2)</f>
        <v>55.2</v>
      </c>
      <c r="N490" s="7">
        <f>IF(首页!$B$13="强制对流",首页!$B$11*M490/H490,0)</f>
        <v>0</v>
      </c>
      <c r="O490" s="6">
        <f>IF(首页!$B$13="自然对流",IF(首页!$B$14="立式圆筒",(0.825+0.3063*I490^(1/6))^2+0.87*(M490/B490),(0.752+0.303*I490^(1/6))^2),0.3+SQRT((0.592*N490^0.5)^2+(0.0262*N490^0.8/(1-0.5/N490^0.1))^2))</f>
        <v>10063.266218531229</v>
      </c>
      <c r="P490" s="6">
        <f t="shared" si="68"/>
        <v>2.9510194925512497E-2</v>
      </c>
      <c r="Q490" s="6">
        <f t="shared" si="69"/>
        <v>5.3798722408728548</v>
      </c>
      <c r="R490" s="6">
        <f t="shared" si="70"/>
        <v>13.148606041374812</v>
      </c>
      <c r="S490" s="6">
        <f>B490*LN(B490/首页!$B$4)</f>
        <v>2.4050209433608458</v>
      </c>
      <c r="T490" s="6">
        <f>2*首页!$B$8*(E490-C490)/(R490*(C490-D490))</f>
        <v>7.0970100693599575E-2</v>
      </c>
      <c r="U490" t="str">
        <f>IF(首页!$B$13="自然对流","按自然对流公式", "按强制对流公式")</f>
        <v>按自然对流公式</v>
      </c>
      <c r="V490" s="6">
        <f t="shared" si="71"/>
        <v>2.3340508426672462</v>
      </c>
    </row>
    <row r="491" spans="1:22" x14ac:dyDescent="0.15">
      <c r="A491">
        <v>486</v>
      </c>
      <c r="B491" s="6">
        <f>首页!$B$4+2*A491/1000</f>
        <v>1.0920000000000001</v>
      </c>
      <c r="C491" s="6">
        <f>首页!$B$7+273.15</f>
        <v>388.15</v>
      </c>
      <c r="D491" s="6">
        <f>首页!$B$6+273.15</f>
        <v>293.14999999999998</v>
      </c>
      <c r="E491" s="6">
        <f>首页!$B$5+273.15</f>
        <v>1373.15</v>
      </c>
      <c r="F491" s="6">
        <f t="shared" si="63"/>
        <v>95</v>
      </c>
      <c r="G491" s="6">
        <f t="shared" si="64"/>
        <v>340.65</v>
      </c>
      <c r="H491" s="6">
        <f t="shared" si="65"/>
        <v>1.9926207055139041E-5</v>
      </c>
      <c r="I491" s="7">
        <f t="shared" si="66"/>
        <v>1158916576932337.8</v>
      </c>
      <c r="J491" s="6">
        <f t="shared" si="67"/>
        <v>1.0226038455893147</v>
      </c>
      <c r="K491" s="7">
        <f>J491*H491*首页!$B$12/P491</f>
        <v>0.69532757496605813</v>
      </c>
      <c r="L491" s="6">
        <f>首页!$B$9*0.0000000567*((C491^4-D491^4)/(C491-D491))</f>
        <v>7.7687338005019564</v>
      </c>
      <c r="M491" s="6">
        <f>IF(首页!$B$13="自然对流",IF(首页!$B$14="立式圆筒",首页!$B$10,PI()*B491/2),PI()*B491/2)</f>
        <v>55.2</v>
      </c>
      <c r="N491" s="7">
        <f>IF(首页!$B$13="强制对流",首页!$B$11*M491/H491,0)</f>
        <v>0</v>
      </c>
      <c r="O491" s="6">
        <f>IF(首页!$B$13="自然对流",IF(首页!$B$14="立式圆筒",(0.825+0.3063*I491^(1/6))^2+0.87*(M491/B491),(0.752+0.303*I491^(1/6))^2),0.3+SQRT((0.592*N491^0.5)^2+(0.0262*N491^0.8/(1-0.5/N491^0.1))^2))</f>
        <v>10063.185524912922</v>
      </c>
      <c r="P491" s="6">
        <f t="shared" si="68"/>
        <v>2.9510194925512497E-2</v>
      </c>
      <c r="Q491" s="6">
        <f t="shared" si="69"/>
        <v>5.3798291016626107</v>
      </c>
      <c r="R491" s="6">
        <f t="shared" si="70"/>
        <v>13.148562902164567</v>
      </c>
      <c r="S491" s="6">
        <f>B491*LN(B491/首页!$B$4)</f>
        <v>2.4114356595669024</v>
      </c>
      <c r="T491" s="6">
        <f>2*首页!$B$8*(E491-C491)/(R491*(C491-D491))</f>
        <v>7.0970333539889907E-2</v>
      </c>
      <c r="U491" t="str">
        <f>IF(首页!$B$13="自然对流","按自然对流公式", "按强制对流公式")</f>
        <v>按自然对流公式</v>
      </c>
      <c r="V491" s="6">
        <f t="shared" si="71"/>
        <v>2.3404653260270125</v>
      </c>
    </row>
    <row r="492" spans="1:22" x14ac:dyDescent="0.15">
      <c r="A492">
        <v>487</v>
      </c>
      <c r="B492" s="6">
        <f>首页!$B$4+2*A492/1000</f>
        <v>1.0939999999999999</v>
      </c>
      <c r="C492" s="6">
        <f>首页!$B$7+273.15</f>
        <v>388.15</v>
      </c>
      <c r="D492" s="6">
        <f>首页!$B$6+273.15</f>
        <v>293.14999999999998</v>
      </c>
      <c r="E492" s="6">
        <f>首页!$B$5+273.15</f>
        <v>1373.15</v>
      </c>
      <c r="F492" s="6">
        <f t="shared" si="63"/>
        <v>95</v>
      </c>
      <c r="G492" s="6">
        <f t="shared" si="64"/>
        <v>340.65</v>
      </c>
      <c r="H492" s="6">
        <f t="shared" si="65"/>
        <v>1.9926207055139041E-5</v>
      </c>
      <c r="I492" s="7">
        <f t="shared" si="66"/>
        <v>1158916576932337.8</v>
      </c>
      <c r="J492" s="6">
        <f t="shared" si="67"/>
        <v>1.0226038455893147</v>
      </c>
      <c r="K492" s="7">
        <f>J492*H492*首页!$B$12/P492</f>
        <v>0.69532757496605813</v>
      </c>
      <c r="L492" s="6">
        <f>首页!$B$9*0.0000000567*((C492^4-D492^4)/(C492-D492))</f>
        <v>7.7687338005019564</v>
      </c>
      <c r="M492" s="6">
        <f>IF(首页!$B$13="自然对流",IF(首页!$B$14="立式圆筒",首页!$B$10,PI()*B492/2),PI()*B492/2)</f>
        <v>55.2</v>
      </c>
      <c r="N492" s="7">
        <f>IF(首页!$B$13="强制对流",首页!$B$11*M492/H492,0)</f>
        <v>0</v>
      </c>
      <c r="O492" s="6">
        <f>IF(首页!$B$13="自然对流",IF(首页!$B$14="立式圆筒",(0.825+0.3063*I492^(1/6))^2+0.87*(M492/B492),(0.752+0.303*I492^(1/6))^2),0.3+SQRT((0.592*N492^0.5)^2+(0.0262*N492^0.8/(1-0.5/N492^0.1))^2))</f>
        <v>10063.105126335266</v>
      </c>
      <c r="P492" s="6">
        <f t="shared" si="68"/>
        <v>2.9510194925512497E-2</v>
      </c>
      <c r="Q492" s="6">
        <f t="shared" si="69"/>
        <v>5.3797861201825672</v>
      </c>
      <c r="R492" s="6">
        <f t="shared" si="70"/>
        <v>13.148519920684524</v>
      </c>
      <c r="S492" s="6">
        <f>B492*LN(B492/首页!$B$4)</f>
        <v>2.4178540387786689</v>
      </c>
      <c r="T492" s="6">
        <f>2*首页!$B$8*(E492-C492)/(R492*(C492-D492))</f>
        <v>7.097056553634222E-2</v>
      </c>
      <c r="U492" t="str">
        <f>IF(首页!$B$13="自然对流","按自然对流公式", "按强制对流公式")</f>
        <v>按自然对流公式</v>
      </c>
      <c r="V492" s="6">
        <f t="shared" si="71"/>
        <v>2.3468834732423267</v>
      </c>
    </row>
    <row r="493" spans="1:22" x14ac:dyDescent="0.15">
      <c r="A493">
        <v>488</v>
      </c>
      <c r="B493" s="6">
        <f>首页!$B$4+2*A493/1000</f>
        <v>1.0960000000000001</v>
      </c>
      <c r="C493" s="6">
        <f>首页!$B$7+273.15</f>
        <v>388.15</v>
      </c>
      <c r="D493" s="6">
        <f>首页!$B$6+273.15</f>
        <v>293.14999999999998</v>
      </c>
      <c r="E493" s="6">
        <f>首页!$B$5+273.15</f>
        <v>1373.15</v>
      </c>
      <c r="F493" s="6">
        <f t="shared" si="63"/>
        <v>95</v>
      </c>
      <c r="G493" s="6">
        <f t="shared" si="64"/>
        <v>340.65</v>
      </c>
      <c r="H493" s="6">
        <f t="shared" si="65"/>
        <v>1.9926207055139041E-5</v>
      </c>
      <c r="I493" s="7">
        <f t="shared" si="66"/>
        <v>1158916576932337.8</v>
      </c>
      <c r="J493" s="6">
        <f t="shared" si="67"/>
        <v>1.0226038455893147</v>
      </c>
      <c r="K493" s="7">
        <f>J493*H493*首页!$B$12/P493</f>
        <v>0.69532757496605813</v>
      </c>
      <c r="L493" s="6">
        <f>首页!$B$9*0.0000000567*((C493^4-D493^4)/(C493-D493))</f>
        <v>7.7687338005019564</v>
      </c>
      <c r="M493" s="6">
        <f>IF(首页!$B$13="自然对流",IF(首页!$B$14="立式圆筒",首页!$B$10,PI()*B493/2),PI()*B493/2)</f>
        <v>55.2</v>
      </c>
      <c r="N493" s="7">
        <f>IF(首页!$B$13="强制对流",首页!$B$11*M493/H493,0)</f>
        <v>0</v>
      </c>
      <c r="O493" s="6">
        <f>IF(首页!$B$13="自然对流",IF(首页!$B$14="立式圆筒",(0.825+0.3063*I493^(1/6))^2+0.87*(M493/B493),(0.752+0.303*I493^(1/6))^2),0.3+SQRT((0.592*N493^0.5)^2+(0.0262*N493^0.8/(1-0.5/N493^0.1))^2))</f>
        <v>10063.025021183075</v>
      </c>
      <c r="P493" s="6">
        <f t="shared" si="68"/>
        <v>2.9510194925512497E-2</v>
      </c>
      <c r="Q493" s="6">
        <f t="shared" si="69"/>
        <v>5.3797432955692406</v>
      </c>
      <c r="R493" s="6">
        <f t="shared" si="70"/>
        <v>13.148477096071197</v>
      </c>
      <c r="S493" s="6">
        <f>B493*LN(B493/首页!$B$4)</f>
        <v>2.4242760742996032</v>
      </c>
      <c r="T493" s="6">
        <f>2*首页!$B$8*(E493-C493)/(R493*(C493-D493))</f>
        <v>7.0970796687600604E-2</v>
      </c>
      <c r="U493" t="str">
        <f>IF(首页!$B$13="自然对流","按自然对流公式", "按强制对流公式")</f>
        <v>按自然对流公式</v>
      </c>
      <c r="V493" s="6">
        <f t="shared" si="71"/>
        <v>2.3533052776120025</v>
      </c>
    </row>
    <row r="494" spans="1:22" x14ac:dyDescent="0.15">
      <c r="A494">
        <v>489</v>
      </c>
      <c r="B494" s="6">
        <f>首页!$B$4+2*A494/1000</f>
        <v>1.0979999999999999</v>
      </c>
      <c r="C494" s="6">
        <f>首页!$B$7+273.15</f>
        <v>388.15</v>
      </c>
      <c r="D494" s="6">
        <f>首页!$B$6+273.15</f>
        <v>293.14999999999998</v>
      </c>
      <c r="E494" s="6">
        <f>首页!$B$5+273.15</f>
        <v>1373.15</v>
      </c>
      <c r="F494" s="6">
        <f t="shared" si="63"/>
        <v>95</v>
      </c>
      <c r="G494" s="6">
        <f t="shared" si="64"/>
        <v>340.65</v>
      </c>
      <c r="H494" s="6">
        <f t="shared" si="65"/>
        <v>1.9926207055139041E-5</v>
      </c>
      <c r="I494" s="7">
        <f t="shared" si="66"/>
        <v>1158916576932337.8</v>
      </c>
      <c r="J494" s="6">
        <f t="shared" si="67"/>
        <v>1.0226038455893147</v>
      </c>
      <c r="K494" s="7">
        <f>J494*H494*首页!$B$12/P494</f>
        <v>0.69532757496605813</v>
      </c>
      <c r="L494" s="6">
        <f>首页!$B$9*0.0000000567*((C494^4-D494^4)/(C494-D494))</f>
        <v>7.7687338005019564</v>
      </c>
      <c r="M494" s="6">
        <f>IF(首页!$B$13="自然对流",IF(首页!$B$14="立式圆筒",首页!$B$10,PI()*B494/2),PI()*B494/2)</f>
        <v>55.2</v>
      </c>
      <c r="N494" s="7">
        <f>IF(首页!$B$13="强制对流",首页!$B$11*M494/H494,0)</f>
        <v>0</v>
      </c>
      <c r="O494" s="6">
        <f>IF(首页!$B$13="自然对流",IF(首页!$B$14="立式圆筒",(0.825+0.3063*I494^(1/6))^2+0.87*(M494/B494),(0.752+0.303*I494^(1/6))^2),0.3+SQRT((0.592*N494^0.5)^2+(0.0262*N494^0.8/(1-0.5/N494^0.1))^2))</f>
        <v>10062.945207852932</v>
      </c>
      <c r="P494" s="6">
        <f t="shared" si="68"/>
        <v>2.9510194925512497E-2</v>
      </c>
      <c r="Q494" s="6">
        <f t="shared" si="69"/>
        <v>5.3797006269654331</v>
      </c>
      <c r="R494" s="6">
        <f t="shared" si="70"/>
        <v>13.148434427467389</v>
      </c>
      <c r="S494" s="6">
        <f>B494*LN(B494/首页!$B$4)</f>
        <v>2.4307017594575973</v>
      </c>
      <c r="T494" s="6">
        <f>2*首页!$B$8*(E494-C494)/(R494*(C494-D494))</f>
        <v>7.0971026998275427E-2</v>
      </c>
      <c r="U494" t="str">
        <f>IF(首页!$B$13="自然对流","按自然对流公式", "按强制对流公式")</f>
        <v>按自然对流公式</v>
      </c>
      <c r="V494" s="6">
        <f t="shared" si="71"/>
        <v>2.359730732459322</v>
      </c>
    </row>
    <row r="495" spans="1:22" x14ac:dyDescent="0.15">
      <c r="A495">
        <v>490</v>
      </c>
      <c r="B495" s="6">
        <f>首页!$B$4+2*A495/1000</f>
        <v>1.1000000000000001</v>
      </c>
      <c r="C495" s="6">
        <f>首页!$B$7+273.15</f>
        <v>388.15</v>
      </c>
      <c r="D495" s="6">
        <f>首页!$B$6+273.15</f>
        <v>293.14999999999998</v>
      </c>
      <c r="E495" s="6">
        <f>首页!$B$5+273.15</f>
        <v>1373.15</v>
      </c>
      <c r="F495" s="6">
        <f t="shared" si="63"/>
        <v>95</v>
      </c>
      <c r="G495" s="6">
        <f t="shared" si="64"/>
        <v>340.65</v>
      </c>
      <c r="H495" s="6">
        <f t="shared" si="65"/>
        <v>1.9926207055139041E-5</v>
      </c>
      <c r="I495" s="7">
        <f t="shared" si="66"/>
        <v>1158916576932337.8</v>
      </c>
      <c r="J495" s="6">
        <f t="shared" si="67"/>
        <v>1.0226038455893147</v>
      </c>
      <c r="K495" s="7">
        <f>J495*H495*首页!$B$12/P495</f>
        <v>0.69532757496605813</v>
      </c>
      <c r="L495" s="6">
        <f>首页!$B$9*0.0000000567*((C495^4-D495^4)/(C495-D495))</f>
        <v>7.7687338005019564</v>
      </c>
      <c r="M495" s="6">
        <f>IF(首页!$B$13="自然对流",IF(首页!$B$14="立式圆筒",首页!$B$10,PI()*B495/2),PI()*B495/2)</f>
        <v>55.2</v>
      </c>
      <c r="N495" s="7">
        <f>IF(首页!$B$13="强制对流",首页!$B$11*M495/H495,0)</f>
        <v>0</v>
      </c>
      <c r="O495" s="6">
        <f>IF(首页!$B$13="自然对流",IF(首页!$B$14="立式圆筒",(0.825+0.3063*I495^(1/6))^2+0.87*(M495/B495),(0.752+0.303*I495^(1/6))^2),0.3+SQRT((0.592*N495^0.5)^2+(0.0262*N495^0.8/(1-0.5/N495^0.1))^2))</f>
        <v>10062.865684753082</v>
      </c>
      <c r="P495" s="6">
        <f t="shared" si="68"/>
        <v>2.9510194925512497E-2</v>
      </c>
      <c r="Q495" s="6">
        <f t="shared" si="69"/>
        <v>5.3796581135201853</v>
      </c>
      <c r="R495" s="6">
        <f t="shared" si="70"/>
        <v>13.148391914022142</v>
      </c>
      <c r="S495" s="6">
        <f>B495*LN(B495/首页!$B$4)</f>
        <v>2.437131087604858</v>
      </c>
      <c r="T495" s="6">
        <f>2*首页!$B$8*(E495-C495)/(R495*(C495-D495))</f>
        <v>7.0971256472943514E-2</v>
      </c>
      <c r="U495" t="str">
        <f>IF(首页!$B$13="自然对流","按自然对流公式", "按强制对流公式")</f>
        <v>按自然对流公式</v>
      </c>
      <c r="V495" s="6">
        <f t="shared" si="71"/>
        <v>2.3661598311319145</v>
      </c>
    </row>
    <row r="496" spans="1:22" x14ac:dyDescent="0.15">
      <c r="A496">
        <v>491</v>
      </c>
      <c r="B496" s="6">
        <f>首页!$B$4+2*A496/1000</f>
        <v>1.1019999999999999</v>
      </c>
      <c r="C496" s="6">
        <f>首页!$B$7+273.15</f>
        <v>388.15</v>
      </c>
      <c r="D496" s="6">
        <f>首页!$B$6+273.15</f>
        <v>293.14999999999998</v>
      </c>
      <c r="E496" s="6">
        <f>首页!$B$5+273.15</f>
        <v>1373.15</v>
      </c>
      <c r="F496" s="6">
        <f t="shared" si="63"/>
        <v>95</v>
      </c>
      <c r="G496" s="6">
        <f t="shared" si="64"/>
        <v>340.65</v>
      </c>
      <c r="H496" s="6">
        <f t="shared" si="65"/>
        <v>1.9926207055139041E-5</v>
      </c>
      <c r="I496" s="7">
        <f t="shared" si="66"/>
        <v>1158916576932337.8</v>
      </c>
      <c r="J496" s="6">
        <f t="shared" si="67"/>
        <v>1.0226038455893147</v>
      </c>
      <c r="K496" s="7">
        <f>J496*H496*首页!$B$12/P496</f>
        <v>0.69532757496605813</v>
      </c>
      <c r="L496" s="6">
        <f>首页!$B$9*0.0000000567*((C496^4-D496^4)/(C496-D496))</f>
        <v>7.7687338005019564</v>
      </c>
      <c r="M496" s="6">
        <f>IF(首页!$B$13="自然对流",IF(首页!$B$14="立式圆筒",首页!$B$10,PI()*B496/2),PI()*B496/2)</f>
        <v>55.2</v>
      </c>
      <c r="N496" s="7">
        <f>IF(首页!$B$13="强制对流",首页!$B$11*M496/H496,0)</f>
        <v>0</v>
      </c>
      <c r="O496" s="6">
        <f>IF(首页!$B$13="自然对流",IF(首页!$B$14="立式圆筒",(0.825+0.3063*I496^(1/6))^2+0.87*(M496/B496),(0.752+0.303*I496^(1/6))^2),0.3+SQRT((0.592*N496^0.5)^2+(0.0262*N496^0.8/(1-0.5/N496^0.1))^2))</f>
        <v>10062.786450303322</v>
      </c>
      <c r="P496" s="6">
        <f t="shared" si="68"/>
        <v>2.9510194925512497E-2</v>
      </c>
      <c r="Q496" s="6">
        <f t="shared" si="69"/>
        <v>5.3796157543887126</v>
      </c>
      <c r="R496" s="6">
        <f t="shared" si="70"/>
        <v>13.148349554890668</v>
      </c>
      <c r="S496" s="6">
        <f>B496*LN(B496/首页!$B$4)</f>
        <v>2.4435640521177562</v>
      </c>
      <c r="T496" s="6">
        <f>2*首页!$B$8*(E496-C496)/(R496*(C496-D496))</f>
        <v>7.0971485116148605E-2</v>
      </c>
      <c r="U496" t="str">
        <f>IF(首页!$B$13="自然对流","按自然对流公式", "按强制对流公式")</f>
        <v>按自然对流公式</v>
      </c>
      <c r="V496" s="6">
        <f t="shared" si="71"/>
        <v>2.3725925670016075</v>
      </c>
    </row>
    <row r="497" spans="1:22" x14ac:dyDescent="0.15">
      <c r="A497">
        <v>492</v>
      </c>
      <c r="B497" s="6">
        <f>首页!$B$4+2*A497/1000</f>
        <v>1.1040000000000001</v>
      </c>
      <c r="C497" s="6">
        <f>首页!$B$7+273.15</f>
        <v>388.15</v>
      </c>
      <c r="D497" s="6">
        <f>首页!$B$6+273.15</f>
        <v>293.14999999999998</v>
      </c>
      <c r="E497" s="6">
        <f>首页!$B$5+273.15</f>
        <v>1373.15</v>
      </c>
      <c r="F497" s="6">
        <f t="shared" si="63"/>
        <v>95</v>
      </c>
      <c r="G497" s="6">
        <f t="shared" si="64"/>
        <v>340.65</v>
      </c>
      <c r="H497" s="6">
        <f t="shared" si="65"/>
        <v>1.9926207055139041E-5</v>
      </c>
      <c r="I497" s="7">
        <f t="shared" si="66"/>
        <v>1158916576932337.8</v>
      </c>
      <c r="J497" s="6">
        <f t="shared" si="67"/>
        <v>1.0226038455893147</v>
      </c>
      <c r="K497" s="7">
        <f>J497*H497*首页!$B$12/P497</f>
        <v>0.69532757496605813</v>
      </c>
      <c r="L497" s="6">
        <f>首页!$B$9*0.0000000567*((C497^4-D497^4)/(C497-D497))</f>
        <v>7.7687338005019564</v>
      </c>
      <c r="M497" s="6">
        <f>IF(首页!$B$13="自然对流",IF(首页!$B$14="立式圆筒",首页!$B$10,PI()*B497/2),PI()*B497/2)</f>
        <v>55.2</v>
      </c>
      <c r="N497" s="7">
        <f>IF(首页!$B$13="强制对流",首页!$B$11*M497/H497,0)</f>
        <v>0</v>
      </c>
      <c r="O497" s="6">
        <f>IF(首页!$B$13="自然对流",IF(首页!$B$14="立式圆筒",(0.825+0.3063*I497^(1/6))^2+0.87*(M497/B497),(0.752+0.303*I497^(1/6))^2),0.3+SQRT((0.592*N497^0.5)^2+(0.0262*N497^0.8/(1-0.5/N497^0.1))^2))</f>
        <v>10062.7075029349</v>
      </c>
      <c r="P497" s="6">
        <f t="shared" si="68"/>
        <v>2.9510194925512497E-2</v>
      </c>
      <c r="Q497" s="6">
        <f t="shared" si="69"/>
        <v>5.3795735487323544</v>
      </c>
      <c r="R497" s="6">
        <f t="shared" si="70"/>
        <v>13.148307349234312</v>
      </c>
      <c r="S497" s="6">
        <f>B497*LN(B497/首页!$B$4)</f>
        <v>2.4500006463967141</v>
      </c>
      <c r="T497" s="6">
        <f>2*首页!$B$8*(E497-C497)/(R497*(C497-D497))</f>
        <v>7.0971712932401482E-2</v>
      </c>
      <c r="U497" t="str">
        <f>IF(首页!$B$13="自然对流","按自然对流公式", "按强制对流公式")</f>
        <v>按自然对流公式</v>
      </c>
      <c r="V497" s="6">
        <f t="shared" si="71"/>
        <v>2.3790289334643124</v>
      </c>
    </row>
    <row r="498" spans="1:22" x14ac:dyDescent="0.15">
      <c r="A498">
        <v>493</v>
      </c>
      <c r="B498" s="6">
        <f>首页!$B$4+2*A498/1000</f>
        <v>1.1059999999999999</v>
      </c>
      <c r="C498" s="6">
        <f>首页!$B$7+273.15</f>
        <v>388.15</v>
      </c>
      <c r="D498" s="6">
        <f>首页!$B$6+273.15</f>
        <v>293.14999999999998</v>
      </c>
      <c r="E498" s="6">
        <f>首页!$B$5+273.15</f>
        <v>1373.15</v>
      </c>
      <c r="F498" s="6">
        <f t="shared" si="63"/>
        <v>95</v>
      </c>
      <c r="G498" s="6">
        <f t="shared" si="64"/>
        <v>340.65</v>
      </c>
      <c r="H498" s="6">
        <f t="shared" si="65"/>
        <v>1.9926207055139041E-5</v>
      </c>
      <c r="I498" s="7">
        <f t="shared" si="66"/>
        <v>1158916576932337.8</v>
      </c>
      <c r="J498" s="6">
        <f t="shared" si="67"/>
        <v>1.0226038455893147</v>
      </c>
      <c r="K498" s="7">
        <f>J498*H498*首页!$B$12/P498</f>
        <v>0.69532757496605813</v>
      </c>
      <c r="L498" s="6">
        <f>首页!$B$9*0.0000000567*((C498^4-D498^4)/(C498-D498))</f>
        <v>7.7687338005019564</v>
      </c>
      <c r="M498" s="6">
        <f>IF(首页!$B$13="自然对流",IF(首页!$B$14="立式圆筒",首页!$B$10,PI()*B498/2),PI()*B498/2)</f>
        <v>55.2</v>
      </c>
      <c r="N498" s="7">
        <f>IF(首页!$B$13="强制对流",首页!$B$11*M498/H498,0)</f>
        <v>0</v>
      </c>
      <c r="O498" s="6">
        <f>IF(首页!$B$13="自然对流",IF(首页!$B$14="立式圆筒",(0.825+0.3063*I498^(1/6))^2+0.87*(M498/B498),(0.752+0.303*I498^(1/6))^2),0.3+SQRT((0.592*N498^0.5)^2+(0.0262*N498^0.8/(1-0.5/N498^0.1))^2))</f>
        <v>10062.628841090414</v>
      </c>
      <c r="P498" s="6">
        <f t="shared" si="68"/>
        <v>2.9510194925512497E-2</v>
      </c>
      <c r="Q498" s="6">
        <f t="shared" si="69"/>
        <v>5.3795314957185152</v>
      </c>
      <c r="R498" s="6">
        <f t="shared" si="70"/>
        <v>13.148265296220472</v>
      </c>
      <c r="S498" s="6">
        <f>B498*LN(B498/首页!$B$4)</f>
        <v>2.4564408638660584</v>
      </c>
      <c r="T498" s="6">
        <f>2*首页!$B$8*(E498-C498)/(R498*(C498-D498))</f>
        <v>7.0971939926180422E-2</v>
      </c>
      <c r="U498" t="str">
        <f>IF(首页!$B$13="自然对流","按自然对流公式", "按强制对流公式")</f>
        <v>按自然对流公式</v>
      </c>
      <c r="V498" s="6">
        <f t="shared" si="71"/>
        <v>2.3854689239398779</v>
      </c>
    </row>
    <row r="499" spans="1:22" x14ac:dyDescent="0.15">
      <c r="A499">
        <v>494</v>
      </c>
      <c r="B499" s="6">
        <f>首页!$B$4+2*A499/1000</f>
        <v>1.1080000000000001</v>
      </c>
      <c r="C499" s="6">
        <f>首页!$B$7+273.15</f>
        <v>388.15</v>
      </c>
      <c r="D499" s="6">
        <f>首页!$B$6+273.15</f>
        <v>293.14999999999998</v>
      </c>
      <c r="E499" s="6">
        <f>首页!$B$5+273.15</f>
        <v>1373.15</v>
      </c>
      <c r="F499" s="6">
        <f t="shared" si="63"/>
        <v>95</v>
      </c>
      <c r="G499" s="6">
        <f t="shared" si="64"/>
        <v>340.65</v>
      </c>
      <c r="H499" s="6">
        <f t="shared" si="65"/>
        <v>1.9926207055139041E-5</v>
      </c>
      <c r="I499" s="7">
        <f t="shared" si="66"/>
        <v>1158916576932337.8</v>
      </c>
      <c r="J499" s="6">
        <f t="shared" si="67"/>
        <v>1.0226038455893147</v>
      </c>
      <c r="K499" s="7">
        <f>J499*H499*首页!$B$12/P499</f>
        <v>0.69532757496605813</v>
      </c>
      <c r="L499" s="6">
        <f>首页!$B$9*0.0000000567*((C499^4-D499^4)/(C499-D499))</f>
        <v>7.7687338005019564</v>
      </c>
      <c r="M499" s="6">
        <f>IF(首页!$B$13="自然对流",IF(首页!$B$14="立式圆筒",首页!$B$10,PI()*B499/2),PI()*B499/2)</f>
        <v>55.2</v>
      </c>
      <c r="N499" s="7">
        <f>IF(首页!$B$13="强制对流",首页!$B$11*M499/H499,0)</f>
        <v>0</v>
      </c>
      <c r="O499" s="6">
        <f>IF(首页!$B$13="自然对流",IF(首页!$B$14="立式圆筒",(0.825+0.3063*I499^(1/6))^2+0.87*(M499/B499),(0.752+0.303*I499^(1/6))^2),0.3+SQRT((0.592*N499^0.5)^2+(0.0262*N499^0.8/(1-0.5/N499^0.1))^2))</f>
        <v>10062.550463223708</v>
      </c>
      <c r="P499" s="6">
        <f t="shared" si="68"/>
        <v>2.9510194925512497E-2</v>
      </c>
      <c r="Q499" s="6">
        <f t="shared" si="69"/>
        <v>5.3794895945206109</v>
      </c>
      <c r="R499" s="6">
        <f t="shared" si="70"/>
        <v>13.148223395022567</v>
      </c>
      <c r="S499" s="6">
        <f>B499*LN(B499/首页!$B$4)</f>
        <v>2.462884697973903</v>
      </c>
      <c r="T499" s="6">
        <f>2*首页!$B$8*(E499-C499)/(R499*(C499-D499))</f>
        <v>7.0972166101931411E-2</v>
      </c>
      <c r="U499" t="str">
        <f>IF(首页!$B$13="自然对流","按自然对流公式", "按强制对流公式")</f>
        <v>按自然对流公式</v>
      </c>
      <c r="V499" s="6">
        <f t="shared" si="71"/>
        <v>2.3919125318719714</v>
      </c>
    </row>
    <row r="500" spans="1:22" x14ac:dyDescent="0.15">
      <c r="A500">
        <v>495</v>
      </c>
      <c r="B500" s="6">
        <f>首页!$B$4+2*A500/1000</f>
        <v>1.1099999999999999</v>
      </c>
      <c r="C500" s="6">
        <f>首页!$B$7+273.15</f>
        <v>388.15</v>
      </c>
      <c r="D500" s="6">
        <f>首页!$B$6+273.15</f>
        <v>293.14999999999998</v>
      </c>
      <c r="E500" s="6">
        <f>首页!$B$5+273.15</f>
        <v>1373.15</v>
      </c>
      <c r="F500" s="6">
        <f t="shared" si="63"/>
        <v>95</v>
      </c>
      <c r="G500" s="6">
        <f t="shared" si="64"/>
        <v>340.65</v>
      </c>
      <c r="H500" s="6">
        <f t="shared" si="65"/>
        <v>1.9926207055139041E-5</v>
      </c>
      <c r="I500" s="7">
        <f t="shared" si="66"/>
        <v>1158916576932337.8</v>
      </c>
      <c r="J500" s="6">
        <f t="shared" si="67"/>
        <v>1.0226038455893147</v>
      </c>
      <c r="K500" s="7">
        <f>J500*H500*首页!$B$12/P500</f>
        <v>0.69532757496605813</v>
      </c>
      <c r="L500" s="6">
        <f>首页!$B$9*0.0000000567*((C500^4-D500^4)/(C500-D500))</f>
        <v>7.7687338005019564</v>
      </c>
      <c r="M500" s="6">
        <f>IF(首页!$B$13="自然对流",IF(首页!$B$14="立式圆筒",首页!$B$10,PI()*B500/2),PI()*B500/2)</f>
        <v>55.2</v>
      </c>
      <c r="N500" s="7">
        <f>IF(首页!$B$13="强制对流",首页!$B$11*M500/H500,0)</f>
        <v>0</v>
      </c>
      <c r="O500" s="6">
        <f>IF(首页!$B$13="自然对流",IF(首页!$B$14="立式圆筒",(0.825+0.3063*I500^(1/6))^2+0.87*(M500/B500),(0.752+0.303*I500^(1/6))^2),0.3+SQRT((0.592*N500^0.5)^2+(0.0262*N500^0.8/(1-0.5/N500^0.1))^2))</f>
        <v>10062.472367799764</v>
      </c>
      <c r="P500" s="6">
        <f t="shared" si="68"/>
        <v>2.9510194925512497E-2</v>
      </c>
      <c r="Q500" s="6">
        <f t="shared" si="69"/>
        <v>5.3794478443180127</v>
      </c>
      <c r="R500" s="6">
        <f t="shared" si="70"/>
        <v>13.148181644819969</v>
      </c>
      <c r="S500" s="6">
        <f>B500*LN(B500/首页!$B$4)</f>
        <v>2.4693321421920102</v>
      </c>
      <c r="T500" s="6">
        <f>2*首页!$B$8*(E500-C500)/(R500*(C500-D500))</f>
        <v>7.0972391464068446E-2</v>
      </c>
      <c r="U500" t="str">
        <f>IF(首页!$B$13="自然对流","按自然对流公式", "按强制对流公式")</f>
        <v>按自然对流公式</v>
      </c>
      <c r="V500" s="6">
        <f t="shared" si="71"/>
        <v>2.3983597507279417</v>
      </c>
    </row>
    <row r="501" spans="1:22" x14ac:dyDescent="0.15">
      <c r="A501">
        <v>496</v>
      </c>
      <c r="B501" s="6">
        <f>首页!$B$4+2*A501/1000</f>
        <v>1.1120000000000001</v>
      </c>
      <c r="C501" s="6">
        <f>首页!$B$7+273.15</f>
        <v>388.15</v>
      </c>
      <c r="D501" s="6">
        <f>首页!$B$6+273.15</f>
        <v>293.14999999999998</v>
      </c>
      <c r="E501" s="6">
        <f>首页!$B$5+273.15</f>
        <v>1373.15</v>
      </c>
      <c r="F501" s="6">
        <f t="shared" si="63"/>
        <v>95</v>
      </c>
      <c r="G501" s="6">
        <f t="shared" si="64"/>
        <v>340.65</v>
      </c>
      <c r="H501" s="6">
        <f t="shared" si="65"/>
        <v>1.9926207055139041E-5</v>
      </c>
      <c r="I501" s="7">
        <f t="shared" si="66"/>
        <v>1158916576932337.8</v>
      </c>
      <c r="J501" s="6">
        <f t="shared" si="67"/>
        <v>1.0226038455893147</v>
      </c>
      <c r="K501" s="7">
        <f>J501*H501*首页!$B$12/P501</f>
        <v>0.69532757496605813</v>
      </c>
      <c r="L501" s="6">
        <f>首页!$B$9*0.0000000567*((C501^4-D501^4)/(C501-D501))</f>
        <v>7.7687338005019564</v>
      </c>
      <c r="M501" s="6">
        <f>IF(首页!$B$13="自然对流",IF(首页!$B$14="立式圆筒",首页!$B$10,PI()*B501/2),PI()*B501/2)</f>
        <v>55.2</v>
      </c>
      <c r="N501" s="7">
        <f>IF(首页!$B$13="强制对流",首页!$B$11*M501/H501,0)</f>
        <v>0</v>
      </c>
      <c r="O501" s="6">
        <f>IF(首页!$B$13="自然对流",IF(首页!$B$14="立式圆筒",(0.825+0.3063*I501^(1/6))^2+0.87*(M501/B501),(0.752+0.303*I501^(1/6))^2),0.3+SQRT((0.592*N501^0.5)^2+(0.0262*N501^0.8/(1-0.5/N501^0.1))^2))</f>
        <v>10062.394553294613</v>
      </c>
      <c r="P501" s="6">
        <f t="shared" si="68"/>
        <v>2.9510194925512497E-2</v>
      </c>
      <c r="Q501" s="6">
        <f t="shared" si="69"/>
        <v>5.3794062442960016</v>
      </c>
      <c r="R501" s="6">
        <f t="shared" si="70"/>
        <v>13.148140044797959</v>
      </c>
      <c r="S501" s="6">
        <f>B501*LN(B501/首页!$B$4)</f>
        <v>2.4757831900156719</v>
      </c>
      <c r="T501" s="6">
        <f>2*首页!$B$8*(E501-C501)/(R501*(C501-D501))</f>
        <v>7.09726160169738E-2</v>
      </c>
      <c r="U501" t="str">
        <f>IF(首页!$B$13="自然对流","按自然对流公式", "按强制对流公式")</f>
        <v>按自然对流公式</v>
      </c>
      <c r="V501" s="6">
        <f t="shared" si="71"/>
        <v>2.4048105739986982</v>
      </c>
    </row>
    <row r="502" spans="1:22" x14ac:dyDescent="0.15">
      <c r="A502">
        <v>497</v>
      </c>
      <c r="B502" s="6">
        <f>首页!$B$4+2*A502/1000</f>
        <v>1.1139999999999999</v>
      </c>
      <c r="C502" s="6">
        <f>首页!$B$7+273.15</f>
        <v>388.15</v>
      </c>
      <c r="D502" s="6">
        <f>首页!$B$6+273.15</f>
        <v>293.14999999999998</v>
      </c>
      <c r="E502" s="6">
        <f>首页!$B$5+273.15</f>
        <v>1373.15</v>
      </c>
      <c r="F502" s="6">
        <f t="shared" si="63"/>
        <v>95</v>
      </c>
      <c r="G502" s="6">
        <f t="shared" si="64"/>
        <v>340.65</v>
      </c>
      <c r="H502" s="6">
        <f t="shared" si="65"/>
        <v>1.9926207055139041E-5</v>
      </c>
      <c r="I502" s="7">
        <f t="shared" si="66"/>
        <v>1158916576932337.8</v>
      </c>
      <c r="J502" s="6">
        <f t="shared" si="67"/>
        <v>1.0226038455893147</v>
      </c>
      <c r="K502" s="7">
        <f>J502*H502*首页!$B$12/P502</f>
        <v>0.69532757496605813</v>
      </c>
      <c r="L502" s="6">
        <f>首页!$B$9*0.0000000567*((C502^4-D502^4)/(C502-D502))</f>
        <v>7.7687338005019564</v>
      </c>
      <c r="M502" s="6">
        <f>IF(首页!$B$13="自然对流",IF(首页!$B$14="立式圆筒",首页!$B$10,PI()*B502/2),PI()*B502/2)</f>
        <v>55.2</v>
      </c>
      <c r="N502" s="7">
        <f>IF(首页!$B$13="强制对流",首页!$B$11*M502/H502,0)</f>
        <v>0</v>
      </c>
      <c r="O502" s="6">
        <f>IF(首页!$B$13="自然对流",IF(首页!$B$14="立式圆筒",(0.825+0.3063*I502^(1/6))^2+0.87*(M502/B502),(0.752+0.303*I502^(1/6))^2),0.3+SQRT((0.592*N502^0.5)^2+(0.0262*N502^0.8/(1-0.5/N502^0.1))^2))</f>
        <v>10062.317018195223</v>
      </c>
      <c r="P502" s="6">
        <f t="shared" si="68"/>
        <v>2.9510194925512497E-2</v>
      </c>
      <c r="Q502" s="6">
        <f t="shared" si="69"/>
        <v>5.379364793645701</v>
      </c>
      <c r="R502" s="6">
        <f t="shared" si="70"/>
        <v>13.148098594147658</v>
      </c>
      <c r="S502" s="6">
        <f>B502*LN(B502/首页!$B$4)</f>
        <v>2.4822378349635739</v>
      </c>
      <c r="T502" s="6">
        <f>2*首页!$B$8*(E502-C502)/(R502*(C502-D502))</f>
        <v>7.097283976499838E-2</v>
      </c>
      <c r="U502" t="str">
        <f>IF(首页!$B$13="自然对流","按自然对流公式", "按强制对流公式")</f>
        <v>按自然对流公式</v>
      </c>
      <c r="V502" s="6">
        <f t="shared" si="71"/>
        <v>2.4112649951985756</v>
      </c>
    </row>
    <row r="503" spans="1:22" x14ac:dyDescent="0.15">
      <c r="A503">
        <v>498</v>
      </c>
      <c r="B503" s="6">
        <f>首页!$B$4+2*A503/1000</f>
        <v>1.1160000000000001</v>
      </c>
      <c r="C503" s="6">
        <f>首页!$B$7+273.15</f>
        <v>388.15</v>
      </c>
      <c r="D503" s="6">
        <f>首页!$B$6+273.15</f>
        <v>293.14999999999998</v>
      </c>
      <c r="E503" s="6">
        <f>首页!$B$5+273.15</f>
        <v>1373.15</v>
      </c>
      <c r="F503" s="6">
        <f t="shared" si="63"/>
        <v>95</v>
      </c>
      <c r="G503" s="6">
        <f t="shared" si="64"/>
        <v>340.65</v>
      </c>
      <c r="H503" s="6">
        <f t="shared" si="65"/>
        <v>1.9926207055139041E-5</v>
      </c>
      <c r="I503" s="7">
        <f t="shared" si="66"/>
        <v>1158916576932337.8</v>
      </c>
      <c r="J503" s="6">
        <f t="shared" si="67"/>
        <v>1.0226038455893147</v>
      </c>
      <c r="K503" s="7">
        <f>J503*H503*首页!$B$12/P503</f>
        <v>0.69532757496605813</v>
      </c>
      <c r="L503" s="6">
        <f>首页!$B$9*0.0000000567*((C503^4-D503^4)/(C503-D503))</f>
        <v>7.7687338005019564</v>
      </c>
      <c r="M503" s="6">
        <f>IF(首页!$B$13="自然对流",IF(首页!$B$14="立式圆筒",首页!$B$10,PI()*B503/2),PI()*B503/2)</f>
        <v>55.2</v>
      </c>
      <c r="N503" s="7">
        <f>IF(首页!$B$13="强制对流",首页!$B$11*M503/H503,0)</f>
        <v>0</v>
      </c>
      <c r="O503" s="6">
        <f>IF(首页!$B$13="自然对流",IF(首页!$B$14="立式圆筒",(0.825+0.3063*I503^(1/6))^2+0.87*(M503/B503),(0.752+0.303*I503^(1/6))^2),0.3+SQRT((0.592*N503^0.5)^2+(0.0262*N503^0.8/(1-0.5/N503^0.1))^2))</f>
        <v>10062.239760999417</v>
      </c>
      <c r="P503" s="6">
        <f t="shared" si="68"/>
        <v>2.9510194925512497E-2</v>
      </c>
      <c r="Q503" s="6">
        <f t="shared" si="69"/>
        <v>5.3793234915640404</v>
      </c>
      <c r="R503" s="6">
        <f t="shared" si="70"/>
        <v>13.148057292065996</v>
      </c>
      <c r="S503" s="6">
        <f>B503*LN(B503/首页!$B$4)</f>
        <v>2.4886960705776788</v>
      </c>
      <c r="T503" s="6">
        <f>2*首页!$B$8*(E503-C503)/(R503*(C503-D503))</f>
        <v>7.0973062712461926E-2</v>
      </c>
      <c r="U503" t="str">
        <f>IF(首页!$B$13="自然对流","按自然对流公式", "按强制对流公式")</f>
        <v>按自然对流公式</v>
      </c>
      <c r="V503" s="6">
        <f t="shared" si="71"/>
        <v>2.417723007865217</v>
      </c>
    </row>
    <row r="504" spans="1:22" x14ac:dyDescent="0.15">
      <c r="A504">
        <v>499</v>
      </c>
      <c r="B504" s="6">
        <f>首页!$B$4+2*A504/1000</f>
        <v>1.1179999999999999</v>
      </c>
      <c r="C504" s="6">
        <f>首页!$B$7+273.15</f>
        <v>388.15</v>
      </c>
      <c r="D504" s="6">
        <f>首页!$B$6+273.15</f>
        <v>293.14999999999998</v>
      </c>
      <c r="E504" s="6">
        <f>首页!$B$5+273.15</f>
        <v>1373.15</v>
      </c>
      <c r="F504" s="6">
        <f t="shared" si="63"/>
        <v>95</v>
      </c>
      <c r="G504" s="6">
        <f t="shared" si="64"/>
        <v>340.65</v>
      </c>
      <c r="H504" s="6">
        <f t="shared" si="65"/>
        <v>1.9926207055139041E-5</v>
      </c>
      <c r="I504" s="7">
        <f t="shared" si="66"/>
        <v>1158916576932337.8</v>
      </c>
      <c r="J504" s="6">
        <f t="shared" si="67"/>
        <v>1.0226038455893147</v>
      </c>
      <c r="K504" s="7">
        <f>J504*H504*首页!$B$12/P504</f>
        <v>0.69532757496605813</v>
      </c>
      <c r="L504" s="6">
        <f>首页!$B$9*0.0000000567*((C504^4-D504^4)/(C504-D504))</f>
        <v>7.7687338005019564</v>
      </c>
      <c r="M504" s="6">
        <f>IF(首页!$B$13="自然对流",IF(首页!$B$14="立式圆筒",首页!$B$10,PI()*B504/2),PI()*B504/2)</f>
        <v>55.2</v>
      </c>
      <c r="N504" s="7">
        <f>IF(首页!$B$13="强制对流",首页!$B$11*M504/H504,0)</f>
        <v>0</v>
      </c>
      <c r="O504" s="6">
        <f>IF(首页!$B$13="自然对流",IF(首页!$B$14="立式圆筒",(0.825+0.3063*I504^(1/6))^2+0.87*(M504/B504),(0.752+0.303*I504^(1/6))^2),0.3+SQRT((0.592*N504^0.5)^2+(0.0262*N504^0.8/(1-0.5/N504^0.1))^2))</f>
        <v>10062.162780215758</v>
      </c>
      <c r="P504" s="6">
        <f t="shared" si="68"/>
        <v>2.9510194925512497E-2</v>
      </c>
      <c r="Q504" s="6">
        <f t="shared" si="69"/>
        <v>5.3792823372536915</v>
      </c>
      <c r="R504" s="6">
        <f t="shared" si="70"/>
        <v>13.148016137755647</v>
      </c>
      <c r="S504" s="6">
        <f>B504*LN(B504/首页!$B$4)</f>
        <v>2.495157890423092</v>
      </c>
      <c r="T504" s="6">
        <f>2*首页!$B$8*(E504-C504)/(R504*(C504-D504))</f>
        <v>7.0973284863653299E-2</v>
      </c>
      <c r="U504" t="str">
        <f>IF(首页!$B$13="自然对流","按自然对流公式", "按强制对流公式")</f>
        <v>按自然对流公式</v>
      </c>
      <c r="V504" s="6">
        <f t="shared" si="71"/>
        <v>2.4241846055594385</v>
      </c>
    </row>
    <row r="505" spans="1:22" x14ac:dyDescent="0.15">
      <c r="A505">
        <v>500</v>
      </c>
      <c r="B505" s="6">
        <f>首页!$B$4+2*A505/1000</f>
        <v>1.1200000000000001</v>
      </c>
      <c r="C505" s="6">
        <f>首页!$B$7+273.15</f>
        <v>388.15</v>
      </c>
      <c r="D505" s="6">
        <f>首页!$B$6+273.15</f>
        <v>293.14999999999998</v>
      </c>
      <c r="E505" s="6">
        <f>首页!$B$5+273.15</f>
        <v>1373.15</v>
      </c>
      <c r="F505" s="6">
        <f t="shared" si="63"/>
        <v>95</v>
      </c>
      <c r="G505" s="6">
        <f t="shared" si="64"/>
        <v>340.65</v>
      </c>
      <c r="H505" s="6">
        <f t="shared" si="65"/>
        <v>1.9926207055139041E-5</v>
      </c>
      <c r="I505" s="7">
        <f t="shared" si="66"/>
        <v>1158916576932337.8</v>
      </c>
      <c r="J505" s="6">
        <f t="shared" si="67"/>
        <v>1.0226038455893147</v>
      </c>
      <c r="K505" s="7">
        <f>J505*H505*首页!$B$12/P505</f>
        <v>0.69532757496605813</v>
      </c>
      <c r="L505" s="6">
        <f>首页!$B$9*0.0000000567*((C505^4-D505^4)/(C505-D505))</f>
        <v>7.7687338005019564</v>
      </c>
      <c r="M505" s="6">
        <f>IF(首页!$B$13="自然对流",IF(首页!$B$14="立式圆筒",首页!$B$10,PI()*B505/2),PI()*B505/2)</f>
        <v>55.2</v>
      </c>
      <c r="N505" s="7">
        <f>IF(首页!$B$13="强制对流",首页!$B$11*M505/H505,0)</f>
        <v>0</v>
      </c>
      <c r="O505" s="6">
        <f>IF(首页!$B$13="自然对流",IF(首页!$B$14="立式圆筒",(0.825+0.3063*I505^(1/6))^2+0.87*(M505/B505),(0.752+0.303*I505^(1/6))^2),0.3+SQRT((0.592*N505^0.5)^2+(0.0262*N505^0.8/(1-0.5/N505^0.1))^2))</f>
        <v>10062.086074363471</v>
      </c>
      <c r="P505" s="6">
        <f t="shared" si="68"/>
        <v>2.9510194925512497E-2</v>
      </c>
      <c r="Q505" s="6">
        <f t="shared" si="69"/>
        <v>5.3792413299230226</v>
      </c>
      <c r="R505" s="6">
        <f t="shared" si="70"/>
        <v>13.147975130424978</v>
      </c>
      <c r="S505" s="6">
        <f>B505*LN(B505/首页!$B$4)</f>
        <v>2.5016232880879459</v>
      </c>
      <c r="T505" s="6">
        <f>2*首页!$B$8*(E505-C505)/(R505*(C505-D505))</f>
        <v>7.0973506222830829E-2</v>
      </c>
      <c r="U505" t="str">
        <f>IF(首页!$B$13="自然对流","按自然对流公式", "按强制对流公式")</f>
        <v>按自然对流公式</v>
      </c>
      <c r="V505" s="6">
        <f t="shared" si="71"/>
        <v>2.4306497818651152</v>
      </c>
    </row>
    <row r="506" spans="1:22" x14ac:dyDescent="0.15">
      <c r="A506">
        <v>501</v>
      </c>
      <c r="B506" s="6">
        <f>首页!$B$4+2*A506/1000</f>
        <v>1.1219999999999999</v>
      </c>
      <c r="C506" s="6">
        <f>首页!$B$7+273.15</f>
        <v>388.15</v>
      </c>
      <c r="D506" s="6">
        <f>首页!$B$6+273.15</f>
        <v>293.14999999999998</v>
      </c>
      <c r="E506" s="6">
        <f>首页!$B$5+273.15</f>
        <v>1373.15</v>
      </c>
      <c r="F506" s="6">
        <f t="shared" si="63"/>
        <v>95</v>
      </c>
      <c r="G506" s="6">
        <f t="shared" si="64"/>
        <v>340.65</v>
      </c>
      <c r="H506" s="6">
        <f t="shared" si="65"/>
        <v>1.9926207055139041E-5</v>
      </c>
      <c r="I506" s="7">
        <f t="shared" si="66"/>
        <v>1158916576932337.8</v>
      </c>
      <c r="J506" s="6">
        <f t="shared" si="67"/>
        <v>1.0226038455893147</v>
      </c>
      <c r="K506" s="7">
        <f>J506*H506*首页!$B$12/P506</f>
        <v>0.69532757496605813</v>
      </c>
      <c r="L506" s="6">
        <f>首页!$B$9*0.0000000567*((C506^4-D506^4)/(C506-D506))</f>
        <v>7.7687338005019564</v>
      </c>
      <c r="M506" s="6">
        <f>IF(首页!$B$13="自然对流",IF(首页!$B$14="立式圆筒",首页!$B$10,PI()*B506/2),PI()*B506/2)</f>
        <v>55.2</v>
      </c>
      <c r="N506" s="7">
        <f>IF(首页!$B$13="强制对流",首页!$B$11*M506/H506,0)</f>
        <v>0</v>
      </c>
      <c r="O506" s="6">
        <f>IF(首页!$B$13="自然对流",IF(首页!$B$14="立式圆筒",(0.825+0.3063*I506^(1/6))^2+0.87*(M506/B506),(0.752+0.303*I506^(1/6))^2),0.3+SQRT((0.592*N506^0.5)^2+(0.0262*N506^0.8/(1-0.5/N506^0.1))^2))</f>
        <v>10062.009641972332</v>
      </c>
      <c r="P506" s="6">
        <f t="shared" si="68"/>
        <v>2.9510194925512497E-2</v>
      </c>
      <c r="Q506" s="6">
        <f t="shared" si="69"/>
        <v>5.3792004687860455</v>
      </c>
      <c r="R506" s="6">
        <f t="shared" si="70"/>
        <v>13.147934269288001</v>
      </c>
      <c r="S506" s="6">
        <f>B506*LN(B506/首页!$B$4)</f>
        <v>2.508092257183268</v>
      </c>
      <c r="T506" s="6">
        <f>2*首页!$B$8*(E506-C506)/(R506*(C506-D506))</f>
        <v>7.0973726794222508E-2</v>
      </c>
      <c r="U506" t="str">
        <f>IF(首页!$B$13="自然对流","按自然对流公式", "按强制对流公式")</f>
        <v>按自然对流公式</v>
      </c>
      <c r="V506" s="6">
        <f t="shared" si="71"/>
        <v>2.4371185303890455</v>
      </c>
    </row>
    <row r="507" spans="1:22" x14ac:dyDescent="0.15">
      <c r="A507">
        <v>502</v>
      </c>
      <c r="B507" s="6">
        <f>首页!$B$4+2*A507/1000</f>
        <v>1.1240000000000001</v>
      </c>
      <c r="C507" s="6">
        <f>首页!$B$7+273.15</f>
        <v>388.15</v>
      </c>
      <c r="D507" s="6">
        <f>首页!$B$6+273.15</f>
        <v>293.14999999999998</v>
      </c>
      <c r="E507" s="6">
        <f>首页!$B$5+273.15</f>
        <v>1373.15</v>
      </c>
      <c r="F507" s="6">
        <f t="shared" si="63"/>
        <v>95</v>
      </c>
      <c r="G507" s="6">
        <f t="shared" si="64"/>
        <v>340.65</v>
      </c>
      <c r="H507" s="6">
        <f t="shared" si="65"/>
        <v>1.9926207055139041E-5</v>
      </c>
      <c r="I507" s="7">
        <f t="shared" si="66"/>
        <v>1158916576932337.8</v>
      </c>
      <c r="J507" s="6">
        <f t="shared" si="67"/>
        <v>1.0226038455893147</v>
      </c>
      <c r="K507" s="7">
        <f>J507*H507*首页!$B$12/P507</f>
        <v>0.69532757496605813</v>
      </c>
      <c r="L507" s="6">
        <f>首页!$B$9*0.0000000567*((C507^4-D507^4)/(C507-D507))</f>
        <v>7.7687338005019564</v>
      </c>
      <c r="M507" s="6">
        <f>IF(首页!$B$13="自然对流",IF(首页!$B$14="立式圆筒",首页!$B$10,PI()*B507/2),PI()*B507/2)</f>
        <v>55.2</v>
      </c>
      <c r="N507" s="7">
        <f>IF(首页!$B$13="强制对流",首页!$B$11*M507/H507,0)</f>
        <v>0</v>
      </c>
      <c r="O507" s="6">
        <f>IF(首页!$B$13="自然对流",IF(首页!$B$14="立式圆筒",(0.825+0.3063*I507^(1/6))^2+0.87*(M507/B507),(0.752+0.303*I507^(1/6))^2),0.3+SQRT((0.592*N507^0.5)^2+(0.0262*N507^0.8/(1-0.5/N507^0.1))^2))</f>
        <v>10061.933481582586</v>
      </c>
      <c r="P507" s="6">
        <f t="shared" si="68"/>
        <v>2.9510194925512497E-2</v>
      </c>
      <c r="Q507" s="6">
        <f t="shared" si="69"/>
        <v>5.3791597530623676</v>
      </c>
      <c r="R507" s="6">
        <f t="shared" si="70"/>
        <v>13.147893553564323</v>
      </c>
      <c r="S507" s="6">
        <f>B507*LN(B507/首页!$B$4)</f>
        <v>2.5145647913428677</v>
      </c>
      <c r="T507" s="6">
        <f>2*首页!$B$8*(E507-C507)/(R507*(C507-D507))</f>
        <v>7.0973946582026298E-2</v>
      </c>
      <c r="U507" t="str">
        <f>IF(首页!$B$13="自然对流","按自然对流公式", "按强制对流公式")</f>
        <v>按自然对流公式</v>
      </c>
      <c r="V507" s="6">
        <f t="shared" si="71"/>
        <v>2.4435908447608412</v>
      </c>
    </row>
    <row r="508" spans="1:22" x14ac:dyDescent="0.15">
      <c r="A508">
        <v>503</v>
      </c>
      <c r="B508" s="6">
        <f>首页!$B$4+2*A508/1000</f>
        <v>1.1259999999999999</v>
      </c>
      <c r="C508" s="6">
        <f>首页!$B$7+273.15</f>
        <v>388.15</v>
      </c>
      <c r="D508" s="6">
        <f>首页!$B$6+273.15</f>
        <v>293.14999999999998</v>
      </c>
      <c r="E508" s="6">
        <f>首页!$B$5+273.15</f>
        <v>1373.15</v>
      </c>
      <c r="F508" s="6">
        <f t="shared" si="63"/>
        <v>95</v>
      </c>
      <c r="G508" s="6">
        <f t="shared" si="64"/>
        <v>340.65</v>
      </c>
      <c r="H508" s="6">
        <f t="shared" si="65"/>
        <v>1.9926207055139041E-5</v>
      </c>
      <c r="I508" s="7">
        <f t="shared" si="66"/>
        <v>1158916576932337.8</v>
      </c>
      <c r="J508" s="6">
        <f t="shared" si="67"/>
        <v>1.0226038455893147</v>
      </c>
      <c r="K508" s="7">
        <f>J508*H508*首页!$B$12/P508</f>
        <v>0.69532757496605813</v>
      </c>
      <c r="L508" s="6">
        <f>首页!$B$9*0.0000000567*((C508^4-D508^4)/(C508-D508))</f>
        <v>7.7687338005019564</v>
      </c>
      <c r="M508" s="6">
        <f>IF(首页!$B$13="自然对流",IF(首页!$B$14="立式圆筒",首页!$B$10,PI()*B508/2),PI()*B508/2)</f>
        <v>55.2</v>
      </c>
      <c r="N508" s="7">
        <f>IF(首页!$B$13="强制对流",首页!$B$11*M508/H508,0)</f>
        <v>0</v>
      </c>
      <c r="O508" s="6">
        <f>IF(首页!$B$13="自然对流",IF(首页!$B$14="立式圆筒",(0.825+0.3063*I508^(1/6))^2+0.87*(M508/B508),(0.752+0.303*I508^(1/6))^2),0.3+SQRT((0.592*N508^0.5)^2+(0.0262*N508^0.8/(1-0.5/N508^0.1))^2))</f>
        <v>10061.857591744847</v>
      </c>
      <c r="P508" s="6">
        <f t="shared" si="68"/>
        <v>2.9510194925512497E-2</v>
      </c>
      <c r="Q508" s="6">
        <f t="shared" si="69"/>
        <v>5.3791191819771402</v>
      </c>
      <c r="R508" s="6">
        <f t="shared" si="70"/>
        <v>13.147852982479098</v>
      </c>
      <c r="S508" s="6">
        <f>B508*LN(B508/首页!$B$4)</f>
        <v>2.5210408842232059</v>
      </c>
      <c r="T508" s="6">
        <f>2*首页!$B$8*(E508-C508)/(R508*(C508-D508))</f>
        <v>7.0974165590410351E-2</v>
      </c>
      <c r="U508" t="str">
        <f>IF(首页!$B$13="自然对流","按自然对流公式", "按强制对流公式")</f>
        <v>按自然对流公式</v>
      </c>
      <c r="V508" s="6">
        <f t="shared" si="71"/>
        <v>2.4500667186327956</v>
      </c>
    </row>
    <row r="509" spans="1:22" x14ac:dyDescent="0.15">
      <c r="A509">
        <v>504</v>
      </c>
      <c r="B509" s="6">
        <f>首页!$B$4+2*A509/1000</f>
        <v>1.1280000000000001</v>
      </c>
      <c r="C509" s="6">
        <f>首页!$B$7+273.15</f>
        <v>388.15</v>
      </c>
      <c r="D509" s="6">
        <f>首页!$B$6+273.15</f>
        <v>293.14999999999998</v>
      </c>
      <c r="E509" s="6">
        <f>首页!$B$5+273.15</f>
        <v>1373.15</v>
      </c>
      <c r="F509" s="6">
        <f t="shared" si="63"/>
        <v>95</v>
      </c>
      <c r="G509" s="6">
        <f t="shared" si="64"/>
        <v>340.65</v>
      </c>
      <c r="H509" s="6">
        <f t="shared" si="65"/>
        <v>1.9926207055139041E-5</v>
      </c>
      <c r="I509" s="7">
        <f t="shared" si="66"/>
        <v>1158916576932337.8</v>
      </c>
      <c r="J509" s="6">
        <f t="shared" si="67"/>
        <v>1.0226038455893147</v>
      </c>
      <c r="K509" s="7">
        <f>J509*H509*首页!$B$12/P509</f>
        <v>0.69532757496605813</v>
      </c>
      <c r="L509" s="6">
        <f>首页!$B$9*0.0000000567*((C509^4-D509^4)/(C509-D509))</f>
        <v>7.7687338005019564</v>
      </c>
      <c r="M509" s="6">
        <f>IF(首页!$B$13="自然对流",IF(首页!$B$14="立式圆筒",首页!$B$10,PI()*B509/2),PI()*B509/2)</f>
        <v>55.2</v>
      </c>
      <c r="N509" s="7">
        <f>IF(首页!$B$13="强制对流",首页!$B$11*M509/H509,0)</f>
        <v>0</v>
      </c>
      <c r="O509" s="6">
        <f>IF(首页!$B$13="自然对流",IF(首页!$B$14="立式圆筒",(0.825+0.3063*I509^(1/6))^2+0.87*(M509/B509),(0.752+0.303*I509^(1/6))^2),0.3+SQRT((0.592*N509^0.5)^2+(0.0262*N509^0.8/(1-0.5/N509^0.1))^2))</f>
        <v>10061.781971020006</v>
      </c>
      <c r="P509" s="6">
        <f t="shared" si="68"/>
        <v>2.9510194925512497E-2</v>
      </c>
      <c r="Q509" s="6">
        <f t="shared" si="69"/>
        <v>5.3790787547610082</v>
      </c>
      <c r="R509" s="6">
        <f t="shared" si="70"/>
        <v>13.147812555262965</v>
      </c>
      <c r="S509" s="6">
        <f>B509*LN(B509/首页!$B$4)</f>
        <v>2.5275205295032812</v>
      </c>
      <c r="T509" s="6">
        <f>2*首页!$B$8*(E509-C509)/(R509*(C509-D509))</f>
        <v>7.0974383823513398E-2</v>
      </c>
      <c r="U509" t="str">
        <f>IF(首页!$B$13="自然对流","按自然对流公式", "按强制对流公式")</f>
        <v>按自然对流公式</v>
      </c>
      <c r="V509" s="6">
        <f t="shared" si="71"/>
        <v>2.4565461456797677</v>
      </c>
    </row>
    <row r="510" spans="1:22" x14ac:dyDescent="0.15">
      <c r="A510">
        <v>505</v>
      </c>
      <c r="B510" s="6">
        <f>首页!$B$4+2*A510/1000</f>
        <v>1.1299999999999999</v>
      </c>
      <c r="C510" s="6">
        <f>首页!$B$7+273.15</f>
        <v>388.15</v>
      </c>
      <c r="D510" s="6">
        <f>首页!$B$6+273.15</f>
        <v>293.14999999999998</v>
      </c>
      <c r="E510" s="6">
        <f>首页!$B$5+273.15</f>
        <v>1373.15</v>
      </c>
      <c r="F510" s="6">
        <f t="shared" si="63"/>
        <v>95</v>
      </c>
      <c r="G510" s="6">
        <f t="shared" si="64"/>
        <v>340.65</v>
      </c>
      <c r="H510" s="6">
        <f t="shared" si="65"/>
        <v>1.9926207055139041E-5</v>
      </c>
      <c r="I510" s="7">
        <f t="shared" si="66"/>
        <v>1158916576932337.8</v>
      </c>
      <c r="J510" s="6">
        <f t="shared" si="67"/>
        <v>1.0226038455893147</v>
      </c>
      <c r="K510" s="7">
        <f>J510*H510*首页!$B$12/P510</f>
        <v>0.69532757496605813</v>
      </c>
      <c r="L510" s="6">
        <f>首页!$B$9*0.0000000567*((C510^4-D510^4)/(C510-D510))</f>
        <v>7.7687338005019564</v>
      </c>
      <c r="M510" s="6">
        <f>IF(首页!$B$13="自然对流",IF(首页!$B$14="立式圆筒",首页!$B$10,PI()*B510/2),PI()*B510/2)</f>
        <v>55.2</v>
      </c>
      <c r="N510" s="7">
        <f>IF(首页!$B$13="强制对流",首页!$B$11*M510/H510,0)</f>
        <v>0</v>
      </c>
      <c r="O510" s="6">
        <f>IF(首页!$B$13="自然对流",IF(首页!$B$14="立式圆筒",(0.825+0.3063*I510^(1/6))^2+0.87*(M510/B510),(0.752+0.303*I510^(1/6))^2),0.3+SQRT((0.592*N510^0.5)^2+(0.0262*N510^0.8/(1-0.5/N510^0.1))^2))</f>
        <v>10061.706617979147</v>
      </c>
      <c r="P510" s="6">
        <f t="shared" si="68"/>
        <v>2.9510194925512497E-2</v>
      </c>
      <c r="Q510" s="6">
        <f t="shared" si="69"/>
        <v>5.3790384706500669</v>
      </c>
      <c r="R510" s="6">
        <f t="shared" si="70"/>
        <v>13.147772271152023</v>
      </c>
      <c r="S510" s="6">
        <f>B510*LN(B510/首页!$B$4)</f>
        <v>2.5340037208845039</v>
      </c>
      <c r="T510" s="6">
        <f>2*首页!$B$8*(E510-C510)/(R510*(C510-D510))</f>
        <v>7.0974601285444819E-2</v>
      </c>
      <c r="U510" t="str">
        <f>IF(首页!$B$13="自然对流","按自然对流公式", "按强制对流公式")</f>
        <v>按自然对流公式</v>
      </c>
      <c r="V510" s="6">
        <f t="shared" si="71"/>
        <v>2.4630291195990592</v>
      </c>
    </row>
    <row r="511" spans="1:22" x14ac:dyDescent="0.15">
      <c r="A511">
        <v>506</v>
      </c>
      <c r="B511" s="6">
        <f>首页!$B$4+2*A511/1000</f>
        <v>1.1320000000000001</v>
      </c>
      <c r="C511" s="6">
        <f>首页!$B$7+273.15</f>
        <v>388.15</v>
      </c>
      <c r="D511" s="6">
        <f>首页!$B$6+273.15</f>
        <v>293.14999999999998</v>
      </c>
      <c r="E511" s="6">
        <f>首页!$B$5+273.15</f>
        <v>1373.15</v>
      </c>
      <c r="F511" s="6">
        <f t="shared" si="63"/>
        <v>95</v>
      </c>
      <c r="G511" s="6">
        <f t="shared" si="64"/>
        <v>340.65</v>
      </c>
      <c r="H511" s="6">
        <f t="shared" si="65"/>
        <v>1.9926207055139041E-5</v>
      </c>
      <c r="I511" s="7">
        <f t="shared" si="66"/>
        <v>1158916576932337.8</v>
      </c>
      <c r="J511" s="6">
        <f t="shared" si="67"/>
        <v>1.0226038455893147</v>
      </c>
      <c r="K511" s="7">
        <f>J511*H511*首页!$B$12/P511</f>
        <v>0.69532757496605813</v>
      </c>
      <c r="L511" s="6">
        <f>首页!$B$9*0.0000000567*((C511^4-D511^4)/(C511-D511))</f>
        <v>7.7687338005019564</v>
      </c>
      <c r="M511" s="6">
        <f>IF(首页!$B$13="自然对流",IF(首页!$B$14="立式圆筒",首页!$B$10,PI()*B511/2),PI()*B511/2)</f>
        <v>55.2</v>
      </c>
      <c r="N511" s="7">
        <f>IF(首页!$B$13="强制对流",首页!$B$11*M511/H511,0)</f>
        <v>0</v>
      </c>
      <c r="O511" s="6">
        <f>IF(首页!$B$13="自然对流",IF(首页!$B$14="立式圆筒",(0.825+0.3063*I511^(1/6))^2+0.87*(M511/B511),(0.752+0.303*I511^(1/6))^2),0.3+SQRT((0.592*N511^0.5)^2+(0.0262*N511^0.8/(1-0.5/N511^0.1))^2))</f>
        <v>10061.631531203451</v>
      </c>
      <c r="P511" s="6">
        <f t="shared" si="68"/>
        <v>2.9510194925512497E-2</v>
      </c>
      <c r="Q511" s="6">
        <f t="shared" si="69"/>
        <v>5.3789983288858076</v>
      </c>
      <c r="R511" s="6">
        <f t="shared" si="70"/>
        <v>13.147732129387764</v>
      </c>
      <c r="S511" s="6">
        <f>B511*LN(B511/首页!$B$4)</f>
        <v>2.5404904520905855</v>
      </c>
      <c r="T511" s="6">
        <f>2*首页!$B$8*(E511-C511)/(R511*(C511-D511))</f>
        <v>7.0974817980285057E-2</v>
      </c>
      <c r="U511" t="str">
        <f>IF(首页!$B$13="自然对流","按自然对流公式", "按强制对流公式")</f>
        <v>按自然对流公式</v>
      </c>
      <c r="V511" s="6">
        <f t="shared" si="71"/>
        <v>2.4695156341103006</v>
      </c>
    </row>
    <row r="512" spans="1:22" x14ac:dyDescent="0.15">
      <c r="A512">
        <v>507</v>
      </c>
      <c r="B512" s="6">
        <f>首页!$B$4+2*A512/1000</f>
        <v>1.1339999999999999</v>
      </c>
      <c r="C512" s="6">
        <f>首页!$B$7+273.15</f>
        <v>388.15</v>
      </c>
      <c r="D512" s="6">
        <f>首页!$B$6+273.15</f>
        <v>293.14999999999998</v>
      </c>
      <c r="E512" s="6">
        <f>首页!$B$5+273.15</f>
        <v>1373.15</v>
      </c>
      <c r="F512" s="6">
        <f t="shared" si="63"/>
        <v>95</v>
      </c>
      <c r="G512" s="6">
        <f t="shared" si="64"/>
        <v>340.65</v>
      </c>
      <c r="H512" s="6">
        <f t="shared" si="65"/>
        <v>1.9926207055139041E-5</v>
      </c>
      <c r="I512" s="7">
        <f t="shared" si="66"/>
        <v>1158916576932337.8</v>
      </c>
      <c r="J512" s="6">
        <f t="shared" si="67"/>
        <v>1.0226038455893147</v>
      </c>
      <c r="K512" s="7">
        <f>J512*H512*首页!$B$12/P512</f>
        <v>0.69532757496605813</v>
      </c>
      <c r="L512" s="6">
        <f>首页!$B$9*0.0000000567*((C512^4-D512^4)/(C512-D512))</f>
        <v>7.7687338005019564</v>
      </c>
      <c r="M512" s="6">
        <f>IF(首页!$B$13="自然对流",IF(首页!$B$14="立式圆筒",首页!$B$10,PI()*B512/2),PI()*B512/2)</f>
        <v>55.2</v>
      </c>
      <c r="N512" s="7">
        <f>IF(首页!$B$13="强制对流",首页!$B$11*M512/H512,0)</f>
        <v>0</v>
      </c>
      <c r="O512" s="6">
        <f>IF(首页!$B$13="自然对流",IF(首页!$B$14="立式圆筒",(0.825+0.3063*I512^(1/6))^2+0.87*(M512/B512),(0.752+0.303*I512^(1/6))^2),0.3+SQRT((0.592*N512^0.5)^2+(0.0262*N512^0.8/(1-0.5/N512^0.1))^2))</f>
        <v>10061.556709284107</v>
      </c>
      <c r="P512" s="6">
        <f t="shared" si="68"/>
        <v>2.9510194925512497E-2</v>
      </c>
      <c r="Q512" s="6">
        <f t="shared" si="69"/>
        <v>5.3789583287150728</v>
      </c>
      <c r="R512" s="6">
        <f t="shared" si="70"/>
        <v>13.147692129217029</v>
      </c>
      <c r="S512" s="6">
        <f>B512*LN(B512/首页!$B$4)</f>
        <v>2.5469807168674081</v>
      </c>
      <c r="T512" s="6">
        <f>2*首页!$B$8*(E512-C512)/(R512*(C512-D512))</f>
        <v>7.0975033912085803E-2</v>
      </c>
      <c r="U512" t="str">
        <f>IF(首页!$B$13="自然对流","按自然对流公式", "按强制对流公式")</f>
        <v>按自然对流公式</v>
      </c>
      <c r="V512" s="6">
        <f t="shared" si="71"/>
        <v>2.4760056829553223</v>
      </c>
    </row>
    <row r="513" spans="1:22" x14ac:dyDescent="0.15">
      <c r="A513">
        <v>508</v>
      </c>
      <c r="B513" s="6">
        <f>首页!$B$4+2*A513/1000</f>
        <v>1.1360000000000001</v>
      </c>
      <c r="C513" s="6">
        <f>首页!$B$7+273.15</f>
        <v>388.15</v>
      </c>
      <c r="D513" s="6">
        <f>首页!$B$6+273.15</f>
        <v>293.14999999999998</v>
      </c>
      <c r="E513" s="6">
        <f>首页!$B$5+273.15</f>
        <v>1373.15</v>
      </c>
      <c r="F513" s="6">
        <f t="shared" si="63"/>
        <v>95</v>
      </c>
      <c r="G513" s="6">
        <f t="shared" si="64"/>
        <v>340.65</v>
      </c>
      <c r="H513" s="6">
        <f t="shared" si="65"/>
        <v>1.9926207055139041E-5</v>
      </c>
      <c r="I513" s="7">
        <f t="shared" si="66"/>
        <v>1158916576932337.8</v>
      </c>
      <c r="J513" s="6">
        <f t="shared" si="67"/>
        <v>1.0226038455893147</v>
      </c>
      <c r="K513" s="7">
        <f>J513*H513*首页!$B$12/P513</f>
        <v>0.69532757496605813</v>
      </c>
      <c r="L513" s="6">
        <f>首页!$B$9*0.0000000567*((C513^4-D513^4)/(C513-D513))</f>
        <v>7.7687338005019564</v>
      </c>
      <c r="M513" s="6">
        <f>IF(首页!$B$13="自然对流",IF(首页!$B$14="立式圆筒",首页!$B$10,PI()*B513/2),PI()*B513/2)</f>
        <v>55.2</v>
      </c>
      <c r="N513" s="7">
        <f>IF(首页!$B$13="强制对流",首页!$B$11*M513/H513,0)</f>
        <v>0</v>
      </c>
      <c r="O513" s="6">
        <f>IF(首页!$B$13="自然对流",IF(首页!$B$14="立式圆筒",(0.825+0.3063*I513^(1/6))^2+0.87*(M513/B513),(0.752+0.303*I513^(1/6))^2),0.3+SQRT((0.592*N513^0.5)^2+(0.0262*N513^0.8/(1-0.5/N513^0.1))^2))</f>
        <v>10061.482150822223</v>
      </c>
      <c r="P513" s="6">
        <f t="shared" si="68"/>
        <v>2.9510194925512497E-2</v>
      </c>
      <c r="Q513" s="6">
        <f t="shared" si="69"/>
        <v>5.3789184693900092</v>
      </c>
      <c r="R513" s="6">
        <f t="shared" si="70"/>
        <v>13.147652269891966</v>
      </c>
      <c r="S513" s="6">
        <f>B513*LN(B513/首页!$B$4)</f>
        <v>2.5534745089829221</v>
      </c>
      <c r="T513" s="6">
        <f>2*首页!$B$8*(E513-C513)/(R513*(C513-D513))</f>
        <v>7.0975249084870254E-2</v>
      </c>
      <c r="U513" t="str">
        <f>IF(首页!$B$13="自然对流","按自然对流公式", "按强制对流公式")</f>
        <v>按自然对流公式</v>
      </c>
      <c r="V513" s="6">
        <f t="shared" si="71"/>
        <v>2.4824992598980518</v>
      </c>
    </row>
    <row r="514" spans="1:22" x14ac:dyDescent="0.15">
      <c r="A514">
        <v>509</v>
      </c>
      <c r="B514" s="6">
        <f>首页!$B$4+2*A514/1000</f>
        <v>1.1379999999999999</v>
      </c>
      <c r="C514" s="6">
        <f>首页!$B$7+273.15</f>
        <v>388.15</v>
      </c>
      <c r="D514" s="6">
        <f>首页!$B$6+273.15</f>
        <v>293.14999999999998</v>
      </c>
      <c r="E514" s="6">
        <f>首页!$B$5+273.15</f>
        <v>1373.15</v>
      </c>
      <c r="F514" s="6">
        <f t="shared" si="63"/>
        <v>95</v>
      </c>
      <c r="G514" s="6">
        <f t="shared" si="64"/>
        <v>340.65</v>
      </c>
      <c r="H514" s="6">
        <f t="shared" si="65"/>
        <v>1.9926207055139041E-5</v>
      </c>
      <c r="I514" s="7">
        <f t="shared" si="66"/>
        <v>1158916576932337.8</v>
      </c>
      <c r="J514" s="6">
        <f t="shared" si="67"/>
        <v>1.0226038455893147</v>
      </c>
      <c r="K514" s="7">
        <f>J514*H514*首页!$B$12/P514</f>
        <v>0.69532757496605813</v>
      </c>
      <c r="L514" s="6">
        <f>首页!$B$9*0.0000000567*((C514^4-D514^4)/(C514-D514))</f>
        <v>7.7687338005019564</v>
      </c>
      <c r="M514" s="6">
        <f>IF(首页!$B$13="自然对流",IF(首页!$B$14="立式圆筒",首页!$B$10,PI()*B514/2),PI()*B514/2)</f>
        <v>55.2</v>
      </c>
      <c r="N514" s="7">
        <f>IF(首页!$B$13="强制对流",首页!$B$11*M514/H514,0)</f>
        <v>0</v>
      </c>
      <c r="O514" s="6">
        <f>IF(首页!$B$13="自然对流",IF(首页!$B$14="立式圆筒",(0.825+0.3063*I514^(1/6))^2+0.87*(M514/B514),(0.752+0.303*I514^(1/6))^2),0.3+SQRT((0.592*N514^0.5)^2+(0.0262*N514^0.8/(1-0.5/N514^0.1))^2))</f>
        <v>10061.407854428749</v>
      </c>
      <c r="P514" s="6">
        <f t="shared" si="68"/>
        <v>2.9510194925512497E-2</v>
      </c>
      <c r="Q514" s="6">
        <f t="shared" si="69"/>
        <v>5.3788787501680222</v>
      </c>
      <c r="R514" s="6">
        <f t="shared" si="70"/>
        <v>13.147612550669979</v>
      </c>
      <c r="S514" s="6">
        <f>B514*LN(B514/首页!$B$4)</f>
        <v>2.5599718222270136</v>
      </c>
      <c r="T514" s="6">
        <f>2*首页!$B$8*(E514-C514)/(R514*(C514-D514))</f>
        <v>7.0975463502633424E-2</v>
      </c>
      <c r="U514" t="str">
        <f>IF(首页!$B$13="自然对流","按自然对流公式", "按强制对流公式")</f>
        <v>按自然对流公式</v>
      </c>
      <c r="V514" s="6">
        <f t="shared" si="71"/>
        <v>2.4889963587243802</v>
      </c>
    </row>
    <row r="515" spans="1:22" x14ac:dyDescent="0.15">
      <c r="A515">
        <v>510</v>
      </c>
      <c r="B515" s="6">
        <f>首页!$B$4+2*A515/1000</f>
        <v>1.1400000000000001</v>
      </c>
      <c r="C515" s="6">
        <f>首页!$B$7+273.15</f>
        <v>388.15</v>
      </c>
      <c r="D515" s="6">
        <f>首页!$B$6+273.15</f>
        <v>293.14999999999998</v>
      </c>
      <c r="E515" s="6">
        <f>首页!$B$5+273.15</f>
        <v>1373.15</v>
      </c>
      <c r="F515" s="6">
        <f t="shared" si="63"/>
        <v>95</v>
      </c>
      <c r="G515" s="6">
        <f t="shared" si="64"/>
        <v>340.65</v>
      </c>
      <c r="H515" s="6">
        <f t="shared" si="65"/>
        <v>1.9926207055139041E-5</v>
      </c>
      <c r="I515" s="7">
        <f t="shared" si="66"/>
        <v>1158916576932337.8</v>
      </c>
      <c r="J515" s="6">
        <f t="shared" si="67"/>
        <v>1.0226038455893147</v>
      </c>
      <c r="K515" s="7">
        <f>J515*H515*首页!$B$12/P515</f>
        <v>0.69532757496605813</v>
      </c>
      <c r="L515" s="6">
        <f>首页!$B$9*0.0000000567*((C515^4-D515^4)/(C515-D515))</f>
        <v>7.7687338005019564</v>
      </c>
      <c r="M515" s="6">
        <f>IF(首页!$B$13="自然对流",IF(首页!$B$14="立式圆筒",首页!$B$10,PI()*B515/2),PI()*B515/2)</f>
        <v>55.2</v>
      </c>
      <c r="N515" s="7">
        <f>IF(首页!$B$13="强制对流",首页!$B$11*M515/H515,0)</f>
        <v>0</v>
      </c>
      <c r="O515" s="6">
        <f>IF(首页!$B$13="自然对流",IF(首页!$B$14="立式圆筒",(0.825+0.3063*I515^(1/6))^2+0.87*(M515/B515),(0.752+0.303*I515^(1/6))^2),0.3+SQRT((0.592*N515^0.5)^2+(0.0262*N515^0.8/(1-0.5/N515^0.1))^2))</f>
        <v>10061.333818724373</v>
      </c>
      <c r="P515" s="6">
        <f t="shared" si="68"/>
        <v>2.9510194925512497E-2</v>
      </c>
      <c r="Q515" s="6">
        <f t="shared" si="69"/>
        <v>5.3788391703117258</v>
      </c>
      <c r="R515" s="6">
        <f t="shared" si="70"/>
        <v>13.147572970813682</v>
      </c>
      <c r="S515" s="6">
        <f>B515*LN(B515/首页!$B$4)</f>
        <v>2.5664726504114048</v>
      </c>
      <c r="T515" s="6">
        <f>2*首页!$B$8*(E515-C515)/(R515*(C515-D515))</f>
        <v>7.0975677169342263E-2</v>
      </c>
      <c r="U515" t="str">
        <f>IF(首页!$B$13="自然对流","按自然对流公式", "按强制对流公式")</f>
        <v>按自然对流公式</v>
      </c>
      <c r="V515" s="6">
        <f t="shared" si="71"/>
        <v>2.4954969732420627</v>
      </c>
    </row>
    <row r="516" spans="1:22" x14ac:dyDescent="0.15">
      <c r="A516">
        <v>511</v>
      </c>
      <c r="B516" s="6">
        <f>首页!$B$4+2*A516/1000</f>
        <v>1.1419999999999999</v>
      </c>
      <c r="C516" s="6">
        <f>首页!$B$7+273.15</f>
        <v>388.15</v>
      </c>
      <c r="D516" s="6">
        <f>首页!$B$6+273.15</f>
        <v>293.14999999999998</v>
      </c>
      <c r="E516" s="6">
        <f>首页!$B$5+273.15</f>
        <v>1373.15</v>
      </c>
      <c r="F516" s="6">
        <f t="shared" si="63"/>
        <v>95</v>
      </c>
      <c r="G516" s="6">
        <f t="shared" si="64"/>
        <v>340.65</v>
      </c>
      <c r="H516" s="6">
        <f t="shared" si="65"/>
        <v>1.9926207055139041E-5</v>
      </c>
      <c r="I516" s="7">
        <f t="shared" si="66"/>
        <v>1158916576932337.8</v>
      </c>
      <c r="J516" s="6">
        <f t="shared" si="67"/>
        <v>1.0226038455893147</v>
      </c>
      <c r="K516" s="7">
        <f>J516*H516*首页!$B$12/P516</f>
        <v>0.69532757496605813</v>
      </c>
      <c r="L516" s="6">
        <f>首页!$B$9*0.0000000567*((C516^4-D516^4)/(C516-D516))</f>
        <v>7.7687338005019564</v>
      </c>
      <c r="M516" s="6">
        <f>IF(首页!$B$13="自然对流",IF(首页!$B$14="立式圆筒",首页!$B$10,PI()*B516/2),PI()*B516/2)</f>
        <v>55.2</v>
      </c>
      <c r="N516" s="7">
        <f>IF(首页!$B$13="强制对流",首页!$B$11*M516/H516,0)</f>
        <v>0</v>
      </c>
      <c r="O516" s="6">
        <f>IF(首页!$B$13="自然对流",IF(首页!$B$14="立式圆筒",(0.825+0.3063*I516^(1/6))^2+0.87*(M516/B516),(0.752+0.303*I516^(1/6))^2),0.3+SQRT((0.592*N516^0.5)^2+(0.0262*N516^0.8/(1-0.5/N516^0.1))^2))</f>
        <v>10061.260042339452</v>
      </c>
      <c r="P516" s="6">
        <f t="shared" si="68"/>
        <v>2.9510194925512497E-2</v>
      </c>
      <c r="Q516" s="6">
        <f t="shared" si="69"/>
        <v>5.3787997290889011</v>
      </c>
      <c r="R516" s="6">
        <f t="shared" si="70"/>
        <v>13.147533529590858</v>
      </c>
      <c r="S516" s="6">
        <f>B516*LN(B516/首页!$B$4)</f>
        <v>2.5729769873695245</v>
      </c>
      <c r="T516" s="6">
        <f>2*首页!$B$8*(E516-C516)/(R516*(C516-D516))</f>
        <v>7.0975890088936053E-2</v>
      </c>
      <c r="U516" t="str">
        <f>IF(首页!$B$13="自然对流","按自然对流公式", "按强制对流公式")</f>
        <v>按自然对流公式</v>
      </c>
      <c r="V516" s="6">
        <f t="shared" si="71"/>
        <v>2.5020010972805884</v>
      </c>
    </row>
    <row r="517" spans="1:22" x14ac:dyDescent="0.15">
      <c r="A517">
        <v>512</v>
      </c>
      <c r="B517" s="6">
        <f>首页!$B$4+2*A517/1000</f>
        <v>1.1440000000000001</v>
      </c>
      <c r="C517" s="6">
        <f>首页!$B$7+273.15</f>
        <v>388.15</v>
      </c>
      <c r="D517" s="6">
        <f>首页!$B$6+273.15</f>
        <v>293.14999999999998</v>
      </c>
      <c r="E517" s="6">
        <f>首页!$B$5+273.15</f>
        <v>1373.15</v>
      </c>
      <c r="F517" s="6">
        <f t="shared" ref="F517:F580" si="72">C517-D517</f>
        <v>95</v>
      </c>
      <c r="G517" s="6">
        <f t="shared" ref="G517:G580" si="73">(C517+D517)/2</f>
        <v>340.65</v>
      </c>
      <c r="H517" s="6">
        <f t="shared" ref="H517:H580" si="74">0.0000000042113*G517^2.5/(112+G517)</f>
        <v>1.9926207055139041E-5</v>
      </c>
      <c r="I517" s="7">
        <f t="shared" ref="I517:I580" si="75">9.81*M517^3*F517/(H517^2*G517)</f>
        <v>1158916576932337.8</v>
      </c>
      <c r="J517" s="6">
        <f t="shared" ref="J517:J580" si="76">348.35/G517</f>
        <v>1.0226038455893147</v>
      </c>
      <c r="K517" s="7">
        <f>J517*H517*首页!$B$12/P517</f>
        <v>0.69532757496605813</v>
      </c>
      <c r="L517" s="6">
        <f>首页!$B$9*0.0000000567*((C517^4-D517^4)/(C517-D517))</f>
        <v>7.7687338005019564</v>
      </c>
      <c r="M517" s="6">
        <f>IF(首页!$B$13="自然对流",IF(首页!$B$14="立式圆筒",首页!$B$10,PI()*B517/2),PI()*B517/2)</f>
        <v>55.2</v>
      </c>
      <c r="N517" s="7">
        <f>IF(首页!$B$13="强制对流",首页!$B$11*M517/H517,0)</f>
        <v>0</v>
      </c>
      <c r="O517" s="6">
        <f>IF(首页!$B$13="自然对流",IF(首页!$B$14="立式圆筒",(0.825+0.3063*I517^(1/6))^2+0.87*(M517/B517),(0.752+0.303*I517^(1/6))^2),0.3+SQRT((0.592*N517^0.5)^2+(0.0262*N517^0.8/(1-0.5/N517^0.1))^2))</f>
        <v>10061.186523913921</v>
      </c>
      <c r="P517" s="6">
        <f t="shared" ref="P517:P580" si="77">0.0243+0.000078421*(G517-273)-0.000000020755*(G517-273)^2</f>
        <v>2.9510194925512497E-2</v>
      </c>
      <c r="Q517" s="6">
        <f t="shared" ref="Q517:Q580" si="78">O517*P517/M517</f>
        <v>5.3787604257724508</v>
      </c>
      <c r="R517" s="6">
        <f t="shared" ref="R517:R580" si="79">L517+Q517</f>
        <v>13.147494226274407</v>
      </c>
      <c r="S517" s="6">
        <f>B517*LN(B517/首页!$B$4)</f>
        <v>2.5794848269564059</v>
      </c>
      <c r="T517" s="6">
        <f>2*首页!$B$8*(E517-C517)/(R517*(C517-D517))</f>
        <v>7.097610226532651E-2</v>
      </c>
      <c r="U517" t="str">
        <f>IF(首页!$B$13="自然对流","按自然对流公式", "按强制对流公式")</f>
        <v>按自然对流公式</v>
      </c>
      <c r="V517" s="6">
        <f t="shared" ref="V517:V580" si="80">ABS(S517-T517)</f>
        <v>2.5085087246910795</v>
      </c>
    </row>
    <row r="518" spans="1:22" x14ac:dyDescent="0.15">
      <c r="A518">
        <v>513</v>
      </c>
      <c r="B518" s="6">
        <f>首页!$B$4+2*A518/1000</f>
        <v>1.1459999999999999</v>
      </c>
      <c r="C518" s="6">
        <f>首页!$B$7+273.15</f>
        <v>388.15</v>
      </c>
      <c r="D518" s="6">
        <f>首页!$B$6+273.15</f>
        <v>293.14999999999998</v>
      </c>
      <c r="E518" s="6">
        <f>首页!$B$5+273.15</f>
        <v>1373.15</v>
      </c>
      <c r="F518" s="6">
        <f t="shared" si="72"/>
        <v>95</v>
      </c>
      <c r="G518" s="6">
        <f t="shared" si="73"/>
        <v>340.65</v>
      </c>
      <c r="H518" s="6">
        <f t="shared" si="74"/>
        <v>1.9926207055139041E-5</v>
      </c>
      <c r="I518" s="7">
        <f t="shared" si="75"/>
        <v>1158916576932337.8</v>
      </c>
      <c r="J518" s="6">
        <f t="shared" si="76"/>
        <v>1.0226038455893147</v>
      </c>
      <c r="K518" s="7">
        <f>J518*H518*首页!$B$12/P518</f>
        <v>0.69532757496605813</v>
      </c>
      <c r="L518" s="6">
        <f>首页!$B$9*0.0000000567*((C518^4-D518^4)/(C518-D518))</f>
        <v>7.7687338005019564</v>
      </c>
      <c r="M518" s="6">
        <f>IF(首页!$B$13="自然对流",IF(首页!$B$14="立式圆筒",首页!$B$10,PI()*B518/2),PI()*B518/2)</f>
        <v>55.2</v>
      </c>
      <c r="N518" s="7">
        <f>IF(首页!$B$13="强制对流",首页!$B$11*M518/H518,0)</f>
        <v>0</v>
      </c>
      <c r="O518" s="6">
        <f>IF(首页!$B$13="自然对流",IF(首页!$B$14="立式圆筒",(0.825+0.3063*I518^(1/6))^2+0.87*(M518/B518),(0.752+0.303*I518^(1/6))^2),0.3+SQRT((0.592*N518^0.5)^2+(0.0262*N518^0.8/(1-0.5/N518^0.1))^2))</f>
        <v>10061.113262097204</v>
      </c>
      <c r="P518" s="6">
        <f t="shared" si="77"/>
        <v>2.9510194925512497E-2</v>
      </c>
      <c r="Q518" s="6">
        <f t="shared" si="78"/>
        <v>5.3787212596403515</v>
      </c>
      <c r="R518" s="6">
        <f t="shared" si="79"/>
        <v>13.147455060142308</v>
      </c>
      <c r="S518" s="6">
        <f>B518*LN(B518/首页!$B$4)</f>
        <v>2.5859961630485637</v>
      </c>
      <c r="T518" s="6">
        <f>2*首页!$B$8*(E518-C518)/(R518*(C518-D518))</f>
        <v>7.0976313702398139E-2</v>
      </c>
      <c r="U518" t="str">
        <f>IF(首页!$B$13="自然对流","按自然对流公式", "按强制对流公式")</f>
        <v>按自然对流公式</v>
      </c>
      <c r="V518" s="6">
        <f t="shared" si="80"/>
        <v>2.5150198493461655</v>
      </c>
    </row>
    <row r="519" spans="1:22" x14ac:dyDescent="0.15">
      <c r="A519">
        <v>514</v>
      </c>
      <c r="B519" s="6">
        <f>首页!$B$4+2*A519/1000</f>
        <v>1.1480000000000001</v>
      </c>
      <c r="C519" s="6">
        <f>首页!$B$7+273.15</f>
        <v>388.15</v>
      </c>
      <c r="D519" s="6">
        <f>首页!$B$6+273.15</f>
        <v>293.14999999999998</v>
      </c>
      <c r="E519" s="6">
        <f>首页!$B$5+273.15</f>
        <v>1373.15</v>
      </c>
      <c r="F519" s="6">
        <f t="shared" si="72"/>
        <v>95</v>
      </c>
      <c r="G519" s="6">
        <f t="shared" si="73"/>
        <v>340.65</v>
      </c>
      <c r="H519" s="6">
        <f t="shared" si="74"/>
        <v>1.9926207055139041E-5</v>
      </c>
      <c r="I519" s="7">
        <f t="shared" si="75"/>
        <v>1158916576932337.8</v>
      </c>
      <c r="J519" s="6">
        <f t="shared" si="76"/>
        <v>1.0226038455893147</v>
      </c>
      <c r="K519" s="7">
        <f>J519*H519*首页!$B$12/P519</f>
        <v>0.69532757496605813</v>
      </c>
      <c r="L519" s="6">
        <f>首页!$B$9*0.0000000567*((C519^4-D519^4)/(C519-D519))</f>
        <v>7.7687338005019564</v>
      </c>
      <c r="M519" s="6">
        <f>IF(首页!$B$13="自然对流",IF(首页!$B$14="立式圆筒",首页!$B$10,PI()*B519/2),PI()*B519/2)</f>
        <v>55.2</v>
      </c>
      <c r="N519" s="7">
        <f>IF(首页!$B$13="强制对流",首页!$B$11*M519/H519,0)</f>
        <v>0</v>
      </c>
      <c r="O519" s="6">
        <f>IF(首页!$B$13="自然对流",IF(首页!$B$14="立式圆筒",(0.825+0.3063*I519^(1/6))^2+0.87*(M519/B519),(0.752+0.303*I519^(1/6))^2),0.3+SQRT((0.592*N519^0.5)^2+(0.0262*N519^0.8/(1-0.5/N519^0.1))^2))</f>
        <v>10061.04025554814</v>
      </c>
      <c r="P519" s="6">
        <f t="shared" si="77"/>
        <v>2.9510194925512497E-2</v>
      </c>
      <c r="Q519" s="6">
        <f t="shared" si="78"/>
        <v>5.3786822299756096</v>
      </c>
      <c r="R519" s="6">
        <f t="shared" si="79"/>
        <v>13.147416030477565</v>
      </c>
      <c r="S519" s="6">
        <f>B519*LN(B519/首页!$B$4)</f>
        <v>2.5925109895438911</v>
      </c>
      <c r="T519" s="6">
        <f>2*首页!$B$8*(E519-C519)/(R519*(C519-D519))</f>
        <v>7.0976524404008409E-2</v>
      </c>
      <c r="U519" t="str">
        <f>IF(首页!$B$13="自然对流","按自然对流公式", "按强制对流公式")</f>
        <v>按自然对流公式</v>
      </c>
      <c r="V519" s="6">
        <f t="shared" si="80"/>
        <v>2.5215344651398826</v>
      </c>
    </row>
    <row r="520" spans="1:22" x14ac:dyDescent="0.15">
      <c r="A520">
        <v>515</v>
      </c>
      <c r="B520" s="6">
        <f>首页!$B$4+2*A520/1000</f>
        <v>1.1499999999999999</v>
      </c>
      <c r="C520" s="6">
        <f>首页!$B$7+273.15</f>
        <v>388.15</v>
      </c>
      <c r="D520" s="6">
        <f>首页!$B$6+273.15</f>
        <v>293.14999999999998</v>
      </c>
      <c r="E520" s="6">
        <f>首页!$B$5+273.15</f>
        <v>1373.15</v>
      </c>
      <c r="F520" s="6">
        <f t="shared" si="72"/>
        <v>95</v>
      </c>
      <c r="G520" s="6">
        <f t="shared" si="73"/>
        <v>340.65</v>
      </c>
      <c r="H520" s="6">
        <f t="shared" si="74"/>
        <v>1.9926207055139041E-5</v>
      </c>
      <c r="I520" s="7">
        <f t="shared" si="75"/>
        <v>1158916576932337.8</v>
      </c>
      <c r="J520" s="6">
        <f t="shared" si="76"/>
        <v>1.0226038455893147</v>
      </c>
      <c r="K520" s="7">
        <f>J520*H520*首页!$B$12/P520</f>
        <v>0.69532757496605813</v>
      </c>
      <c r="L520" s="6">
        <f>首页!$B$9*0.0000000567*((C520^4-D520^4)/(C520-D520))</f>
        <v>7.7687338005019564</v>
      </c>
      <c r="M520" s="6">
        <f>IF(首页!$B$13="自然对流",IF(首页!$B$14="立式圆筒",首页!$B$10,PI()*B520/2),PI()*B520/2)</f>
        <v>55.2</v>
      </c>
      <c r="N520" s="7">
        <f>IF(首页!$B$13="强制对流",首页!$B$11*M520/H520,0)</f>
        <v>0</v>
      </c>
      <c r="O520" s="6">
        <f>IF(首页!$B$13="自然对流",IF(首页!$B$14="立式圆筒",(0.825+0.3063*I520^(1/6))^2+0.87*(M520/B520),(0.752+0.303*I520^(1/6))^2),0.3+SQRT((0.592*N520^0.5)^2+(0.0262*N520^0.8/(1-0.5/N520^0.1))^2))</f>
        <v>10060.9675029349</v>
      </c>
      <c r="P520" s="6">
        <f t="shared" si="77"/>
        <v>2.9510194925512497E-2</v>
      </c>
      <c r="Q520" s="6">
        <f t="shared" si="78"/>
        <v>5.3786433360662249</v>
      </c>
      <c r="R520" s="6">
        <f t="shared" si="79"/>
        <v>13.147377136568181</v>
      </c>
      <c r="S520" s="6">
        <f>B520*LN(B520/首页!$B$4)</f>
        <v>2.5990293003615372</v>
      </c>
      <c r="T520" s="6">
        <f>2*首页!$B$8*(E520-C520)/(R520*(C520-D520))</f>
        <v>7.0976734373987951E-2</v>
      </c>
      <c r="U520" t="str">
        <f>IF(首页!$B$13="自然对流","按自然对流公式", "按强制对流公式")</f>
        <v>按自然对流公式</v>
      </c>
      <c r="V520" s="6">
        <f t="shared" si="80"/>
        <v>2.5280525659875495</v>
      </c>
    </row>
    <row r="521" spans="1:22" x14ac:dyDescent="0.15">
      <c r="A521">
        <v>516</v>
      </c>
      <c r="B521" s="6">
        <f>首页!$B$4+2*A521/1000</f>
        <v>1.1520000000000001</v>
      </c>
      <c r="C521" s="6">
        <f>首页!$B$7+273.15</f>
        <v>388.15</v>
      </c>
      <c r="D521" s="6">
        <f>首页!$B$6+273.15</f>
        <v>293.14999999999998</v>
      </c>
      <c r="E521" s="6">
        <f>首页!$B$5+273.15</f>
        <v>1373.15</v>
      </c>
      <c r="F521" s="6">
        <f t="shared" si="72"/>
        <v>95</v>
      </c>
      <c r="G521" s="6">
        <f t="shared" si="73"/>
        <v>340.65</v>
      </c>
      <c r="H521" s="6">
        <f t="shared" si="74"/>
        <v>1.9926207055139041E-5</v>
      </c>
      <c r="I521" s="7">
        <f t="shared" si="75"/>
        <v>1158916576932337.8</v>
      </c>
      <c r="J521" s="6">
        <f t="shared" si="76"/>
        <v>1.0226038455893147</v>
      </c>
      <c r="K521" s="7">
        <f>J521*H521*首页!$B$12/P521</f>
        <v>0.69532757496605813</v>
      </c>
      <c r="L521" s="6">
        <f>首页!$B$9*0.0000000567*((C521^4-D521^4)/(C521-D521))</f>
        <v>7.7687338005019564</v>
      </c>
      <c r="M521" s="6">
        <f>IF(首页!$B$13="自然对流",IF(首页!$B$14="立式圆筒",首页!$B$10,PI()*B521/2),PI()*B521/2)</f>
        <v>55.2</v>
      </c>
      <c r="N521" s="7">
        <f>IF(首页!$B$13="强制对流",首页!$B$11*M521/H521,0)</f>
        <v>0</v>
      </c>
      <c r="O521" s="6">
        <f>IF(首页!$B$13="自然对流",IF(首页!$B$14="立式圆筒",(0.825+0.3063*I521^(1/6))^2+0.87*(M521/B521),(0.752+0.303*I521^(1/6))^2),0.3+SQRT((0.592*N521^0.5)^2+(0.0262*N521^0.8/(1-0.5/N521^0.1))^2))</f>
        <v>10060.8950029349</v>
      </c>
      <c r="P521" s="6">
        <f t="shared" si="77"/>
        <v>2.9510194925512497E-2</v>
      </c>
      <c r="Q521" s="6">
        <f t="shared" si="78"/>
        <v>5.3786045772051363</v>
      </c>
      <c r="R521" s="6">
        <f t="shared" si="79"/>
        <v>13.147338377707094</v>
      </c>
      <c r="S521" s="6">
        <f>B521*LN(B521/首页!$B$4)</f>
        <v>2.605551089441807</v>
      </c>
      <c r="T521" s="6">
        <f>2*首页!$B$8*(E521-C521)/(R521*(C521-D521))</f>
        <v>7.0976943616140931E-2</v>
      </c>
      <c r="U521" t="str">
        <f>IF(首页!$B$13="自然对流","按自然对流公式", "按强制对流公式")</f>
        <v>按自然对流公式</v>
      </c>
      <c r="V521" s="6">
        <f t="shared" si="80"/>
        <v>2.5345741458256663</v>
      </c>
    </row>
    <row r="522" spans="1:22" x14ac:dyDescent="0.15">
      <c r="A522">
        <v>517</v>
      </c>
      <c r="B522" s="6">
        <f>首页!$B$4+2*A522/1000</f>
        <v>1.1539999999999999</v>
      </c>
      <c r="C522" s="6">
        <f>首页!$B$7+273.15</f>
        <v>388.15</v>
      </c>
      <c r="D522" s="6">
        <f>首页!$B$6+273.15</f>
        <v>293.14999999999998</v>
      </c>
      <c r="E522" s="6">
        <f>首页!$B$5+273.15</f>
        <v>1373.15</v>
      </c>
      <c r="F522" s="6">
        <f t="shared" si="72"/>
        <v>95</v>
      </c>
      <c r="G522" s="6">
        <f t="shared" si="73"/>
        <v>340.65</v>
      </c>
      <c r="H522" s="6">
        <f t="shared" si="74"/>
        <v>1.9926207055139041E-5</v>
      </c>
      <c r="I522" s="7">
        <f t="shared" si="75"/>
        <v>1158916576932337.8</v>
      </c>
      <c r="J522" s="6">
        <f t="shared" si="76"/>
        <v>1.0226038455893147</v>
      </c>
      <c r="K522" s="7">
        <f>J522*H522*首页!$B$12/P522</f>
        <v>0.69532757496605813</v>
      </c>
      <c r="L522" s="6">
        <f>首页!$B$9*0.0000000567*((C522^4-D522^4)/(C522-D522))</f>
        <v>7.7687338005019564</v>
      </c>
      <c r="M522" s="6">
        <f>IF(首页!$B$13="自然对流",IF(首页!$B$14="立式圆筒",首页!$B$10,PI()*B522/2),PI()*B522/2)</f>
        <v>55.2</v>
      </c>
      <c r="N522" s="7">
        <f>IF(首页!$B$13="强制对流",首页!$B$11*M522/H522,0)</f>
        <v>0</v>
      </c>
      <c r="O522" s="6">
        <f>IF(首页!$B$13="自然对流",IF(首页!$B$14="立式圆筒",(0.825+0.3063*I522^(1/6))^2+0.87*(M522/B522),(0.752+0.303*I522^(1/6))^2),0.3+SQRT((0.592*N522^0.5)^2+(0.0262*N522^0.8/(1-0.5/N522^0.1))^2))</f>
        <v>10060.822754234727</v>
      </c>
      <c r="P522" s="6">
        <f t="shared" si="77"/>
        <v>2.9510194925512497E-2</v>
      </c>
      <c r="Q522" s="6">
        <f t="shared" si="78"/>
        <v>5.3785659526901854</v>
      </c>
      <c r="R522" s="6">
        <f t="shared" si="79"/>
        <v>13.147299753192142</v>
      </c>
      <c r="S522" s="6">
        <f>B522*LN(B522/首页!$B$4)</f>
        <v>2.6120763507460425</v>
      </c>
      <c r="T522" s="6">
        <f>2*首页!$B$8*(E522-C522)/(R522*(C522-D522))</f>
        <v>7.0977152134245131E-2</v>
      </c>
      <c r="U522" t="str">
        <f>IF(首页!$B$13="自然对流","按自然对流公式", "按强制对流公式")</f>
        <v>按自然对流公式</v>
      </c>
      <c r="V522" s="6">
        <f t="shared" si="80"/>
        <v>2.5410991986117972</v>
      </c>
    </row>
    <row r="523" spans="1:22" x14ac:dyDescent="0.15">
      <c r="A523">
        <v>518</v>
      </c>
      <c r="B523" s="6">
        <f>首页!$B$4+2*A523/1000</f>
        <v>1.1560000000000001</v>
      </c>
      <c r="C523" s="6">
        <f>首页!$B$7+273.15</f>
        <v>388.15</v>
      </c>
      <c r="D523" s="6">
        <f>首页!$B$6+273.15</f>
        <v>293.14999999999998</v>
      </c>
      <c r="E523" s="6">
        <f>首页!$B$5+273.15</f>
        <v>1373.15</v>
      </c>
      <c r="F523" s="6">
        <f t="shared" si="72"/>
        <v>95</v>
      </c>
      <c r="G523" s="6">
        <f t="shared" si="73"/>
        <v>340.65</v>
      </c>
      <c r="H523" s="6">
        <f t="shared" si="74"/>
        <v>1.9926207055139041E-5</v>
      </c>
      <c r="I523" s="7">
        <f t="shared" si="75"/>
        <v>1158916576932337.8</v>
      </c>
      <c r="J523" s="6">
        <f t="shared" si="76"/>
        <v>1.0226038455893147</v>
      </c>
      <c r="K523" s="7">
        <f>J523*H523*首页!$B$12/P523</f>
        <v>0.69532757496605813</v>
      </c>
      <c r="L523" s="6">
        <f>首页!$B$9*0.0000000567*((C523^4-D523^4)/(C523-D523))</f>
        <v>7.7687338005019564</v>
      </c>
      <c r="M523" s="6">
        <f>IF(首页!$B$13="自然对流",IF(首页!$B$14="立式圆筒",首页!$B$10,PI()*B523/2),PI()*B523/2)</f>
        <v>55.2</v>
      </c>
      <c r="N523" s="7">
        <f>IF(首页!$B$13="强制对流",首页!$B$11*M523/H523,0)</f>
        <v>0</v>
      </c>
      <c r="O523" s="6">
        <f>IF(首页!$B$13="自然对流",IF(首页!$B$14="立式圆筒",(0.825+0.3063*I523^(1/6))^2+0.87*(M523/B523),(0.752+0.303*I523^(1/6))^2),0.3+SQRT((0.592*N523^0.5)^2+(0.0262*N523^0.8/(1-0.5/N523^0.1))^2))</f>
        <v>10060.750755530056</v>
      </c>
      <c r="P523" s="6">
        <f t="shared" si="77"/>
        <v>2.9510194925512497E-2</v>
      </c>
      <c r="Q523" s="6">
        <f t="shared" si="78"/>
        <v>5.3785274618240768</v>
      </c>
      <c r="R523" s="6">
        <f t="shared" si="79"/>
        <v>13.147261262326033</v>
      </c>
      <c r="S523" s="6">
        <f>B523*LN(B523/首页!$B$4)</f>
        <v>2.6186050782565204</v>
      </c>
      <c r="T523" s="6">
        <f>2*首页!$B$8*(E523-C523)/(R523*(C523-D523))</f>
        <v>7.0977359932052231E-2</v>
      </c>
      <c r="U523" t="str">
        <f>IF(首页!$B$13="自然对流","按自然对流公式", "按强制对流公式")</f>
        <v>按自然对流公式</v>
      </c>
      <c r="V523" s="6">
        <f t="shared" si="80"/>
        <v>2.5476277183244682</v>
      </c>
    </row>
    <row r="524" spans="1:22" x14ac:dyDescent="0.15">
      <c r="A524">
        <v>519</v>
      </c>
      <c r="B524" s="6">
        <f>首页!$B$4+2*A524/1000</f>
        <v>1.1579999999999999</v>
      </c>
      <c r="C524" s="6">
        <f>首页!$B$7+273.15</f>
        <v>388.15</v>
      </c>
      <c r="D524" s="6">
        <f>首页!$B$6+273.15</f>
        <v>293.14999999999998</v>
      </c>
      <c r="E524" s="6">
        <f>首页!$B$5+273.15</f>
        <v>1373.15</v>
      </c>
      <c r="F524" s="6">
        <f t="shared" si="72"/>
        <v>95</v>
      </c>
      <c r="G524" s="6">
        <f t="shared" si="73"/>
        <v>340.65</v>
      </c>
      <c r="H524" s="6">
        <f t="shared" si="74"/>
        <v>1.9926207055139041E-5</v>
      </c>
      <c r="I524" s="7">
        <f t="shared" si="75"/>
        <v>1158916576932337.8</v>
      </c>
      <c r="J524" s="6">
        <f t="shared" si="76"/>
        <v>1.0226038455893147</v>
      </c>
      <c r="K524" s="7">
        <f>J524*H524*首页!$B$12/P524</f>
        <v>0.69532757496605813</v>
      </c>
      <c r="L524" s="6">
        <f>首页!$B$9*0.0000000567*((C524^4-D524^4)/(C524-D524))</f>
        <v>7.7687338005019564</v>
      </c>
      <c r="M524" s="6">
        <f>IF(首页!$B$13="自然对流",IF(首页!$B$14="立式圆筒",首页!$B$10,PI()*B524/2),PI()*B524/2)</f>
        <v>55.2</v>
      </c>
      <c r="N524" s="7">
        <f>IF(首页!$B$13="强制对流",首页!$B$11*M524/H524,0)</f>
        <v>0</v>
      </c>
      <c r="O524" s="6">
        <f>IF(首页!$B$13="自然对流",IF(首页!$B$14="立式圆筒",(0.825+0.3063*I524^(1/6))^2+0.87*(M524/B524),(0.752+0.303*I524^(1/6))^2),0.3+SQRT((0.592*N524^0.5)^2+(0.0262*N524^0.8/(1-0.5/N524^0.1))^2))</f>
        <v>10060.679005525573</v>
      </c>
      <c r="P524" s="6">
        <f t="shared" si="77"/>
        <v>2.9510194925512497E-2</v>
      </c>
      <c r="Q524" s="6">
        <f t="shared" si="78"/>
        <v>5.378489103914327</v>
      </c>
      <c r="R524" s="6">
        <f t="shared" si="79"/>
        <v>13.147222904416283</v>
      </c>
      <c r="S524" s="6">
        <f>B524*LN(B524/首页!$B$4)</f>
        <v>2.6251372659763361</v>
      </c>
      <c r="T524" s="6">
        <f>2*首页!$B$8*(E524-C524)/(R524*(C524-D524))</f>
        <v>7.0977567013288043E-2</v>
      </c>
      <c r="U524" t="str">
        <f>IF(首页!$B$13="自然对流","按自然对流公式", "按强制对流公式")</f>
        <v>按自然对流公式</v>
      </c>
      <c r="V524" s="6">
        <f t="shared" si="80"/>
        <v>2.5541596989630482</v>
      </c>
    </row>
    <row r="525" spans="1:22" x14ac:dyDescent="0.15">
      <c r="A525">
        <v>520</v>
      </c>
      <c r="B525" s="6">
        <f>首页!$B$4+2*A525/1000</f>
        <v>1.1600000000000001</v>
      </c>
      <c r="C525" s="6">
        <f>首页!$B$7+273.15</f>
        <v>388.15</v>
      </c>
      <c r="D525" s="6">
        <f>首页!$B$6+273.15</f>
        <v>293.14999999999998</v>
      </c>
      <c r="E525" s="6">
        <f>首页!$B$5+273.15</f>
        <v>1373.15</v>
      </c>
      <c r="F525" s="6">
        <f t="shared" si="72"/>
        <v>95</v>
      </c>
      <c r="G525" s="6">
        <f t="shared" si="73"/>
        <v>340.65</v>
      </c>
      <c r="H525" s="6">
        <f t="shared" si="74"/>
        <v>1.9926207055139041E-5</v>
      </c>
      <c r="I525" s="7">
        <f t="shared" si="75"/>
        <v>1158916576932337.8</v>
      </c>
      <c r="J525" s="6">
        <f t="shared" si="76"/>
        <v>1.0226038455893147</v>
      </c>
      <c r="K525" s="7">
        <f>J525*H525*首页!$B$12/P525</f>
        <v>0.69532757496605813</v>
      </c>
      <c r="L525" s="6">
        <f>首页!$B$9*0.0000000567*((C525^4-D525^4)/(C525-D525))</f>
        <v>7.7687338005019564</v>
      </c>
      <c r="M525" s="6">
        <f>IF(首页!$B$13="自然对流",IF(首页!$B$14="立式圆筒",首页!$B$10,PI()*B525/2),PI()*B525/2)</f>
        <v>55.2</v>
      </c>
      <c r="N525" s="7">
        <f>IF(首页!$B$13="强制对流",首页!$B$11*M525/H525,0)</f>
        <v>0</v>
      </c>
      <c r="O525" s="6">
        <f>IF(首页!$B$13="自然对流",IF(首页!$B$14="立式圆筒",(0.825+0.3063*I525^(1/6))^2+0.87*(M525/B525),(0.752+0.303*I525^(1/6))^2),0.3+SQRT((0.592*N525^0.5)^2+(0.0262*N525^0.8/(1-0.5/N525^0.1))^2))</f>
        <v>10060.607502934899</v>
      </c>
      <c r="P525" s="6">
        <f t="shared" si="77"/>
        <v>2.9510194925512497E-2</v>
      </c>
      <c r="Q525" s="6">
        <f t="shared" si="78"/>
        <v>5.3784508782732319</v>
      </c>
      <c r="R525" s="6">
        <f t="shared" si="79"/>
        <v>13.147184678775188</v>
      </c>
      <c r="S525" s="6">
        <f>B525*LN(B525/首页!$B$4)</f>
        <v>2.6316729079293033</v>
      </c>
      <c r="T525" s="6">
        <f>2*首页!$B$8*(E525-C525)/(R525*(C525-D525))</f>
        <v>7.0977773381652731E-2</v>
      </c>
      <c r="U525" t="str">
        <f>IF(首页!$B$13="自然对流","按自然对流公式", "按强制对流公式")</f>
        <v>按自然对流公式</v>
      </c>
      <c r="V525" s="6">
        <f t="shared" si="80"/>
        <v>2.5606951345476507</v>
      </c>
    </row>
    <row r="526" spans="1:22" x14ac:dyDescent="0.15">
      <c r="A526">
        <v>521</v>
      </c>
      <c r="B526" s="6">
        <f>首页!$B$4+2*A526/1000</f>
        <v>1.1619999999999999</v>
      </c>
      <c r="C526" s="6">
        <f>首页!$B$7+273.15</f>
        <v>388.15</v>
      </c>
      <c r="D526" s="6">
        <f>首页!$B$6+273.15</f>
        <v>293.14999999999998</v>
      </c>
      <c r="E526" s="6">
        <f>首页!$B$5+273.15</f>
        <v>1373.15</v>
      </c>
      <c r="F526" s="6">
        <f t="shared" si="72"/>
        <v>95</v>
      </c>
      <c r="G526" s="6">
        <f t="shared" si="73"/>
        <v>340.65</v>
      </c>
      <c r="H526" s="6">
        <f t="shared" si="74"/>
        <v>1.9926207055139041E-5</v>
      </c>
      <c r="I526" s="7">
        <f t="shared" si="75"/>
        <v>1158916576932337.8</v>
      </c>
      <c r="J526" s="6">
        <f t="shared" si="76"/>
        <v>1.0226038455893147</v>
      </c>
      <c r="K526" s="7">
        <f>J526*H526*首页!$B$12/P526</f>
        <v>0.69532757496605813</v>
      </c>
      <c r="L526" s="6">
        <f>首页!$B$9*0.0000000567*((C526^4-D526^4)/(C526-D526))</f>
        <v>7.7687338005019564</v>
      </c>
      <c r="M526" s="6">
        <f>IF(首页!$B$13="自然对流",IF(首页!$B$14="立式圆筒",首页!$B$10,PI()*B526/2),PI()*B526/2)</f>
        <v>55.2</v>
      </c>
      <c r="N526" s="7">
        <f>IF(首页!$B$13="强制对流",首页!$B$11*M526/H526,0)</f>
        <v>0</v>
      </c>
      <c r="O526" s="6">
        <f>IF(首页!$B$13="自然对流",IF(首页!$B$14="立式圆筒",(0.825+0.3063*I526^(1/6))^2+0.87*(M526/B526),(0.752+0.303*I526^(1/6))^2),0.3+SQRT((0.592*N526^0.5)^2+(0.0262*N526^0.8/(1-0.5/N526^0.1))^2))</f>
        <v>10060.536246480511</v>
      </c>
      <c r="P526" s="6">
        <f t="shared" si="77"/>
        <v>2.9510194925512497E-2</v>
      </c>
      <c r="Q526" s="6">
        <f t="shared" si="78"/>
        <v>5.3784127842178213</v>
      </c>
      <c r="R526" s="6">
        <f t="shared" si="79"/>
        <v>13.147146584719778</v>
      </c>
      <c r="S526" s="6">
        <f>B526*LN(B526/首页!$B$4)</f>
        <v>2.6382119981598393</v>
      </c>
      <c r="T526" s="6">
        <f>2*首页!$B$8*(E526-C526)/(R526*(C526-D526))</f>
        <v>7.0977979040821038E-2</v>
      </c>
      <c r="U526" t="str">
        <f>IF(首页!$B$13="自然对流","按自然对流公式", "按强制对流公式")</f>
        <v>按自然对流公式</v>
      </c>
      <c r="V526" s="6">
        <f t="shared" si="80"/>
        <v>2.5672340191190184</v>
      </c>
    </row>
    <row r="527" spans="1:22" x14ac:dyDescent="0.15">
      <c r="A527">
        <v>522</v>
      </c>
      <c r="B527" s="6">
        <f>首页!$B$4+2*A527/1000</f>
        <v>1.1640000000000001</v>
      </c>
      <c r="C527" s="6">
        <f>首页!$B$7+273.15</f>
        <v>388.15</v>
      </c>
      <c r="D527" s="6">
        <f>首页!$B$6+273.15</f>
        <v>293.14999999999998</v>
      </c>
      <c r="E527" s="6">
        <f>首页!$B$5+273.15</f>
        <v>1373.15</v>
      </c>
      <c r="F527" s="6">
        <f t="shared" si="72"/>
        <v>95</v>
      </c>
      <c r="G527" s="6">
        <f t="shared" si="73"/>
        <v>340.65</v>
      </c>
      <c r="H527" s="6">
        <f t="shared" si="74"/>
        <v>1.9926207055139041E-5</v>
      </c>
      <c r="I527" s="7">
        <f t="shared" si="75"/>
        <v>1158916576932337.8</v>
      </c>
      <c r="J527" s="6">
        <f t="shared" si="76"/>
        <v>1.0226038455893147</v>
      </c>
      <c r="K527" s="7">
        <f>J527*H527*首页!$B$12/P527</f>
        <v>0.69532757496605813</v>
      </c>
      <c r="L527" s="6">
        <f>首页!$B$9*0.0000000567*((C527^4-D527^4)/(C527-D527))</f>
        <v>7.7687338005019564</v>
      </c>
      <c r="M527" s="6">
        <f>IF(首页!$B$13="自然对流",IF(首页!$B$14="立式圆筒",首页!$B$10,PI()*B527/2),PI()*B527/2)</f>
        <v>55.2</v>
      </c>
      <c r="N527" s="7">
        <f>IF(首页!$B$13="强制对流",首页!$B$11*M527/H527,0)</f>
        <v>0</v>
      </c>
      <c r="O527" s="6">
        <f>IF(首页!$B$13="自然对流",IF(首页!$B$14="立式圆筒",(0.825+0.3063*I527^(1/6))^2+0.87*(M527/B527),(0.752+0.303*I527^(1/6))^2),0.3+SQRT((0.592*N527^0.5)^2+(0.0262*N527^0.8/(1-0.5/N527^0.1))^2))</f>
        <v>10060.465234893663</v>
      </c>
      <c r="P527" s="6">
        <f t="shared" si="77"/>
        <v>2.9510194925512497E-2</v>
      </c>
      <c r="Q527" s="6">
        <f t="shared" si="78"/>
        <v>5.3783748210698166</v>
      </c>
      <c r="R527" s="6">
        <f t="shared" si="79"/>
        <v>13.147108621571773</v>
      </c>
      <c r="S527" s="6">
        <f>B527*LN(B527/首页!$B$4)</f>
        <v>2.644754530732869</v>
      </c>
      <c r="T527" s="6">
        <f>2*首页!$B$8*(E527-C527)/(R527*(C527-D527))</f>
        <v>7.0978183994442473E-2</v>
      </c>
      <c r="U527" t="str">
        <f>IF(首页!$B$13="自然对流","按自然对流公式", "按强制对流公式")</f>
        <v>按自然对流公式</v>
      </c>
      <c r="V527" s="6">
        <f t="shared" si="80"/>
        <v>2.5737763467384265</v>
      </c>
    </row>
    <row r="528" spans="1:22" x14ac:dyDescent="0.15">
      <c r="A528">
        <v>523</v>
      </c>
      <c r="B528" s="6">
        <f>首页!$B$4+2*A528/1000</f>
        <v>1.1659999999999999</v>
      </c>
      <c r="C528" s="6">
        <f>首页!$B$7+273.15</f>
        <v>388.15</v>
      </c>
      <c r="D528" s="6">
        <f>首页!$B$6+273.15</f>
        <v>293.14999999999998</v>
      </c>
      <c r="E528" s="6">
        <f>首页!$B$5+273.15</f>
        <v>1373.15</v>
      </c>
      <c r="F528" s="6">
        <f t="shared" si="72"/>
        <v>95</v>
      </c>
      <c r="G528" s="6">
        <f t="shared" si="73"/>
        <v>340.65</v>
      </c>
      <c r="H528" s="6">
        <f t="shared" si="74"/>
        <v>1.9926207055139041E-5</v>
      </c>
      <c r="I528" s="7">
        <f t="shared" si="75"/>
        <v>1158916576932337.8</v>
      </c>
      <c r="J528" s="6">
        <f t="shared" si="76"/>
        <v>1.0226038455893147</v>
      </c>
      <c r="K528" s="7">
        <f>J528*H528*首页!$B$12/P528</f>
        <v>0.69532757496605813</v>
      </c>
      <c r="L528" s="6">
        <f>首页!$B$9*0.0000000567*((C528^4-D528^4)/(C528-D528))</f>
        <v>7.7687338005019564</v>
      </c>
      <c r="M528" s="6">
        <f>IF(首页!$B$13="自然对流",IF(首页!$B$14="立式圆筒",首页!$B$10,PI()*B528/2),PI()*B528/2)</f>
        <v>55.2</v>
      </c>
      <c r="N528" s="7">
        <f>IF(首页!$B$13="强制对流",首页!$B$11*M528/H528,0)</f>
        <v>0</v>
      </c>
      <c r="O528" s="6">
        <f>IF(首页!$B$13="自然对流",IF(首页!$B$14="立式圆筒",(0.825+0.3063*I528^(1/6))^2+0.87*(M528/B528),(0.752+0.303*I528^(1/6))^2),0.3+SQRT((0.592*N528^0.5)^2+(0.0262*N528^0.8/(1-0.5/N528^0.1))^2))</f>
        <v>10060.394466914317</v>
      </c>
      <c r="P528" s="6">
        <f t="shared" si="77"/>
        <v>2.9510194925512497E-2</v>
      </c>
      <c r="Q528" s="6">
        <f t="shared" si="78"/>
        <v>5.3783369881555947</v>
      </c>
      <c r="R528" s="6">
        <f t="shared" si="79"/>
        <v>13.147070788657551</v>
      </c>
      <c r="S528" s="6">
        <f>B528*LN(B528/首页!$B$4)</f>
        <v>2.6513004997337046</v>
      </c>
      <c r="T528" s="6">
        <f>2*首页!$B$8*(E528-C528)/(R528*(C528-D528))</f>
        <v>7.0978388246141569E-2</v>
      </c>
      <c r="U528" t="str">
        <f>IF(首页!$B$13="自然对流","按自然对流公式", "按强制对流公式")</f>
        <v>按自然对流公式</v>
      </c>
      <c r="V528" s="6">
        <f t="shared" si="80"/>
        <v>2.580322111487563</v>
      </c>
    </row>
    <row r="529" spans="1:22" x14ac:dyDescent="0.15">
      <c r="A529">
        <v>524</v>
      </c>
      <c r="B529" s="6">
        <f>首页!$B$4+2*A529/1000</f>
        <v>1.1680000000000001</v>
      </c>
      <c r="C529" s="6">
        <f>首页!$B$7+273.15</f>
        <v>388.15</v>
      </c>
      <c r="D529" s="6">
        <f>首页!$B$6+273.15</f>
        <v>293.14999999999998</v>
      </c>
      <c r="E529" s="6">
        <f>首页!$B$5+273.15</f>
        <v>1373.15</v>
      </c>
      <c r="F529" s="6">
        <f t="shared" si="72"/>
        <v>95</v>
      </c>
      <c r="G529" s="6">
        <f t="shared" si="73"/>
        <v>340.65</v>
      </c>
      <c r="H529" s="6">
        <f t="shared" si="74"/>
        <v>1.9926207055139041E-5</v>
      </c>
      <c r="I529" s="7">
        <f t="shared" si="75"/>
        <v>1158916576932337.8</v>
      </c>
      <c r="J529" s="6">
        <f t="shared" si="76"/>
        <v>1.0226038455893147</v>
      </c>
      <c r="K529" s="7">
        <f>J529*H529*首页!$B$12/P529</f>
        <v>0.69532757496605813</v>
      </c>
      <c r="L529" s="6">
        <f>首页!$B$9*0.0000000567*((C529^4-D529^4)/(C529-D529))</f>
        <v>7.7687338005019564</v>
      </c>
      <c r="M529" s="6">
        <f>IF(首页!$B$13="自然对流",IF(首页!$B$14="立式圆筒",首页!$B$10,PI()*B529/2),PI()*B529/2)</f>
        <v>55.2</v>
      </c>
      <c r="N529" s="7">
        <f>IF(首页!$B$13="强制对流",首页!$B$11*M529/H529,0)</f>
        <v>0</v>
      </c>
      <c r="O529" s="6">
        <f>IF(首页!$B$13="自然对流",IF(首页!$B$14="立式圆筒",(0.825+0.3063*I529^(1/6))^2+0.87*(M529/B529),(0.752+0.303*I529^(1/6))^2),0.3+SQRT((0.592*N529^0.5)^2+(0.0262*N529^0.8/(1-0.5/N529^0.1))^2))</f>
        <v>10060.323941291064</v>
      </c>
      <c r="P529" s="6">
        <f t="shared" si="77"/>
        <v>2.9510194925512497E-2</v>
      </c>
      <c r="Q529" s="6">
        <f t="shared" si="78"/>
        <v>5.3782992848061486</v>
      </c>
      <c r="R529" s="6">
        <f t="shared" si="79"/>
        <v>13.147033085308106</v>
      </c>
      <c r="S529" s="6">
        <f>B529*LN(B529/首页!$B$4)</f>
        <v>2.6578498992679558</v>
      </c>
      <c r="T529" s="6">
        <f>2*首页!$B$8*(E529-C529)/(R529*(C529-D529))</f>
        <v>7.0978591799518029E-2</v>
      </c>
      <c r="U529" t="str">
        <f>IF(首页!$B$13="自然对流","按自然对流公式", "按强制对流公式")</f>
        <v>按自然对流公式</v>
      </c>
      <c r="V529" s="6">
        <f t="shared" si="80"/>
        <v>2.5868713074684377</v>
      </c>
    </row>
    <row r="530" spans="1:22" x14ac:dyDescent="0.15">
      <c r="A530">
        <v>525</v>
      </c>
      <c r="B530" s="6">
        <f>首页!$B$4+2*A530/1000</f>
        <v>1.17</v>
      </c>
      <c r="C530" s="6">
        <f>首页!$B$7+273.15</f>
        <v>388.15</v>
      </c>
      <c r="D530" s="6">
        <f>首页!$B$6+273.15</f>
        <v>293.14999999999998</v>
      </c>
      <c r="E530" s="6">
        <f>首页!$B$5+273.15</f>
        <v>1373.15</v>
      </c>
      <c r="F530" s="6">
        <f t="shared" si="72"/>
        <v>95</v>
      </c>
      <c r="G530" s="6">
        <f t="shared" si="73"/>
        <v>340.65</v>
      </c>
      <c r="H530" s="6">
        <f t="shared" si="74"/>
        <v>1.9926207055139041E-5</v>
      </c>
      <c r="I530" s="7">
        <f t="shared" si="75"/>
        <v>1158916576932337.8</v>
      </c>
      <c r="J530" s="6">
        <f t="shared" si="76"/>
        <v>1.0226038455893147</v>
      </c>
      <c r="K530" s="7">
        <f>J530*H530*首页!$B$12/P530</f>
        <v>0.69532757496605813</v>
      </c>
      <c r="L530" s="6">
        <f>首页!$B$9*0.0000000567*((C530^4-D530^4)/(C530-D530))</f>
        <v>7.7687338005019564</v>
      </c>
      <c r="M530" s="6">
        <f>IF(首页!$B$13="自然对流",IF(首页!$B$14="立式圆筒",首页!$B$10,PI()*B530/2),PI()*B530/2)</f>
        <v>55.2</v>
      </c>
      <c r="N530" s="7">
        <f>IF(首页!$B$13="强制对流",首页!$B$11*M530/H530,0)</f>
        <v>0</v>
      </c>
      <c r="O530" s="6">
        <f>IF(首页!$B$13="自然对流",IF(首页!$B$14="立式圆筒",(0.825+0.3063*I530^(1/6))^2+0.87*(M530/B530),(0.752+0.303*I530^(1/6))^2),0.3+SQRT((0.592*N530^0.5)^2+(0.0262*N530^0.8/(1-0.5/N530^0.1))^2))</f>
        <v>10060.253656781053</v>
      </c>
      <c r="P530" s="6">
        <f t="shared" si="77"/>
        <v>2.9510194925512497E-2</v>
      </c>
      <c r="Q530" s="6">
        <f t="shared" si="78"/>
        <v>5.3782617103570418</v>
      </c>
      <c r="R530" s="6">
        <f t="shared" si="79"/>
        <v>13.146995510858998</v>
      </c>
      <c r="S530" s="6">
        <f>B530*LN(B530/首页!$B$4)</f>
        <v>2.6644027234614143</v>
      </c>
      <c r="T530" s="6">
        <f>2*首页!$B$8*(E530-C530)/(R530*(C530-D530))</f>
        <v>7.0978794658147062E-2</v>
      </c>
      <c r="U530" t="str">
        <f>IF(首页!$B$13="自然对流","按自然对流公式", "按强制对流公式")</f>
        <v>按自然对流公式</v>
      </c>
      <c r="V530" s="6">
        <f t="shared" si="80"/>
        <v>2.5934239288032672</v>
      </c>
    </row>
    <row r="531" spans="1:22" x14ac:dyDescent="0.15">
      <c r="A531">
        <v>526</v>
      </c>
      <c r="B531" s="6">
        <f>首页!$B$4+2*A531/1000</f>
        <v>1.1720000000000002</v>
      </c>
      <c r="C531" s="6">
        <f>首页!$B$7+273.15</f>
        <v>388.15</v>
      </c>
      <c r="D531" s="6">
        <f>首页!$B$6+273.15</f>
        <v>293.14999999999998</v>
      </c>
      <c r="E531" s="6">
        <f>首页!$B$5+273.15</f>
        <v>1373.15</v>
      </c>
      <c r="F531" s="6">
        <f t="shared" si="72"/>
        <v>95</v>
      </c>
      <c r="G531" s="6">
        <f t="shared" si="73"/>
        <v>340.65</v>
      </c>
      <c r="H531" s="6">
        <f t="shared" si="74"/>
        <v>1.9926207055139041E-5</v>
      </c>
      <c r="I531" s="7">
        <f t="shared" si="75"/>
        <v>1158916576932337.8</v>
      </c>
      <c r="J531" s="6">
        <f t="shared" si="76"/>
        <v>1.0226038455893147</v>
      </c>
      <c r="K531" s="7">
        <f>J531*H531*首页!$B$12/P531</f>
        <v>0.69532757496605813</v>
      </c>
      <c r="L531" s="6">
        <f>首页!$B$9*0.0000000567*((C531^4-D531^4)/(C531-D531))</f>
        <v>7.7687338005019564</v>
      </c>
      <c r="M531" s="6">
        <f>IF(首页!$B$13="自然对流",IF(首页!$B$14="立式圆筒",首页!$B$10,PI()*B531/2),PI()*B531/2)</f>
        <v>55.2</v>
      </c>
      <c r="N531" s="7">
        <f>IF(首页!$B$13="强制对流",首页!$B$11*M531/H531,0)</f>
        <v>0</v>
      </c>
      <c r="O531" s="6">
        <f>IF(首页!$B$13="自然对流",IF(首页!$B$14="立式圆筒",(0.825+0.3063*I531^(1/6))^2+0.87*(M531/B531),(0.752+0.303*I531^(1/6))^2),0.3+SQRT((0.592*N531^0.5)^2+(0.0262*N531^0.8/(1-0.5/N531^0.1))^2))</f>
        <v>10060.183612149916</v>
      </c>
      <c r="P531" s="6">
        <f t="shared" si="77"/>
        <v>2.9510194925512497E-2</v>
      </c>
      <c r="Q531" s="6">
        <f t="shared" si="78"/>
        <v>5.3782242641483773</v>
      </c>
      <c r="R531" s="6">
        <f t="shared" si="79"/>
        <v>13.146958064650335</v>
      </c>
      <c r="S531" s="6">
        <f>B531*LN(B531/首页!$B$4)</f>
        <v>2.6709589664599576</v>
      </c>
      <c r="T531" s="6">
        <f>2*首页!$B$8*(E531-C531)/(R531*(C531-D531))</f>
        <v>7.0978996825579441E-2</v>
      </c>
      <c r="U531" t="str">
        <f>IF(首页!$B$13="自然对流","按自然对流公式", "按强制对流公式")</f>
        <v>按自然对流公式</v>
      </c>
      <c r="V531" s="6">
        <f t="shared" si="80"/>
        <v>2.5999799696343779</v>
      </c>
    </row>
    <row r="532" spans="1:22" x14ac:dyDescent="0.15">
      <c r="A532">
        <v>527</v>
      </c>
      <c r="B532" s="6">
        <f>首页!$B$4+2*A532/1000</f>
        <v>1.1739999999999999</v>
      </c>
      <c r="C532" s="6">
        <f>首页!$B$7+273.15</f>
        <v>388.15</v>
      </c>
      <c r="D532" s="6">
        <f>首页!$B$6+273.15</f>
        <v>293.14999999999998</v>
      </c>
      <c r="E532" s="6">
        <f>首页!$B$5+273.15</f>
        <v>1373.15</v>
      </c>
      <c r="F532" s="6">
        <f t="shared" si="72"/>
        <v>95</v>
      </c>
      <c r="G532" s="6">
        <f t="shared" si="73"/>
        <v>340.65</v>
      </c>
      <c r="H532" s="6">
        <f t="shared" si="74"/>
        <v>1.9926207055139041E-5</v>
      </c>
      <c r="I532" s="7">
        <f t="shared" si="75"/>
        <v>1158916576932337.8</v>
      </c>
      <c r="J532" s="6">
        <f t="shared" si="76"/>
        <v>1.0226038455893147</v>
      </c>
      <c r="K532" s="7">
        <f>J532*H532*首页!$B$12/P532</f>
        <v>0.69532757496605813</v>
      </c>
      <c r="L532" s="6">
        <f>首页!$B$9*0.0000000567*((C532^4-D532^4)/(C532-D532))</f>
        <v>7.7687338005019564</v>
      </c>
      <c r="M532" s="6">
        <f>IF(首页!$B$13="自然对流",IF(首页!$B$14="立式圆筒",首页!$B$10,PI()*B532/2),PI()*B532/2)</f>
        <v>55.2</v>
      </c>
      <c r="N532" s="7">
        <f>IF(首页!$B$13="强制对流",首页!$B$11*M532/H532,0)</f>
        <v>0</v>
      </c>
      <c r="O532" s="6">
        <f>IF(首页!$B$13="自然对流",IF(首页!$B$14="立式圆筒",(0.825+0.3063*I532^(1/6))^2+0.87*(M532/B532),(0.752+0.303*I532^(1/6))^2),0.3+SQRT((0.592*N532^0.5)^2+(0.0262*N532^0.8/(1-0.5/N532^0.1))^2))</f>
        <v>10060.113806171697</v>
      </c>
      <c r="P532" s="6">
        <f t="shared" si="77"/>
        <v>2.9510194925512497E-2</v>
      </c>
      <c r="Q532" s="6">
        <f t="shared" si="78"/>
        <v>5.3781869455247504</v>
      </c>
      <c r="R532" s="6">
        <f t="shared" si="79"/>
        <v>13.146920746026707</v>
      </c>
      <c r="S532" s="6">
        <f>B532*LN(B532/首页!$B$4)</f>
        <v>2.6775186224294392</v>
      </c>
      <c r="T532" s="6">
        <f>2*首页!$B$8*(E532-C532)/(R532*(C532-D532))</f>
        <v>7.0979198305341829E-2</v>
      </c>
      <c r="U532" t="str">
        <f>IF(首页!$B$13="自然对流","按自然对流公式", "按强制对流公式")</f>
        <v>按自然对流公式</v>
      </c>
      <c r="V532" s="6">
        <f t="shared" si="80"/>
        <v>2.6065394241240973</v>
      </c>
    </row>
    <row r="533" spans="1:22" x14ac:dyDescent="0.15">
      <c r="A533">
        <v>528</v>
      </c>
      <c r="B533" s="6">
        <f>首页!$B$4+2*A533/1000</f>
        <v>1.1760000000000002</v>
      </c>
      <c r="C533" s="6">
        <f>首页!$B$7+273.15</f>
        <v>388.15</v>
      </c>
      <c r="D533" s="6">
        <f>首页!$B$6+273.15</f>
        <v>293.14999999999998</v>
      </c>
      <c r="E533" s="6">
        <f>首页!$B$5+273.15</f>
        <v>1373.15</v>
      </c>
      <c r="F533" s="6">
        <f t="shared" si="72"/>
        <v>95</v>
      </c>
      <c r="G533" s="6">
        <f t="shared" si="73"/>
        <v>340.65</v>
      </c>
      <c r="H533" s="6">
        <f t="shared" si="74"/>
        <v>1.9926207055139041E-5</v>
      </c>
      <c r="I533" s="7">
        <f t="shared" si="75"/>
        <v>1158916576932337.8</v>
      </c>
      <c r="J533" s="6">
        <f t="shared" si="76"/>
        <v>1.0226038455893147</v>
      </c>
      <c r="K533" s="7">
        <f>J533*H533*首页!$B$12/P533</f>
        <v>0.69532757496605813</v>
      </c>
      <c r="L533" s="6">
        <f>首页!$B$9*0.0000000567*((C533^4-D533^4)/(C533-D533))</f>
        <v>7.7687338005019564</v>
      </c>
      <c r="M533" s="6">
        <f>IF(首页!$B$13="自然对流",IF(首页!$B$14="立式圆筒",首页!$B$10,PI()*B533/2),PI()*B533/2)</f>
        <v>55.2</v>
      </c>
      <c r="N533" s="7">
        <f>IF(首页!$B$13="强制对流",首页!$B$11*M533/H533,0)</f>
        <v>0</v>
      </c>
      <c r="O533" s="6">
        <f>IF(首页!$B$13="自然对流",IF(首页!$B$14="立式圆筒",(0.825+0.3063*I533^(1/6))^2+0.87*(M533/B533),(0.752+0.303*I533^(1/6))^2),0.3+SQRT((0.592*N533^0.5)^2+(0.0262*N533^0.8/(1-0.5/N533^0.1))^2))</f>
        <v>10060.044237628777</v>
      </c>
      <c r="P533" s="6">
        <f t="shared" si="77"/>
        <v>2.9510194925512497E-2</v>
      </c>
      <c r="Q533" s="6">
        <f t="shared" si="78"/>
        <v>5.378149753835217</v>
      </c>
      <c r="R533" s="6">
        <f t="shared" si="79"/>
        <v>13.146883554337172</v>
      </c>
      <c r="S533" s="6">
        <f>B533*LN(B533/首页!$B$4)</f>
        <v>2.6840816855555953</v>
      </c>
      <c r="T533" s="6">
        <f>2*首页!$B$8*(E533-C533)/(R533*(C533-D533))</f>
        <v>7.097939910093691E-2</v>
      </c>
      <c r="U533" t="str">
        <f>IF(首页!$B$13="自然对流","按自然对流公式", "按强制对流公式")</f>
        <v>按自然对流公式</v>
      </c>
      <c r="V533" s="6">
        <f t="shared" si="80"/>
        <v>2.6131022864546583</v>
      </c>
    </row>
    <row r="534" spans="1:22" x14ac:dyDescent="0.15">
      <c r="A534">
        <v>529</v>
      </c>
      <c r="B534" s="6">
        <f>首页!$B$4+2*A534/1000</f>
        <v>1.1779999999999999</v>
      </c>
      <c r="C534" s="6">
        <f>首页!$B$7+273.15</f>
        <v>388.15</v>
      </c>
      <c r="D534" s="6">
        <f>首页!$B$6+273.15</f>
        <v>293.14999999999998</v>
      </c>
      <c r="E534" s="6">
        <f>首页!$B$5+273.15</f>
        <v>1373.15</v>
      </c>
      <c r="F534" s="6">
        <f t="shared" si="72"/>
        <v>95</v>
      </c>
      <c r="G534" s="6">
        <f t="shared" si="73"/>
        <v>340.65</v>
      </c>
      <c r="H534" s="6">
        <f t="shared" si="74"/>
        <v>1.9926207055139041E-5</v>
      </c>
      <c r="I534" s="7">
        <f t="shared" si="75"/>
        <v>1158916576932337.8</v>
      </c>
      <c r="J534" s="6">
        <f t="shared" si="76"/>
        <v>1.0226038455893147</v>
      </c>
      <c r="K534" s="7">
        <f>J534*H534*首页!$B$12/P534</f>
        <v>0.69532757496605813</v>
      </c>
      <c r="L534" s="6">
        <f>首页!$B$9*0.0000000567*((C534^4-D534^4)/(C534-D534))</f>
        <v>7.7687338005019564</v>
      </c>
      <c r="M534" s="6">
        <f>IF(首页!$B$13="自然对流",IF(首页!$B$14="立式圆筒",首页!$B$10,PI()*B534/2),PI()*B534/2)</f>
        <v>55.2</v>
      </c>
      <c r="N534" s="7">
        <f>IF(首页!$B$13="强制对流",首页!$B$11*M534/H534,0)</f>
        <v>0</v>
      </c>
      <c r="O534" s="6">
        <f>IF(首页!$B$13="自然对流",IF(首页!$B$14="立式圆筒",(0.825+0.3063*I534^(1/6))^2+0.87*(M534/B534),(0.752+0.303*I534^(1/6))^2),0.3+SQRT((0.592*N534^0.5)^2+(0.0262*N534^0.8/(1-0.5/N534^0.1))^2))</f>
        <v>10059.97490531181</v>
      </c>
      <c r="P534" s="6">
        <f t="shared" si="77"/>
        <v>2.9510194925512497E-2</v>
      </c>
      <c r="Q534" s="6">
        <f t="shared" si="78"/>
        <v>5.3781126884332542</v>
      </c>
      <c r="R534" s="6">
        <f t="shared" si="79"/>
        <v>13.146846488935211</v>
      </c>
      <c r="S534" s="6">
        <f>B534*LN(B534/首页!$B$4)</f>
        <v>2.6906481500439345</v>
      </c>
      <c r="T534" s="6">
        <f>2*首页!$B$8*(E534-C534)/(R534*(C534-D534))</f>
        <v>7.0979599215843625E-2</v>
      </c>
      <c r="U534" t="str">
        <f>IF(首页!$B$13="自然对流","按自然对流公式", "按强制对流公式")</f>
        <v>按自然对流公式</v>
      </c>
      <c r="V534" s="6">
        <f t="shared" si="80"/>
        <v>2.619668550828091</v>
      </c>
    </row>
    <row r="535" spans="1:22" x14ac:dyDescent="0.15">
      <c r="A535">
        <v>530</v>
      </c>
      <c r="B535" s="6">
        <f>首页!$B$4+2*A535/1000</f>
        <v>1.1800000000000002</v>
      </c>
      <c r="C535" s="6">
        <f>首页!$B$7+273.15</f>
        <v>388.15</v>
      </c>
      <c r="D535" s="6">
        <f>首页!$B$6+273.15</f>
        <v>293.14999999999998</v>
      </c>
      <c r="E535" s="6">
        <f>首页!$B$5+273.15</f>
        <v>1373.15</v>
      </c>
      <c r="F535" s="6">
        <f t="shared" si="72"/>
        <v>95</v>
      </c>
      <c r="G535" s="6">
        <f t="shared" si="73"/>
        <v>340.65</v>
      </c>
      <c r="H535" s="6">
        <f t="shared" si="74"/>
        <v>1.9926207055139041E-5</v>
      </c>
      <c r="I535" s="7">
        <f t="shared" si="75"/>
        <v>1158916576932337.8</v>
      </c>
      <c r="J535" s="6">
        <f t="shared" si="76"/>
        <v>1.0226038455893147</v>
      </c>
      <c r="K535" s="7">
        <f>J535*H535*首页!$B$12/P535</f>
        <v>0.69532757496605813</v>
      </c>
      <c r="L535" s="6">
        <f>首页!$B$9*0.0000000567*((C535^4-D535^4)/(C535-D535))</f>
        <v>7.7687338005019564</v>
      </c>
      <c r="M535" s="6">
        <f>IF(首页!$B$13="自然对流",IF(首页!$B$14="立式圆筒",首页!$B$10,PI()*B535/2),PI()*B535/2)</f>
        <v>55.2</v>
      </c>
      <c r="N535" s="7">
        <f>IF(首页!$B$13="强制对流",首页!$B$11*M535/H535,0)</f>
        <v>0</v>
      </c>
      <c r="O535" s="6">
        <f>IF(首页!$B$13="自然对流",IF(首页!$B$14="立式圆筒",(0.825+0.3063*I535^(1/6))^2+0.87*(M535/B535),(0.752+0.303*I535^(1/6))^2),0.3+SQRT((0.592*N535^0.5)^2+(0.0262*N535^0.8/(1-0.5/N535^0.1))^2))</f>
        <v>10059.905808019646</v>
      </c>
      <c r="P535" s="6">
        <f t="shared" si="77"/>
        <v>2.9510194925512497E-2</v>
      </c>
      <c r="Q535" s="6">
        <f t="shared" si="78"/>
        <v>5.3780757486767214</v>
      </c>
      <c r="R535" s="6">
        <f t="shared" si="79"/>
        <v>13.146809549178677</v>
      </c>
      <c r="S535" s="6">
        <f>B535*LN(B535/首页!$B$4)</f>
        <v>2.6972180101196446</v>
      </c>
      <c r="T535" s="6">
        <f>2*首页!$B$8*(E535-C535)/(R535*(C535-D535))</f>
        <v>7.097979865351739E-2</v>
      </c>
      <c r="U535" t="str">
        <f>IF(首页!$B$13="自然对流","按自然对流公式", "按强制对流公式")</f>
        <v>按自然对流公式</v>
      </c>
      <c r="V535" s="6">
        <f t="shared" si="80"/>
        <v>2.6262382114661271</v>
      </c>
    </row>
    <row r="536" spans="1:22" x14ac:dyDescent="0.15">
      <c r="A536">
        <v>531</v>
      </c>
      <c r="B536" s="6">
        <f>首页!$B$4+2*A536/1000</f>
        <v>1.1819999999999999</v>
      </c>
      <c r="C536" s="6">
        <f>首页!$B$7+273.15</f>
        <v>388.15</v>
      </c>
      <c r="D536" s="6">
        <f>首页!$B$6+273.15</f>
        <v>293.14999999999998</v>
      </c>
      <c r="E536" s="6">
        <f>首页!$B$5+273.15</f>
        <v>1373.15</v>
      </c>
      <c r="F536" s="6">
        <f t="shared" si="72"/>
        <v>95</v>
      </c>
      <c r="G536" s="6">
        <f t="shared" si="73"/>
        <v>340.65</v>
      </c>
      <c r="H536" s="6">
        <f t="shared" si="74"/>
        <v>1.9926207055139041E-5</v>
      </c>
      <c r="I536" s="7">
        <f t="shared" si="75"/>
        <v>1158916576932337.8</v>
      </c>
      <c r="J536" s="6">
        <f t="shared" si="76"/>
        <v>1.0226038455893147</v>
      </c>
      <c r="K536" s="7">
        <f>J536*H536*首页!$B$12/P536</f>
        <v>0.69532757496605813</v>
      </c>
      <c r="L536" s="6">
        <f>首页!$B$9*0.0000000567*((C536^4-D536^4)/(C536-D536))</f>
        <v>7.7687338005019564</v>
      </c>
      <c r="M536" s="6">
        <f>IF(首页!$B$13="自然对流",IF(首页!$B$14="立式圆筒",首页!$B$10,PI()*B536/2),PI()*B536/2)</f>
        <v>55.2</v>
      </c>
      <c r="N536" s="7">
        <f>IF(首页!$B$13="强制对流",首页!$B$11*M536/H536,0)</f>
        <v>0</v>
      </c>
      <c r="O536" s="6">
        <f>IF(首页!$B$13="自然对流",IF(首页!$B$14="立式圆筒",(0.825+0.3063*I536^(1/6))^2+0.87*(M536/B536),(0.752+0.303*I536^(1/6))^2),0.3+SQRT((0.592*N536^0.5)^2+(0.0262*N536^0.8/(1-0.5/N536^0.1))^2))</f>
        <v>10059.836944559265</v>
      </c>
      <c r="P536" s="6">
        <f t="shared" si="77"/>
        <v>2.9510194925512497E-2</v>
      </c>
      <c r="Q536" s="6">
        <f t="shared" si="78"/>
        <v>5.3780389339278249</v>
      </c>
      <c r="R536" s="6">
        <f t="shared" si="79"/>
        <v>13.146772734429781</v>
      </c>
      <c r="S536" s="6">
        <f>B536*LN(B536/首页!$B$4)</f>
        <v>2.7037912600274852</v>
      </c>
      <c r="T536" s="6">
        <f>2*首页!$B$8*(E536-C536)/(R536*(C536-D536))</f>
        <v>7.0979997417390223E-2</v>
      </c>
      <c r="U536" t="str">
        <f>IF(首页!$B$13="自然对流","按自然对流公式", "按强制对流公式")</f>
        <v>按自然对流公式</v>
      </c>
      <c r="V536" s="6">
        <f t="shared" si="80"/>
        <v>2.6328112626100948</v>
      </c>
    </row>
    <row r="537" spans="1:22" x14ac:dyDescent="0.15">
      <c r="A537">
        <v>532</v>
      </c>
      <c r="B537" s="6">
        <f>首页!$B$4+2*A537/1000</f>
        <v>1.1840000000000002</v>
      </c>
      <c r="C537" s="6">
        <f>首页!$B$7+273.15</f>
        <v>388.15</v>
      </c>
      <c r="D537" s="6">
        <f>首页!$B$6+273.15</f>
        <v>293.14999999999998</v>
      </c>
      <c r="E537" s="6">
        <f>首页!$B$5+273.15</f>
        <v>1373.15</v>
      </c>
      <c r="F537" s="6">
        <f t="shared" si="72"/>
        <v>95</v>
      </c>
      <c r="G537" s="6">
        <f t="shared" si="73"/>
        <v>340.65</v>
      </c>
      <c r="H537" s="6">
        <f t="shared" si="74"/>
        <v>1.9926207055139041E-5</v>
      </c>
      <c r="I537" s="7">
        <f t="shared" si="75"/>
        <v>1158916576932337.8</v>
      </c>
      <c r="J537" s="6">
        <f t="shared" si="76"/>
        <v>1.0226038455893147</v>
      </c>
      <c r="K537" s="7">
        <f>J537*H537*首页!$B$12/P537</f>
        <v>0.69532757496605813</v>
      </c>
      <c r="L537" s="6">
        <f>首页!$B$9*0.0000000567*((C537^4-D537^4)/(C537-D537))</f>
        <v>7.7687338005019564</v>
      </c>
      <c r="M537" s="6">
        <f>IF(首页!$B$13="自然对流",IF(首页!$B$14="立式圆筒",首页!$B$10,PI()*B537/2),PI()*B537/2)</f>
        <v>55.2</v>
      </c>
      <c r="N537" s="7">
        <f>IF(首页!$B$13="强制对流",首页!$B$11*M537/H537,0)</f>
        <v>0</v>
      </c>
      <c r="O537" s="6">
        <f>IF(首页!$B$13="自然对流",IF(首页!$B$14="立式圆筒",(0.825+0.3063*I537^(1/6))^2+0.87*(M537/B537),(0.752+0.303*I537^(1/6))^2),0.3+SQRT((0.592*N537^0.5)^2+(0.0262*N537^0.8/(1-0.5/N537^0.1))^2))</f>
        <v>10059.76831374571</v>
      </c>
      <c r="P537" s="6">
        <f t="shared" si="77"/>
        <v>2.9510194925512497E-2</v>
      </c>
      <c r="Q537" s="6">
        <f t="shared" si="78"/>
        <v>5.3780022435530803</v>
      </c>
      <c r="R537" s="6">
        <f t="shared" si="79"/>
        <v>13.146736044055036</v>
      </c>
      <c r="S537" s="6">
        <f>B537*LN(B537/首页!$B$4)</f>
        <v>2.710367894031696</v>
      </c>
      <c r="T537" s="6">
        <f>2*首页!$B$8*(E537-C537)/(R537*(C537-D537))</f>
        <v>7.0980195510871077E-2</v>
      </c>
      <c r="U537" t="str">
        <f>IF(首页!$B$13="自然对流","按自然对流公式", "按强制对流公式")</f>
        <v>按自然对流公式</v>
      </c>
      <c r="V537" s="6">
        <f t="shared" si="80"/>
        <v>2.6393876985208249</v>
      </c>
    </row>
    <row r="538" spans="1:22" x14ac:dyDescent="0.15">
      <c r="A538">
        <v>533</v>
      </c>
      <c r="B538" s="6">
        <f>首页!$B$4+2*A538/1000</f>
        <v>1.1859999999999999</v>
      </c>
      <c r="C538" s="6">
        <f>首页!$B$7+273.15</f>
        <v>388.15</v>
      </c>
      <c r="D538" s="6">
        <f>首页!$B$6+273.15</f>
        <v>293.14999999999998</v>
      </c>
      <c r="E538" s="6">
        <f>首页!$B$5+273.15</f>
        <v>1373.15</v>
      </c>
      <c r="F538" s="6">
        <f t="shared" si="72"/>
        <v>95</v>
      </c>
      <c r="G538" s="6">
        <f t="shared" si="73"/>
        <v>340.65</v>
      </c>
      <c r="H538" s="6">
        <f t="shared" si="74"/>
        <v>1.9926207055139041E-5</v>
      </c>
      <c r="I538" s="7">
        <f t="shared" si="75"/>
        <v>1158916576932337.8</v>
      </c>
      <c r="J538" s="6">
        <f t="shared" si="76"/>
        <v>1.0226038455893147</v>
      </c>
      <c r="K538" s="7">
        <f>J538*H538*首页!$B$12/P538</f>
        <v>0.69532757496605813</v>
      </c>
      <c r="L538" s="6">
        <f>首页!$B$9*0.0000000567*((C538^4-D538^4)/(C538-D538))</f>
        <v>7.7687338005019564</v>
      </c>
      <c r="M538" s="6">
        <f>IF(首页!$B$13="自然对流",IF(首页!$B$14="立式圆筒",首页!$B$10,PI()*B538/2),PI()*B538/2)</f>
        <v>55.2</v>
      </c>
      <c r="N538" s="7">
        <f>IF(首页!$B$13="强制对流",首页!$B$11*M538/H538,0)</f>
        <v>0</v>
      </c>
      <c r="O538" s="6">
        <f>IF(首页!$B$13="自然对流",IF(首页!$B$14="立式圆筒",(0.825+0.3063*I538^(1/6))^2+0.87*(M538/B538),(0.752+0.303*I538^(1/6))^2),0.3+SQRT((0.592*N538^0.5)^2+(0.0262*N538^0.8/(1-0.5/N538^0.1))^2))</f>
        <v>10059.699914402016</v>
      </c>
      <c r="P538" s="6">
        <f t="shared" si="77"/>
        <v>2.9510194925512497E-2</v>
      </c>
      <c r="Q538" s="6">
        <f t="shared" si="78"/>
        <v>5.3779656769232762</v>
      </c>
      <c r="R538" s="6">
        <f t="shared" si="79"/>
        <v>13.146699477425233</v>
      </c>
      <c r="S538" s="6">
        <f>B538*LN(B538/首页!$B$4)</f>
        <v>2.716947906415891</v>
      </c>
      <c r="T538" s="6">
        <f>2*首页!$B$8*(E538-C538)/(R538*(C538-D538))</f>
        <v>7.0980392937345829E-2</v>
      </c>
      <c r="U538" t="str">
        <f>IF(首页!$B$13="自然对流","按自然对流公式", "按强制对流公式")</f>
        <v>按自然对流公式</v>
      </c>
      <c r="V538" s="6">
        <f t="shared" si="80"/>
        <v>2.6459675134785452</v>
      </c>
    </row>
    <row r="539" spans="1:22" x14ac:dyDescent="0.15">
      <c r="A539">
        <v>534</v>
      </c>
      <c r="B539" s="6">
        <f>首页!$B$4+2*A539/1000</f>
        <v>1.1880000000000002</v>
      </c>
      <c r="C539" s="6">
        <f>首页!$B$7+273.15</f>
        <v>388.15</v>
      </c>
      <c r="D539" s="6">
        <f>首页!$B$6+273.15</f>
        <v>293.14999999999998</v>
      </c>
      <c r="E539" s="6">
        <f>首页!$B$5+273.15</f>
        <v>1373.15</v>
      </c>
      <c r="F539" s="6">
        <f t="shared" si="72"/>
        <v>95</v>
      </c>
      <c r="G539" s="6">
        <f t="shared" si="73"/>
        <v>340.65</v>
      </c>
      <c r="H539" s="6">
        <f t="shared" si="74"/>
        <v>1.9926207055139041E-5</v>
      </c>
      <c r="I539" s="7">
        <f t="shared" si="75"/>
        <v>1158916576932337.8</v>
      </c>
      <c r="J539" s="6">
        <f t="shared" si="76"/>
        <v>1.0226038455893147</v>
      </c>
      <c r="K539" s="7">
        <f>J539*H539*首页!$B$12/P539</f>
        <v>0.69532757496605813</v>
      </c>
      <c r="L539" s="6">
        <f>首页!$B$9*0.0000000567*((C539^4-D539^4)/(C539-D539))</f>
        <v>7.7687338005019564</v>
      </c>
      <c r="M539" s="6">
        <f>IF(首页!$B$13="自然对流",IF(首页!$B$14="立式圆筒",首页!$B$10,PI()*B539/2),PI()*B539/2)</f>
        <v>55.2</v>
      </c>
      <c r="N539" s="7">
        <f>IF(首页!$B$13="强制对流",首页!$B$11*M539/H539,0)</f>
        <v>0</v>
      </c>
      <c r="O539" s="6">
        <f>IF(首页!$B$13="自然对流",IF(首页!$B$14="立式圆筒",(0.825+0.3063*I539^(1/6))^2+0.87*(M539/B539),(0.752+0.303*I539^(1/6))^2),0.3+SQRT((0.592*N539^0.5)^2+(0.0262*N539^0.8/(1-0.5/N539^0.1))^2))</f>
        <v>10059.631745359142</v>
      </c>
      <c r="P539" s="6">
        <f t="shared" si="77"/>
        <v>2.9510194925512497E-2</v>
      </c>
      <c r="Q539" s="6">
        <f t="shared" si="78"/>
        <v>5.3779292334134379</v>
      </c>
      <c r="R539" s="6">
        <f t="shared" si="79"/>
        <v>13.146663033915395</v>
      </c>
      <c r="S539" s="6">
        <f>B539*LN(B539/首页!$B$4)</f>
        <v>2.723531291482967</v>
      </c>
      <c r="T539" s="6">
        <f>2*首页!$B$8*(E539-C539)/(R539*(C539-D539))</f>
        <v>7.0980589700177718E-2</v>
      </c>
      <c r="U539" t="str">
        <f>IF(首页!$B$13="自然对流","按自然对流公式", "按强制对流公式")</f>
        <v>按自然对流公式</v>
      </c>
      <c r="V539" s="6">
        <f t="shared" si="80"/>
        <v>2.6525507017827894</v>
      </c>
    </row>
    <row r="540" spans="1:22" x14ac:dyDescent="0.15">
      <c r="A540">
        <v>535</v>
      </c>
      <c r="B540" s="6">
        <f>首页!$B$4+2*A540/1000</f>
        <v>1.19</v>
      </c>
      <c r="C540" s="6">
        <f>首页!$B$7+273.15</f>
        <v>388.15</v>
      </c>
      <c r="D540" s="6">
        <f>首页!$B$6+273.15</f>
        <v>293.14999999999998</v>
      </c>
      <c r="E540" s="6">
        <f>首页!$B$5+273.15</f>
        <v>1373.15</v>
      </c>
      <c r="F540" s="6">
        <f t="shared" si="72"/>
        <v>95</v>
      </c>
      <c r="G540" s="6">
        <f t="shared" si="73"/>
        <v>340.65</v>
      </c>
      <c r="H540" s="6">
        <f t="shared" si="74"/>
        <v>1.9926207055139041E-5</v>
      </c>
      <c r="I540" s="7">
        <f t="shared" si="75"/>
        <v>1158916576932337.8</v>
      </c>
      <c r="J540" s="6">
        <f t="shared" si="76"/>
        <v>1.0226038455893147</v>
      </c>
      <c r="K540" s="7">
        <f>J540*H540*首页!$B$12/P540</f>
        <v>0.69532757496605813</v>
      </c>
      <c r="L540" s="6">
        <f>首页!$B$9*0.0000000567*((C540^4-D540^4)/(C540-D540))</f>
        <v>7.7687338005019564</v>
      </c>
      <c r="M540" s="6">
        <f>IF(首页!$B$13="自然对流",IF(首页!$B$14="立式圆筒",首页!$B$10,PI()*B540/2),PI()*B540/2)</f>
        <v>55.2</v>
      </c>
      <c r="N540" s="7">
        <f>IF(首页!$B$13="强制对流",首页!$B$11*M540/H540,0)</f>
        <v>0</v>
      </c>
      <c r="O540" s="6">
        <f>IF(首页!$B$13="自然对流",IF(首页!$B$14="立式圆筒",(0.825+0.3063*I540^(1/6))^2+0.87*(M540/B540),(0.752+0.303*I540^(1/6))^2),0.3+SQRT((0.592*N540^0.5)^2+(0.0262*N540^0.8/(1-0.5/N540^0.1))^2))</f>
        <v>10059.563805455908</v>
      </c>
      <c r="P540" s="6">
        <f t="shared" si="77"/>
        <v>2.9510194925512497E-2</v>
      </c>
      <c r="Q540" s="6">
        <f t="shared" si="78"/>
        <v>5.3778929124027908</v>
      </c>
      <c r="R540" s="6">
        <f t="shared" si="79"/>
        <v>13.146626712904748</v>
      </c>
      <c r="S540" s="6">
        <f>B540*LN(B540/首页!$B$4)</f>
        <v>2.7301180435549992</v>
      </c>
      <c r="T540" s="6">
        <f>2*首页!$B$8*(E540-C540)/(R540*(C540-D540))</f>
        <v>7.0980785802707322E-2</v>
      </c>
      <c r="U540" t="str">
        <f>IF(首页!$B$13="自然对流","按自然对流公式", "按强制对流公式")</f>
        <v>按自然对流公式</v>
      </c>
      <c r="V540" s="6">
        <f t="shared" si="80"/>
        <v>2.6591372577522918</v>
      </c>
    </row>
    <row r="541" spans="1:22" x14ac:dyDescent="0.15">
      <c r="A541">
        <v>536</v>
      </c>
      <c r="B541" s="6">
        <f>首页!$B$4+2*A541/1000</f>
        <v>1.1920000000000002</v>
      </c>
      <c r="C541" s="6">
        <f>首页!$B$7+273.15</f>
        <v>388.15</v>
      </c>
      <c r="D541" s="6">
        <f>首页!$B$6+273.15</f>
        <v>293.14999999999998</v>
      </c>
      <c r="E541" s="6">
        <f>首页!$B$5+273.15</f>
        <v>1373.15</v>
      </c>
      <c r="F541" s="6">
        <f t="shared" si="72"/>
        <v>95</v>
      </c>
      <c r="G541" s="6">
        <f t="shared" si="73"/>
        <v>340.65</v>
      </c>
      <c r="H541" s="6">
        <f t="shared" si="74"/>
        <v>1.9926207055139041E-5</v>
      </c>
      <c r="I541" s="7">
        <f t="shared" si="75"/>
        <v>1158916576932337.8</v>
      </c>
      <c r="J541" s="6">
        <f t="shared" si="76"/>
        <v>1.0226038455893147</v>
      </c>
      <c r="K541" s="7">
        <f>J541*H541*首页!$B$12/P541</f>
        <v>0.69532757496605813</v>
      </c>
      <c r="L541" s="6">
        <f>首页!$B$9*0.0000000567*((C541^4-D541^4)/(C541-D541))</f>
        <v>7.7687338005019564</v>
      </c>
      <c r="M541" s="6">
        <f>IF(首页!$B$13="自然对流",IF(首页!$B$14="立式圆筒",首页!$B$10,PI()*B541/2),PI()*B541/2)</f>
        <v>55.2</v>
      </c>
      <c r="N541" s="7">
        <f>IF(首页!$B$13="强制对流",首页!$B$11*M541/H541,0)</f>
        <v>0</v>
      </c>
      <c r="O541" s="6">
        <f>IF(首页!$B$13="自然对流",IF(首页!$B$14="立式圆筒",(0.825+0.3063*I541^(1/6))^2+0.87*(M541/B541),(0.752+0.303*I541^(1/6))^2),0.3+SQRT((0.592*N541^0.5)^2+(0.0262*N541^0.8/(1-0.5/N541^0.1))^2))</f>
        <v>10059.496093538926</v>
      </c>
      <c r="P541" s="6">
        <f t="shared" si="77"/>
        <v>2.9510194925512497E-2</v>
      </c>
      <c r="Q541" s="6">
        <f t="shared" si="78"/>
        <v>5.3778567132747312</v>
      </c>
      <c r="R541" s="6">
        <f t="shared" si="79"/>
        <v>13.146590513776687</v>
      </c>
      <c r="S541" s="6">
        <f>B541*LN(B541/首页!$B$4)</f>
        <v>2.7367081569731533</v>
      </c>
      <c r="T541" s="6">
        <f>2*首页!$B$8*(E541-C541)/(R541*(C541-D541))</f>
        <v>7.0980981248252875E-2</v>
      </c>
      <c r="U541" t="str">
        <f>IF(首页!$B$13="自然对流","按自然对流公式", "按强制对流公式")</f>
        <v>按自然对流公式</v>
      </c>
      <c r="V541" s="6">
        <f t="shared" si="80"/>
        <v>2.6657271757249004</v>
      </c>
    </row>
    <row r="542" spans="1:22" x14ac:dyDescent="0.15">
      <c r="A542">
        <v>537</v>
      </c>
      <c r="B542" s="6">
        <f>首页!$B$4+2*A542/1000</f>
        <v>1.194</v>
      </c>
      <c r="C542" s="6">
        <f>首页!$B$7+273.15</f>
        <v>388.15</v>
      </c>
      <c r="D542" s="6">
        <f>首页!$B$6+273.15</f>
        <v>293.14999999999998</v>
      </c>
      <c r="E542" s="6">
        <f>首页!$B$5+273.15</f>
        <v>1373.15</v>
      </c>
      <c r="F542" s="6">
        <f t="shared" si="72"/>
        <v>95</v>
      </c>
      <c r="G542" s="6">
        <f t="shared" si="73"/>
        <v>340.65</v>
      </c>
      <c r="H542" s="6">
        <f t="shared" si="74"/>
        <v>1.9926207055139041E-5</v>
      </c>
      <c r="I542" s="7">
        <f t="shared" si="75"/>
        <v>1158916576932337.8</v>
      </c>
      <c r="J542" s="6">
        <f t="shared" si="76"/>
        <v>1.0226038455893147</v>
      </c>
      <c r="K542" s="7">
        <f>J542*H542*首页!$B$12/P542</f>
        <v>0.69532757496605813</v>
      </c>
      <c r="L542" s="6">
        <f>首页!$B$9*0.0000000567*((C542^4-D542^4)/(C542-D542))</f>
        <v>7.7687338005019564</v>
      </c>
      <c r="M542" s="6">
        <f>IF(首页!$B$13="自然对流",IF(首页!$B$14="立式圆筒",首页!$B$10,PI()*B542/2),PI()*B542/2)</f>
        <v>55.2</v>
      </c>
      <c r="N542" s="7">
        <f>IF(首页!$B$13="强制对流",首页!$B$11*M542/H542,0)</f>
        <v>0</v>
      </c>
      <c r="O542" s="6">
        <f>IF(首页!$B$13="自然对流",IF(首页!$B$14="立式圆筒",(0.825+0.3063*I542^(1/6))^2+0.87*(M542/B542),(0.752+0.303*I542^(1/6))^2),0.3+SQRT((0.592*N542^0.5)^2+(0.0262*N542^0.8/(1-0.5/N542^0.1))^2))</f>
        <v>10059.428608462538</v>
      </c>
      <c r="P542" s="6">
        <f t="shared" si="77"/>
        <v>2.9510194925512497E-2</v>
      </c>
      <c r="Q542" s="6">
        <f t="shared" si="78"/>
        <v>5.377820635416783</v>
      </c>
      <c r="R542" s="6">
        <f t="shared" si="79"/>
        <v>13.146554435918739</v>
      </c>
      <c r="S542" s="6">
        <f>B542*LN(B542/首页!$B$4)</f>
        <v>2.7433016260975784</v>
      </c>
      <c r="T542" s="6">
        <f>2*首页!$B$8*(E542-C542)/(R542*(C542-D542))</f>
        <v>7.098117604011038E-2</v>
      </c>
      <c r="U542" t="str">
        <f>IF(首页!$B$13="自然对流","按自然对流公式", "按强制对流公式")</f>
        <v>按自然对流公式</v>
      </c>
      <c r="V542" s="6">
        <f t="shared" si="80"/>
        <v>2.6723204500574682</v>
      </c>
    </row>
    <row r="543" spans="1:22" x14ac:dyDescent="0.15">
      <c r="A543">
        <v>538</v>
      </c>
      <c r="B543" s="6">
        <f>首页!$B$4+2*A543/1000</f>
        <v>1.1960000000000002</v>
      </c>
      <c r="C543" s="6">
        <f>首页!$B$7+273.15</f>
        <v>388.15</v>
      </c>
      <c r="D543" s="6">
        <f>首页!$B$6+273.15</f>
        <v>293.14999999999998</v>
      </c>
      <c r="E543" s="6">
        <f>首页!$B$5+273.15</f>
        <v>1373.15</v>
      </c>
      <c r="F543" s="6">
        <f t="shared" si="72"/>
        <v>95</v>
      </c>
      <c r="G543" s="6">
        <f t="shared" si="73"/>
        <v>340.65</v>
      </c>
      <c r="H543" s="6">
        <f t="shared" si="74"/>
        <v>1.9926207055139041E-5</v>
      </c>
      <c r="I543" s="7">
        <f t="shared" si="75"/>
        <v>1158916576932337.8</v>
      </c>
      <c r="J543" s="6">
        <f t="shared" si="76"/>
        <v>1.0226038455893147</v>
      </c>
      <c r="K543" s="7">
        <f>J543*H543*首页!$B$12/P543</f>
        <v>0.69532757496605813</v>
      </c>
      <c r="L543" s="6">
        <f>首页!$B$9*0.0000000567*((C543^4-D543^4)/(C543-D543))</f>
        <v>7.7687338005019564</v>
      </c>
      <c r="M543" s="6">
        <f>IF(首页!$B$13="自然对流",IF(首页!$B$14="立式圆筒",首页!$B$10,PI()*B543/2),PI()*B543/2)</f>
        <v>55.2</v>
      </c>
      <c r="N543" s="7">
        <f>IF(首页!$B$13="强制对流",首页!$B$11*M543/H543,0)</f>
        <v>0</v>
      </c>
      <c r="O543" s="6">
        <f>IF(首页!$B$13="自然对流",IF(首页!$B$14="立式圆筒",(0.825+0.3063*I543^(1/6))^2+0.87*(M543/B543),(0.752+0.303*I543^(1/6))^2),0.3+SQRT((0.592*N543^0.5)^2+(0.0262*N543^0.8/(1-0.5/N543^0.1))^2))</f>
        <v>10059.361349088746</v>
      </c>
      <c r="P543" s="6">
        <f t="shared" si="77"/>
        <v>2.9510194925512497E-2</v>
      </c>
      <c r="Q543" s="6">
        <f t="shared" si="78"/>
        <v>5.3777846782205661</v>
      </c>
      <c r="R543" s="6">
        <f t="shared" si="79"/>
        <v>13.146518478722523</v>
      </c>
      <c r="S543" s="6">
        <f>B543*LN(B543/首页!$B$4)</f>
        <v>2.7498984453073239</v>
      </c>
      <c r="T543" s="6">
        <f>2*首页!$B$8*(E543-C543)/(R543*(C543-D543))</f>
        <v>7.0981370181553885E-2</v>
      </c>
      <c r="U543" t="str">
        <f>IF(首页!$B$13="自然对流","按自然对流公式", "按强制对流公式")</f>
        <v>按自然对流公式</v>
      </c>
      <c r="V543" s="6">
        <f t="shared" si="80"/>
        <v>2.6789170751257698</v>
      </c>
    </row>
    <row r="544" spans="1:22" x14ac:dyDescent="0.15">
      <c r="A544">
        <v>539</v>
      </c>
      <c r="B544" s="6">
        <f>首页!$B$4+2*A544/1000</f>
        <v>1.198</v>
      </c>
      <c r="C544" s="6">
        <f>首页!$B$7+273.15</f>
        <v>388.15</v>
      </c>
      <c r="D544" s="6">
        <f>首页!$B$6+273.15</f>
        <v>293.14999999999998</v>
      </c>
      <c r="E544" s="6">
        <f>首页!$B$5+273.15</f>
        <v>1373.15</v>
      </c>
      <c r="F544" s="6">
        <f t="shared" si="72"/>
        <v>95</v>
      </c>
      <c r="G544" s="6">
        <f t="shared" si="73"/>
        <v>340.65</v>
      </c>
      <c r="H544" s="6">
        <f t="shared" si="74"/>
        <v>1.9926207055139041E-5</v>
      </c>
      <c r="I544" s="7">
        <f t="shared" si="75"/>
        <v>1158916576932337.8</v>
      </c>
      <c r="J544" s="6">
        <f t="shared" si="76"/>
        <v>1.0226038455893147</v>
      </c>
      <c r="K544" s="7">
        <f>J544*H544*首页!$B$12/P544</f>
        <v>0.69532757496605813</v>
      </c>
      <c r="L544" s="6">
        <f>首页!$B$9*0.0000000567*((C544^4-D544^4)/(C544-D544))</f>
        <v>7.7687338005019564</v>
      </c>
      <c r="M544" s="6">
        <f>IF(首页!$B$13="自然对流",IF(首页!$B$14="立式圆筒",首页!$B$10,PI()*B544/2),PI()*B544/2)</f>
        <v>55.2</v>
      </c>
      <c r="N544" s="7">
        <f>IF(首页!$B$13="强制对流",首页!$B$11*M544/H544,0)</f>
        <v>0</v>
      </c>
      <c r="O544" s="6">
        <f>IF(首页!$B$13="自然对流",IF(首页!$B$14="立式圆筒",(0.825+0.3063*I544^(1/6))^2+0.87*(M544/B544),(0.752+0.303*I544^(1/6))^2),0.3+SQRT((0.592*N544^0.5)^2+(0.0262*N544^0.8/(1-0.5/N544^0.1))^2))</f>
        <v>10059.294314287154</v>
      </c>
      <c r="P544" s="6">
        <f t="shared" si="77"/>
        <v>2.9510194925512497E-2</v>
      </c>
      <c r="Q544" s="6">
        <f t="shared" si="78"/>
        <v>5.3777488410817655</v>
      </c>
      <c r="R544" s="6">
        <f t="shared" si="79"/>
        <v>13.146482641583722</v>
      </c>
      <c r="S544" s="6">
        <f>B544*LN(B544/首页!$B$4)</f>
        <v>2.7564986090002312</v>
      </c>
      <c r="T544" s="6">
        <f>2*首页!$B$8*(E544-C544)/(R544*(C544-D544))</f>
        <v>7.0981563675835579E-2</v>
      </c>
      <c r="U544" t="str">
        <f>IF(首页!$B$13="自然对流","按自然对流公式", "按强制对流公式")</f>
        <v>按自然对流公式</v>
      </c>
      <c r="V544" s="6">
        <f t="shared" si="80"/>
        <v>2.6855170453243957</v>
      </c>
    </row>
    <row r="545" spans="1:22" x14ac:dyDescent="0.15">
      <c r="A545">
        <v>540</v>
      </c>
      <c r="B545" s="6">
        <f>首页!$B$4+2*A545/1000</f>
        <v>1.2000000000000002</v>
      </c>
      <c r="C545" s="6">
        <f>首页!$B$7+273.15</f>
        <v>388.15</v>
      </c>
      <c r="D545" s="6">
        <f>首页!$B$6+273.15</f>
        <v>293.14999999999998</v>
      </c>
      <c r="E545" s="6">
        <f>首页!$B$5+273.15</f>
        <v>1373.15</v>
      </c>
      <c r="F545" s="6">
        <f t="shared" si="72"/>
        <v>95</v>
      </c>
      <c r="G545" s="6">
        <f t="shared" si="73"/>
        <v>340.65</v>
      </c>
      <c r="H545" s="6">
        <f t="shared" si="74"/>
        <v>1.9926207055139041E-5</v>
      </c>
      <c r="I545" s="7">
        <f t="shared" si="75"/>
        <v>1158916576932337.8</v>
      </c>
      <c r="J545" s="6">
        <f t="shared" si="76"/>
        <v>1.0226038455893147</v>
      </c>
      <c r="K545" s="7">
        <f>J545*H545*首页!$B$12/P545</f>
        <v>0.69532757496605813</v>
      </c>
      <c r="L545" s="6">
        <f>首页!$B$9*0.0000000567*((C545^4-D545^4)/(C545-D545))</f>
        <v>7.7687338005019564</v>
      </c>
      <c r="M545" s="6">
        <f>IF(首页!$B$13="自然对流",IF(首页!$B$14="立式圆筒",首页!$B$10,PI()*B545/2),PI()*B545/2)</f>
        <v>55.2</v>
      </c>
      <c r="N545" s="7">
        <f>IF(首页!$B$13="强制对流",首页!$B$11*M545/H545,0)</f>
        <v>0</v>
      </c>
      <c r="O545" s="6">
        <f>IF(首页!$B$13="自然对流",IF(首页!$B$14="立式圆筒",(0.825+0.3063*I545^(1/6))^2+0.87*(M545/B545),(0.752+0.303*I545^(1/6))^2),0.3+SQRT((0.592*N545^0.5)^2+(0.0262*N545^0.8/(1-0.5/N545^0.1))^2))</f>
        <v>10059.2275029349</v>
      </c>
      <c r="P545" s="6">
        <f t="shared" si="77"/>
        <v>2.9510194925512497E-2</v>
      </c>
      <c r="Q545" s="6">
        <f t="shared" si="78"/>
        <v>5.3777131234000946</v>
      </c>
      <c r="R545" s="6">
        <f t="shared" si="79"/>
        <v>13.146446923902051</v>
      </c>
      <c r="S545" s="6">
        <f>B545*LN(B545/首页!$B$4)</f>
        <v>2.7631021115928553</v>
      </c>
      <c r="T545" s="6">
        <f>2*首页!$B$8*(E545-C545)/(R545*(C545-D545))</f>
        <v>7.0981756526185991E-2</v>
      </c>
      <c r="U545" t="str">
        <f>IF(首页!$B$13="自然对流","按自然对流公式", "按强制对流公式")</f>
        <v>按自然对流公式</v>
      </c>
      <c r="V545" s="6">
        <f t="shared" si="80"/>
        <v>2.6921203550666695</v>
      </c>
    </row>
    <row r="546" spans="1:22" x14ac:dyDescent="0.15">
      <c r="A546">
        <v>541</v>
      </c>
      <c r="B546" s="6">
        <f>首页!$B$4+2*A546/1000</f>
        <v>1.202</v>
      </c>
      <c r="C546" s="6">
        <f>首页!$B$7+273.15</f>
        <v>388.15</v>
      </c>
      <c r="D546" s="6">
        <f>首页!$B$6+273.15</f>
        <v>293.14999999999998</v>
      </c>
      <c r="E546" s="6">
        <f>首页!$B$5+273.15</f>
        <v>1373.15</v>
      </c>
      <c r="F546" s="6">
        <f t="shared" si="72"/>
        <v>95</v>
      </c>
      <c r="G546" s="6">
        <f t="shared" si="73"/>
        <v>340.65</v>
      </c>
      <c r="H546" s="6">
        <f t="shared" si="74"/>
        <v>1.9926207055139041E-5</v>
      </c>
      <c r="I546" s="7">
        <f t="shared" si="75"/>
        <v>1158916576932337.8</v>
      </c>
      <c r="J546" s="6">
        <f t="shared" si="76"/>
        <v>1.0226038455893147</v>
      </c>
      <c r="K546" s="7">
        <f>J546*H546*首页!$B$12/P546</f>
        <v>0.69532757496605813</v>
      </c>
      <c r="L546" s="6">
        <f>首页!$B$9*0.0000000567*((C546^4-D546^4)/(C546-D546))</f>
        <v>7.7687338005019564</v>
      </c>
      <c r="M546" s="6">
        <f>IF(首页!$B$13="自然对流",IF(首页!$B$14="立式圆筒",首页!$B$10,PI()*B546/2),PI()*B546/2)</f>
        <v>55.2</v>
      </c>
      <c r="N546" s="7">
        <f>IF(首页!$B$13="强制对流",首页!$B$11*M546/H546,0)</f>
        <v>0</v>
      </c>
      <c r="O546" s="6">
        <f>IF(首页!$B$13="自然对流",IF(首页!$B$14="立式圆筒",(0.825+0.3063*I546^(1/6))^2+0.87*(M546/B546),(0.752+0.303*I546^(1/6))^2),0.3+SQRT((0.592*N546^0.5)^2+(0.0262*N546^0.8/(1-0.5/N546^0.1))^2))</f>
        <v>10059.160913916598</v>
      </c>
      <c r="P546" s="6">
        <f t="shared" si="77"/>
        <v>2.9510194925512497E-2</v>
      </c>
      <c r="Q546" s="6">
        <f t="shared" si="78"/>
        <v>5.3776775245792612</v>
      </c>
      <c r="R546" s="6">
        <f t="shared" si="79"/>
        <v>13.146411325081218</v>
      </c>
      <c r="S546" s="6">
        <f>B546*LN(B546/首页!$B$4)</f>
        <v>2.7697089475203547</v>
      </c>
      <c r="T546" s="6">
        <f>2*首页!$B$8*(E546-C546)/(R546*(C546-D546))</f>
        <v>7.0981948735814204E-2</v>
      </c>
      <c r="U546" t="str">
        <f>IF(首页!$B$13="自然对流","按自然对流公式", "按强制对流公式")</f>
        <v>按自然对流公式</v>
      </c>
      <c r="V546" s="6">
        <f t="shared" si="80"/>
        <v>2.6987269987845406</v>
      </c>
    </row>
    <row r="547" spans="1:22" x14ac:dyDescent="0.15">
      <c r="A547">
        <v>542</v>
      </c>
      <c r="B547" s="6">
        <f>首页!$B$4+2*A547/1000</f>
        <v>1.2040000000000002</v>
      </c>
      <c r="C547" s="6">
        <f>首页!$B$7+273.15</f>
        <v>388.15</v>
      </c>
      <c r="D547" s="6">
        <f>首页!$B$6+273.15</f>
        <v>293.14999999999998</v>
      </c>
      <c r="E547" s="6">
        <f>首页!$B$5+273.15</f>
        <v>1373.15</v>
      </c>
      <c r="F547" s="6">
        <f t="shared" si="72"/>
        <v>95</v>
      </c>
      <c r="G547" s="6">
        <f t="shared" si="73"/>
        <v>340.65</v>
      </c>
      <c r="H547" s="6">
        <f t="shared" si="74"/>
        <v>1.9926207055139041E-5</v>
      </c>
      <c r="I547" s="7">
        <f t="shared" si="75"/>
        <v>1158916576932337.8</v>
      </c>
      <c r="J547" s="6">
        <f t="shared" si="76"/>
        <v>1.0226038455893147</v>
      </c>
      <c r="K547" s="7">
        <f>J547*H547*首页!$B$12/P547</f>
        <v>0.69532757496605813</v>
      </c>
      <c r="L547" s="6">
        <f>首页!$B$9*0.0000000567*((C547^4-D547^4)/(C547-D547))</f>
        <v>7.7687338005019564</v>
      </c>
      <c r="M547" s="6">
        <f>IF(首页!$B$13="自然对流",IF(首页!$B$14="立式圆筒",首页!$B$10,PI()*B547/2),PI()*B547/2)</f>
        <v>55.2</v>
      </c>
      <c r="N547" s="7">
        <f>IF(首页!$B$13="强制对流",首页!$B$11*M547/H547,0)</f>
        <v>0</v>
      </c>
      <c r="O547" s="6">
        <f>IF(首页!$B$13="自然对流",IF(首页!$B$14="立式圆筒",(0.825+0.3063*I547^(1/6))^2+0.87*(M547/B547),(0.752+0.303*I547^(1/6))^2),0.3+SQRT((0.592*N547^0.5)^2+(0.0262*N547^0.8/(1-0.5/N547^0.1))^2))</f>
        <v>10059.094546124268</v>
      </c>
      <c r="P547" s="6">
        <f t="shared" si="77"/>
        <v>2.9510194925512497E-2</v>
      </c>
      <c r="Q547" s="6">
        <f t="shared" si="78"/>
        <v>5.3776420440269348</v>
      </c>
      <c r="R547" s="6">
        <f t="shared" si="79"/>
        <v>13.14637584452889</v>
      </c>
      <c r="S547" s="6">
        <f>B547*LN(B547/首页!$B$4)</f>
        <v>2.7763191112364116</v>
      </c>
      <c r="T547" s="6">
        <f>2*首页!$B$8*(E547-C547)/(R547*(C547-D547))</f>
        <v>7.098214030790799E-2</v>
      </c>
      <c r="U547" t="str">
        <f>IF(首页!$B$13="自然对流","按自然对流公式", "按强制对流公式")</f>
        <v>按自然对流公式</v>
      </c>
      <c r="V547" s="6">
        <f t="shared" si="80"/>
        <v>2.7053369709285038</v>
      </c>
    </row>
    <row r="548" spans="1:22" x14ac:dyDescent="0.15">
      <c r="A548">
        <v>543</v>
      </c>
      <c r="B548" s="6">
        <f>首页!$B$4+2*A548/1000</f>
        <v>1.206</v>
      </c>
      <c r="C548" s="6">
        <f>首页!$B$7+273.15</f>
        <v>388.15</v>
      </c>
      <c r="D548" s="6">
        <f>首页!$B$6+273.15</f>
        <v>293.14999999999998</v>
      </c>
      <c r="E548" s="6">
        <f>首页!$B$5+273.15</f>
        <v>1373.15</v>
      </c>
      <c r="F548" s="6">
        <f t="shared" si="72"/>
        <v>95</v>
      </c>
      <c r="G548" s="6">
        <f t="shared" si="73"/>
        <v>340.65</v>
      </c>
      <c r="H548" s="6">
        <f t="shared" si="74"/>
        <v>1.9926207055139041E-5</v>
      </c>
      <c r="I548" s="7">
        <f t="shared" si="75"/>
        <v>1158916576932337.8</v>
      </c>
      <c r="J548" s="6">
        <f t="shared" si="76"/>
        <v>1.0226038455893147</v>
      </c>
      <c r="K548" s="7">
        <f>J548*H548*首页!$B$12/P548</f>
        <v>0.69532757496605813</v>
      </c>
      <c r="L548" s="6">
        <f>首页!$B$9*0.0000000567*((C548^4-D548^4)/(C548-D548))</f>
        <v>7.7687338005019564</v>
      </c>
      <c r="M548" s="6">
        <f>IF(首页!$B$13="自然对流",IF(首页!$B$14="立式圆筒",首页!$B$10,PI()*B548/2),PI()*B548/2)</f>
        <v>55.2</v>
      </c>
      <c r="N548" s="7">
        <f>IF(首页!$B$13="强制对流",首页!$B$11*M548/H548,0)</f>
        <v>0</v>
      </c>
      <c r="O548" s="6">
        <f>IF(首页!$B$13="自然对流",IF(首页!$B$14="立式圆筒",(0.825+0.3063*I548^(1/6))^2+0.87*(M548/B548),(0.752+0.303*I548^(1/6))^2),0.3+SQRT((0.592*N548^0.5)^2+(0.0262*N548^0.8/(1-0.5/N548^0.1))^2))</f>
        <v>10059.028398457287</v>
      </c>
      <c r="P548" s="6">
        <f t="shared" si="77"/>
        <v>2.9510194925512497E-2</v>
      </c>
      <c r="Q548" s="6">
        <f t="shared" si="78"/>
        <v>5.3776066811547159</v>
      </c>
      <c r="R548" s="6">
        <f t="shared" si="79"/>
        <v>13.146340481656672</v>
      </c>
      <c r="S548" s="6">
        <f>B548*LN(B548/首页!$B$4)</f>
        <v>2.7829325972131325</v>
      </c>
      <c r="T548" s="6">
        <f>2*首页!$B$8*(E548-C548)/(R548*(C548-D548))</f>
        <v>7.0982331245634037E-2</v>
      </c>
      <c r="U548" t="str">
        <f>IF(首页!$B$13="自然对流","按自然对流公式", "按强制对流公式")</f>
        <v>按自然对流公式</v>
      </c>
      <c r="V548" s="6">
        <f t="shared" si="80"/>
        <v>2.7119502659674986</v>
      </c>
    </row>
    <row r="549" spans="1:22" x14ac:dyDescent="0.15">
      <c r="A549">
        <v>544</v>
      </c>
      <c r="B549" s="6">
        <f>首页!$B$4+2*A549/1000</f>
        <v>1.2080000000000002</v>
      </c>
      <c r="C549" s="6">
        <f>首页!$B$7+273.15</f>
        <v>388.15</v>
      </c>
      <c r="D549" s="6">
        <f>首页!$B$6+273.15</f>
        <v>293.14999999999998</v>
      </c>
      <c r="E549" s="6">
        <f>首页!$B$5+273.15</f>
        <v>1373.15</v>
      </c>
      <c r="F549" s="6">
        <f t="shared" si="72"/>
        <v>95</v>
      </c>
      <c r="G549" s="6">
        <f t="shared" si="73"/>
        <v>340.65</v>
      </c>
      <c r="H549" s="6">
        <f t="shared" si="74"/>
        <v>1.9926207055139041E-5</v>
      </c>
      <c r="I549" s="7">
        <f t="shared" si="75"/>
        <v>1158916576932337.8</v>
      </c>
      <c r="J549" s="6">
        <f t="shared" si="76"/>
        <v>1.0226038455893147</v>
      </c>
      <c r="K549" s="7">
        <f>J549*H549*首页!$B$12/P549</f>
        <v>0.69532757496605813</v>
      </c>
      <c r="L549" s="6">
        <f>首页!$B$9*0.0000000567*((C549^4-D549^4)/(C549-D549))</f>
        <v>7.7687338005019564</v>
      </c>
      <c r="M549" s="6">
        <f>IF(首页!$B$13="自然对流",IF(首页!$B$14="立式圆筒",首页!$B$10,PI()*B549/2),PI()*B549/2)</f>
        <v>55.2</v>
      </c>
      <c r="N549" s="7">
        <f>IF(首页!$B$13="强制对流",首页!$B$11*M549/H549,0)</f>
        <v>0</v>
      </c>
      <c r="O549" s="6">
        <f>IF(首页!$B$13="自然对流",IF(首页!$B$14="立式圆筒",(0.825+0.3063*I549^(1/6))^2+0.87*(M549/B549),(0.752+0.303*I549^(1/6))^2),0.3+SQRT((0.592*N549^0.5)^2+(0.0262*N549^0.8/(1-0.5/N549^0.1))^2))</f>
        <v>10058.962469822318</v>
      </c>
      <c r="P549" s="6">
        <f t="shared" si="77"/>
        <v>2.9510194925512497E-2</v>
      </c>
      <c r="Q549" s="6">
        <f t="shared" si="78"/>
        <v>5.3775714353781012</v>
      </c>
      <c r="R549" s="6">
        <f t="shared" si="79"/>
        <v>13.146305235880057</v>
      </c>
      <c r="S549" s="6">
        <f>B549*LN(B549/首页!$B$4)</f>
        <v>2.7895493999409591</v>
      </c>
      <c r="T549" s="6">
        <f>2*首页!$B$8*(E549-C549)/(R549*(C549-D549))</f>
        <v>7.098252155213812E-2</v>
      </c>
      <c r="U549" t="str">
        <f>IF(首页!$B$13="自然对流","按自然对流公式", "按强制对流公式")</f>
        <v>按自然对流公式</v>
      </c>
      <c r="V549" s="6">
        <f t="shared" si="80"/>
        <v>2.7185668783888208</v>
      </c>
    </row>
    <row r="550" spans="1:22" x14ac:dyDescent="0.15">
      <c r="A550">
        <v>545</v>
      </c>
      <c r="B550" s="6">
        <f>首页!$B$4+2*A550/1000</f>
        <v>1.21</v>
      </c>
      <c r="C550" s="6">
        <f>首页!$B$7+273.15</f>
        <v>388.15</v>
      </c>
      <c r="D550" s="6">
        <f>首页!$B$6+273.15</f>
        <v>293.14999999999998</v>
      </c>
      <c r="E550" s="6">
        <f>首页!$B$5+273.15</f>
        <v>1373.15</v>
      </c>
      <c r="F550" s="6">
        <f t="shared" si="72"/>
        <v>95</v>
      </c>
      <c r="G550" s="6">
        <f t="shared" si="73"/>
        <v>340.65</v>
      </c>
      <c r="H550" s="6">
        <f t="shared" si="74"/>
        <v>1.9926207055139041E-5</v>
      </c>
      <c r="I550" s="7">
        <f t="shared" si="75"/>
        <v>1158916576932337.8</v>
      </c>
      <c r="J550" s="6">
        <f t="shared" si="76"/>
        <v>1.0226038455893147</v>
      </c>
      <c r="K550" s="7">
        <f>J550*H550*首页!$B$12/P550</f>
        <v>0.69532757496605813</v>
      </c>
      <c r="L550" s="6">
        <f>首页!$B$9*0.0000000567*((C550^4-D550^4)/(C550-D550))</f>
        <v>7.7687338005019564</v>
      </c>
      <c r="M550" s="6">
        <f>IF(首页!$B$13="自然对流",IF(首页!$B$14="立式圆筒",首页!$B$10,PI()*B550/2),PI()*B550/2)</f>
        <v>55.2</v>
      </c>
      <c r="N550" s="7">
        <f>IF(首页!$B$13="强制对流",首页!$B$11*M550/H550,0)</f>
        <v>0</v>
      </c>
      <c r="O550" s="6">
        <f>IF(首页!$B$13="自然对流",IF(首页!$B$14="立式圆筒",(0.825+0.3063*I550^(1/6))^2+0.87*(M550/B550),(0.752+0.303*I550^(1/6))^2),0.3+SQRT((0.592*N550^0.5)^2+(0.0262*N550^0.8/(1-0.5/N550^0.1))^2))</f>
        <v>10058.896759133248</v>
      </c>
      <c r="P550" s="6">
        <f t="shared" si="77"/>
        <v>2.9510194925512497E-2</v>
      </c>
      <c r="Q550" s="6">
        <f t="shared" si="78"/>
        <v>5.3775363061164505</v>
      </c>
      <c r="R550" s="6">
        <f t="shared" si="79"/>
        <v>13.146270106618406</v>
      </c>
      <c r="S550" s="6">
        <f>B550*LN(B550/首页!$B$4)</f>
        <v>2.7961695139285765</v>
      </c>
      <c r="T550" s="6">
        <f>2*首页!$B$8*(E550-C550)/(R550*(C550-D550))</f>
        <v>7.0982711230545129E-2</v>
      </c>
      <c r="U550" t="str">
        <f>IF(首页!$B$13="自然对流","按自然对流公式", "按强制对流公式")</f>
        <v>按自然对流公式</v>
      </c>
      <c r="V550" s="6">
        <f t="shared" si="80"/>
        <v>2.7251868026980315</v>
      </c>
    </row>
    <row r="551" spans="1:22" x14ac:dyDescent="0.15">
      <c r="A551">
        <v>546</v>
      </c>
      <c r="B551" s="6">
        <f>首页!$B$4+2*A551/1000</f>
        <v>1.2120000000000002</v>
      </c>
      <c r="C551" s="6">
        <f>首页!$B$7+273.15</f>
        <v>388.15</v>
      </c>
      <c r="D551" s="6">
        <f>首页!$B$6+273.15</f>
        <v>293.14999999999998</v>
      </c>
      <c r="E551" s="6">
        <f>首页!$B$5+273.15</f>
        <v>1373.15</v>
      </c>
      <c r="F551" s="6">
        <f t="shared" si="72"/>
        <v>95</v>
      </c>
      <c r="G551" s="6">
        <f t="shared" si="73"/>
        <v>340.65</v>
      </c>
      <c r="H551" s="6">
        <f t="shared" si="74"/>
        <v>1.9926207055139041E-5</v>
      </c>
      <c r="I551" s="7">
        <f t="shared" si="75"/>
        <v>1158916576932337.8</v>
      </c>
      <c r="J551" s="6">
        <f t="shared" si="76"/>
        <v>1.0226038455893147</v>
      </c>
      <c r="K551" s="7">
        <f>J551*H551*首页!$B$12/P551</f>
        <v>0.69532757496605813</v>
      </c>
      <c r="L551" s="6">
        <f>首页!$B$9*0.0000000567*((C551^4-D551^4)/(C551-D551))</f>
        <v>7.7687338005019564</v>
      </c>
      <c r="M551" s="6">
        <f>IF(首页!$B$13="自然对流",IF(首页!$B$14="立式圆筒",首页!$B$10,PI()*B551/2),PI()*B551/2)</f>
        <v>55.2</v>
      </c>
      <c r="N551" s="7">
        <f>IF(首页!$B$13="强制对流",首页!$B$11*M551/H551,0)</f>
        <v>0</v>
      </c>
      <c r="O551" s="6">
        <f>IF(首页!$B$13="自然对流",IF(首页!$B$14="立式圆筒",(0.825+0.3063*I551^(1/6))^2+0.87*(M551/B551),(0.752+0.303*I551^(1/6))^2),0.3+SQRT((0.592*N551^0.5)^2+(0.0262*N551^0.8/(1-0.5/N551^0.1))^2))</f>
        <v>10058.831265311137</v>
      </c>
      <c r="P551" s="6">
        <f t="shared" si="77"/>
        <v>2.9510194925512497E-2</v>
      </c>
      <c r="Q551" s="6">
        <f t="shared" si="78"/>
        <v>5.3775012927929557</v>
      </c>
      <c r="R551" s="6">
        <f t="shared" si="79"/>
        <v>13.146235093294912</v>
      </c>
      <c r="S551" s="6">
        <f>B551*LN(B551/首页!$B$4)</f>
        <v>2.8027929337028237</v>
      </c>
      <c r="T551" s="6">
        <f>2*首页!$B$8*(E551-C551)/(R551*(C551-D551))</f>
        <v>7.0982900283959538E-2</v>
      </c>
      <c r="U551" t="str">
        <f>IF(首页!$B$13="自然对流","按自然对流公式", "按强制对流公式")</f>
        <v>按自然对流公式</v>
      </c>
      <c r="V551" s="6">
        <f t="shared" si="80"/>
        <v>2.731810033418864</v>
      </c>
    </row>
    <row r="552" spans="1:22" x14ac:dyDescent="0.15">
      <c r="A552">
        <v>547</v>
      </c>
      <c r="B552" s="6">
        <f>首页!$B$4+2*A552/1000</f>
        <v>1.214</v>
      </c>
      <c r="C552" s="6">
        <f>首页!$B$7+273.15</f>
        <v>388.15</v>
      </c>
      <c r="D552" s="6">
        <f>首页!$B$6+273.15</f>
        <v>293.14999999999998</v>
      </c>
      <c r="E552" s="6">
        <f>首页!$B$5+273.15</f>
        <v>1373.15</v>
      </c>
      <c r="F552" s="6">
        <f t="shared" si="72"/>
        <v>95</v>
      </c>
      <c r="G552" s="6">
        <f t="shared" si="73"/>
        <v>340.65</v>
      </c>
      <c r="H552" s="6">
        <f t="shared" si="74"/>
        <v>1.9926207055139041E-5</v>
      </c>
      <c r="I552" s="7">
        <f t="shared" si="75"/>
        <v>1158916576932337.8</v>
      </c>
      <c r="J552" s="6">
        <f t="shared" si="76"/>
        <v>1.0226038455893147</v>
      </c>
      <c r="K552" s="7">
        <f>J552*H552*首页!$B$12/P552</f>
        <v>0.69532757496605813</v>
      </c>
      <c r="L552" s="6">
        <f>首页!$B$9*0.0000000567*((C552^4-D552^4)/(C552-D552))</f>
        <v>7.7687338005019564</v>
      </c>
      <c r="M552" s="6">
        <f>IF(首页!$B$13="自然对流",IF(首页!$B$14="立式圆筒",首页!$B$10,PI()*B552/2),PI()*B552/2)</f>
        <v>55.2</v>
      </c>
      <c r="N552" s="7">
        <f>IF(首页!$B$13="强制对流",首页!$B$11*M552/H552,0)</f>
        <v>0</v>
      </c>
      <c r="O552" s="6">
        <f>IF(首页!$B$13="自然对流",IF(首页!$B$14="立式圆筒",(0.825+0.3063*I552^(1/6))^2+0.87*(M552/B552),(0.752+0.303*I552^(1/6))^2),0.3+SQRT((0.592*N552^0.5)^2+(0.0262*N552^0.8/(1-0.5/N552^0.1))^2))</f>
        <v>10058.765987284158</v>
      </c>
      <c r="P552" s="6">
        <f t="shared" si="77"/>
        <v>2.9510194925512497E-2</v>
      </c>
      <c r="Q552" s="6">
        <f t="shared" si="78"/>
        <v>5.3774663948346131</v>
      </c>
      <c r="R552" s="6">
        <f t="shared" si="79"/>
        <v>13.146200195336569</v>
      </c>
      <c r="S552" s="6">
        <f>B552*LN(B552/首页!$B$4)</f>
        <v>2.8094196538086007</v>
      </c>
      <c r="T552" s="6">
        <f>2*首页!$B$8*(E552-C552)/(R552*(C552-D552))</f>
        <v>7.0983088715465242E-2</v>
      </c>
      <c r="U552" t="str">
        <f>IF(首页!$B$13="自然对流","按自然对流公式", "按强制对流公式")</f>
        <v>按自然对流公式</v>
      </c>
      <c r="V552" s="6">
        <f t="shared" si="80"/>
        <v>2.7384365650931355</v>
      </c>
    </row>
    <row r="553" spans="1:22" x14ac:dyDescent="0.15">
      <c r="A553">
        <v>548</v>
      </c>
      <c r="B553" s="6">
        <f>首页!$B$4+2*A553/1000</f>
        <v>1.2160000000000002</v>
      </c>
      <c r="C553" s="6">
        <f>首页!$B$7+273.15</f>
        <v>388.15</v>
      </c>
      <c r="D553" s="6">
        <f>首页!$B$6+273.15</f>
        <v>293.14999999999998</v>
      </c>
      <c r="E553" s="6">
        <f>首页!$B$5+273.15</f>
        <v>1373.15</v>
      </c>
      <c r="F553" s="6">
        <f t="shared" si="72"/>
        <v>95</v>
      </c>
      <c r="G553" s="6">
        <f t="shared" si="73"/>
        <v>340.65</v>
      </c>
      <c r="H553" s="6">
        <f t="shared" si="74"/>
        <v>1.9926207055139041E-5</v>
      </c>
      <c r="I553" s="7">
        <f t="shared" si="75"/>
        <v>1158916576932337.8</v>
      </c>
      <c r="J553" s="6">
        <f t="shared" si="76"/>
        <v>1.0226038455893147</v>
      </c>
      <c r="K553" s="7">
        <f>J553*H553*首页!$B$12/P553</f>
        <v>0.69532757496605813</v>
      </c>
      <c r="L553" s="6">
        <f>首页!$B$9*0.0000000567*((C553^4-D553^4)/(C553-D553))</f>
        <v>7.7687338005019564</v>
      </c>
      <c r="M553" s="6">
        <f>IF(首页!$B$13="自然对流",IF(首页!$B$14="立式圆筒",首页!$B$10,PI()*B553/2),PI()*B553/2)</f>
        <v>55.2</v>
      </c>
      <c r="N553" s="7">
        <f>IF(首页!$B$13="强制对流",首页!$B$11*M553/H553,0)</f>
        <v>0</v>
      </c>
      <c r="O553" s="6">
        <f>IF(首页!$B$13="自然对流",IF(首页!$B$14="立式圆筒",(0.825+0.3063*I553^(1/6))^2+0.87*(M553/B553),(0.752+0.303*I553^(1/6))^2),0.3+SQRT((0.592*N553^0.5)^2+(0.0262*N553^0.8/(1-0.5/N553^0.1))^2))</f>
        <v>10058.700923987531</v>
      </c>
      <c r="P553" s="6">
        <f t="shared" si="77"/>
        <v>2.9510194925512497E-2</v>
      </c>
      <c r="Q553" s="6">
        <f t="shared" si="78"/>
        <v>5.3774316116721863</v>
      </c>
      <c r="R553" s="6">
        <f t="shared" si="79"/>
        <v>13.146165412174142</v>
      </c>
      <c r="S553" s="6">
        <f>B553*LN(B553/首页!$B$4)</f>
        <v>2.8160496688087853</v>
      </c>
      <c r="T553" s="6">
        <f>2*首页!$B$8*(E553-C553)/(R553*(C553-D553))</f>
        <v>7.0983276528125971E-2</v>
      </c>
      <c r="U553" t="str">
        <f>IF(首页!$B$13="自然对流","按自然对流公式", "按强制对流公式")</f>
        <v>按自然对流公式</v>
      </c>
      <c r="V553" s="6">
        <f t="shared" si="80"/>
        <v>2.7450663922806591</v>
      </c>
    </row>
    <row r="554" spans="1:22" x14ac:dyDescent="0.15">
      <c r="A554">
        <v>549</v>
      </c>
      <c r="B554" s="6">
        <f>首页!$B$4+2*A554/1000</f>
        <v>1.218</v>
      </c>
      <c r="C554" s="6">
        <f>首页!$B$7+273.15</f>
        <v>388.15</v>
      </c>
      <c r="D554" s="6">
        <f>首页!$B$6+273.15</f>
        <v>293.14999999999998</v>
      </c>
      <c r="E554" s="6">
        <f>首页!$B$5+273.15</f>
        <v>1373.15</v>
      </c>
      <c r="F554" s="6">
        <f t="shared" si="72"/>
        <v>95</v>
      </c>
      <c r="G554" s="6">
        <f t="shared" si="73"/>
        <v>340.65</v>
      </c>
      <c r="H554" s="6">
        <f t="shared" si="74"/>
        <v>1.9926207055139041E-5</v>
      </c>
      <c r="I554" s="7">
        <f t="shared" si="75"/>
        <v>1158916576932337.8</v>
      </c>
      <c r="J554" s="6">
        <f t="shared" si="76"/>
        <v>1.0226038455893147</v>
      </c>
      <c r="K554" s="7">
        <f>J554*H554*首页!$B$12/P554</f>
        <v>0.69532757496605813</v>
      </c>
      <c r="L554" s="6">
        <f>首页!$B$9*0.0000000567*((C554^4-D554^4)/(C554-D554))</f>
        <v>7.7687338005019564</v>
      </c>
      <c r="M554" s="6">
        <f>IF(首页!$B$13="自然对流",IF(首页!$B$14="立式圆筒",首页!$B$10,PI()*B554/2),PI()*B554/2)</f>
        <v>55.2</v>
      </c>
      <c r="N554" s="7">
        <f>IF(首页!$B$13="强制对流",首页!$B$11*M554/H554,0)</f>
        <v>0</v>
      </c>
      <c r="O554" s="6">
        <f>IF(首页!$B$13="自然对流",IF(首页!$B$14="立式圆筒",(0.825+0.3063*I554^(1/6))^2+0.87*(M554/B554),(0.752+0.303*I554^(1/6))^2),0.3+SQRT((0.592*N554^0.5)^2+(0.0262*N554^0.8/(1-0.5/N554^0.1))^2))</f>
        <v>10058.63607436347</v>
      </c>
      <c r="P554" s="6">
        <f t="shared" si="77"/>
        <v>2.9510194925512497E-2</v>
      </c>
      <c r="Q554" s="6">
        <f t="shared" si="78"/>
        <v>5.3773969427401775</v>
      </c>
      <c r="R554" s="6">
        <f t="shared" si="79"/>
        <v>13.146130743242134</v>
      </c>
      <c r="S554" s="6">
        <f>B554*LN(B554/首页!$B$4)</f>
        <v>2.8226829732841359</v>
      </c>
      <c r="T554" s="6">
        <f>2*首页!$B$8*(E554-C554)/(R554*(C554-D554))</f>
        <v>7.0983463724985305E-2</v>
      </c>
      <c r="U554" t="str">
        <f>IF(首页!$B$13="自然对流","按自然对流公式", "按强制对流公式")</f>
        <v>按自然对流公式</v>
      </c>
      <c r="V554" s="6">
        <f t="shared" si="80"/>
        <v>2.7516995095591508</v>
      </c>
    </row>
    <row r="555" spans="1:22" x14ac:dyDescent="0.15">
      <c r="A555">
        <v>550</v>
      </c>
      <c r="B555" s="6">
        <f>首页!$B$4+2*A555/1000</f>
        <v>1.2200000000000002</v>
      </c>
      <c r="C555" s="6">
        <f>首页!$B$7+273.15</f>
        <v>388.15</v>
      </c>
      <c r="D555" s="6">
        <f>首页!$B$6+273.15</f>
        <v>293.14999999999998</v>
      </c>
      <c r="E555" s="6">
        <f>首页!$B$5+273.15</f>
        <v>1373.15</v>
      </c>
      <c r="F555" s="6">
        <f t="shared" si="72"/>
        <v>95</v>
      </c>
      <c r="G555" s="6">
        <f t="shared" si="73"/>
        <v>340.65</v>
      </c>
      <c r="H555" s="6">
        <f t="shared" si="74"/>
        <v>1.9926207055139041E-5</v>
      </c>
      <c r="I555" s="7">
        <f t="shared" si="75"/>
        <v>1158916576932337.8</v>
      </c>
      <c r="J555" s="6">
        <f t="shared" si="76"/>
        <v>1.0226038455893147</v>
      </c>
      <c r="K555" s="7">
        <f>J555*H555*首页!$B$12/P555</f>
        <v>0.69532757496605813</v>
      </c>
      <c r="L555" s="6">
        <f>首页!$B$9*0.0000000567*((C555^4-D555^4)/(C555-D555))</f>
        <v>7.7687338005019564</v>
      </c>
      <c r="M555" s="6">
        <f>IF(首页!$B$13="自然对流",IF(首页!$B$14="立式圆筒",首页!$B$10,PI()*B555/2),PI()*B555/2)</f>
        <v>55.2</v>
      </c>
      <c r="N555" s="7">
        <f>IF(首页!$B$13="强制对流",首页!$B$11*M555/H555,0)</f>
        <v>0</v>
      </c>
      <c r="O555" s="6">
        <f>IF(首页!$B$13="自然对流",IF(首页!$B$14="立式圆筒",(0.825+0.3063*I555^(1/6))^2+0.87*(M555/B555),(0.752+0.303*I555^(1/6))^2),0.3+SQRT((0.592*N555^0.5)^2+(0.0262*N555^0.8/(1-0.5/N555^0.1))^2))</f>
        <v>10058.57143736113</v>
      </c>
      <c r="P555" s="6">
        <f t="shared" si="77"/>
        <v>2.9510194925512497E-2</v>
      </c>
      <c r="Q555" s="6">
        <f t="shared" si="78"/>
        <v>5.3773623874767997</v>
      </c>
      <c r="R555" s="6">
        <f t="shared" si="79"/>
        <v>13.146096187978756</v>
      </c>
      <c r="S555" s="6">
        <f>B555*LN(B555/首页!$B$4)</f>
        <v>2.8293195618332132</v>
      </c>
      <c r="T555" s="6">
        <f>2*首页!$B$8*(E555-C555)/(R555*(C555-D555))</f>
        <v>7.0983650309066962E-2</v>
      </c>
      <c r="U555" t="str">
        <f>IF(首页!$B$13="自然对流","按自然对流公式", "按强制对流公式")</f>
        <v>按自然对流公式</v>
      </c>
      <c r="V555" s="6">
        <f t="shared" si="80"/>
        <v>2.7583359115241461</v>
      </c>
    </row>
    <row r="556" spans="1:22" x14ac:dyDescent="0.15">
      <c r="A556">
        <v>551</v>
      </c>
      <c r="B556" s="6">
        <f>首页!$B$4+2*A556/1000</f>
        <v>1.222</v>
      </c>
      <c r="C556" s="6">
        <f>首页!$B$7+273.15</f>
        <v>388.15</v>
      </c>
      <c r="D556" s="6">
        <f>首页!$B$6+273.15</f>
        <v>293.14999999999998</v>
      </c>
      <c r="E556" s="6">
        <f>首页!$B$5+273.15</f>
        <v>1373.15</v>
      </c>
      <c r="F556" s="6">
        <f t="shared" si="72"/>
        <v>95</v>
      </c>
      <c r="G556" s="6">
        <f t="shared" si="73"/>
        <v>340.65</v>
      </c>
      <c r="H556" s="6">
        <f t="shared" si="74"/>
        <v>1.9926207055139041E-5</v>
      </c>
      <c r="I556" s="7">
        <f t="shared" si="75"/>
        <v>1158916576932337.8</v>
      </c>
      <c r="J556" s="6">
        <f t="shared" si="76"/>
        <v>1.0226038455893147</v>
      </c>
      <c r="K556" s="7">
        <f>J556*H556*首页!$B$12/P556</f>
        <v>0.69532757496605813</v>
      </c>
      <c r="L556" s="6">
        <f>首页!$B$9*0.0000000567*((C556^4-D556^4)/(C556-D556))</f>
        <v>7.7687338005019564</v>
      </c>
      <c r="M556" s="6">
        <f>IF(首页!$B$13="自然对流",IF(首页!$B$14="立式圆筒",首页!$B$10,PI()*B556/2),PI()*B556/2)</f>
        <v>55.2</v>
      </c>
      <c r="N556" s="7">
        <f>IF(首页!$B$13="强制对流",首页!$B$11*M556/H556,0)</f>
        <v>0</v>
      </c>
      <c r="O556" s="6">
        <f>IF(首页!$B$13="自然对流",IF(首页!$B$14="立式圆筒",(0.825+0.3063*I556^(1/6))^2+0.87*(M556/B556),(0.752+0.303*I556^(1/6))^2),0.3+SQRT((0.592*N556^0.5)^2+(0.0262*N556^0.8/(1-0.5/N556^0.1))^2))</f>
        <v>10058.507011936537</v>
      </c>
      <c r="P556" s="6">
        <f t="shared" si="77"/>
        <v>2.9510194925512497E-2</v>
      </c>
      <c r="Q556" s="6">
        <f t="shared" si="78"/>
        <v>5.3773279453239393</v>
      </c>
      <c r="R556" s="6">
        <f t="shared" si="79"/>
        <v>13.146061745825897</v>
      </c>
      <c r="S556" s="6">
        <f>B556*LN(B556/首页!$B$4)</f>
        <v>2.8359594290722825</v>
      </c>
      <c r="T556" s="6">
        <f>2*首页!$B$8*(E556-C556)/(R556*(C556-D556))</f>
        <v>7.0983836283374832E-2</v>
      </c>
      <c r="U556" t="str">
        <f>IF(首页!$B$13="自然对流","按自然对流公式", "按强制对流公式")</f>
        <v>按自然对流公式</v>
      </c>
      <c r="V556" s="6">
        <f t="shared" si="80"/>
        <v>2.7649755927889075</v>
      </c>
    </row>
    <row r="557" spans="1:22" x14ac:dyDescent="0.15">
      <c r="A557">
        <v>552</v>
      </c>
      <c r="B557" s="6">
        <f>首页!$B$4+2*A557/1000</f>
        <v>1.2240000000000002</v>
      </c>
      <c r="C557" s="6">
        <f>首页!$B$7+273.15</f>
        <v>388.15</v>
      </c>
      <c r="D557" s="6">
        <f>首页!$B$6+273.15</f>
        <v>293.14999999999998</v>
      </c>
      <c r="E557" s="6">
        <f>首页!$B$5+273.15</f>
        <v>1373.15</v>
      </c>
      <c r="F557" s="6">
        <f t="shared" si="72"/>
        <v>95</v>
      </c>
      <c r="G557" s="6">
        <f t="shared" si="73"/>
        <v>340.65</v>
      </c>
      <c r="H557" s="6">
        <f t="shared" si="74"/>
        <v>1.9926207055139041E-5</v>
      </c>
      <c r="I557" s="7">
        <f t="shared" si="75"/>
        <v>1158916576932337.8</v>
      </c>
      <c r="J557" s="6">
        <f t="shared" si="76"/>
        <v>1.0226038455893147</v>
      </c>
      <c r="K557" s="7">
        <f>J557*H557*首页!$B$12/P557</f>
        <v>0.69532757496605813</v>
      </c>
      <c r="L557" s="6">
        <f>首页!$B$9*0.0000000567*((C557^4-D557^4)/(C557-D557))</f>
        <v>7.7687338005019564</v>
      </c>
      <c r="M557" s="6">
        <f>IF(首页!$B$13="自然对流",IF(首页!$B$14="立式圆筒",首页!$B$10,PI()*B557/2),PI()*B557/2)</f>
        <v>55.2</v>
      </c>
      <c r="N557" s="7">
        <f>IF(首页!$B$13="强制对流",首页!$B$11*M557/H557,0)</f>
        <v>0</v>
      </c>
      <c r="O557" s="6">
        <f>IF(首页!$B$13="自然对流",IF(首页!$B$14="立式圆筒",(0.825+0.3063*I557^(1/6))^2+0.87*(M557/B557),(0.752+0.303*I557^(1/6))^2),0.3+SQRT((0.592*N557^0.5)^2+(0.0262*N557^0.8/(1-0.5/N557^0.1))^2))</f>
        <v>10058.442797052547</v>
      </c>
      <c r="P557" s="6">
        <f t="shared" si="77"/>
        <v>2.9510194925512497E-2</v>
      </c>
      <c r="Q557" s="6">
        <f t="shared" si="78"/>
        <v>5.3772936157271332</v>
      </c>
      <c r="R557" s="6">
        <f t="shared" si="79"/>
        <v>13.146027416229089</v>
      </c>
      <c r="S557" s="6">
        <f>B557*LN(B557/首页!$B$4)</f>
        <v>2.8426025696352366</v>
      </c>
      <c r="T557" s="6">
        <f>2*首页!$B$8*(E557-C557)/(R557*(C557-D557))</f>
        <v>7.0984021650893278E-2</v>
      </c>
      <c r="U557" t="str">
        <f>IF(首页!$B$13="自然对流","按自然对流公式", "按强制对流公式")</f>
        <v>按自然对流公式</v>
      </c>
      <c r="V557" s="6">
        <f t="shared" si="80"/>
        <v>2.7716185479843434</v>
      </c>
    </row>
    <row r="558" spans="1:22" x14ac:dyDescent="0.15">
      <c r="A558">
        <v>553</v>
      </c>
      <c r="B558" s="6">
        <f>首页!$B$4+2*A558/1000</f>
        <v>1.226</v>
      </c>
      <c r="C558" s="6">
        <f>首页!$B$7+273.15</f>
        <v>388.15</v>
      </c>
      <c r="D558" s="6">
        <f>首页!$B$6+273.15</f>
        <v>293.14999999999998</v>
      </c>
      <c r="E558" s="6">
        <f>首页!$B$5+273.15</f>
        <v>1373.15</v>
      </c>
      <c r="F558" s="6">
        <f t="shared" si="72"/>
        <v>95</v>
      </c>
      <c r="G558" s="6">
        <f t="shared" si="73"/>
        <v>340.65</v>
      </c>
      <c r="H558" s="6">
        <f t="shared" si="74"/>
        <v>1.9926207055139041E-5</v>
      </c>
      <c r="I558" s="7">
        <f t="shared" si="75"/>
        <v>1158916576932337.8</v>
      </c>
      <c r="J558" s="6">
        <f t="shared" si="76"/>
        <v>1.0226038455893147</v>
      </c>
      <c r="K558" s="7">
        <f>J558*H558*首页!$B$12/P558</f>
        <v>0.69532757496605813</v>
      </c>
      <c r="L558" s="6">
        <f>首页!$B$9*0.0000000567*((C558^4-D558^4)/(C558-D558))</f>
        <v>7.7687338005019564</v>
      </c>
      <c r="M558" s="6">
        <f>IF(首页!$B$13="自然对流",IF(首页!$B$14="立式圆筒",首页!$B$10,PI()*B558/2),PI()*B558/2)</f>
        <v>55.2</v>
      </c>
      <c r="N558" s="7">
        <f>IF(首页!$B$13="强制对流",首页!$B$11*M558/H558,0)</f>
        <v>0</v>
      </c>
      <c r="O558" s="6">
        <f>IF(首页!$B$13="自然对流",IF(首页!$B$14="立式圆筒",(0.825+0.3063*I558^(1/6))^2+0.87*(M558/B558),(0.752+0.303*I558^(1/6))^2),0.3+SQRT((0.592*N558^0.5)^2+(0.0262*N558^0.8/(1-0.5/N558^0.1))^2))</f>
        <v>10058.378791678782</v>
      </c>
      <c r="P558" s="6">
        <f t="shared" si="77"/>
        <v>2.9510194925512497E-2</v>
      </c>
      <c r="Q558" s="6">
        <f t="shared" si="78"/>
        <v>5.3772593981355383</v>
      </c>
      <c r="R558" s="6">
        <f t="shared" si="79"/>
        <v>13.145993198637495</v>
      </c>
      <c r="S558" s="6">
        <f>B558*LN(B558/首页!$B$4)</f>
        <v>2.8492489781734998</v>
      </c>
      <c r="T558" s="6">
        <f>2*首页!$B$8*(E558-C558)/(R558*(C558-D558))</f>
        <v>7.0984206414587109E-2</v>
      </c>
      <c r="U558" t="str">
        <f>IF(首页!$B$13="自然对流","按自然对流公式", "按强制对流公式")</f>
        <v>按自然对流公式</v>
      </c>
      <c r="V558" s="6">
        <f t="shared" si="80"/>
        <v>2.7782647717589128</v>
      </c>
    </row>
    <row r="559" spans="1:22" x14ac:dyDescent="0.15">
      <c r="A559">
        <v>554</v>
      </c>
      <c r="B559" s="6">
        <f>首页!$B$4+2*A559/1000</f>
        <v>1.2280000000000002</v>
      </c>
      <c r="C559" s="6">
        <f>首页!$B$7+273.15</f>
        <v>388.15</v>
      </c>
      <c r="D559" s="6">
        <f>首页!$B$6+273.15</f>
        <v>293.14999999999998</v>
      </c>
      <c r="E559" s="6">
        <f>首页!$B$5+273.15</f>
        <v>1373.15</v>
      </c>
      <c r="F559" s="6">
        <f t="shared" si="72"/>
        <v>95</v>
      </c>
      <c r="G559" s="6">
        <f t="shared" si="73"/>
        <v>340.65</v>
      </c>
      <c r="H559" s="6">
        <f t="shared" si="74"/>
        <v>1.9926207055139041E-5</v>
      </c>
      <c r="I559" s="7">
        <f t="shared" si="75"/>
        <v>1158916576932337.8</v>
      </c>
      <c r="J559" s="6">
        <f t="shared" si="76"/>
        <v>1.0226038455893147</v>
      </c>
      <c r="K559" s="7">
        <f>J559*H559*首页!$B$12/P559</f>
        <v>0.69532757496605813</v>
      </c>
      <c r="L559" s="6">
        <f>首页!$B$9*0.0000000567*((C559^4-D559^4)/(C559-D559))</f>
        <v>7.7687338005019564</v>
      </c>
      <c r="M559" s="6">
        <f>IF(首页!$B$13="自然对流",IF(首页!$B$14="立式圆筒",首页!$B$10,PI()*B559/2),PI()*B559/2)</f>
        <v>55.2</v>
      </c>
      <c r="N559" s="7">
        <f>IF(首页!$B$13="强制对流",首页!$B$11*M559/H559,0)</f>
        <v>0</v>
      </c>
      <c r="O559" s="6">
        <f>IF(首页!$B$13="自然对流",IF(首页!$B$14="立式圆筒",(0.825+0.3063*I559^(1/6))^2+0.87*(M559/B559),(0.752+0.303*I559^(1/6))^2),0.3+SQRT((0.592*N559^0.5)^2+(0.0262*N559^0.8/(1-0.5/N559^0.1))^2))</f>
        <v>10058.314994791577</v>
      </c>
      <c r="P559" s="6">
        <f t="shared" si="77"/>
        <v>2.9510194925512497E-2</v>
      </c>
      <c r="Q559" s="6">
        <f t="shared" si="78"/>
        <v>5.3772252920018957</v>
      </c>
      <c r="R559" s="6">
        <f t="shared" si="79"/>
        <v>13.145959092503851</v>
      </c>
      <c r="S559" s="6">
        <f>B559*LN(B559/首页!$B$4)</f>
        <v>2.8558986493559524</v>
      </c>
      <c r="T559" s="6">
        <f>2*首页!$B$8*(E559-C559)/(R559*(C559-D559))</f>
        <v>7.0984390577401968E-2</v>
      </c>
      <c r="U559" t="str">
        <f>IF(首页!$B$13="自然对流","按自然对流公式", "按强制对流公式")</f>
        <v>按自然对流公式</v>
      </c>
      <c r="V559" s="6">
        <f t="shared" si="80"/>
        <v>2.7849142587785503</v>
      </c>
    </row>
    <row r="560" spans="1:22" x14ac:dyDescent="0.15">
      <c r="A560">
        <v>555</v>
      </c>
      <c r="B560" s="6">
        <f>首页!$B$4+2*A560/1000</f>
        <v>1.23</v>
      </c>
      <c r="C560" s="6">
        <f>首页!$B$7+273.15</f>
        <v>388.15</v>
      </c>
      <c r="D560" s="6">
        <f>首页!$B$6+273.15</f>
        <v>293.14999999999998</v>
      </c>
      <c r="E560" s="6">
        <f>首页!$B$5+273.15</f>
        <v>1373.15</v>
      </c>
      <c r="F560" s="6">
        <f t="shared" si="72"/>
        <v>95</v>
      </c>
      <c r="G560" s="6">
        <f t="shared" si="73"/>
        <v>340.65</v>
      </c>
      <c r="H560" s="6">
        <f t="shared" si="74"/>
        <v>1.9926207055139041E-5</v>
      </c>
      <c r="I560" s="7">
        <f t="shared" si="75"/>
        <v>1158916576932337.8</v>
      </c>
      <c r="J560" s="6">
        <f t="shared" si="76"/>
        <v>1.0226038455893147</v>
      </c>
      <c r="K560" s="7">
        <f>J560*H560*首页!$B$12/P560</f>
        <v>0.69532757496605813</v>
      </c>
      <c r="L560" s="6">
        <f>首页!$B$9*0.0000000567*((C560^4-D560^4)/(C560-D560))</f>
        <v>7.7687338005019564</v>
      </c>
      <c r="M560" s="6">
        <f>IF(首页!$B$13="自然对流",IF(首页!$B$14="立式圆筒",首页!$B$10,PI()*B560/2),PI()*B560/2)</f>
        <v>55.2</v>
      </c>
      <c r="N560" s="7">
        <f>IF(首页!$B$13="强制对流",首页!$B$11*M560/H560,0)</f>
        <v>0</v>
      </c>
      <c r="O560" s="6">
        <f>IF(首页!$B$13="自然对流",IF(首页!$B$14="立式圆筒",(0.825+0.3063*I560^(1/6))^2+0.87*(M560/B560),(0.752+0.303*I560^(1/6))^2),0.3+SQRT((0.592*N560^0.5)^2+(0.0262*N560^0.8/(1-0.5/N560^0.1))^2))</f>
        <v>10058.251405373925</v>
      </c>
      <c r="P560" s="6">
        <f t="shared" si="77"/>
        <v>2.9510194925512497E-2</v>
      </c>
      <c r="Q560" s="6">
        <f t="shared" si="78"/>
        <v>5.3771912967825095</v>
      </c>
      <c r="R560" s="6">
        <f t="shared" si="79"/>
        <v>13.145925097284465</v>
      </c>
      <c r="S560" s="6">
        <f>B560*LN(B560/首页!$B$4)</f>
        <v>2.8625515778688331</v>
      </c>
      <c r="T560" s="6">
        <f>2*首页!$B$8*(E560-C560)/(R560*(C560-D560))</f>
        <v>7.0984574142264306E-2</v>
      </c>
      <c r="U560" t="str">
        <f>IF(首页!$B$13="自然对流","按自然对流公式", "按强制对流公式")</f>
        <v>按自然对流公式</v>
      </c>
      <c r="V560" s="6">
        <f t="shared" si="80"/>
        <v>2.791567003726569</v>
      </c>
    </row>
    <row r="561" spans="1:22" x14ac:dyDescent="0.15">
      <c r="A561">
        <v>556</v>
      </c>
      <c r="B561" s="6">
        <f>首页!$B$4+2*A561/1000</f>
        <v>1.2320000000000002</v>
      </c>
      <c r="C561" s="6">
        <f>首页!$B$7+273.15</f>
        <v>388.15</v>
      </c>
      <c r="D561" s="6">
        <f>首页!$B$6+273.15</f>
        <v>293.14999999999998</v>
      </c>
      <c r="E561" s="6">
        <f>首页!$B$5+273.15</f>
        <v>1373.15</v>
      </c>
      <c r="F561" s="6">
        <f t="shared" si="72"/>
        <v>95</v>
      </c>
      <c r="G561" s="6">
        <f t="shared" si="73"/>
        <v>340.65</v>
      </c>
      <c r="H561" s="6">
        <f t="shared" si="74"/>
        <v>1.9926207055139041E-5</v>
      </c>
      <c r="I561" s="7">
        <f t="shared" si="75"/>
        <v>1158916576932337.8</v>
      </c>
      <c r="J561" s="6">
        <f t="shared" si="76"/>
        <v>1.0226038455893147</v>
      </c>
      <c r="K561" s="7">
        <f>J561*H561*首页!$B$12/P561</f>
        <v>0.69532757496605813</v>
      </c>
      <c r="L561" s="6">
        <f>首页!$B$9*0.0000000567*((C561^4-D561^4)/(C561-D561))</f>
        <v>7.7687338005019564</v>
      </c>
      <c r="M561" s="6">
        <f>IF(首页!$B$13="自然对流",IF(首页!$B$14="立式圆筒",首页!$B$10,PI()*B561/2),PI()*B561/2)</f>
        <v>55.2</v>
      </c>
      <c r="N561" s="7">
        <f>IF(首页!$B$13="强制对流",首页!$B$11*M561/H561,0)</f>
        <v>0</v>
      </c>
      <c r="O561" s="6">
        <f>IF(首页!$B$13="自然对流",IF(首页!$B$14="立式圆筒",(0.825+0.3063*I561^(1/6))^2+0.87*(M561/B561),(0.752+0.303*I561^(1/6))^2),0.3+SQRT((0.592*N561^0.5)^2+(0.0262*N561^0.8/(1-0.5/N561^0.1))^2))</f>
        <v>10058.188022415419</v>
      </c>
      <c r="P561" s="6">
        <f t="shared" si="77"/>
        <v>2.9510194925512497E-2</v>
      </c>
      <c r="Q561" s="6">
        <f t="shared" si="78"/>
        <v>5.3771574119372119</v>
      </c>
      <c r="R561" s="6">
        <f t="shared" si="79"/>
        <v>13.145891212439167</v>
      </c>
      <c r="S561" s="6">
        <f>B561*LN(B561/首页!$B$4)</f>
        <v>2.8692077584156692</v>
      </c>
      <c r="T561" s="6">
        <f>2*首页!$B$8*(E561-C561)/(R561*(C561-D561))</f>
        <v>7.0984757112081603E-2</v>
      </c>
      <c r="U561" t="str">
        <f>IF(首页!$B$13="自然对流","按自然对流公式", "按强制对流公式")</f>
        <v>按自然对流公式</v>
      </c>
      <c r="V561" s="6">
        <f t="shared" si="80"/>
        <v>2.7982230013035876</v>
      </c>
    </row>
    <row r="562" spans="1:22" x14ac:dyDescent="0.15">
      <c r="A562">
        <v>557</v>
      </c>
      <c r="B562" s="6">
        <f>首页!$B$4+2*A562/1000</f>
        <v>1.234</v>
      </c>
      <c r="C562" s="6">
        <f>首页!$B$7+273.15</f>
        <v>388.15</v>
      </c>
      <c r="D562" s="6">
        <f>首页!$B$6+273.15</f>
        <v>293.14999999999998</v>
      </c>
      <c r="E562" s="6">
        <f>首页!$B$5+273.15</f>
        <v>1373.15</v>
      </c>
      <c r="F562" s="6">
        <f t="shared" si="72"/>
        <v>95</v>
      </c>
      <c r="G562" s="6">
        <f t="shared" si="73"/>
        <v>340.65</v>
      </c>
      <c r="H562" s="6">
        <f t="shared" si="74"/>
        <v>1.9926207055139041E-5</v>
      </c>
      <c r="I562" s="7">
        <f t="shared" si="75"/>
        <v>1158916576932337.8</v>
      </c>
      <c r="J562" s="6">
        <f t="shared" si="76"/>
        <v>1.0226038455893147</v>
      </c>
      <c r="K562" s="7">
        <f>J562*H562*首页!$B$12/P562</f>
        <v>0.69532757496605813</v>
      </c>
      <c r="L562" s="6">
        <f>首页!$B$9*0.0000000567*((C562^4-D562^4)/(C562-D562))</f>
        <v>7.7687338005019564</v>
      </c>
      <c r="M562" s="6">
        <f>IF(首页!$B$13="自然对流",IF(首页!$B$14="立式圆筒",首页!$B$10,PI()*B562/2),PI()*B562/2)</f>
        <v>55.2</v>
      </c>
      <c r="N562" s="7">
        <f>IF(首页!$B$13="强制对流",首页!$B$11*M562/H562,0)</f>
        <v>0</v>
      </c>
      <c r="O562" s="6">
        <f>IF(首页!$B$13="自然对流",IF(首页!$B$14="立式圆筒",(0.825+0.3063*I562^(1/6))^2+0.87*(M562/B562),(0.752+0.303*I562^(1/6))^2),0.3+SQRT((0.592*N562^0.5)^2+(0.0262*N562^0.8/(1-0.5/N562^0.1))^2))</f>
        <v>10058.124844912209</v>
      </c>
      <c r="P562" s="6">
        <f t="shared" si="77"/>
        <v>2.9510194925512497E-2</v>
      </c>
      <c r="Q562" s="6">
        <f t="shared" si="78"/>
        <v>5.3771236369293369</v>
      </c>
      <c r="R562" s="6">
        <f t="shared" si="79"/>
        <v>13.145857437431292</v>
      </c>
      <c r="S562" s="6">
        <f>B562*LN(B562/首页!$B$4)</f>
        <v>2.8758671857171763</v>
      </c>
      <c r="T562" s="6">
        <f>2*首页!$B$8*(E562-C562)/(R562*(C562-D562))</f>
        <v>7.0984939489742535E-2</v>
      </c>
      <c r="U562" t="str">
        <f>IF(首页!$B$13="自然对流","按自然对流公式", "按强制对流公式")</f>
        <v>按自然对流公式</v>
      </c>
      <c r="V562" s="6">
        <f t="shared" si="80"/>
        <v>2.8048822462274337</v>
      </c>
    </row>
    <row r="563" spans="1:22" x14ac:dyDescent="0.15">
      <c r="A563">
        <v>558</v>
      </c>
      <c r="B563" s="6">
        <f>首页!$B$4+2*A563/1000</f>
        <v>1.2360000000000002</v>
      </c>
      <c r="C563" s="6">
        <f>首页!$B$7+273.15</f>
        <v>388.15</v>
      </c>
      <c r="D563" s="6">
        <f>首页!$B$6+273.15</f>
        <v>293.14999999999998</v>
      </c>
      <c r="E563" s="6">
        <f>首页!$B$5+273.15</f>
        <v>1373.15</v>
      </c>
      <c r="F563" s="6">
        <f t="shared" si="72"/>
        <v>95</v>
      </c>
      <c r="G563" s="6">
        <f t="shared" si="73"/>
        <v>340.65</v>
      </c>
      <c r="H563" s="6">
        <f t="shared" si="74"/>
        <v>1.9926207055139041E-5</v>
      </c>
      <c r="I563" s="7">
        <f t="shared" si="75"/>
        <v>1158916576932337.8</v>
      </c>
      <c r="J563" s="6">
        <f t="shared" si="76"/>
        <v>1.0226038455893147</v>
      </c>
      <c r="K563" s="7">
        <f>J563*H563*首页!$B$12/P563</f>
        <v>0.69532757496605813</v>
      </c>
      <c r="L563" s="6">
        <f>首页!$B$9*0.0000000567*((C563^4-D563^4)/(C563-D563))</f>
        <v>7.7687338005019564</v>
      </c>
      <c r="M563" s="6">
        <f>IF(首页!$B$13="自然对流",IF(首页!$B$14="立式圆筒",首页!$B$10,PI()*B563/2),PI()*B563/2)</f>
        <v>55.2</v>
      </c>
      <c r="N563" s="7">
        <f>IF(首页!$B$13="强制对流",首页!$B$11*M563/H563,0)</f>
        <v>0</v>
      </c>
      <c r="O563" s="6">
        <f>IF(首页!$B$13="自然对流",IF(首页!$B$14="立式圆筒",(0.825+0.3063*I563^(1/6))^2+0.87*(M563/B563),(0.752+0.303*I563^(1/6))^2),0.3+SQRT((0.592*N563^0.5)^2+(0.0262*N563^0.8/(1-0.5/N563^0.1))^2))</f>
        <v>10058.061871866939</v>
      </c>
      <c r="P563" s="6">
        <f t="shared" si="77"/>
        <v>2.9510194925512497E-2</v>
      </c>
      <c r="Q563" s="6">
        <f t="shared" si="78"/>
        <v>5.377089971225697</v>
      </c>
      <c r="R563" s="6">
        <f t="shared" si="79"/>
        <v>13.145823771727652</v>
      </c>
      <c r="S563" s="6">
        <f>B563*LN(B563/首页!$B$4)</f>
        <v>2.8825298545111901</v>
      </c>
      <c r="T563" s="6">
        <f>2*首页!$B$8*(E563-C563)/(R563*(C563-D563))</f>
        <v>7.0985121278117097E-2</v>
      </c>
      <c r="U563" t="str">
        <f>IF(首页!$B$13="自然对流","按自然对流公式", "按强制对流公式")</f>
        <v>按自然对流公式</v>
      </c>
      <c r="V563" s="6">
        <f t="shared" si="80"/>
        <v>2.811544733233073</v>
      </c>
    </row>
    <row r="564" spans="1:22" x14ac:dyDescent="0.15">
      <c r="A564">
        <v>559</v>
      </c>
      <c r="B564" s="6">
        <f>首页!$B$4+2*A564/1000</f>
        <v>1.238</v>
      </c>
      <c r="C564" s="6">
        <f>首页!$B$7+273.15</f>
        <v>388.15</v>
      </c>
      <c r="D564" s="6">
        <f>首页!$B$6+273.15</f>
        <v>293.14999999999998</v>
      </c>
      <c r="E564" s="6">
        <f>首页!$B$5+273.15</f>
        <v>1373.15</v>
      </c>
      <c r="F564" s="6">
        <f t="shared" si="72"/>
        <v>95</v>
      </c>
      <c r="G564" s="6">
        <f t="shared" si="73"/>
        <v>340.65</v>
      </c>
      <c r="H564" s="6">
        <f t="shared" si="74"/>
        <v>1.9926207055139041E-5</v>
      </c>
      <c r="I564" s="7">
        <f t="shared" si="75"/>
        <v>1158916576932337.8</v>
      </c>
      <c r="J564" s="6">
        <f t="shared" si="76"/>
        <v>1.0226038455893147</v>
      </c>
      <c r="K564" s="7">
        <f>J564*H564*首页!$B$12/P564</f>
        <v>0.69532757496605813</v>
      </c>
      <c r="L564" s="6">
        <f>首页!$B$9*0.0000000567*((C564^4-D564^4)/(C564-D564))</f>
        <v>7.7687338005019564</v>
      </c>
      <c r="M564" s="6">
        <f>IF(首页!$B$13="自然对流",IF(首页!$B$14="立式圆筒",首页!$B$10,PI()*B564/2),PI()*B564/2)</f>
        <v>55.2</v>
      </c>
      <c r="N564" s="7">
        <f>IF(首页!$B$13="强制对流",首页!$B$11*M564/H564,0)</f>
        <v>0</v>
      </c>
      <c r="O564" s="6">
        <f>IF(首页!$B$13="自然对流",IF(首页!$B$14="立式圆筒",(0.825+0.3063*I564^(1/6))^2+0.87*(M564/B564),(0.752+0.303*I564^(1/6))^2),0.3+SQRT((0.592*N564^0.5)^2+(0.0262*N564^0.8/(1-0.5/N564^0.1))^2))</f>
        <v>10057.999102288697</v>
      </c>
      <c r="P564" s="6">
        <f t="shared" si="77"/>
        <v>2.9510194925512497E-2</v>
      </c>
      <c r="Q564" s="6">
        <f t="shared" si="78"/>
        <v>5.3770564142965425</v>
      </c>
      <c r="R564" s="6">
        <f t="shared" si="79"/>
        <v>13.145790214798499</v>
      </c>
      <c r="S564" s="6">
        <f>B564*LN(B564/首页!$B$4)</f>
        <v>2.8891957595525692</v>
      </c>
      <c r="T564" s="6">
        <f>2*首页!$B$8*(E564-C564)/(R564*(C564-D564))</f>
        <v>7.0985302480056786E-2</v>
      </c>
      <c r="U564" t="str">
        <f>IF(首页!$B$13="自然对流","按自然对流公式", "按强制对流公式")</f>
        <v>按自然对流公式</v>
      </c>
      <c r="V564" s="6">
        <f t="shared" si="80"/>
        <v>2.8182104570725124</v>
      </c>
    </row>
    <row r="565" spans="1:22" x14ac:dyDescent="0.15">
      <c r="A565">
        <v>560</v>
      </c>
      <c r="B565" s="6">
        <f>首页!$B$4+2*A565/1000</f>
        <v>1.2400000000000002</v>
      </c>
      <c r="C565" s="6">
        <f>首页!$B$7+273.15</f>
        <v>388.15</v>
      </c>
      <c r="D565" s="6">
        <f>首页!$B$6+273.15</f>
        <v>293.14999999999998</v>
      </c>
      <c r="E565" s="6">
        <f>首页!$B$5+273.15</f>
        <v>1373.15</v>
      </c>
      <c r="F565" s="6">
        <f t="shared" si="72"/>
        <v>95</v>
      </c>
      <c r="G565" s="6">
        <f t="shared" si="73"/>
        <v>340.65</v>
      </c>
      <c r="H565" s="6">
        <f t="shared" si="74"/>
        <v>1.9926207055139041E-5</v>
      </c>
      <c r="I565" s="7">
        <f t="shared" si="75"/>
        <v>1158916576932337.8</v>
      </c>
      <c r="J565" s="6">
        <f t="shared" si="76"/>
        <v>1.0226038455893147</v>
      </c>
      <c r="K565" s="7">
        <f>J565*H565*首页!$B$12/P565</f>
        <v>0.69532757496605813</v>
      </c>
      <c r="L565" s="6">
        <f>首页!$B$9*0.0000000567*((C565^4-D565^4)/(C565-D565))</f>
        <v>7.7687338005019564</v>
      </c>
      <c r="M565" s="6">
        <f>IF(首页!$B$13="自然对流",IF(首页!$B$14="立式圆筒",首页!$B$10,PI()*B565/2),PI()*B565/2)</f>
        <v>55.2</v>
      </c>
      <c r="N565" s="7">
        <f>IF(首页!$B$13="强制对流",首页!$B$11*M565/H565,0)</f>
        <v>0</v>
      </c>
      <c r="O565" s="6">
        <f>IF(首页!$B$13="自然对流",IF(首页!$B$14="立式圆筒",(0.825+0.3063*I565^(1/6))^2+0.87*(M565/B565),(0.752+0.303*I565^(1/6))^2),0.3+SQRT((0.592*N565^0.5)^2+(0.0262*N565^0.8/(1-0.5/N565^0.1))^2))</f>
        <v>10057.936535192965</v>
      </c>
      <c r="P565" s="6">
        <f t="shared" si="77"/>
        <v>2.9510194925512497E-2</v>
      </c>
      <c r="Q565" s="6">
        <f t="shared" si="78"/>
        <v>5.3770229656155459</v>
      </c>
      <c r="R565" s="6">
        <f t="shared" si="79"/>
        <v>13.145756766117502</v>
      </c>
      <c r="S565" s="6">
        <f>B565*LN(B565/首页!$B$4)</f>
        <v>2.8958648956131259</v>
      </c>
      <c r="T565" s="6">
        <f>2*首页!$B$8*(E565-C565)/(R565*(C565-D565))</f>
        <v>7.0985483098394725E-2</v>
      </c>
      <c r="U565" t="str">
        <f>IF(首页!$B$13="自然对流","按自然对流公式", "按强制对流公式")</f>
        <v>按自然对流公式</v>
      </c>
      <c r="V565" s="6">
        <f t="shared" si="80"/>
        <v>2.824879412514731</v>
      </c>
    </row>
    <row r="566" spans="1:22" x14ac:dyDescent="0.15">
      <c r="A566">
        <v>561</v>
      </c>
      <c r="B566" s="6">
        <f>首页!$B$4+2*A566/1000</f>
        <v>1.242</v>
      </c>
      <c r="C566" s="6">
        <f>首页!$B$7+273.15</f>
        <v>388.15</v>
      </c>
      <c r="D566" s="6">
        <f>首页!$B$6+273.15</f>
        <v>293.14999999999998</v>
      </c>
      <c r="E566" s="6">
        <f>首页!$B$5+273.15</f>
        <v>1373.15</v>
      </c>
      <c r="F566" s="6">
        <f t="shared" si="72"/>
        <v>95</v>
      </c>
      <c r="G566" s="6">
        <f t="shared" si="73"/>
        <v>340.65</v>
      </c>
      <c r="H566" s="6">
        <f t="shared" si="74"/>
        <v>1.9926207055139041E-5</v>
      </c>
      <c r="I566" s="7">
        <f t="shared" si="75"/>
        <v>1158916576932337.8</v>
      </c>
      <c r="J566" s="6">
        <f t="shared" si="76"/>
        <v>1.0226038455893147</v>
      </c>
      <c r="K566" s="7">
        <f>J566*H566*首页!$B$12/P566</f>
        <v>0.69532757496605813</v>
      </c>
      <c r="L566" s="6">
        <f>首页!$B$9*0.0000000567*((C566^4-D566^4)/(C566-D566))</f>
        <v>7.7687338005019564</v>
      </c>
      <c r="M566" s="6">
        <f>IF(首页!$B$13="自然对流",IF(首页!$B$14="立式圆筒",首页!$B$10,PI()*B566/2),PI()*B566/2)</f>
        <v>55.2</v>
      </c>
      <c r="N566" s="7">
        <f>IF(首页!$B$13="强制对流",首页!$B$11*M566/H566,0)</f>
        <v>0</v>
      </c>
      <c r="O566" s="6">
        <f>IF(首页!$B$13="自然对流",IF(首页!$B$14="立式圆筒",(0.825+0.3063*I566^(1/6))^2+0.87*(M566/B566),(0.752+0.303*I566^(1/6))^2),0.3+SQRT((0.592*N566^0.5)^2+(0.0262*N566^0.8/(1-0.5/N566^0.1))^2))</f>
        <v>10057.874169601566</v>
      </c>
      <c r="P566" s="6">
        <f t="shared" si="77"/>
        <v>2.9510194925512497E-2</v>
      </c>
      <c r="Q566" s="6">
        <f t="shared" si="78"/>
        <v>5.3769896246597702</v>
      </c>
      <c r="R566" s="6">
        <f t="shared" si="79"/>
        <v>13.145723425161727</v>
      </c>
      <c r="S566" s="6">
        <f>B566*LN(B566/首页!$B$4)</f>
        <v>2.9025372574815314</v>
      </c>
      <c r="T566" s="6">
        <f>2*首页!$B$8*(E566-C566)/(R566*(C566-D566))</f>
        <v>7.0985663135945828E-2</v>
      </c>
      <c r="U566" t="str">
        <f>IF(首页!$B$13="自然对流","按自然对流公式", "按强制对流公式")</f>
        <v>按自然对流公式</v>
      </c>
      <c r="V566" s="6">
        <f t="shared" si="80"/>
        <v>2.8315515943455853</v>
      </c>
    </row>
    <row r="567" spans="1:22" x14ac:dyDescent="0.15">
      <c r="A567">
        <v>562</v>
      </c>
      <c r="B567" s="6">
        <f>首页!$B$4+2*A567/1000</f>
        <v>1.2440000000000002</v>
      </c>
      <c r="C567" s="6">
        <f>首页!$B$7+273.15</f>
        <v>388.15</v>
      </c>
      <c r="D567" s="6">
        <f>首页!$B$6+273.15</f>
        <v>293.14999999999998</v>
      </c>
      <c r="E567" s="6">
        <f>首页!$B$5+273.15</f>
        <v>1373.15</v>
      </c>
      <c r="F567" s="6">
        <f t="shared" si="72"/>
        <v>95</v>
      </c>
      <c r="G567" s="6">
        <f t="shared" si="73"/>
        <v>340.65</v>
      </c>
      <c r="H567" s="6">
        <f t="shared" si="74"/>
        <v>1.9926207055139041E-5</v>
      </c>
      <c r="I567" s="7">
        <f t="shared" si="75"/>
        <v>1158916576932337.8</v>
      </c>
      <c r="J567" s="6">
        <f t="shared" si="76"/>
        <v>1.0226038455893147</v>
      </c>
      <c r="K567" s="7">
        <f>J567*H567*首页!$B$12/P567</f>
        <v>0.69532757496605813</v>
      </c>
      <c r="L567" s="6">
        <f>首页!$B$9*0.0000000567*((C567^4-D567^4)/(C567-D567))</f>
        <v>7.7687338005019564</v>
      </c>
      <c r="M567" s="6">
        <f>IF(首页!$B$13="自然对流",IF(首页!$B$14="立式圆筒",首页!$B$10,PI()*B567/2),PI()*B567/2)</f>
        <v>55.2</v>
      </c>
      <c r="N567" s="7">
        <f>IF(首页!$B$13="强制对流",首页!$B$11*M567/H567,0)</f>
        <v>0</v>
      </c>
      <c r="O567" s="6">
        <f>IF(首页!$B$13="自然对流",IF(首页!$B$14="立式圆筒",(0.825+0.3063*I567^(1/6))^2+0.87*(M567/B567),(0.752+0.303*I567^(1/6))^2),0.3+SQRT((0.592*N567^0.5)^2+(0.0262*N567^0.8/(1-0.5/N567^0.1))^2))</f>
        <v>10057.812004542617</v>
      </c>
      <c r="P567" s="6">
        <f t="shared" si="77"/>
        <v>2.9510194925512497E-2</v>
      </c>
      <c r="Q567" s="6">
        <f t="shared" si="78"/>
        <v>5.3769563909096414</v>
      </c>
      <c r="R567" s="6">
        <f t="shared" si="79"/>
        <v>13.145690191411598</v>
      </c>
      <c r="S567" s="6">
        <f>B567*LN(B567/首页!$B$4)</f>
        <v>2.9092128399632466</v>
      </c>
      <c r="T567" s="6">
        <f>2*首页!$B$8*(E567-C567)/(R567*(C567-D567))</f>
        <v>7.0985842595506859E-2</v>
      </c>
      <c r="U567" t="str">
        <f>IF(首页!$B$13="自然对流","按自然对流公式", "按强制对流公式")</f>
        <v>按自然对流公式</v>
      </c>
      <c r="V567" s="6">
        <f t="shared" si="80"/>
        <v>2.8382269973677396</v>
      </c>
    </row>
    <row r="568" spans="1:22" x14ac:dyDescent="0.15">
      <c r="A568">
        <v>563</v>
      </c>
      <c r="B568" s="6">
        <f>首页!$B$4+2*A568/1000</f>
        <v>1.246</v>
      </c>
      <c r="C568" s="6">
        <f>首页!$B$7+273.15</f>
        <v>388.15</v>
      </c>
      <c r="D568" s="6">
        <f>首页!$B$6+273.15</f>
        <v>293.14999999999998</v>
      </c>
      <c r="E568" s="6">
        <f>首页!$B$5+273.15</f>
        <v>1373.15</v>
      </c>
      <c r="F568" s="6">
        <f t="shared" si="72"/>
        <v>95</v>
      </c>
      <c r="G568" s="6">
        <f t="shared" si="73"/>
        <v>340.65</v>
      </c>
      <c r="H568" s="6">
        <f t="shared" si="74"/>
        <v>1.9926207055139041E-5</v>
      </c>
      <c r="I568" s="7">
        <f t="shared" si="75"/>
        <v>1158916576932337.8</v>
      </c>
      <c r="J568" s="6">
        <f t="shared" si="76"/>
        <v>1.0226038455893147</v>
      </c>
      <c r="K568" s="7">
        <f>J568*H568*首页!$B$12/P568</f>
        <v>0.69532757496605813</v>
      </c>
      <c r="L568" s="6">
        <f>首页!$B$9*0.0000000567*((C568^4-D568^4)/(C568-D568))</f>
        <v>7.7687338005019564</v>
      </c>
      <c r="M568" s="6">
        <f>IF(首页!$B$13="自然对流",IF(首页!$B$14="立式圆筒",首页!$B$10,PI()*B568/2),PI()*B568/2)</f>
        <v>55.2</v>
      </c>
      <c r="N568" s="7">
        <f>IF(首页!$B$13="强制对流",首页!$B$11*M568/H568,0)</f>
        <v>0</v>
      </c>
      <c r="O568" s="6">
        <f>IF(首页!$B$13="自然对流",IF(首页!$B$14="立式圆筒",(0.825+0.3063*I568^(1/6))^2+0.87*(M568/B568),(0.752+0.303*I568^(1/6))^2),0.3+SQRT((0.592*N568^0.5)^2+(0.0262*N568^0.8/(1-0.5/N568^0.1))^2))</f>
        <v>10057.75003905047</v>
      </c>
      <c r="P568" s="6">
        <f t="shared" si="77"/>
        <v>2.9510194925512497E-2</v>
      </c>
      <c r="Q568" s="6">
        <f t="shared" si="78"/>
        <v>5.3769232638489184</v>
      </c>
      <c r="R568" s="6">
        <f t="shared" si="79"/>
        <v>13.145657064350875</v>
      </c>
      <c r="S568" s="6">
        <f>B568*LN(B568/首页!$B$4)</f>
        <v>2.9158916378804287</v>
      </c>
      <c r="T568" s="6">
        <f>2*首页!$B$8*(E568-C568)/(R568*(C568-D568))</f>
        <v>7.0986021479856776E-2</v>
      </c>
      <c r="U568" t="str">
        <f>IF(首页!$B$13="自然对流","按自然对流公式", "按强制对流公式")</f>
        <v>按自然对流公式</v>
      </c>
      <c r="V568" s="6">
        <f t="shared" si="80"/>
        <v>2.8449056164005722</v>
      </c>
    </row>
    <row r="569" spans="1:22" x14ac:dyDescent="0.15">
      <c r="A569">
        <v>564</v>
      </c>
      <c r="B569" s="6">
        <f>首页!$B$4+2*A569/1000</f>
        <v>1.2479999999999998</v>
      </c>
      <c r="C569" s="6">
        <f>首页!$B$7+273.15</f>
        <v>388.15</v>
      </c>
      <c r="D569" s="6">
        <f>首页!$B$6+273.15</f>
        <v>293.14999999999998</v>
      </c>
      <c r="E569" s="6">
        <f>首页!$B$5+273.15</f>
        <v>1373.15</v>
      </c>
      <c r="F569" s="6">
        <f t="shared" si="72"/>
        <v>95</v>
      </c>
      <c r="G569" s="6">
        <f t="shared" si="73"/>
        <v>340.65</v>
      </c>
      <c r="H569" s="6">
        <f t="shared" si="74"/>
        <v>1.9926207055139041E-5</v>
      </c>
      <c r="I569" s="7">
        <f t="shared" si="75"/>
        <v>1158916576932337.8</v>
      </c>
      <c r="J569" s="6">
        <f t="shared" si="76"/>
        <v>1.0226038455893147</v>
      </c>
      <c r="K569" s="7">
        <f>J569*H569*首页!$B$12/P569</f>
        <v>0.69532757496605813</v>
      </c>
      <c r="L569" s="6">
        <f>首页!$B$9*0.0000000567*((C569^4-D569^4)/(C569-D569))</f>
        <v>7.7687338005019564</v>
      </c>
      <c r="M569" s="6">
        <f>IF(首页!$B$13="自然对流",IF(首页!$B$14="立式圆筒",首页!$B$10,PI()*B569/2),PI()*B569/2)</f>
        <v>55.2</v>
      </c>
      <c r="N569" s="7">
        <f>IF(首页!$B$13="强制对流",首页!$B$11*M569/H569,0)</f>
        <v>0</v>
      </c>
      <c r="O569" s="6">
        <f>IF(首页!$B$13="自然对流",IF(首页!$B$14="立式圆筒",(0.825+0.3063*I569^(1/6))^2+0.87*(M569/B569),(0.752+0.303*I569^(1/6))^2),0.3+SQRT((0.592*N569^0.5)^2+(0.0262*N569^0.8/(1-0.5/N569^0.1))^2))</f>
        <v>10057.688272165669</v>
      </c>
      <c r="P569" s="6">
        <f t="shared" si="77"/>
        <v>2.9510194925512497E-2</v>
      </c>
      <c r="Q569" s="6">
        <f t="shared" si="78"/>
        <v>5.3768902429646719</v>
      </c>
      <c r="R569" s="6">
        <f t="shared" si="79"/>
        <v>13.145624043466629</v>
      </c>
      <c r="S569" s="6">
        <f>B569*LN(B569/首页!$B$4)</f>
        <v>2.9225736460718634</v>
      </c>
      <c r="T569" s="6">
        <f>2*首页!$B$8*(E569-C569)/(R569*(C569-D569))</f>
        <v>7.098619979175666E-2</v>
      </c>
      <c r="U569" t="str">
        <f>IF(首页!$B$13="自然对流","按自然对流公式", "按强制对流公式")</f>
        <v>按自然对流公式</v>
      </c>
      <c r="V569" s="6">
        <f t="shared" si="80"/>
        <v>2.851587446280107</v>
      </c>
    </row>
    <row r="570" spans="1:22" x14ac:dyDescent="0.15">
      <c r="A570">
        <v>565</v>
      </c>
      <c r="B570" s="6">
        <f>首页!$B$4+2*A570/1000</f>
        <v>1.25</v>
      </c>
      <c r="C570" s="6">
        <f>首页!$B$7+273.15</f>
        <v>388.15</v>
      </c>
      <c r="D570" s="6">
        <f>首页!$B$6+273.15</f>
        <v>293.14999999999998</v>
      </c>
      <c r="E570" s="6">
        <f>首页!$B$5+273.15</f>
        <v>1373.15</v>
      </c>
      <c r="F570" s="6">
        <f t="shared" si="72"/>
        <v>95</v>
      </c>
      <c r="G570" s="6">
        <f t="shared" si="73"/>
        <v>340.65</v>
      </c>
      <c r="H570" s="6">
        <f t="shared" si="74"/>
        <v>1.9926207055139041E-5</v>
      </c>
      <c r="I570" s="7">
        <f t="shared" si="75"/>
        <v>1158916576932337.8</v>
      </c>
      <c r="J570" s="6">
        <f t="shared" si="76"/>
        <v>1.0226038455893147</v>
      </c>
      <c r="K570" s="7">
        <f>J570*H570*首页!$B$12/P570</f>
        <v>0.69532757496605813</v>
      </c>
      <c r="L570" s="6">
        <f>首页!$B$9*0.0000000567*((C570^4-D570^4)/(C570-D570))</f>
        <v>7.7687338005019564</v>
      </c>
      <c r="M570" s="6">
        <f>IF(首页!$B$13="自然对流",IF(首页!$B$14="立式圆筒",首页!$B$10,PI()*B570/2),PI()*B570/2)</f>
        <v>55.2</v>
      </c>
      <c r="N570" s="7">
        <f>IF(首页!$B$13="强制对流",首页!$B$11*M570/H570,0)</f>
        <v>0</v>
      </c>
      <c r="O570" s="6">
        <f>IF(首页!$B$13="自然对流",IF(首页!$B$14="立式圆筒",(0.825+0.3063*I570^(1/6))^2+0.87*(M570/B570),(0.752+0.303*I570^(1/6))^2),0.3+SQRT((0.592*N570^0.5)^2+(0.0262*N570^0.8/(1-0.5/N570^0.1))^2))</f>
        <v>10057.6267029349</v>
      </c>
      <c r="P570" s="6">
        <f t="shared" si="77"/>
        <v>2.9510194925512497E-2</v>
      </c>
      <c r="Q570" s="6">
        <f t="shared" si="78"/>
        <v>5.3768573277472544</v>
      </c>
      <c r="R570" s="6">
        <f t="shared" si="79"/>
        <v>13.145591128249212</v>
      </c>
      <c r="S570" s="6">
        <f>B570*LN(B570/首页!$B$4)</f>
        <v>2.9292588593928759</v>
      </c>
      <c r="T570" s="6">
        <f>2*首页!$B$8*(E570-C570)/(R570*(C570-D570))</f>
        <v>7.0986377533949999E-2</v>
      </c>
      <c r="U570" t="str">
        <f>IF(首页!$B$13="自然对流","按自然对流公式", "按强制对流公式")</f>
        <v>按自然对流公式</v>
      </c>
      <c r="V570" s="6">
        <f t="shared" si="80"/>
        <v>2.858272481858926</v>
      </c>
    </row>
    <row r="571" spans="1:22" x14ac:dyDescent="0.15">
      <c r="A571">
        <v>566</v>
      </c>
      <c r="B571" s="6">
        <f>首页!$B$4+2*A571/1000</f>
        <v>1.2519999999999998</v>
      </c>
      <c r="C571" s="6">
        <f>首页!$B$7+273.15</f>
        <v>388.15</v>
      </c>
      <c r="D571" s="6">
        <f>首页!$B$6+273.15</f>
        <v>293.14999999999998</v>
      </c>
      <c r="E571" s="6">
        <f>首页!$B$5+273.15</f>
        <v>1373.15</v>
      </c>
      <c r="F571" s="6">
        <f t="shared" si="72"/>
        <v>95</v>
      </c>
      <c r="G571" s="6">
        <f t="shared" si="73"/>
        <v>340.65</v>
      </c>
      <c r="H571" s="6">
        <f t="shared" si="74"/>
        <v>1.9926207055139041E-5</v>
      </c>
      <c r="I571" s="7">
        <f t="shared" si="75"/>
        <v>1158916576932337.8</v>
      </c>
      <c r="J571" s="6">
        <f t="shared" si="76"/>
        <v>1.0226038455893147</v>
      </c>
      <c r="K571" s="7">
        <f>J571*H571*首页!$B$12/P571</f>
        <v>0.69532757496605813</v>
      </c>
      <c r="L571" s="6">
        <f>首页!$B$9*0.0000000567*((C571^4-D571^4)/(C571-D571))</f>
        <v>7.7687338005019564</v>
      </c>
      <c r="M571" s="6">
        <f>IF(首页!$B$13="自然对流",IF(首页!$B$14="立式圆筒",首页!$B$10,PI()*B571/2),PI()*B571/2)</f>
        <v>55.2</v>
      </c>
      <c r="N571" s="7">
        <f>IF(首页!$B$13="强制对流",首页!$B$11*M571/H571,0)</f>
        <v>0</v>
      </c>
      <c r="O571" s="6">
        <f>IF(首页!$B$13="自然对流",IF(首页!$B$14="立式圆筒",(0.825+0.3063*I571^(1/6))^2+0.87*(M571/B571),(0.752+0.303*I571^(1/6))^2),0.3+SQRT((0.592*N571^0.5)^2+(0.0262*N571^0.8/(1-0.5/N571^0.1))^2))</f>
        <v>10057.565330410938</v>
      </c>
      <c r="P571" s="6">
        <f t="shared" si="77"/>
        <v>2.9510194925512497E-2</v>
      </c>
      <c r="Q571" s="6">
        <f t="shared" si="78"/>
        <v>5.3768245176902765</v>
      </c>
      <c r="R571" s="6">
        <f t="shared" si="79"/>
        <v>13.145558318192233</v>
      </c>
      <c r="S571" s="6">
        <f>B571*LN(B571/首页!$B$4)</f>
        <v>2.9359472727152522</v>
      </c>
      <c r="T571" s="6">
        <f>2*首页!$B$8*(E571-C571)/(R571*(C571-D571))</f>
        <v>7.0986554709162736E-2</v>
      </c>
      <c r="U571" t="str">
        <f>IF(首页!$B$13="自然对流","按自然对流公式", "按强制对流公式")</f>
        <v>按自然对流公式</v>
      </c>
      <c r="V571" s="6">
        <f t="shared" si="80"/>
        <v>2.8649607180060896</v>
      </c>
    </row>
    <row r="572" spans="1:22" x14ac:dyDescent="0.15">
      <c r="A572">
        <v>567</v>
      </c>
      <c r="B572" s="6">
        <f>首页!$B$4+2*A572/1000</f>
        <v>1.254</v>
      </c>
      <c r="C572" s="6">
        <f>首页!$B$7+273.15</f>
        <v>388.15</v>
      </c>
      <c r="D572" s="6">
        <f>首页!$B$6+273.15</f>
        <v>293.14999999999998</v>
      </c>
      <c r="E572" s="6">
        <f>首页!$B$5+273.15</f>
        <v>1373.15</v>
      </c>
      <c r="F572" s="6">
        <f t="shared" si="72"/>
        <v>95</v>
      </c>
      <c r="G572" s="6">
        <f t="shared" si="73"/>
        <v>340.65</v>
      </c>
      <c r="H572" s="6">
        <f t="shared" si="74"/>
        <v>1.9926207055139041E-5</v>
      </c>
      <c r="I572" s="7">
        <f t="shared" si="75"/>
        <v>1158916576932337.8</v>
      </c>
      <c r="J572" s="6">
        <f t="shared" si="76"/>
        <v>1.0226038455893147</v>
      </c>
      <c r="K572" s="7">
        <f>J572*H572*首页!$B$12/P572</f>
        <v>0.69532757496605813</v>
      </c>
      <c r="L572" s="6">
        <f>首页!$B$9*0.0000000567*((C572^4-D572^4)/(C572-D572))</f>
        <v>7.7687338005019564</v>
      </c>
      <c r="M572" s="6">
        <f>IF(首页!$B$13="自然对流",IF(首页!$B$14="立式圆筒",首页!$B$10,PI()*B572/2),PI()*B572/2)</f>
        <v>55.2</v>
      </c>
      <c r="N572" s="7">
        <f>IF(首页!$B$13="强制对流",首页!$B$11*M572/H572,0)</f>
        <v>0</v>
      </c>
      <c r="O572" s="6">
        <f>IF(首页!$B$13="自然对流",IF(首页!$B$14="立式圆筒",(0.825+0.3063*I572^(1/6))^2+0.87*(M572/B572),(0.752+0.303*I572^(1/6))^2),0.3+SQRT((0.592*N572^0.5)^2+(0.0262*N572^0.8/(1-0.5/N572^0.1))^2))</f>
        <v>10057.504153652602</v>
      </c>
      <c r="P572" s="6">
        <f t="shared" si="77"/>
        <v>2.9510194925512497E-2</v>
      </c>
      <c r="Q572" s="6">
        <f t="shared" si="78"/>
        <v>5.3767918122905778</v>
      </c>
      <c r="R572" s="6">
        <f t="shared" si="79"/>
        <v>13.145525612792534</v>
      </c>
      <c r="S572" s="6">
        <f>B572*LN(B572/首页!$B$4)</f>
        <v>2.9426388809271682</v>
      </c>
      <c r="T572" s="6">
        <f>2*首页!$B$8*(E572-C572)/(R572*(C572-D572))</f>
        <v>7.0986731320103469E-2</v>
      </c>
      <c r="U572" t="str">
        <f>IF(首页!$B$13="自然对流","按自然对流公式", "按强制对流公式")</f>
        <v>按自然对流公式</v>
      </c>
      <c r="V572" s="6">
        <f t="shared" si="80"/>
        <v>2.8716521496070646</v>
      </c>
    </row>
    <row r="573" spans="1:22" x14ac:dyDescent="0.15">
      <c r="A573">
        <v>568</v>
      </c>
      <c r="B573" s="6">
        <f>首页!$B$4+2*A573/1000</f>
        <v>1.2559999999999998</v>
      </c>
      <c r="C573" s="6">
        <f>首页!$B$7+273.15</f>
        <v>388.15</v>
      </c>
      <c r="D573" s="6">
        <f>首页!$B$6+273.15</f>
        <v>293.14999999999998</v>
      </c>
      <c r="E573" s="6">
        <f>首页!$B$5+273.15</f>
        <v>1373.15</v>
      </c>
      <c r="F573" s="6">
        <f t="shared" si="72"/>
        <v>95</v>
      </c>
      <c r="G573" s="6">
        <f t="shared" si="73"/>
        <v>340.65</v>
      </c>
      <c r="H573" s="6">
        <f t="shared" si="74"/>
        <v>1.9926207055139041E-5</v>
      </c>
      <c r="I573" s="7">
        <f t="shared" si="75"/>
        <v>1158916576932337.8</v>
      </c>
      <c r="J573" s="6">
        <f t="shared" si="76"/>
        <v>1.0226038455893147</v>
      </c>
      <c r="K573" s="7">
        <f>J573*H573*首页!$B$12/P573</f>
        <v>0.69532757496605813</v>
      </c>
      <c r="L573" s="6">
        <f>首页!$B$9*0.0000000567*((C573^4-D573^4)/(C573-D573))</f>
        <v>7.7687338005019564</v>
      </c>
      <c r="M573" s="6">
        <f>IF(首页!$B$13="自然对流",IF(首页!$B$14="立式圆筒",首页!$B$10,PI()*B573/2),PI()*B573/2)</f>
        <v>55.2</v>
      </c>
      <c r="N573" s="7">
        <f>IF(首页!$B$13="强制对流",首页!$B$11*M573/H573,0)</f>
        <v>0</v>
      </c>
      <c r="O573" s="6">
        <f>IF(首页!$B$13="自然对流",IF(首页!$B$14="立式圆筒",(0.825+0.3063*I573^(1/6))^2+0.87*(M573/B573),(0.752+0.303*I573^(1/6))^2),0.3+SQRT((0.592*N573^0.5)^2+(0.0262*N573^0.8/(1-0.5/N573^0.1))^2))</f>
        <v>10057.443171724708</v>
      </c>
      <c r="P573" s="6">
        <f t="shared" si="77"/>
        <v>2.9510194925512497E-2</v>
      </c>
      <c r="Q573" s="6">
        <f t="shared" si="78"/>
        <v>5.3767592110482028</v>
      </c>
      <c r="R573" s="6">
        <f t="shared" si="79"/>
        <v>13.145493011550158</v>
      </c>
      <c r="S573" s="6">
        <f>B573*LN(B573/首页!$B$4)</f>
        <v>2.9493336789330979</v>
      </c>
      <c r="T573" s="6">
        <f>2*首页!$B$8*(E573-C573)/(R573*(C573-D573))</f>
        <v>7.09869073694636E-2</v>
      </c>
      <c r="U573" t="str">
        <f>IF(首页!$B$13="自然对流","按自然对流公式", "按强制对流公式")</f>
        <v>按自然对流公式</v>
      </c>
      <c r="V573" s="6">
        <f t="shared" si="80"/>
        <v>2.8783467715636344</v>
      </c>
    </row>
    <row r="574" spans="1:22" x14ac:dyDescent="0.15">
      <c r="A574">
        <v>569</v>
      </c>
      <c r="B574" s="6">
        <f>首页!$B$4+2*A574/1000</f>
        <v>1.258</v>
      </c>
      <c r="C574" s="6">
        <f>首页!$B$7+273.15</f>
        <v>388.15</v>
      </c>
      <c r="D574" s="6">
        <f>首页!$B$6+273.15</f>
        <v>293.14999999999998</v>
      </c>
      <c r="E574" s="6">
        <f>首页!$B$5+273.15</f>
        <v>1373.15</v>
      </c>
      <c r="F574" s="6">
        <f t="shared" si="72"/>
        <v>95</v>
      </c>
      <c r="G574" s="6">
        <f t="shared" si="73"/>
        <v>340.65</v>
      </c>
      <c r="H574" s="6">
        <f t="shared" si="74"/>
        <v>1.9926207055139041E-5</v>
      </c>
      <c r="I574" s="7">
        <f t="shared" si="75"/>
        <v>1158916576932337.8</v>
      </c>
      <c r="J574" s="6">
        <f t="shared" si="76"/>
        <v>1.0226038455893147</v>
      </c>
      <c r="K574" s="7">
        <f>J574*H574*首页!$B$12/P574</f>
        <v>0.69532757496605813</v>
      </c>
      <c r="L574" s="6">
        <f>首页!$B$9*0.0000000567*((C574^4-D574^4)/(C574-D574))</f>
        <v>7.7687338005019564</v>
      </c>
      <c r="M574" s="6">
        <f>IF(首页!$B$13="自然对流",IF(首页!$B$14="立式圆筒",首页!$B$10,PI()*B574/2),PI()*B574/2)</f>
        <v>55.2</v>
      </c>
      <c r="N574" s="7">
        <f>IF(首页!$B$13="强制对流",首页!$B$11*M574/H574,0)</f>
        <v>0</v>
      </c>
      <c r="O574" s="6">
        <f>IF(首页!$B$13="自然对流",IF(首页!$B$14="立式圆筒",(0.825+0.3063*I574^(1/6))^2+0.87*(M574/B574),(0.752+0.303*I574^(1/6))^2),0.3+SQRT((0.592*N574^0.5)^2+(0.0262*N574^0.8/(1-0.5/N574^0.1))^2))</f>
        <v>10057.382383698015</v>
      </c>
      <c r="P574" s="6">
        <f t="shared" si="77"/>
        <v>2.9510194925512497E-2</v>
      </c>
      <c r="Q574" s="6">
        <f t="shared" si="78"/>
        <v>5.3767267134663754</v>
      </c>
      <c r="R574" s="6">
        <f t="shared" si="79"/>
        <v>13.145460513968331</v>
      </c>
      <c r="S574" s="6">
        <f>B574*LN(B574/首页!$B$4)</f>
        <v>2.9560316616537516</v>
      </c>
      <c r="T574" s="6">
        <f>2*首页!$B$8*(E574-C574)/(R574*(C574-D574))</f>
        <v>7.0987082859917394E-2</v>
      </c>
      <c r="U574" t="str">
        <f>IF(首页!$B$13="自然对流","按自然对流公式", "按强制对流公式")</f>
        <v>按自然对流公式</v>
      </c>
      <c r="V574" s="6">
        <f t="shared" si="80"/>
        <v>2.8850445787938344</v>
      </c>
    </row>
    <row r="575" spans="1:22" x14ac:dyDescent="0.15">
      <c r="A575">
        <v>570</v>
      </c>
      <c r="B575" s="6">
        <f>首页!$B$4+2*A575/1000</f>
        <v>1.2599999999999998</v>
      </c>
      <c r="C575" s="6">
        <f>首页!$B$7+273.15</f>
        <v>388.15</v>
      </c>
      <c r="D575" s="6">
        <f>首页!$B$6+273.15</f>
        <v>293.14999999999998</v>
      </c>
      <c r="E575" s="6">
        <f>首页!$B$5+273.15</f>
        <v>1373.15</v>
      </c>
      <c r="F575" s="6">
        <f t="shared" si="72"/>
        <v>95</v>
      </c>
      <c r="G575" s="6">
        <f t="shared" si="73"/>
        <v>340.65</v>
      </c>
      <c r="H575" s="6">
        <f t="shared" si="74"/>
        <v>1.9926207055139041E-5</v>
      </c>
      <c r="I575" s="7">
        <f t="shared" si="75"/>
        <v>1158916576932337.8</v>
      </c>
      <c r="J575" s="6">
        <f t="shared" si="76"/>
        <v>1.0226038455893147</v>
      </c>
      <c r="K575" s="7">
        <f>J575*H575*首页!$B$12/P575</f>
        <v>0.69532757496605813</v>
      </c>
      <c r="L575" s="6">
        <f>首页!$B$9*0.0000000567*((C575^4-D575^4)/(C575-D575))</f>
        <v>7.7687338005019564</v>
      </c>
      <c r="M575" s="6">
        <f>IF(首页!$B$13="自然对流",IF(首页!$B$14="立式圆筒",首页!$B$10,PI()*B575/2),PI()*B575/2)</f>
        <v>55.2</v>
      </c>
      <c r="N575" s="7">
        <f>IF(首页!$B$13="强制对流",首页!$B$11*M575/H575,0)</f>
        <v>0</v>
      </c>
      <c r="O575" s="6">
        <f>IF(首页!$B$13="自然对流",IF(首页!$B$14="立式圆筒",(0.825+0.3063*I575^(1/6))^2+0.87*(M575/B575),(0.752+0.303*I575^(1/6))^2),0.3+SQRT((0.592*N575^0.5)^2+(0.0262*N575^0.8/(1-0.5/N575^0.1))^2))</f>
        <v>10057.321788649186</v>
      </c>
      <c r="P575" s="6">
        <f t="shared" si="77"/>
        <v>2.9510194925512497E-2</v>
      </c>
      <c r="Q575" s="6">
        <f t="shared" si="78"/>
        <v>5.3766943190514747</v>
      </c>
      <c r="R575" s="6">
        <f t="shared" si="79"/>
        <v>13.145428119553431</v>
      </c>
      <c r="S575" s="6">
        <f>B575*LN(B575/首页!$B$4)</f>
        <v>2.9627328240259811</v>
      </c>
      <c r="T575" s="6">
        <f>2*首页!$B$8*(E575-C575)/(R575*(C575-D575))</f>
        <v>7.0987257794122183E-2</v>
      </c>
      <c r="U575" t="str">
        <f>IF(首页!$B$13="自然对流","按自然对流公式", "按强制对流公式")</f>
        <v>按自然对流公式</v>
      </c>
      <c r="V575" s="6">
        <f t="shared" si="80"/>
        <v>2.891745566231859</v>
      </c>
    </row>
    <row r="576" spans="1:22" x14ac:dyDescent="0.15">
      <c r="A576">
        <v>571</v>
      </c>
      <c r="B576" s="6">
        <f>首页!$B$4+2*A576/1000</f>
        <v>1.262</v>
      </c>
      <c r="C576" s="6">
        <f>首页!$B$7+273.15</f>
        <v>388.15</v>
      </c>
      <c r="D576" s="6">
        <f>首页!$B$6+273.15</f>
        <v>293.14999999999998</v>
      </c>
      <c r="E576" s="6">
        <f>首页!$B$5+273.15</f>
        <v>1373.15</v>
      </c>
      <c r="F576" s="6">
        <f t="shared" si="72"/>
        <v>95</v>
      </c>
      <c r="G576" s="6">
        <f t="shared" si="73"/>
        <v>340.65</v>
      </c>
      <c r="H576" s="6">
        <f t="shared" si="74"/>
        <v>1.9926207055139041E-5</v>
      </c>
      <c r="I576" s="7">
        <f t="shared" si="75"/>
        <v>1158916576932337.8</v>
      </c>
      <c r="J576" s="6">
        <f t="shared" si="76"/>
        <v>1.0226038455893147</v>
      </c>
      <c r="K576" s="7">
        <f>J576*H576*首页!$B$12/P576</f>
        <v>0.69532757496605813</v>
      </c>
      <c r="L576" s="6">
        <f>首页!$B$9*0.0000000567*((C576^4-D576^4)/(C576-D576))</f>
        <v>7.7687338005019564</v>
      </c>
      <c r="M576" s="6">
        <f>IF(首页!$B$13="自然对流",IF(首页!$B$14="立式圆筒",首页!$B$10,PI()*B576/2),PI()*B576/2)</f>
        <v>55.2</v>
      </c>
      <c r="N576" s="7">
        <f>IF(首页!$B$13="强制对流",首页!$B$11*M576/H576,0)</f>
        <v>0</v>
      </c>
      <c r="O576" s="6">
        <f>IF(首页!$B$13="自然对流",IF(首页!$B$14="立式圆筒",(0.825+0.3063*I576^(1/6))^2+0.87*(M576/B576),(0.752+0.303*I576^(1/6))^2),0.3+SQRT((0.592*N576^0.5)^2+(0.0262*N576^0.8/(1-0.5/N576^0.1))^2))</f>
        <v>10057.261385660731</v>
      </c>
      <c r="P576" s="6">
        <f t="shared" si="77"/>
        <v>2.9510194925512497E-2</v>
      </c>
      <c r="Q576" s="6">
        <f t="shared" si="78"/>
        <v>5.3766620273130084</v>
      </c>
      <c r="R576" s="6">
        <f t="shared" si="79"/>
        <v>13.145395827814966</v>
      </c>
      <c r="S576" s="6">
        <f>B576*LN(B576/首页!$B$4)</f>
        <v>2.9694371610027201</v>
      </c>
      <c r="T576" s="6">
        <f>2*首页!$B$8*(E576-C576)/(R576*(C576-D576))</f>
        <v>7.0987432174718479E-2</v>
      </c>
      <c r="U576" t="str">
        <f>IF(首页!$B$13="自然对流","按自然对流公式", "按强制对流公式")</f>
        <v>按自然对流公式</v>
      </c>
      <c r="V576" s="6">
        <f t="shared" si="80"/>
        <v>2.8984497288280018</v>
      </c>
    </row>
    <row r="577" spans="1:22" x14ac:dyDescent="0.15">
      <c r="A577">
        <v>572</v>
      </c>
      <c r="B577" s="6">
        <f>首页!$B$4+2*A577/1000</f>
        <v>1.2639999999999998</v>
      </c>
      <c r="C577" s="6">
        <f>首页!$B$7+273.15</f>
        <v>388.15</v>
      </c>
      <c r="D577" s="6">
        <f>首页!$B$6+273.15</f>
        <v>293.14999999999998</v>
      </c>
      <c r="E577" s="6">
        <f>首页!$B$5+273.15</f>
        <v>1373.15</v>
      </c>
      <c r="F577" s="6">
        <f t="shared" si="72"/>
        <v>95</v>
      </c>
      <c r="G577" s="6">
        <f t="shared" si="73"/>
        <v>340.65</v>
      </c>
      <c r="H577" s="6">
        <f t="shared" si="74"/>
        <v>1.9926207055139041E-5</v>
      </c>
      <c r="I577" s="7">
        <f t="shared" si="75"/>
        <v>1158916576932337.8</v>
      </c>
      <c r="J577" s="6">
        <f t="shared" si="76"/>
        <v>1.0226038455893147</v>
      </c>
      <c r="K577" s="7">
        <f>J577*H577*首页!$B$12/P577</f>
        <v>0.69532757496605813</v>
      </c>
      <c r="L577" s="6">
        <f>首页!$B$9*0.0000000567*((C577^4-D577^4)/(C577-D577))</f>
        <v>7.7687338005019564</v>
      </c>
      <c r="M577" s="6">
        <f>IF(首页!$B$13="自然对流",IF(首页!$B$14="立式圆筒",首页!$B$10,PI()*B577/2),PI()*B577/2)</f>
        <v>55.2</v>
      </c>
      <c r="N577" s="7">
        <f>IF(首页!$B$13="强制对流",首页!$B$11*M577/H577,0)</f>
        <v>0</v>
      </c>
      <c r="O577" s="6">
        <f>IF(首页!$B$13="自然对流",IF(首页!$B$14="立式圆筒",(0.825+0.3063*I577^(1/6))^2+0.87*(M577/B577),(0.752+0.303*I577^(1/6))^2),0.3+SQRT((0.592*N577^0.5)^2+(0.0262*N577^0.8/(1-0.5/N577^0.1))^2))</f>
        <v>10057.201173820975</v>
      </c>
      <c r="P577" s="6">
        <f t="shared" si="77"/>
        <v>2.9510194925512497E-2</v>
      </c>
      <c r="Q577" s="6">
        <f t="shared" si="78"/>
        <v>5.3766298377635877</v>
      </c>
      <c r="R577" s="6">
        <f t="shared" si="79"/>
        <v>13.145363638265543</v>
      </c>
      <c r="S577" s="6">
        <f>B577*LN(B577/首页!$B$4)</f>
        <v>2.9761446675528918</v>
      </c>
      <c r="T577" s="6">
        <f>2*首页!$B$8*(E577-C577)/(R577*(C577-D577))</f>
        <v>7.0987606004330142E-2</v>
      </c>
      <c r="U577" t="str">
        <f>IF(首页!$B$13="自然对流","按自然对流公式", "按强制对流公式")</f>
        <v>按自然对流公式</v>
      </c>
      <c r="V577" s="6">
        <f t="shared" si="80"/>
        <v>2.9051570615485618</v>
      </c>
    </row>
    <row r="578" spans="1:22" x14ac:dyDescent="0.15">
      <c r="A578">
        <v>573</v>
      </c>
      <c r="B578" s="6">
        <f>首页!$B$4+2*A578/1000</f>
        <v>1.266</v>
      </c>
      <c r="C578" s="6">
        <f>首页!$B$7+273.15</f>
        <v>388.15</v>
      </c>
      <c r="D578" s="6">
        <f>首页!$B$6+273.15</f>
        <v>293.14999999999998</v>
      </c>
      <c r="E578" s="6">
        <f>首页!$B$5+273.15</f>
        <v>1373.15</v>
      </c>
      <c r="F578" s="6">
        <f t="shared" si="72"/>
        <v>95</v>
      </c>
      <c r="G578" s="6">
        <f t="shared" si="73"/>
        <v>340.65</v>
      </c>
      <c r="H578" s="6">
        <f t="shared" si="74"/>
        <v>1.9926207055139041E-5</v>
      </c>
      <c r="I578" s="7">
        <f t="shared" si="75"/>
        <v>1158916576932337.8</v>
      </c>
      <c r="J578" s="6">
        <f t="shared" si="76"/>
        <v>1.0226038455893147</v>
      </c>
      <c r="K578" s="7">
        <f>J578*H578*首页!$B$12/P578</f>
        <v>0.69532757496605813</v>
      </c>
      <c r="L578" s="6">
        <f>首页!$B$9*0.0000000567*((C578^4-D578^4)/(C578-D578))</f>
        <v>7.7687338005019564</v>
      </c>
      <c r="M578" s="6">
        <f>IF(首页!$B$13="自然对流",IF(首页!$B$14="立式圆筒",首页!$B$10,PI()*B578/2),PI()*B578/2)</f>
        <v>55.2</v>
      </c>
      <c r="N578" s="7">
        <f>IF(首页!$B$13="强制对流",首页!$B$11*M578/H578,0)</f>
        <v>0</v>
      </c>
      <c r="O578" s="6">
        <f>IF(首页!$B$13="自然对流",IF(首页!$B$14="立式圆筒",(0.825+0.3063*I578^(1/6))^2+0.87*(M578/B578),(0.752+0.303*I578^(1/6))^2),0.3+SQRT((0.592*N578^0.5)^2+(0.0262*N578^0.8/(1-0.5/N578^0.1))^2))</f>
        <v>10057.141152224</v>
      </c>
      <c r="P578" s="6">
        <f t="shared" si="77"/>
        <v>2.9510194925512497E-2</v>
      </c>
      <c r="Q578" s="6">
        <f t="shared" si="78"/>
        <v>5.376597749918905</v>
      </c>
      <c r="R578" s="6">
        <f t="shared" si="79"/>
        <v>13.145331550420861</v>
      </c>
      <c r="S578" s="6">
        <f>B578*LN(B578/首页!$B$4)</f>
        <v>2.9828553386613472</v>
      </c>
      <c r="T578" s="6">
        <f>2*首页!$B$8*(E578-C578)/(R578*(C578-D578))</f>
        <v>7.0987779285564406E-2</v>
      </c>
      <c r="U578" t="str">
        <f>IF(首页!$B$13="自然对流","按自然对流公式", "按强制对流公式")</f>
        <v>按自然对流公式</v>
      </c>
      <c r="V578" s="6">
        <f t="shared" si="80"/>
        <v>2.911867559375783</v>
      </c>
    </row>
    <row r="579" spans="1:22" x14ac:dyDescent="0.15">
      <c r="A579">
        <v>574</v>
      </c>
      <c r="B579" s="6">
        <f>首页!$B$4+2*A579/1000</f>
        <v>1.2679999999999998</v>
      </c>
      <c r="C579" s="6">
        <f>首页!$B$7+273.15</f>
        <v>388.15</v>
      </c>
      <c r="D579" s="6">
        <f>首页!$B$6+273.15</f>
        <v>293.14999999999998</v>
      </c>
      <c r="E579" s="6">
        <f>首页!$B$5+273.15</f>
        <v>1373.15</v>
      </c>
      <c r="F579" s="6">
        <f t="shared" si="72"/>
        <v>95</v>
      </c>
      <c r="G579" s="6">
        <f t="shared" si="73"/>
        <v>340.65</v>
      </c>
      <c r="H579" s="6">
        <f t="shared" si="74"/>
        <v>1.9926207055139041E-5</v>
      </c>
      <c r="I579" s="7">
        <f t="shared" si="75"/>
        <v>1158916576932337.8</v>
      </c>
      <c r="J579" s="6">
        <f t="shared" si="76"/>
        <v>1.0226038455893147</v>
      </c>
      <c r="K579" s="7">
        <f>J579*H579*首页!$B$12/P579</f>
        <v>0.69532757496605813</v>
      </c>
      <c r="L579" s="6">
        <f>首页!$B$9*0.0000000567*((C579^4-D579^4)/(C579-D579))</f>
        <v>7.7687338005019564</v>
      </c>
      <c r="M579" s="6">
        <f>IF(首页!$B$13="自然对流",IF(首页!$B$14="立式圆筒",首页!$B$10,PI()*B579/2),PI()*B579/2)</f>
        <v>55.2</v>
      </c>
      <c r="N579" s="7">
        <f>IF(首页!$B$13="强制对流",首页!$B$11*M579/H579,0)</f>
        <v>0</v>
      </c>
      <c r="O579" s="6">
        <f>IF(首页!$B$13="自然对流",IF(首页!$B$14="立式圆筒",(0.825+0.3063*I579^(1/6))^2+0.87*(M579/B579),(0.752+0.303*I579^(1/6))^2),0.3+SQRT((0.592*N579^0.5)^2+(0.0262*N579^0.8/(1-0.5/N579^0.1))^2))</f>
        <v>10057.0813199696</v>
      </c>
      <c r="P579" s="6">
        <f t="shared" si="77"/>
        <v>2.9510194925512497E-2</v>
      </c>
      <c r="Q579" s="6">
        <f t="shared" si="78"/>
        <v>5.3765657632977071</v>
      </c>
      <c r="R579" s="6">
        <f t="shared" si="79"/>
        <v>13.145299563799664</v>
      </c>
      <c r="S579" s="6">
        <f>B579*LN(B579/首页!$B$4)</f>
        <v>2.989569169328778</v>
      </c>
      <c r="T579" s="6">
        <f>2*首页!$B$8*(E579-C579)/(R579*(C579-D579))</f>
        <v>7.098795202101213E-2</v>
      </c>
      <c r="U579" t="str">
        <f>IF(首页!$B$13="自然对流","按自然对流公式", "按强制对流公式")</f>
        <v>按自然对流公式</v>
      </c>
      <c r="V579" s="6">
        <f t="shared" si="80"/>
        <v>2.9185812173077661</v>
      </c>
    </row>
    <row r="580" spans="1:22" x14ac:dyDescent="0.15">
      <c r="A580">
        <v>575</v>
      </c>
      <c r="B580" s="6">
        <f>首页!$B$4+2*A580/1000</f>
        <v>1.27</v>
      </c>
      <c r="C580" s="6">
        <f>首页!$B$7+273.15</f>
        <v>388.15</v>
      </c>
      <c r="D580" s="6">
        <f>首页!$B$6+273.15</f>
        <v>293.14999999999998</v>
      </c>
      <c r="E580" s="6">
        <f>首页!$B$5+273.15</f>
        <v>1373.15</v>
      </c>
      <c r="F580" s="6">
        <f t="shared" si="72"/>
        <v>95</v>
      </c>
      <c r="G580" s="6">
        <f t="shared" si="73"/>
        <v>340.65</v>
      </c>
      <c r="H580" s="6">
        <f t="shared" si="74"/>
        <v>1.9926207055139041E-5</v>
      </c>
      <c r="I580" s="7">
        <f t="shared" si="75"/>
        <v>1158916576932337.8</v>
      </c>
      <c r="J580" s="6">
        <f t="shared" si="76"/>
        <v>1.0226038455893147</v>
      </c>
      <c r="K580" s="7">
        <f>J580*H580*首页!$B$12/P580</f>
        <v>0.69532757496605813</v>
      </c>
      <c r="L580" s="6">
        <f>首页!$B$9*0.0000000567*((C580^4-D580^4)/(C580-D580))</f>
        <v>7.7687338005019564</v>
      </c>
      <c r="M580" s="6">
        <f>IF(首页!$B$13="自然对流",IF(首页!$B$14="立式圆筒",首页!$B$10,PI()*B580/2),PI()*B580/2)</f>
        <v>55.2</v>
      </c>
      <c r="N580" s="7">
        <f>IF(首页!$B$13="强制对流",首页!$B$11*M580/H580,0)</f>
        <v>0</v>
      </c>
      <c r="O580" s="6">
        <f>IF(首页!$B$13="自然对流",IF(首页!$B$14="立式圆筒",(0.825+0.3063*I580^(1/6))^2+0.87*(M580/B580),(0.752+0.303*I580^(1/6))^2),0.3+SQRT((0.592*N580^0.5)^2+(0.0262*N580^0.8/(1-0.5/N580^0.1))^2))</f>
        <v>10057.021676163246</v>
      </c>
      <c r="P580" s="6">
        <f t="shared" si="77"/>
        <v>2.9510194925512497E-2</v>
      </c>
      <c r="Q580" s="6">
        <f t="shared" si="78"/>
        <v>5.376533877421771</v>
      </c>
      <c r="R580" s="6">
        <f t="shared" si="79"/>
        <v>13.145267677923727</v>
      </c>
      <c r="S580" s="6">
        <f>B580*LN(B580/首页!$B$4)</f>
        <v>2.9962861545716506</v>
      </c>
      <c r="T580" s="6">
        <f>2*首页!$B$8*(E580-C580)/(R580*(C580-D580))</f>
        <v>7.0988124213247891E-2</v>
      </c>
      <c r="U580" t="str">
        <f>IF(首页!$B$13="自然对流","按自然对流公式", "按强制对流公式")</f>
        <v>按自然对流公式</v>
      </c>
      <c r="V580" s="6">
        <f t="shared" si="80"/>
        <v>2.9252980303584026</v>
      </c>
    </row>
    <row r="581" spans="1:22" x14ac:dyDescent="0.15">
      <c r="A581">
        <v>576</v>
      </c>
      <c r="B581" s="6">
        <f>首页!$B$4+2*A581/1000</f>
        <v>1.2719999999999998</v>
      </c>
      <c r="C581" s="6">
        <f>首页!$B$7+273.15</f>
        <v>388.15</v>
      </c>
      <c r="D581" s="6">
        <f>首页!$B$6+273.15</f>
        <v>293.14999999999998</v>
      </c>
      <c r="E581" s="6">
        <f>首页!$B$5+273.15</f>
        <v>1373.15</v>
      </c>
      <c r="F581" s="6">
        <f t="shared" ref="F581:F644" si="81">C581-D581</f>
        <v>95</v>
      </c>
      <c r="G581" s="6">
        <f t="shared" ref="G581:G644" si="82">(C581+D581)/2</f>
        <v>340.65</v>
      </c>
      <c r="H581" s="6">
        <f t="shared" ref="H581:H644" si="83">0.0000000042113*G581^2.5/(112+G581)</f>
        <v>1.9926207055139041E-5</v>
      </c>
      <c r="I581" s="7">
        <f t="shared" ref="I581:I644" si="84">9.81*M581^3*F581/(H581^2*G581)</f>
        <v>1158916576932337.8</v>
      </c>
      <c r="J581" s="6">
        <f t="shared" ref="J581:J644" si="85">348.35/G581</f>
        <v>1.0226038455893147</v>
      </c>
      <c r="K581" s="7">
        <f>J581*H581*首页!$B$12/P581</f>
        <v>0.69532757496605813</v>
      </c>
      <c r="L581" s="6">
        <f>首页!$B$9*0.0000000567*((C581^4-D581^4)/(C581-D581))</f>
        <v>7.7687338005019564</v>
      </c>
      <c r="M581" s="6">
        <f>IF(首页!$B$13="自然对流",IF(首页!$B$14="立式圆筒",首页!$B$10,PI()*B581/2),PI()*B581/2)</f>
        <v>55.2</v>
      </c>
      <c r="N581" s="7">
        <f>IF(首页!$B$13="强制对流",首页!$B$11*M581/H581,0)</f>
        <v>0</v>
      </c>
      <c r="O581" s="6">
        <f>IF(首页!$B$13="自然对流",IF(首页!$B$14="立式圆筒",(0.825+0.3063*I581^(1/6))^2+0.87*(M581/B581),(0.752+0.303*I581^(1/6))^2),0.3+SQRT((0.592*N581^0.5)^2+(0.0262*N581^0.8/(1-0.5/N581^0.1))^2))</f>
        <v>10056.962219916031</v>
      </c>
      <c r="P581" s="6">
        <f t="shared" ref="P581:P644" si="86">0.0243+0.000078421*(G581-273)-0.000000020755*(G581-273)^2</f>
        <v>2.9510194925512497E-2</v>
      </c>
      <c r="Q581" s="6">
        <f t="shared" ref="Q581:Q644" si="87">O581*P581/M581</f>
        <v>5.3765020918158868</v>
      </c>
      <c r="R581" s="6">
        <f t="shared" ref="R581:R644" si="88">L581+Q581</f>
        <v>13.145235892317842</v>
      </c>
      <c r="S581" s="6">
        <f>B581*LN(B581/首页!$B$4)</f>
        <v>3.0030062894221228</v>
      </c>
      <c r="T581" s="6">
        <f>2*首页!$B$8*(E581-C581)/(R581*(C581-D581))</f>
        <v>7.0988295864830048E-2</v>
      </c>
      <c r="U581" t="str">
        <f>IF(首页!$B$13="自然对流","按自然对流公式", "按强制对流公式")</f>
        <v>按自然对流公式</v>
      </c>
      <c r="V581" s="6">
        <f t="shared" ref="V581:V644" si="89">ABS(S581-T581)</f>
        <v>2.9320179935572925</v>
      </c>
    </row>
    <row r="582" spans="1:22" x14ac:dyDescent="0.15">
      <c r="A582">
        <v>577</v>
      </c>
      <c r="B582" s="6">
        <f>首页!$B$4+2*A582/1000</f>
        <v>1.274</v>
      </c>
      <c r="C582" s="6">
        <f>首页!$B$7+273.15</f>
        <v>388.15</v>
      </c>
      <c r="D582" s="6">
        <f>首页!$B$6+273.15</f>
        <v>293.14999999999998</v>
      </c>
      <c r="E582" s="6">
        <f>首页!$B$5+273.15</f>
        <v>1373.15</v>
      </c>
      <c r="F582" s="6">
        <f t="shared" si="81"/>
        <v>95</v>
      </c>
      <c r="G582" s="6">
        <f t="shared" si="82"/>
        <v>340.65</v>
      </c>
      <c r="H582" s="6">
        <f t="shared" si="83"/>
        <v>1.9926207055139041E-5</v>
      </c>
      <c r="I582" s="7">
        <f t="shared" si="84"/>
        <v>1158916576932337.8</v>
      </c>
      <c r="J582" s="6">
        <f t="shared" si="85"/>
        <v>1.0226038455893147</v>
      </c>
      <c r="K582" s="7">
        <f>J582*H582*首页!$B$12/P582</f>
        <v>0.69532757496605813</v>
      </c>
      <c r="L582" s="6">
        <f>首页!$B$9*0.0000000567*((C582^4-D582^4)/(C582-D582))</f>
        <v>7.7687338005019564</v>
      </c>
      <c r="M582" s="6">
        <f>IF(首页!$B$13="自然对流",IF(首页!$B$14="立式圆筒",首页!$B$10,PI()*B582/2),PI()*B582/2)</f>
        <v>55.2</v>
      </c>
      <c r="N582" s="7">
        <f>IF(首页!$B$13="强制对流",首页!$B$11*M582/H582,0)</f>
        <v>0</v>
      </c>
      <c r="O582" s="6">
        <f>IF(首页!$B$13="自然对流",IF(首页!$B$14="立式圆筒",(0.825+0.3063*I582^(1/6))^2+0.87*(M582/B582),(0.752+0.303*I582^(1/6))^2),0.3+SQRT((0.592*N582^0.5)^2+(0.0262*N582^0.8/(1-0.5/N582^0.1))^2))</f>
        <v>10056.902950344633</v>
      </c>
      <c r="P582" s="6">
        <f t="shared" si="86"/>
        <v>2.9510194925512497E-2</v>
      </c>
      <c r="Q582" s="6">
        <f t="shared" si="87"/>
        <v>5.3764704060078223</v>
      </c>
      <c r="R582" s="6">
        <f t="shared" si="88"/>
        <v>13.145204206509778</v>
      </c>
      <c r="S582" s="6">
        <f>B582*LN(B582/首页!$B$4)</f>
        <v>3.0097295689279799</v>
      </c>
      <c r="T582" s="6">
        <f>2*首页!$B$8*(E582-C582)/(R582*(C582-D582))</f>
        <v>7.0988466978300954E-2</v>
      </c>
      <c r="U582" t="str">
        <f>IF(首页!$B$13="自然对流","按自然对流公式", "按强制对流公式")</f>
        <v>按自然对流公式</v>
      </c>
      <c r="V582" s="6">
        <f t="shared" si="89"/>
        <v>2.9387411019496792</v>
      </c>
    </row>
    <row r="583" spans="1:22" x14ac:dyDescent="0.15">
      <c r="A583">
        <v>578</v>
      </c>
      <c r="B583" s="6">
        <f>首页!$B$4+2*A583/1000</f>
        <v>1.2759999999999998</v>
      </c>
      <c r="C583" s="6">
        <f>首页!$B$7+273.15</f>
        <v>388.15</v>
      </c>
      <c r="D583" s="6">
        <f>首页!$B$6+273.15</f>
        <v>293.14999999999998</v>
      </c>
      <c r="E583" s="6">
        <f>首页!$B$5+273.15</f>
        <v>1373.15</v>
      </c>
      <c r="F583" s="6">
        <f t="shared" si="81"/>
        <v>95</v>
      </c>
      <c r="G583" s="6">
        <f t="shared" si="82"/>
        <v>340.65</v>
      </c>
      <c r="H583" s="6">
        <f t="shared" si="83"/>
        <v>1.9926207055139041E-5</v>
      </c>
      <c r="I583" s="7">
        <f t="shared" si="84"/>
        <v>1158916576932337.8</v>
      </c>
      <c r="J583" s="6">
        <f t="shared" si="85"/>
        <v>1.0226038455893147</v>
      </c>
      <c r="K583" s="7">
        <f>J583*H583*首页!$B$12/P583</f>
        <v>0.69532757496605813</v>
      </c>
      <c r="L583" s="6">
        <f>首页!$B$9*0.0000000567*((C583^4-D583^4)/(C583-D583))</f>
        <v>7.7687338005019564</v>
      </c>
      <c r="M583" s="6">
        <f>IF(首页!$B$13="自然对流",IF(首页!$B$14="立式圆筒",首页!$B$10,PI()*B583/2),PI()*B583/2)</f>
        <v>55.2</v>
      </c>
      <c r="N583" s="7">
        <f>IF(首页!$B$13="强制对流",首页!$B$11*M583/H583,0)</f>
        <v>0</v>
      </c>
      <c r="O583" s="6">
        <f>IF(首页!$B$13="自然对流",IF(首页!$B$14="立式圆筒",(0.825+0.3063*I583^(1/6))^2+0.87*(M583/B583),(0.752+0.303*I583^(1/6))^2),0.3+SQRT((0.592*N583^0.5)^2+(0.0262*N583^0.8/(1-0.5/N583^0.1))^2))</f>
        <v>10056.843866571264</v>
      </c>
      <c r="P583" s="6">
        <f t="shared" si="86"/>
        <v>2.9510194925512497E-2</v>
      </c>
      <c r="Q583" s="6">
        <f t="shared" si="87"/>
        <v>5.3764388195283113</v>
      </c>
      <c r="R583" s="6">
        <f t="shared" si="88"/>
        <v>13.145172620030268</v>
      </c>
      <c r="S583" s="6">
        <f>B583*LN(B583/首页!$B$4)</f>
        <v>3.016455988152551</v>
      </c>
      <c r="T583" s="6">
        <f>2*首页!$B$8*(E583-C583)/(R583*(C583-D583))</f>
        <v>7.0988637556187034E-2</v>
      </c>
      <c r="U583" t="str">
        <f>IF(首页!$B$13="自然对流","按自然对流公式", "按强制对流公式")</f>
        <v>按自然对流公式</v>
      </c>
      <c r="V583" s="6">
        <f t="shared" si="89"/>
        <v>2.9454673505963638</v>
      </c>
    </row>
    <row r="584" spans="1:22" x14ac:dyDescent="0.15">
      <c r="A584">
        <v>579</v>
      </c>
      <c r="B584" s="6">
        <f>首页!$B$4+2*A584/1000</f>
        <v>1.278</v>
      </c>
      <c r="C584" s="6">
        <f>首页!$B$7+273.15</f>
        <v>388.15</v>
      </c>
      <c r="D584" s="6">
        <f>首页!$B$6+273.15</f>
        <v>293.14999999999998</v>
      </c>
      <c r="E584" s="6">
        <f>首页!$B$5+273.15</f>
        <v>1373.15</v>
      </c>
      <c r="F584" s="6">
        <f t="shared" si="81"/>
        <v>95</v>
      </c>
      <c r="G584" s="6">
        <f t="shared" si="82"/>
        <v>340.65</v>
      </c>
      <c r="H584" s="6">
        <f t="shared" si="83"/>
        <v>1.9926207055139041E-5</v>
      </c>
      <c r="I584" s="7">
        <f t="shared" si="84"/>
        <v>1158916576932337.8</v>
      </c>
      <c r="J584" s="6">
        <f t="shared" si="85"/>
        <v>1.0226038455893147</v>
      </c>
      <c r="K584" s="7">
        <f>J584*H584*首页!$B$12/P584</f>
        <v>0.69532757496605813</v>
      </c>
      <c r="L584" s="6">
        <f>首页!$B$9*0.0000000567*((C584^4-D584^4)/(C584-D584))</f>
        <v>7.7687338005019564</v>
      </c>
      <c r="M584" s="6">
        <f>IF(首页!$B$13="自然对流",IF(首页!$B$14="立式圆筒",首页!$B$10,PI()*B584/2),PI()*B584/2)</f>
        <v>55.2</v>
      </c>
      <c r="N584" s="7">
        <f>IF(首页!$B$13="强制对流",首页!$B$11*M584/H584,0)</f>
        <v>0</v>
      </c>
      <c r="O584" s="6">
        <f>IF(首页!$B$13="自然对流",IF(首页!$B$14="立式圆筒",(0.825+0.3063*I584^(1/6))^2+0.87*(M584/B584),(0.752+0.303*I584^(1/6))^2),0.3+SQRT((0.592*N584^0.5)^2+(0.0262*N584^0.8/(1-0.5/N584^0.1))^2))</f>
        <v>10056.784967723632</v>
      </c>
      <c r="P584" s="6">
        <f t="shared" si="86"/>
        <v>2.9510194925512497E-2</v>
      </c>
      <c r="Q584" s="6">
        <f t="shared" si="87"/>
        <v>5.3764073319110199</v>
      </c>
      <c r="R584" s="6">
        <f t="shared" si="88"/>
        <v>13.145141132412977</v>
      </c>
      <c r="S584" s="6">
        <f>B584*LN(B584/首页!$B$4)</f>
        <v>3.023185542174645</v>
      </c>
      <c r="T584" s="6">
        <f>2*首页!$B$8*(E584-C584)/(R584*(C584-D584))</f>
        <v>7.0988807600998932E-2</v>
      </c>
      <c r="U584" t="str">
        <f>IF(首页!$B$13="自然对流","按自然对流公式", "按强制对流公式")</f>
        <v>按自然对流公式</v>
      </c>
      <c r="V584" s="6">
        <f t="shared" si="89"/>
        <v>2.9521967345736462</v>
      </c>
    </row>
    <row r="585" spans="1:22" x14ac:dyDescent="0.15">
      <c r="A585">
        <v>580</v>
      </c>
      <c r="B585" s="6">
        <f>首页!$B$4+2*A585/1000</f>
        <v>1.2799999999999998</v>
      </c>
      <c r="C585" s="6">
        <f>首页!$B$7+273.15</f>
        <v>388.15</v>
      </c>
      <c r="D585" s="6">
        <f>首页!$B$6+273.15</f>
        <v>293.14999999999998</v>
      </c>
      <c r="E585" s="6">
        <f>首页!$B$5+273.15</f>
        <v>1373.15</v>
      </c>
      <c r="F585" s="6">
        <f t="shared" si="81"/>
        <v>95</v>
      </c>
      <c r="G585" s="6">
        <f t="shared" si="82"/>
        <v>340.65</v>
      </c>
      <c r="H585" s="6">
        <f t="shared" si="83"/>
        <v>1.9926207055139041E-5</v>
      </c>
      <c r="I585" s="7">
        <f t="shared" si="84"/>
        <v>1158916576932337.8</v>
      </c>
      <c r="J585" s="6">
        <f t="shared" si="85"/>
        <v>1.0226038455893147</v>
      </c>
      <c r="K585" s="7">
        <f>J585*H585*首页!$B$12/P585</f>
        <v>0.69532757496605813</v>
      </c>
      <c r="L585" s="6">
        <f>首页!$B$9*0.0000000567*((C585^4-D585^4)/(C585-D585))</f>
        <v>7.7687338005019564</v>
      </c>
      <c r="M585" s="6">
        <f>IF(首页!$B$13="自然对流",IF(首页!$B$14="立式圆筒",首页!$B$10,PI()*B585/2),PI()*B585/2)</f>
        <v>55.2</v>
      </c>
      <c r="N585" s="7">
        <f>IF(首页!$B$13="强制对流",首页!$B$11*M585/H585,0)</f>
        <v>0</v>
      </c>
      <c r="O585" s="6">
        <f>IF(首页!$B$13="自然对流",IF(首页!$B$14="立式圆筒",(0.825+0.3063*I585^(1/6))^2+0.87*(M585/B585),(0.752+0.303*I585^(1/6))^2),0.3+SQRT((0.592*N585^0.5)^2+(0.0262*N585^0.8/(1-0.5/N585^0.1))^2))</f>
        <v>10056.726252934899</v>
      </c>
      <c r="P585" s="6">
        <f t="shared" si="86"/>
        <v>2.9510194925512497E-2</v>
      </c>
      <c r="Q585" s="6">
        <f t="shared" si="87"/>
        <v>5.3763759426925315</v>
      </c>
      <c r="R585" s="6">
        <f t="shared" si="88"/>
        <v>13.145109743194489</v>
      </c>
      <c r="S585" s="6">
        <f>B585*LN(B585/首页!$B$4)</f>
        <v>3.0299182260884692</v>
      </c>
      <c r="T585" s="6">
        <f>2*首页!$B$8*(E585-C585)/(R585*(C585-D585))</f>
        <v>7.0988977115231652E-2</v>
      </c>
      <c r="U585" t="str">
        <f>IF(首页!$B$13="自然对流","按自然对流公式", "按强制对流公式")</f>
        <v>按自然对流公式</v>
      </c>
      <c r="V585" s="6">
        <f t="shared" si="89"/>
        <v>2.9589292489732375</v>
      </c>
    </row>
    <row r="586" spans="1:22" x14ac:dyDescent="0.15">
      <c r="A586">
        <v>581</v>
      </c>
      <c r="B586" s="6">
        <f>首页!$B$4+2*A586/1000</f>
        <v>1.282</v>
      </c>
      <c r="C586" s="6">
        <f>首页!$B$7+273.15</f>
        <v>388.15</v>
      </c>
      <c r="D586" s="6">
        <f>首页!$B$6+273.15</f>
        <v>293.14999999999998</v>
      </c>
      <c r="E586" s="6">
        <f>首页!$B$5+273.15</f>
        <v>1373.15</v>
      </c>
      <c r="F586" s="6">
        <f t="shared" si="81"/>
        <v>95</v>
      </c>
      <c r="G586" s="6">
        <f t="shared" si="82"/>
        <v>340.65</v>
      </c>
      <c r="H586" s="6">
        <f t="shared" si="83"/>
        <v>1.9926207055139041E-5</v>
      </c>
      <c r="I586" s="7">
        <f t="shared" si="84"/>
        <v>1158916576932337.8</v>
      </c>
      <c r="J586" s="6">
        <f t="shared" si="85"/>
        <v>1.0226038455893147</v>
      </c>
      <c r="K586" s="7">
        <f>J586*H586*首页!$B$12/P586</f>
        <v>0.69532757496605813</v>
      </c>
      <c r="L586" s="6">
        <f>首页!$B$9*0.0000000567*((C586^4-D586^4)/(C586-D586))</f>
        <v>7.7687338005019564</v>
      </c>
      <c r="M586" s="6">
        <f>IF(首页!$B$13="自然对流",IF(首页!$B$14="立式圆筒",首页!$B$10,PI()*B586/2),PI()*B586/2)</f>
        <v>55.2</v>
      </c>
      <c r="N586" s="7">
        <f>IF(首页!$B$13="强制对流",首页!$B$11*M586/H586,0)</f>
        <v>0</v>
      </c>
      <c r="O586" s="6">
        <f>IF(首页!$B$13="自然对流",IF(首页!$B$14="立式圆筒",(0.825+0.3063*I586^(1/6))^2+0.87*(M586/B586),(0.752+0.303*I586^(1/6))^2),0.3+SQRT((0.592*N586^0.5)^2+(0.0262*N586^0.8/(1-0.5/N586^0.1))^2))</f>
        <v>10056.667721343636</v>
      </c>
      <c r="P586" s="6">
        <f t="shared" si="86"/>
        <v>2.9510194925512497E-2</v>
      </c>
      <c r="Q586" s="6">
        <f t="shared" si="87"/>
        <v>5.3763446514123236</v>
      </c>
      <c r="R586" s="6">
        <f t="shared" si="88"/>
        <v>13.14507845191428</v>
      </c>
      <c r="S586" s="6">
        <f>B586*LN(B586/首页!$B$4)</f>
        <v>3.0366540350035662</v>
      </c>
      <c r="T586" s="6">
        <f>2*首页!$B$8*(E586-C586)/(R586*(C586-D586))</f>
        <v>7.0989146101364586E-2</v>
      </c>
      <c r="U586" t="str">
        <f>IF(首页!$B$13="自然对流","按自然对流公式", "按强制对流公式")</f>
        <v>按自然对流公式</v>
      </c>
      <c r="V586" s="6">
        <f t="shared" si="89"/>
        <v>2.9656648889022015</v>
      </c>
    </row>
    <row r="587" spans="1:22" x14ac:dyDescent="0.15">
      <c r="A587">
        <v>582</v>
      </c>
      <c r="B587" s="6">
        <f>首页!$B$4+2*A587/1000</f>
        <v>1.2839999999999998</v>
      </c>
      <c r="C587" s="6">
        <f>首页!$B$7+273.15</f>
        <v>388.15</v>
      </c>
      <c r="D587" s="6">
        <f>首页!$B$6+273.15</f>
        <v>293.14999999999998</v>
      </c>
      <c r="E587" s="6">
        <f>首页!$B$5+273.15</f>
        <v>1373.15</v>
      </c>
      <c r="F587" s="6">
        <f t="shared" si="81"/>
        <v>95</v>
      </c>
      <c r="G587" s="6">
        <f t="shared" si="82"/>
        <v>340.65</v>
      </c>
      <c r="H587" s="6">
        <f t="shared" si="83"/>
        <v>1.9926207055139041E-5</v>
      </c>
      <c r="I587" s="7">
        <f t="shared" si="84"/>
        <v>1158916576932337.8</v>
      </c>
      <c r="J587" s="6">
        <f t="shared" si="85"/>
        <v>1.0226038455893147</v>
      </c>
      <c r="K587" s="7">
        <f>J587*H587*首页!$B$12/P587</f>
        <v>0.69532757496605813</v>
      </c>
      <c r="L587" s="6">
        <f>首页!$B$9*0.0000000567*((C587^4-D587^4)/(C587-D587))</f>
        <v>7.7687338005019564</v>
      </c>
      <c r="M587" s="6">
        <f>IF(首页!$B$13="自然对流",IF(首页!$B$14="立式圆筒",首页!$B$10,PI()*B587/2),PI()*B587/2)</f>
        <v>55.2</v>
      </c>
      <c r="N587" s="7">
        <f>IF(首页!$B$13="强制对流",首页!$B$11*M587/H587,0)</f>
        <v>0</v>
      </c>
      <c r="O587" s="6">
        <f>IF(首页!$B$13="自然对流",IF(首页!$B$14="立式圆筒",(0.825+0.3063*I587^(1/6))^2+0.87*(M587/B587),(0.752+0.303*I587^(1/6))^2),0.3+SQRT((0.592*N587^0.5)^2+(0.0262*N587^0.8/(1-0.5/N587^0.1))^2))</f>
        <v>10056.609372093779</v>
      </c>
      <c r="P587" s="6">
        <f t="shared" si="86"/>
        <v>2.9510194925512497E-2</v>
      </c>
      <c r="Q587" s="6">
        <f t="shared" si="87"/>
        <v>5.3763134576127403</v>
      </c>
      <c r="R587" s="6">
        <f t="shared" si="88"/>
        <v>13.145047258114698</v>
      </c>
      <c r="S587" s="6">
        <f>B587*LN(B587/首页!$B$4)</f>
        <v>3.0433929640447324</v>
      </c>
      <c r="T587" s="6">
        <f>2*首页!$B$8*(E587-C587)/(R587*(C587-D587))</f>
        <v>7.0989314561861722E-2</v>
      </c>
      <c r="U587" t="str">
        <f>IF(首页!$B$13="自然对流","按自然对流公式", "按强制对流公式")</f>
        <v>按自然对流公式</v>
      </c>
      <c r="V587" s="6">
        <f t="shared" si="89"/>
        <v>2.9724036494828705</v>
      </c>
    </row>
    <row r="588" spans="1:22" x14ac:dyDescent="0.15">
      <c r="A588">
        <v>583</v>
      </c>
      <c r="B588" s="6">
        <f>首页!$B$4+2*A588/1000</f>
        <v>1.286</v>
      </c>
      <c r="C588" s="6">
        <f>首页!$B$7+273.15</f>
        <v>388.15</v>
      </c>
      <c r="D588" s="6">
        <f>首页!$B$6+273.15</f>
        <v>293.14999999999998</v>
      </c>
      <c r="E588" s="6">
        <f>首页!$B$5+273.15</f>
        <v>1373.15</v>
      </c>
      <c r="F588" s="6">
        <f t="shared" si="81"/>
        <v>95</v>
      </c>
      <c r="G588" s="6">
        <f t="shared" si="82"/>
        <v>340.65</v>
      </c>
      <c r="H588" s="6">
        <f t="shared" si="83"/>
        <v>1.9926207055139041E-5</v>
      </c>
      <c r="I588" s="7">
        <f t="shared" si="84"/>
        <v>1158916576932337.8</v>
      </c>
      <c r="J588" s="6">
        <f t="shared" si="85"/>
        <v>1.0226038455893147</v>
      </c>
      <c r="K588" s="7">
        <f>J588*H588*首页!$B$12/P588</f>
        <v>0.69532757496605813</v>
      </c>
      <c r="L588" s="6">
        <f>首页!$B$9*0.0000000567*((C588^4-D588^4)/(C588-D588))</f>
        <v>7.7687338005019564</v>
      </c>
      <c r="M588" s="6">
        <f>IF(首页!$B$13="自然对流",IF(首页!$B$14="立式圆筒",首页!$B$10,PI()*B588/2),PI()*B588/2)</f>
        <v>55.2</v>
      </c>
      <c r="N588" s="7">
        <f>IF(首页!$B$13="强制对流",首页!$B$11*M588/H588,0)</f>
        <v>0</v>
      </c>
      <c r="O588" s="6">
        <f>IF(首页!$B$13="自然对流",IF(首页!$B$14="立式圆筒",(0.825+0.3063*I588^(1/6))^2+0.87*(M588/B588),(0.752+0.303*I588^(1/6))^2),0.3+SQRT((0.592*N588^0.5)^2+(0.0262*N588^0.8/(1-0.5/N588^0.1))^2))</f>
        <v>10056.551204334588</v>
      </c>
      <c r="P588" s="6">
        <f t="shared" si="86"/>
        <v>2.9510194925512497E-2</v>
      </c>
      <c r="Q588" s="6">
        <f t="shared" si="87"/>
        <v>5.37628236083897</v>
      </c>
      <c r="R588" s="6">
        <f t="shared" si="88"/>
        <v>13.145016161340926</v>
      </c>
      <c r="S588" s="6">
        <f>B588*LN(B588/首页!$B$4)</f>
        <v>3.0501350083519569</v>
      </c>
      <c r="T588" s="6">
        <f>2*首页!$B$8*(E588-C588)/(R588*(C588-D588))</f>
        <v>7.0989482499171794E-2</v>
      </c>
      <c r="U588" t="str">
        <f>IF(首页!$B$13="自然对流","按自然对流公式", "按强制对流公式")</f>
        <v>按自然对流公式</v>
      </c>
      <c r="V588" s="6">
        <f t="shared" si="89"/>
        <v>2.9791455258527852</v>
      </c>
    </row>
    <row r="589" spans="1:22" x14ac:dyDescent="0.15">
      <c r="A589">
        <v>584</v>
      </c>
      <c r="B589" s="6">
        <f>首页!$B$4+2*A589/1000</f>
        <v>1.2879999999999998</v>
      </c>
      <c r="C589" s="6">
        <f>首页!$B$7+273.15</f>
        <v>388.15</v>
      </c>
      <c r="D589" s="6">
        <f>首页!$B$6+273.15</f>
        <v>293.14999999999998</v>
      </c>
      <c r="E589" s="6">
        <f>首页!$B$5+273.15</f>
        <v>1373.15</v>
      </c>
      <c r="F589" s="6">
        <f t="shared" si="81"/>
        <v>95</v>
      </c>
      <c r="G589" s="6">
        <f t="shared" si="82"/>
        <v>340.65</v>
      </c>
      <c r="H589" s="6">
        <f t="shared" si="83"/>
        <v>1.9926207055139041E-5</v>
      </c>
      <c r="I589" s="7">
        <f t="shared" si="84"/>
        <v>1158916576932337.8</v>
      </c>
      <c r="J589" s="6">
        <f t="shared" si="85"/>
        <v>1.0226038455893147</v>
      </c>
      <c r="K589" s="7">
        <f>J589*H589*首页!$B$12/P589</f>
        <v>0.69532757496605813</v>
      </c>
      <c r="L589" s="6">
        <f>首页!$B$9*0.0000000567*((C589^4-D589^4)/(C589-D589))</f>
        <v>7.7687338005019564</v>
      </c>
      <c r="M589" s="6">
        <f>IF(首页!$B$13="自然对流",IF(首页!$B$14="立式圆筒",首页!$B$10,PI()*B589/2),PI()*B589/2)</f>
        <v>55.2</v>
      </c>
      <c r="N589" s="7">
        <f>IF(首页!$B$13="强制对流",首页!$B$11*M589/H589,0)</f>
        <v>0</v>
      </c>
      <c r="O589" s="6">
        <f>IF(首页!$B$13="自然对流",IF(首页!$B$14="立式圆筒",(0.825+0.3063*I589^(1/6))^2+0.87*(M589/B589),(0.752+0.303*I589^(1/6))^2),0.3+SQRT((0.592*N589^0.5)^2+(0.0262*N589^0.8/(1-0.5/N589^0.1))^2))</f>
        <v>10056.493217220614</v>
      </c>
      <c r="P589" s="6">
        <f t="shared" si="86"/>
        <v>2.9510194925512497E-2</v>
      </c>
      <c r="Q589" s="6">
        <f t="shared" si="87"/>
        <v>5.3762513606390323</v>
      </c>
      <c r="R589" s="6">
        <f t="shared" si="88"/>
        <v>13.144985161140989</v>
      </c>
      <c r="S589" s="6">
        <f>B589*LN(B589/首页!$B$4)</f>
        <v>3.0568801630803417</v>
      </c>
      <c r="T589" s="6">
        <f>2*首页!$B$8*(E589-C589)/(R589*(C589-D589))</f>
        <v>7.0989649915728301E-2</v>
      </c>
      <c r="U589" t="str">
        <f>IF(首页!$B$13="自然对流","按自然对流公式", "按强制对流公式")</f>
        <v>按自然对流公式</v>
      </c>
      <c r="V589" s="6">
        <f t="shared" si="89"/>
        <v>2.9858905131646134</v>
      </c>
    </row>
    <row r="590" spans="1:22" x14ac:dyDescent="0.15">
      <c r="A590">
        <v>585</v>
      </c>
      <c r="B590" s="6">
        <f>首页!$B$4+2*A590/1000</f>
        <v>1.29</v>
      </c>
      <c r="C590" s="6">
        <f>首页!$B$7+273.15</f>
        <v>388.15</v>
      </c>
      <c r="D590" s="6">
        <f>首页!$B$6+273.15</f>
        <v>293.14999999999998</v>
      </c>
      <c r="E590" s="6">
        <f>首页!$B$5+273.15</f>
        <v>1373.15</v>
      </c>
      <c r="F590" s="6">
        <f t="shared" si="81"/>
        <v>95</v>
      </c>
      <c r="G590" s="6">
        <f t="shared" si="82"/>
        <v>340.65</v>
      </c>
      <c r="H590" s="6">
        <f t="shared" si="83"/>
        <v>1.9926207055139041E-5</v>
      </c>
      <c r="I590" s="7">
        <f t="shared" si="84"/>
        <v>1158916576932337.8</v>
      </c>
      <c r="J590" s="6">
        <f t="shared" si="85"/>
        <v>1.0226038455893147</v>
      </c>
      <c r="K590" s="7">
        <f>J590*H590*首页!$B$12/P590</f>
        <v>0.69532757496605813</v>
      </c>
      <c r="L590" s="6">
        <f>首页!$B$9*0.0000000567*((C590^4-D590^4)/(C590-D590))</f>
        <v>7.7687338005019564</v>
      </c>
      <c r="M590" s="6">
        <f>IF(首页!$B$13="自然对流",IF(首页!$B$14="立式圆筒",首页!$B$10,PI()*B590/2),PI()*B590/2)</f>
        <v>55.2</v>
      </c>
      <c r="N590" s="7">
        <f>IF(首页!$B$13="强制对流",首页!$B$11*M590/H590,0)</f>
        <v>0</v>
      </c>
      <c r="O590" s="6">
        <f>IF(首页!$B$13="自然对流",IF(首页!$B$14="立式圆筒",(0.825+0.3063*I590^(1/6))^2+0.87*(M590/B590),(0.752+0.303*I590^(1/6))^2),0.3+SQRT((0.592*N590^0.5)^2+(0.0262*N590^0.8/(1-0.5/N590^0.1))^2))</f>
        <v>10056.435409911644</v>
      </c>
      <c r="P590" s="6">
        <f t="shared" si="86"/>
        <v>2.9510194925512497E-2</v>
      </c>
      <c r="Q590" s="6">
        <f t="shared" si="87"/>
        <v>5.3762204565637459</v>
      </c>
      <c r="R590" s="6">
        <f t="shared" si="88"/>
        <v>13.144954257065702</v>
      </c>
      <c r="S590" s="6">
        <f>B590*LN(B590/首页!$B$4)</f>
        <v>3.0636284234000364</v>
      </c>
      <c r="T590" s="6">
        <f>2*首页!$B$8*(E590-C590)/(R590*(C590-D590))</f>
        <v>7.0989816813949683E-2</v>
      </c>
      <c r="U590" t="str">
        <f>IF(首页!$B$13="自然对流","按自然对流公式", "按强制对流公式")</f>
        <v>按自然对流公式</v>
      </c>
      <c r="V590" s="6">
        <f t="shared" si="89"/>
        <v>2.9926386065860866</v>
      </c>
    </row>
    <row r="591" spans="1:22" x14ac:dyDescent="0.15">
      <c r="A591">
        <v>586</v>
      </c>
      <c r="B591" s="6">
        <f>首页!$B$4+2*A591/1000</f>
        <v>1.2919999999999998</v>
      </c>
      <c r="C591" s="6">
        <f>首页!$B$7+273.15</f>
        <v>388.15</v>
      </c>
      <c r="D591" s="6">
        <f>首页!$B$6+273.15</f>
        <v>293.14999999999998</v>
      </c>
      <c r="E591" s="6">
        <f>首页!$B$5+273.15</f>
        <v>1373.15</v>
      </c>
      <c r="F591" s="6">
        <f t="shared" si="81"/>
        <v>95</v>
      </c>
      <c r="G591" s="6">
        <f t="shared" si="82"/>
        <v>340.65</v>
      </c>
      <c r="H591" s="6">
        <f t="shared" si="83"/>
        <v>1.9926207055139041E-5</v>
      </c>
      <c r="I591" s="7">
        <f t="shared" si="84"/>
        <v>1158916576932337.8</v>
      </c>
      <c r="J591" s="6">
        <f t="shared" si="85"/>
        <v>1.0226038455893147</v>
      </c>
      <c r="K591" s="7">
        <f>J591*H591*首页!$B$12/P591</f>
        <v>0.69532757496605813</v>
      </c>
      <c r="L591" s="6">
        <f>首页!$B$9*0.0000000567*((C591^4-D591^4)/(C591-D591))</f>
        <v>7.7687338005019564</v>
      </c>
      <c r="M591" s="6">
        <f>IF(首页!$B$13="自然对流",IF(首页!$B$14="立式圆筒",首页!$B$10,PI()*B591/2),PI()*B591/2)</f>
        <v>55.2</v>
      </c>
      <c r="N591" s="7">
        <f>IF(首页!$B$13="强制对流",首页!$B$11*M591/H591,0)</f>
        <v>0</v>
      </c>
      <c r="O591" s="6">
        <f>IF(首页!$B$13="自然对流",IF(首页!$B$14="立式圆筒",(0.825+0.3063*I591^(1/6))^2+0.87*(M591/B591),(0.752+0.303*I591^(1/6))^2),0.3+SQRT((0.592*N591^0.5)^2+(0.0262*N591^0.8/(1-0.5/N591^0.1))^2))</f>
        <v>10056.37778157267</v>
      </c>
      <c r="P591" s="6">
        <f t="shared" si="86"/>
        <v>2.9510194925512497E-2</v>
      </c>
      <c r="Q591" s="6">
        <f t="shared" si="87"/>
        <v>5.3761896481667106</v>
      </c>
      <c r="R591" s="6">
        <f t="shared" si="88"/>
        <v>13.144923448668667</v>
      </c>
      <c r="S591" s="6">
        <f>B591*LN(B591/首页!$B$4)</f>
        <v>3.0703797844961667</v>
      </c>
      <c r="T591" s="6">
        <f>2*首页!$B$8*(E591-C591)/(R591*(C591-D591))</f>
        <v>7.098998319623942E-2</v>
      </c>
      <c r="U591" t="str">
        <f>IF(首页!$B$13="自然对流","按自然对流公式", "按强制对流公式")</f>
        <v>按自然对流公式</v>
      </c>
      <c r="V591" s="6">
        <f t="shared" si="89"/>
        <v>2.9993898012999272</v>
      </c>
    </row>
    <row r="592" spans="1:22" x14ac:dyDescent="0.15">
      <c r="A592">
        <v>587</v>
      </c>
      <c r="B592" s="6">
        <f>首页!$B$4+2*A592/1000</f>
        <v>1.294</v>
      </c>
      <c r="C592" s="6">
        <f>首页!$B$7+273.15</f>
        <v>388.15</v>
      </c>
      <c r="D592" s="6">
        <f>首页!$B$6+273.15</f>
        <v>293.14999999999998</v>
      </c>
      <c r="E592" s="6">
        <f>首页!$B$5+273.15</f>
        <v>1373.15</v>
      </c>
      <c r="F592" s="6">
        <f t="shared" si="81"/>
        <v>95</v>
      </c>
      <c r="G592" s="6">
        <f t="shared" si="82"/>
        <v>340.65</v>
      </c>
      <c r="H592" s="6">
        <f t="shared" si="83"/>
        <v>1.9926207055139041E-5</v>
      </c>
      <c r="I592" s="7">
        <f t="shared" si="84"/>
        <v>1158916576932337.8</v>
      </c>
      <c r="J592" s="6">
        <f t="shared" si="85"/>
        <v>1.0226038455893147</v>
      </c>
      <c r="K592" s="7">
        <f>J592*H592*首页!$B$12/P592</f>
        <v>0.69532757496605813</v>
      </c>
      <c r="L592" s="6">
        <f>首页!$B$9*0.0000000567*((C592^4-D592^4)/(C592-D592))</f>
        <v>7.7687338005019564</v>
      </c>
      <c r="M592" s="6">
        <f>IF(首页!$B$13="自然对流",IF(首页!$B$14="立式圆筒",首页!$B$10,PI()*B592/2),PI()*B592/2)</f>
        <v>55.2</v>
      </c>
      <c r="N592" s="7">
        <f>IF(首页!$B$13="强制对流",首页!$B$11*M592/H592,0)</f>
        <v>0</v>
      </c>
      <c r="O592" s="6">
        <f>IF(首页!$B$13="自然对流",IF(首页!$B$14="立式圆筒",(0.825+0.3063*I592^(1/6))^2+0.87*(M592/B592),(0.752+0.303*I592^(1/6))^2),0.3+SQRT((0.592*N592^0.5)^2+(0.0262*N592^0.8/(1-0.5/N592^0.1))^2))</f>
        <v>10056.320331373849</v>
      </c>
      <c r="P592" s="6">
        <f t="shared" si="86"/>
        <v>2.9510194925512497E-2</v>
      </c>
      <c r="Q592" s="6">
        <f t="shared" si="87"/>
        <v>5.3761589350042875</v>
      </c>
      <c r="R592" s="6">
        <f t="shared" si="88"/>
        <v>13.144892735506243</v>
      </c>
      <c r="S592" s="6">
        <f>B592*LN(B592/首页!$B$4)</f>
        <v>3.0771342415687672</v>
      </c>
      <c r="T592" s="6">
        <f>2*首页!$B$8*(E592-C592)/(R592*(C592-D592))</f>
        <v>7.0990149064986185E-2</v>
      </c>
      <c r="U592" t="str">
        <f>IF(首页!$B$13="自然对流","按自然对流公式", "按强制对流公式")</f>
        <v>按自然对流公式</v>
      </c>
      <c r="V592" s="6">
        <f t="shared" si="89"/>
        <v>3.006144092503781</v>
      </c>
    </row>
    <row r="593" spans="1:22" x14ac:dyDescent="0.15">
      <c r="A593">
        <v>588</v>
      </c>
      <c r="B593" s="6">
        <f>首页!$B$4+2*A593/1000</f>
        <v>1.2959999999999998</v>
      </c>
      <c r="C593" s="6">
        <f>首页!$B$7+273.15</f>
        <v>388.15</v>
      </c>
      <c r="D593" s="6">
        <f>首页!$B$6+273.15</f>
        <v>293.14999999999998</v>
      </c>
      <c r="E593" s="6">
        <f>首页!$B$5+273.15</f>
        <v>1373.15</v>
      </c>
      <c r="F593" s="6">
        <f t="shared" si="81"/>
        <v>95</v>
      </c>
      <c r="G593" s="6">
        <f t="shared" si="82"/>
        <v>340.65</v>
      </c>
      <c r="H593" s="6">
        <f t="shared" si="83"/>
        <v>1.9926207055139041E-5</v>
      </c>
      <c r="I593" s="7">
        <f t="shared" si="84"/>
        <v>1158916576932337.8</v>
      </c>
      <c r="J593" s="6">
        <f t="shared" si="85"/>
        <v>1.0226038455893147</v>
      </c>
      <c r="K593" s="7">
        <f>J593*H593*首页!$B$12/P593</f>
        <v>0.69532757496605813</v>
      </c>
      <c r="L593" s="6">
        <f>首页!$B$9*0.0000000567*((C593^4-D593^4)/(C593-D593))</f>
        <v>7.7687338005019564</v>
      </c>
      <c r="M593" s="6">
        <f>IF(首页!$B$13="自然对流",IF(首页!$B$14="立式圆筒",首页!$B$10,PI()*B593/2),PI()*B593/2)</f>
        <v>55.2</v>
      </c>
      <c r="N593" s="7">
        <f>IF(首页!$B$13="强制对流",首页!$B$11*M593/H593,0)</f>
        <v>0</v>
      </c>
      <c r="O593" s="6">
        <f>IF(首页!$B$13="自然对流",IF(首页!$B$14="立式圆筒",(0.825+0.3063*I593^(1/6))^2+0.87*(M593/B593),(0.752+0.303*I593^(1/6))^2),0.3+SQRT((0.592*N593^0.5)^2+(0.0262*N593^0.8/(1-0.5/N593^0.1))^2))</f>
        <v>10056.263058490455</v>
      </c>
      <c r="P593" s="6">
        <f t="shared" si="86"/>
        <v>2.9510194925512497E-2</v>
      </c>
      <c r="Q593" s="6">
        <f t="shared" si="87"/>
        <v>5.376128316635576</v>
      </c>
      <c r="R593" s="6">
        <f t="shared" si="88"/>
        <v>13.144862117137531</v>
      </c>
      <c r="S593" s="6">
        <f>B593*LN(B593/首页!$B$4)</f>
        <v>3.083891789832705</v>
      </c>
      <c r="T593" s="6">
        <f>2*首页!$B$8*(E593-C593)/(R593*(C593-D593))</f>
        <v>7.0990314422563885E-2</v>
      </c>
      <c r="U593" t="str">
        <f>IF(首页!$B$13="自然对流","按自然对流公式", "按强制对流公式")</f>
        <v>按自然对流公式</v>
      </c>
      <c r="V593" s="6">
        <f t="shared" si="89"/>
        <v>3.0129014754101409</v>
      </c>
    </row>
    <row r="594" spans="1:22" x14ac:dyDescent="0.15">
      <c r="A594">
        <v>589</v>
      </c>
      <c r="B594" s="6">
        <f>首页!$B$4+2*A594/1000</f>
        <v>1.298</v>
      </c>
      <c r="C594" s="6">
        <f>首页!$B$7+273.15</f>
        <v>388.15</v>
      </c>
      <c r="D594" s="6">
        <f>首页!$B$6+273.15</f>
        <v>293.14999999999998</v>
      </c>
      <c r="E594" s="6">
        <f>首页!$B$5+273.15</f>
        <v>1373.15</v>
      </c>
      <c r="F594" s="6">
        <f t="shared" si="81"/>
        <v>95</v>
      </c>
      <c r="G594" s="6">
        <f t="shared" si="82"/>
        <v>340.65</v>
      </c>
      <c r="H594" s="6">
        <f t="shared" si="83"/>
        <v>1.9926207055139041E-5</v>
      </c>
      <c r="I594" s="7">
        <f t="shared" si="84"/>
        <v>1158916576932337.8</v>
      </c>
      <c r="J594" s="6">
        <f t="shared" si="85"/>
        <v>1.0226038455893147</v>
      </c>
      <c r="K594" s="7">
        <f>J594*H594*首页!$B$12/P594</f>
        <v>0.69532757496605813</v>
      </c>
      <c r="L594" s="6">
        <f>首页!$B$9*0.0000000567*((C594^4-D594^4)/(C594-D594))</f>
        <v>7.7687338005019564</v>
      </c>
      <c r="M594" s="6">
        <f>IF(首页!$B$13="自然对流",IF(首页!$B$14="立式圆筒",首页!$B$10,PI()*B594/2),PI()*B594/2)</f>
        <v>55.2</v>
      </c>
      <c r="N594" s="7">
        <f>IF(首页!$B$13="强制对流",首页!$B$11*M594/H594,0)</f>
        <v>0</v>
      </c>
      <c r="O594" s="6">
        <f>IF(首页!$B$13="自然对流",IF(首页!$B$14="立式圆筒",(0.825+0.3063*I594^(1/6))^2+0.87*(M594/B594),(0.752+0.303*I594^(1/6))^2),0.3+SQRT((0.592*N594^0.5)^2+(0.0262*N594^0.8/(1-0.5/N594^0.1))^2))</f>
        <v>10056.205962102851</v>
      </c>
      <c r="P594" s="6">
        <f t="shared" si="86"/>
        <v>2.9510194925512497E-2</v>
      </c>
      <c r="Q594" s="6">
        <f t="shared" si="87"/>
        <v>5.3760977926223923</v>
      </c>
      <c r="R594" s="6">
        <f t="shared" si="88"/>
        <v>13.144831593124348</v>
      </c>
      <c r="S594" s="6">
        <f>B594*LN(B594/首页!$B$4)</f>
        <v>3.0906524245176223</v>
      </c>
      <c r="T594" s="6">
        <f>2*首页!$B$8*(E594-C594)/(R594*(C594-D594))</f>
        <v>7.0990479271331869E-2</v>
      </c>
      <c r="U594" t="str">
        <f>IF(首页!$B$13="自然对流","按自然对流公式", "按强制对流公式")</f>
        <v>按自然对流公式</v>
      </c>
      <c r="V594" s="6">
        <f t="shared" si="89"/>
        <v>3.0196619452462903</v>
      </c>
    </row>
    <row r="595" spans="1:22" x14ac:dyDescent="0.15">
      <c r="A595">
        <v>590</v>
      </c>
      <c r="B595" s="6">
        <f>首页!$B$4+2*A595/1000</f>
        <v>1.2999999999999998</v>
      </c>
      <c r="C595" s="6">
        <f>首页!$B$7+273.15</f>
        <v>388.15</v>
      </c>
      <c r="D595" s="6">
        <f>首页!$B$6+273.15</f>
        <v>293.14999999999998</v>
      </c>
      <c r="E595" s="6">
        <f>首页!$B$5+273.15</f>
        <v>1373.15</v>
      </c>
      <c r="F595" s="6">
        <f t="shared" si="81"/>
        <v>95</v>
      </c>
      <c r="G595" s="6">
        <f t="shared" si="82"/>
        <v>340.65</v>
      </c>
      <c r="H595" s="6">
        <f t="shared" si="83"/>
        <v>1.9926207055139041E-5</v>
      </c>
      <c r="I595" s="7">
        <f t="shared" si="84"/>
        <v>1158916576932337.8</v>
      </c>
      <c r="J595" s="6">
        <f t="shared" si="85"/>
        <v>1.0226038455893147</v>
      </c>
      <c r="K595" s="7">
        <f>J595*H595*首页!$B$12/P595</f>
        <v>0.69532757496605813</v>
      </c>
      <c r="L595" s="6">
        <f>首页!$B$9*0.0000000567*((C595^4-D595^4)/(C595-D595))</f>
        <v>7.7687338005019564</v>
      </c>
      <c r="M595" s="6">
        <f>IF(首页!$B$13="自然对流",IF(首页!$B$14="立式圆筒",首页!$B$10,PI()*B595/2),PI()*B595/2)</f>
        <v>55.2</v>
      </c>
      <c r="N595" s="7">
        <f>IF(首页!$B$13="强制对流",首页!$B$11*M595/H595,0)</f>
        <v>0</v>
      </c>
      <c r="O595" s="6">
        <f>IF(首页!$B$13="自然对流",IF(首页!$B$14="立式圆筒",(0.825+0.3063*I595^(1/6))^2+0.87*(M595/B595),(0.752+0.303*I595^(1/6))^2),0.3+SQRT((0.592*N595^0.5)^2+(0.0262*N595^0.8/(1-0.5/N595^0.1))^2))</f>
        <v>10056.149041396438</v>
      </c>
      <c r="P595" s="6">
        <f t="shared" si="86"/>
        <v>2.9510194925512497E-2</v>
      </c>
      <c r="Q595" s="6">
        <f t="shared" si="87"/>
        <v>5.3760673625292492</v>
      </c>
      <c r="R595" s="6">
        <f t="shared" si="88"/>
        <v>13.144801163031206</v>
      </c>
      <c r="S595" s="6">
        <f>B595*LN(B595/首页!$B$4)</f>
        <v>3.097416140867856</v>
      </c>
      <c r="T595" s="6">
        <f>2*首页!$B$8*(E595-C595)/(R595*(C595-D595))</f>
        <v>7.0990643613634913E-2</v>
      </c>
      <c r="U595" t="str">
        <f>IF(首页!$B$13="自然对流","按自然对流公式", "按强制对流公式")</f>
        <v>按自然对流公式</v>
      </c>
      <c r="V595" s="6">
        <f t="shared" si="89"/>
        <v>3.0264254972542211</v>
      </c>
    </row>
    <row r="596" spans="1:22" x14ac:dyDescent="0.15">
      <c r="A596">
        <v>591</v>
      </c>
      <c r="B596" s="6">
        <f>首页!$B$4+2*A596/1000</f>
        <v>1.302</v>
      </c>
      <c r="C596" s="6">
        <f>首页!$B$7+273.15</f>
        <v>388.15</v>
      </c>
      <c r="D596" s="6">
        <f>首页!$B$6+273.15</f>
        <v>293.14999999999998</v>
      </c>
      <c r="E596" s="6">
        <f>首页!$B$5+273.15</f>
        <v>1373.15</v>
      </c>
      <c r="F596" s="6">
        <f t="shared" si="81"/>
        <v>95</v>
      </c>
      <c r="G596" s="6">
        <f t="shared" si="82"/>
        <v>340.65</v>
      </c>
      <c r="H596" s="6">
        <f t="shared" si="83"/>
        <v>1.9926207055139041E-5</v>
      </c>
      <c r="I596" s="7">
        <f t="shared" si="84"/>
        <v>1158916576932337.8</v>
      </c>
      <c r="J596" s="6">
        <f t="shared" si="85"/>
        <v>1.0226038455893147</v>
      </c>
      <c r="K596" s="7">
        <f>J596*H596*首页!$B$12/P596</f>
        <v>0.69532757496605813</v>
      </c>
      <c r="L596" s="6">
        <f>首页!$B$9*0.0000000567*((C596^4-D596^4)/(C596-D596))</f>
        <v>7.7687338005019564</v>
      </c>
      <c r="M596" s="6">
        <f>IF(首页!$B$13="自然对流",IF(首页!$B$14="立式圆筒",首页!$B$10,PI()*B596/2),PI()*B596/2)</f>
        <v>55.2</v>
      </c>
      <c r="N596" s="7">
        <f>IF(首页!$B$13="强制对流",首页!$B$11*M596/H596,0)</f>
        <v>0</v>
      </c>
      <c r="O596" s="6">
        <f>IF(首页!$B$13="自然对流",IF(首页!$B$14="立式圆筒",(0.825+0.3063*I596^(1/6))^2+0.87*(M596/B596),(0.752+0.303*I596^(1/6))^2),0.3+SQRT((0.592*N596^0.5)^2+(0.0262*N596^0.8/(1-0.5/N596^0.1))^2))</f>
        <v>10056.092295561628</v>
      </c>
      <c r="P596" s="6">
        <f t="shared" si="86"/>
        <v>2.9510194925512497E-2</v>
      </c>
      <c r="Q596" s="6">
        <f t="shared" si="87"/>
        <v>5.3760370259233339</v>
      </c>
      <c r="R596" s="6">
        <f t="shared" si="88"/>
        <v>13.14477082642529</v>
      </c>
      <c r="S596" s="6">
        <f>B596*LN(B596/首页!$B$4)</f>
        <v>3.1041829341423828</v>
      </c>
      <c r="T596" s="6">
        <f>2*首页!$B$8*(E596-C596)/(R596*(C596-D596))</f>
        <v>7.0990807451803528E-2</v>
      </c>
      <c r="U596" t="str">
        <f>IF(首页!$B$13="自然对流","按自然对流公式", "按强制对流公式")</f>
        <v>按自然对流公式</v>
      </c>
      <c r="V596" s="6">
        <f t="shared" si="89"/>
        <v>3.0331921266905795</v>
      </c>
    </row>
    <row r="597" spans="1:22" x14ac:dyDescent="0.15">
      <c r="A597">
        <v>592</v>
      </c>
      <c r="B597" s="6">
        <f>首页!$B$4+2*A597/1000</f>
        <v>1.3039999999999998</v>
      </c>
      <c r="C597" s="6">
        <f>首页!$B$7+273.15</f>
        <v>388.15</v>
      </c>
      <c r="D597" s="6">
        <f>首页!$B$6+273.15</f>
        <v>293.14999999999998</v>
      </c>
      <c r="E597" s="6">
        <f>首页!$B$5+273.15</f>
        <v>1373.15</v>
      </c>
      <c r="F597" s="6">
        <f t="shared" si="81"/>
        <v>95</v>
      </c>
      <c r="G597" s="6">
        <f t="shared" si="82"/>
        <v>340.65</v>
      </c>
      <c r="H597" s="6">
        <f t="shared" si="83"/>
        <v>1.9926207055139041E-5</v>
      </c>
      <c r="I597" s="7">
        <f t="shared" si="84"/>
        <v>1158916576932337.8</v>
      </c>
      <c r="J597" s="6">
        <f t="shared" si="85"/>
        <v>1.0226038455893147</v>
      </c>
      <c r="K597" s="7">
        <f>J597*H597*首页!$B$12/P597</f>
        <v>0.69532757496605813</v>
      </c>
      <c r="L597" s="6">
        <f>首页!$B$9*0.0000000567*((C597^4-D597^4)/(C597-D597))</f>
        <v>7.7687338005019564</v>
      </c>
      <c r="M597" s="6">
        <f>IF(首页!$B$13="自然对流",IF(首页!$B$14="立式圆筒",首页!$B$10,PI()*B597/2),PI()*B597/2)</f>
        <v>55.2</v>
      </c>
      <c r="N597" s="7">
        <f>IF(首页!$B$13="强制对流",首页!$B$11*M597/H597,0)</f>
        <v>0</v>
      </c>
      <c r="O597" s="6">
        <f>IF(首页!$B$13="自然对流",IF(首页!$B$14="立式圆筒",(0.825+0.3063*I597^(1/6))^2+0.87*(M597/B597),(0.752+0.303*I597^(1/6))^2),0.3+SQRT((0.592*N597^0.5)^2+(0.0262*N597^0.8/(1-0.5/N597^0.1))^2))</f>
        <v>10056.035723793795</v>
      </c>
      <c r="P597" s="6">
        <f t="shared" si="86"/>
        <v>2.9510194925512497E-2</v>
      </c>
      <c r="Q597" s="6">
        <f t="shared" si="87"/>
        <v>5.3760067823744935</v>
      </c>
      <c r="R597" s="6">
        <f t="shared" si="88"/>
        <v>13.14474058287645</v>
      </c>
      <c r="S597" s="6">
        <f>B597*LN(B597/首页!$B$4)</f>
        <v>3.1109527996147359</v>
      </c>
      <c r="T597" s="6">
        <f>2*首页!$B$8*(E597-C597)/(R597*(C597-D597))</f>
        <v>7.0990970788153834E-2</v>
      </c>
      <c r="U597" t="str">
        <f>IF(首页!$B$13="自然对流","按自然对流公式", "按强制对流公式")</f>
        <v>按自然对流公式</v>
      </c>
      <c r="V597" s="6">
        <f t="shared" si="89"/>
        <v>3.0399618288265819</v>
      </c>
    </row>
    <row r="598" spans="1:22" x14ac:dyDescent="0.15">
      <c r="A598">
        <v>593</v>
      </c>
      <c r="B598" s="6">
        <f>首页!$B$4+2*A598/1000</f>
        <v>1.306</v>
      </c>
      <c r="C598" s="6">
        <f>首页!$B$7+273.15</f>
        <v>388.15</v>
      </c>
      <c r="D598" s="6">
        <f>首页!$B$6+273.15</f>
        <v>293.14999999999998</v>
      </c>
      <c r="E598" s="6">
        <f>首页!$B$5+273.15</f>
        <v>1373.15</v>
      </c>
      <c r="F598" s="6">
        <f t="shared" si="81"/>
        <v>95</v>
      </c>
      <c r="G598" s="6">
        <f t="shared" si="82"/>
        <v>340.65</v>
      </c>
      <c r="H598" s="6">
        <f t="shared" si="83"/>
        <v>1.9926207055139041E-5</v>
      </c>
      <c r="I598" s="7">
        <f t="shared" si="84"/>
        <v>1158916576932337.8</v>
      </c>
      <c r="J598" s="6">
        <f t="shared" si="85"/>
        <v>1.0226038455893147</v>
      </c>
      <c r="K598" s="7">
        <f>J598*H598*首页!$B$12/P598</f>
        <v>0.69532757496605813</v>
      </c>
      <c r="L598" s="6">
        <f>首页!$B$9*0.0000000567*((C598^4-D598^4)/(C598-D598))</f>
        <v>7.7687338005019564</v>
      </c>
      <c r="M598" s="6">
        <f>IF(首页!$B$13="自然对流",IF(首页!$B$14="立式圆筒",首页!$B$10,PI()*B598/2),PI()*B598/2)</f>
        <v>55.2</v>
      </c>
      <c r="N598" s="7">
        <f>IF(首页!$B$13="强制对流",首页!$B$11*M598/H598,0)</f>
        <v>0</v>
      </c>
      <c r="O598" s="6">
        <f>IF(首页!$B$13="自然对流",IF(首页!$B$14="立式圆筒",(0.825+0.3063*I598^(1/6))^2+0.87*(M598/B598),(0.752+0.303*I598^(1/6))^2),0.3+SQRT((0.592*N598^0.5)^2+(0.0262*N598^0.8/(1-0.5/N598^0.1))^2))</f>
        <v>10055.979325293247</v>
      </c>
      <c r="P598" s="6">
        <f t="shared" si="86"/>
        <v>2.9510194925512497E-2</v>
      </c>
      <c r="Q598" s="6">
        <f t="shared" si="87"/>
        <v>5.3759766314552051</v>
      </c>
      <c r="R598" s="6">
        <f t="shared" si="88"/>
        <v>13.144710431957161</v>
      </c>
      <c r="S598" s="6">
        <f>B598*LN(B598/首页!$B$4)</f>
        <v>3.1177257325729557</v>
      </c>
      <c r="T598" s="6">
        <f>2*首页!$B$8*(E598-C598)/(R598*(C598-D598))</f>
        <v>7.0991133624987809E-2</v>
      </c>
      <c r="U598" t="str">
        <f>IF(首页!$B$13="自然对流","按自然对流公式", "按强制对流公式")</f>
        <v>按自然对流公式</v>
      </c>
      <c r="V598" s="6">
        <f t="shared" si="89"/>
        <v>3.0467345989479679</v>
      </c>
    </row>
    <row r="599" spans="1:22" x14ac:dyDescent="0.15">
      <c r="A599">
        <v>594</v>
      </c>
      <c r="B599" s="6">
        <f>首页!$B$4+2*A599/1000</f>
        <v>1.3079999999999998</v>
      </c>
      <c r="C599" s="6">
        <f>首页!$B$7+273.15</f>
        <v>388.15</v>
      </c>
      <c r="D599" s="6">
        <f>首页!$B$6+273.15</f>
        <v>293.14999999999998</v>
      </c>
      <c r="E599" s="6">
        <f>首页!$B$5+273.15</f>
        <v>1373.15</v>
      </c>
      <c r="F599" s="6">
        <f t="shared" si="81"/>
        <v>95</v>
      </c>
      <c r="G599" s="6">
        <f t="shared" si="82"/>
        <v>340.65</v>
      </c>
      <c r="H599" s="6">
        <f t="shared" si="83"/>
        <v>1.9926207055139041E-5</v>
      </c>
      <c r="I599" s="7">
        <f t="shared" si="84"/>
        <v>1158916576932337.8</v>
      </c>
      <c r="J599" s="6">
        <f t="shared" si="85"/>
        <v>1.0226038455893147</v>
      </c>
      <c r="K599" s="7">
        <f>J599*H599*首页!$B$12/P599</f>
        <v>0.69532757496605813</v>
      </c>
      <c r="L599" s="6">
        <f>首页!$B$9*0.0000000567*((C599^4-D599^4)/(C599-D599))</f>
        <v>7.7687338005019564</v>
      </c>
      <c r="M599" s="6">
        <f>IF(首页!$B$13="自然对流",IF(首页!$B$14="立式圆筒",首页!$B$10,PI()*B599/2),PI()*B599/2)</f>
        <v>55.2</v>
      </c>
      <c r="N599" s="7">
        <f>IF(首页!$B$13="强制对流",首页!$B$11*M599/H599,0)</f>
        <v>0</v>
      </c>
      <c r="O599" s="6">
        <f>IF(首页!$B$13="自然对流",IF(首页!$B$14="立式圆筒",(0.825+0.3063*I599^(1/6))^2+0.87*(M599/B599),(0.752+0.303*I599^(1/6))^2),0.3+SQRT((0.592*N599^0.5)^2+(0.0262*N599^0.8/(1-0.5/N599^0.1))^2))</f>
        <v>10055.923099265176</v>
      </c>
      <c r="P599" s="6">
        <f t="shared" si="86"/>
        <v>2.9510194925512497E-2</v>
      </c>
      <c r="Q599" s="6">
        <f t="shared" si="87"/>
        <v>5.3759465727405624</v>
      </c>
      <c r="R599" s="6">
        <f t="shared" si="88"/>
        <v>13.144680373242519</v>
      </c>
      <c r="S599" s="6">
        <f>B599*LN(B599/首页!$B$4)</f>
        <v>3.1245017283195078</v>
      </c>
      <c r="T599" s="6">
        <f>2*首页!$B$8*(E599-C599)/(R599*(C599-D599))</f>
        <v>7.0991295964593443E-2</v>
      </c>
      <c r="U599" t="str">
        <f>IF(首页!$B$13="自然对流","按自然对流公式", "按强制对流公式")</f>
        <v>按自然对流公式</v>
      </c>
      <c r="V599" s="6">
        <f t="shared" si="89"/>
        <v>3.0535104323549143</v>
      </c>
    </row>
    <row r="600" spans="1:22" x14ac:dyDescent="0.15">
      <c r="A600">
        <v>595</v>
      </c>
      <c r="B600" s="6">
        <f>首页!$B$4+2*A600/1000</f>
        <v>1.31</v>
      </c>
      <c r="C600" s="6">
        <f>首页!$B$7+273.15</f>
        <v>388.15</v>
      </c>
      <c r="D600" s="6">
        <f>首页!$B$6+273.15</f>
        <v>293.14999999999998</v>
      </c>
      <c r="E600" s="6">
        <f>首页!$B$5+273.15</f>
        <v>1373.15</v>
      </c>
      <c r="F600" s="6">
        <f t="shared" si="81"/>
        <v>95</v>
      </c>
      <c r="G600" s="6">
        <f t="shared" si="82"/>
        <v>340.65</v>
      </c>
      <c r="H600" s="6">
        <f t="shared" si="83"/>
        <v>1.9926207055139041E-5</v>
      </c>
      <c r="I600" s="7">
        <f t="shared" si="84"/>
        <v>1158916576932337.8</v>
      </c>
      <c r="J600" s="6">
        <f t="shared" si="85"/>
        <v>1.0226038455893147</v>
      </c>
      <c r="K600" s="7">
        <f>J600*H600*首页!$B$12/P600</f>
        <v>0.69532757496605813</v>
      </c>
      <c r="L600" s="6">
        <f>首页!$B$9*0.0000000567*((C600^4-D600^4)/(C600-D600))</f>
        <v>7.7687338005019564</v>
      </c>
      <c r="M600" s="6">
        <f>IF(首页!$B$13="自然对流",IF(首页!$B$14="立式圆筒",首页!$B$10,PI()*B600/2),PI()*B600/2)</f>
        <v>55.2</v>
      </c>
      <c r="N600" s="7">
        <f>IF(首页!$B$13="强制对流",首页!$B$11*M600/H600,0)</f>
        <v>0</v>
      </c>
      <c r="O600" s="6">
        <f>IF(首页!$B$13="自然对流",IF(首页!$B$14="立式圆筒",(0.825+0.3063*I600^(1/6))^2+0.87*(M600/B600),(0.752+0.303*I600^(1/6))^2),0.3+SQRT((0.592*N600^0.5)^2+(0.0262*N600^0.8/(1-0.5/N600^0.1))^2))</f>
        <v>10055.867044919632</v>
      </c>
      <c r="P600" s="6">
        <f t="shared" si="86"/>
        <v>2.9510194925512497E-2</v>
      </c>
      <c r="Q600" s="6">
        <f t="shared" si="87"/>
        <v>5.3759166058082553</v>
      </c>
      <c r="R600" s="6">
        <f t="shared" si="88"/>
        <v>13.144650406310213</v>
      </c>
      <c r="S600" s="6">
        <f>B600*LN(B600/首页!$B$4)</f>
        <v>3.1312807821712281</v>
      </c>
      <c r="T600" s="6">
        <f>2*首页!$B$8*(E600-C600)/(R600*(C600-D600))</f>
        <v>7.0991457809244651E-2</v>
      </c>
      <c r="U600" t="str">
        <f>IF(首页!$B$13="自然对流","按自然对流公式", "按强制对流公式")</f>
        <v>按自然对流公式</v>
      </c>
      <c r="V600" s="6">
        <f t="shared" si="89"/>
        <v>3.0602893243619835</v>
      </c>
    </row>
    <row r="601" spans="1:22" x14ac:dyDescent="0.15">
      <c r="A601">
        <v>596</v>
      </c>
      <c r="B601" s="6">
        <f>首页!$B$4+2*A601/1000</f>
        <v>1.3119999999999998</v>
      </c>
      <c r="C601" s="6">
        <f>首页!$B$7+273.15</f>
        <v>388.15</v>
      </c>
      <c r="D601" s="6">
        <f>首页!$B$6+273.15</f>
        <v>293.14999999999998</v>
      </c>
      <c r="E601" s="6">
        <f>首页!$B$5+273.15</f>
        <v>1373.15</v>
      </c>
      <c r="F601" s="6">
        <f t="shared" si="81"/>
        <v>95</v>
      </c>
      <c r="G601" s="6">
        <f t="shared" si="82"/>
        <v>340.65</v>
      </c>
      <c r="H601" s="6">
        <f t="shared" si="83"/>
        <v>1.9926207055139041E-5</v>
      </c>
      <c r="I601" s="7">
        <f t="shared" si="84"/>
        <v>1158916576932337.8</v>
      </c>
      <c r="J601" s="6">
        <f t="shared" si="85"/>
        <v>1.0226038455893147</v>
      </c>
      <c r="K601" s="7">
        <f>J601*H601*首页!$B$12/P601</f>
        <v>0.69532757496605813</v>
      </c>
      <c r="L601" s="6">
        <f>首页!$B$9*0.0000000567*((C601^4-D601^4)/(C601-D601))</f>
        <v>7.7687338005019564</v>
      </c>
      <c r="M601" s="6">
        <f>IF(首页!$B$13="自然对流",IF(首页!$B$14="立式圆筒",首页!$B$10,PI()*B601/2),PI()*B601/2)</f>
        <v>55.2</v>
      </c>
      <c r="N601" s="7">
        <f>IF(首页!$B$13="强制对流",首页!$B$11*M601/H601,0)</f>
        <v>0</v>
      </c>
      <c r="O601" s="6">
        <f>IF(首页!$B$13="自然对流",IF(首页!$B$14="立式圆筒",(0.825+0.3063*I601^(1/6))^2+0.87*(M601/B601),(0.752+0.303*I601^(1/6))^2),0.3+SQRT((0.592*N601^0.5)^2+(0.0262*N601^0.8/(1-0.5/N601^0.1))^2))</f>
        <v>10055.811161471485</v>
      </c>
      <c r="P601" s="6">
        <f t="shared" si="86"/>
        <v>2.9510194925512497E-2</v>
      </c>
      <c r="Q601" s="6">
        <f t="shared" si="87"/>
        <v>5.3758867302385456</v>
      </c>
      <c r="R601" s="6">
        <f t="shared" si="88"/>
        <v>13.144620530740502</v>
      </c>
      <c r="S601" s="6">
        <f>B601*LN(B601/首页!$B$4)</f>
        <v>3.1380628894592482</v>
      </c>
      <c r="T601" s="6">
        <f>2*首页!$B$8*(E601-C601)/(R601*(C601-D601))</f>
        <v>7.0991619161201655E-2</v>
      </c>
      <c r="U601" t="str">
        <f>IF(首页!$B$13="自然对流","按自然对流公式", "按强制对流公式")</f>
        <v>按自然对流公式</v>
      </c>
      <c r="V601" s="6">
        <f t="shared" si="89"/>
        <v>3.0670712702980465</v>
      </c>
    </row>
    <row r="602" spans="1:22" x14ac:dyDescent="0.15">
      <c r="A602">
        <v>597</v>
      </c>
      <c r="B602" s="6">
        <f>首页!$B$4+2*A602/1000</f>
        <v>1.3140000000000001</v>
      </c>
      <c r="C602" s="6">
        <f>首页!$B$7+273.15</f>
        <v>388.15</v>
      </c>
      <c r="D602" s="6">
        <f>首页!$B$6+273.15</f>
        <v>293.14999999999998</v>
      </c>
      <c r="E602" s="6">
        <f>首页!$B$5+273.15</f>
        <v>1373.15</v>
      </c>
      <c r="F602" s="6">
        <f t="shared" si="81"/>
        <v>95</v>
      </c>
      <c r="G602" s="6">
        <f t="shared" si="82"/>
        <v>340.65</v>
      </c>
      <c r="H602" s="6">
        <f t="shared" si="83"/>
        <v>1.9926207055139041E-5</v>
      </c>
      <c r="I602" s="7">
        <f t="shared" si="84"/>
        <v>1158916576932337.8</v>
      </c>
      <c r="J602" s="6">
        <f t="shared" si="85"/>
        <v>1.0226038455893147</v>
      </c>
      <c r="K602" s="7">
        <f>J602*H602*首页!$B$12/P602</f>
        <v>0.69532757496605813</v>
      </c>
      <c r="L602" s="6">
        <f>首页!$B$9*0.0000000567*((C602^4-D602^4)/(C602-D602))</f>
        <v>7.7687338005019564</v>
      </c>
      <c r="M602" s="6">
        <f>IF(首页!$B$13="自然对流",IF(首页!$B$14="立式圆筒",首页!$B$10,PI()*B602/2),PI()*B602/2)</f>
        <v>55.2</v>
      </c>
      <c r="N602" s="7">
        <f>IF(首页!$B$13="强制对流",首页!$B$11*M602/H602,0)</f>
        <v>0</v>
      </c>
      <c r="O602" s="6">
        <f>IF(首页!$B$13="自然对流",IF(首页!$B$14="立式圆筒",(0.825+0.3063*I602^(1/6))^2+0.87*(M602/B602),(0.752+0.303*I602^(1/6))^2),0.3+SQRT((0.592*N602^0.5)^2+(0.0262*N602^0.8/(1-0.5/N602^0.1))^2))</f>
        <v>10055.755448140379</v>
      </c>
      <c r="P602" s="6">
        <f t="shared" si="86"/>
        <v>2.9510194925512497E-2</v>
      </c>
      <c r="Q602" s="6">
        <f t="shared" si="87"/>
        <v>5.3758569456142533</v>
      </c>
      <c r="R602" s="6">
        <f t="shared" si="88"/>
        <v>13.14459074611621</v>
      </c>
      <c r="S602" s="6">
        <f>B602*LN(B602/首页!$B$4)</f>
        <v>3.1448480455289385</v>
      </c>
      <c r="T602" s="6">
        <f>2*首页!$B$8*(E602-C602)/(R602*(C602-D602))</f>
        <v>7.0991780022710824E-2</v>
      </c>
      <c r="U602" t="str">
        <f>IF(首页!$B$13="自然对流","按自然对流公式", "按强制对流公式")</f>
        <v>按自然对流公式</v>
      </c>
      <c r="V602" s="6">
        <f t="shared" si="89"/>
        <v>3.0738562655062278</v>
      </c>
    </row>
    <row r="603" spans="1:22" x14ac:dyDescent="0.15">
      <c r="A603">
        <v>598</v>
      </c>
      <c r="B603" s="6">
        <f>首页!$B$4+2*A603/1000</f>
        <v>1.3159999999999998</v>
      </c>
      <c r="C603" s="6">
        <f>首页!$B$7+273.15</f>
        <v>388.15</v>
      </c>
      <c r="D603" s="6">
        <f>首页!$B$6+273.15</f>
        <v>293.14999999999998</v>
      </c>
      <c r="E603" s="6">
        <f>首页!$B$5+273.15</f>
        <v>1373.15</v>
      </c>
      <c r="F603" s="6">
        <f t="shared" si="81"/>
        <v>95</v>
      </c>
      <c r="G603" s="6">
        <f t="shared" si="82"/>
        <v>340.65</v>
      </c>
      <c r="H603" s="6">
        <f t="shared" si="83"/>
        <v>1.9926207055139041E-5</v>
      </c>
      <c r="I603" s="7">
        <f t="shared" si="84"/>
        <v>1158916576932337.8</v>
      </c>
      <c r="J603" s="6">
        <f t="shared" si="85"/>
        <v>1.0226038455893147</v>
      </c>
      <c r="K603" s="7">
        <f>J603*H603*首页!$B$12/P603</f>
        <v>0.69532757496605813</v>
      </c>
      <c r="L603" s="6">
        <f>首页!$B$9*0.0000000567*((C603^4-D603^4)/(C603-D603))</f>
        <v>7.7687338005019564</v>
      </c>
      <c r="M603" s="6">
        <f>IF(首页!$B$13="自然对流",IF(首页!$B$14="立式圆筒",首页!$B$10,PI()*B603/2),PI()*B603/2)</f>
        <v>55.2</v>
      </c>
      <c r="N603" s="7">
        <f>IF(首页!$B$13="强制对流",首页!$B$11*M603/H603,0)</f>
        <v>0</v>
      </c>
      <c r="O603" s="6">
        <f>IF(首页!$B$13="自然对流",IF(首页!$B$14="立式圆筒",(0.825+0.3063*I603^(1/6))^2+0.87*(M603/B603),(0.752+0.303*I603^(1/6))^2),0.3+SQRT((0.592*N603^0.5)^2+(0.0262*N603^0.8/(1-0.5/N603^0.1))^2))</f>
        <v>10055.699904150706</v>
      </c>
      <c r="P603" s="6">
        <f t="shared" si="86"/>
        <v>2.9510194925512497E-2</v>
      </c>
      <c r="Q603" s="6">
        <f t="shared" si="87"/>
        <v>5.3758272515207368</v>
      </c>
      <c r="R603" s="6">
        <f t="shared" si="88"/>
        <v>13.144561052022693</v>
      </c>
      <c r="S603" s="6">
        <f>B603*LN(B603/首页!$B$4)</f>
        <v>3.1516362457398324</v>
      </c>
      <c r="T603" s="6">
        <f>2*首页!$B$8*(E603-C603)/(R603*(C603-D603))</f>
        <v>7.0991940396004885E-2</v>
      </c>
      <c r="U603" t="str">
        <f>IF(首页!$B$13="自然对流","按自然对流公式", "按强制对流公式")</f>
        <v>按自然对流公式</v>
      </c>
      <c r="V603" s="6">
        <f t="shared" si="89"/>
        <v>3.0806443053438275</v>
      </c>
    </row>
    <row r="604" spans="1:22" x14ac:dyDescent="0.15">
      <c r="A604">
        <v>599</v>
      </c>
      <c r="B604" s="6">
        <f>首页!$B$4+2*A604/1000</f>
        <v>1.3180000000000001</v>
      </c>
      <c r="C604" s="6">
        <f>首页!$B$7+273.15</f>
        <v>388.15</v>
      </c>
      <c r="D604" s="6">
        <f>首页!$B$6+273.15</f>
        <v>293.14999999999998</v>
      </c>
      <c r="E604" s="6">
        <f>首页!$B$5+273.15</f>
        <v>1373.15</v>
      </c>
      <c r="F604" s="6">
        <f t="shared" si="81"/>
        <v>95</v>
      </c>
      <c r="G604" s="6">
        <f t="shared" si="82"/>
        <v>340.65</v>
      </c>
      <c r="H604" s="6">
        <f t="shared" si="83"/>
        <v>1.9926207055139041E-5</v>
      </c>
      <c r="I604" s="7">
        <f t="shared" si="84"/>
        <v>1158916576932337.8</v>
      </c>
      <c r="J604" s="6">
        <f t="shared" si="85"/>
        <v>1.0226038455893147</v>
      </c>
      <c r="K604" s="7">
        <f>J604*H604*首页!$B$12/P604</f>
        <v>0.69532757496605813</v>
      </c>
      <c r="L604" s="6">
        <f>首页!$B$9*0.0000000567*((C604^4-D604^4)/(C604-D604))</f>
        <v>7.7687338005019564</v>
      </c>
      <c r="M604" s="6">
        <f>IF(首页!$B$13="自然对流",IF(首页!$B$14="立式圆筒",首页!$B$10,PI()*B604/2),PI()*B604/2)</f>
        <v>55.2</v>
      </c>
      <c r="N604" s="7">
        <f>IF(首页!$B$13="强制对流",首页!$B$11*M604/H604,0)</f>
        <v>0</v>
      </c>
      <c r="O604" s="6">
        <f>IF(首页!$B$13="自然对流",IF(首页!$B$14="立式圆筒",(0.825+0.3063*I604^(1/6))^2+0.87*(M604/B604),(0.752+0.303*I604^(1/6))^2),0.3+SQRT((0.592*N604^0.5)^2+(0.0262*N604^0.8/(1-0.5/N604^0.1))^2))</f>
        <v>10055.644528731562</v>
      </c>
      <c r="P604" s="6">
        <f t="shared" si="86"/>
        <v>2.9510194925512497E-2</v>
      </c>
      <c r="Q604" s="6">
        <f t="shared" si="87"/>
        <v>5.3757976475458626</v>
      </c>
      <c r="R604" s="6">
        <f t="shared" si="88"/>
        <v>13.144531448047818</v>
      </c>
      <c r="S604" s="6">
        <f>B604*LN(B604/首页!$B$4)</f>
        <v>3.1584274854655763</v>
      </c>
      <c r="T604" s="6">
        <f>2*首页!$B$8*(E604-C604)/(R604*(C604-D604))</f>
        <v>7.0992100283303106E-2</v>
      </c>
      <c r="U604" t="str">
        <f>IF(首页!$B$13="自然对流","按自然对流公式", "按强制对流公式")</f>
        <v>按自然对流公式</v>
      </c>
      <c r="V604" s="6">
        <f t="shared" si="89"/>
        <v>3.0874353851822733</v>
      </c>
    </row>
    <row r="605" spans="1:22" x14ac:dyDescent="0.15">
      <c r="A605">
        <v>600</v>
      </c>
      <c r="B605" s="6">
        <f>首页!$B$4+2*A605/1000</f>
        <v>1.3199999999999998</v>
      </c>
      <c r="C605" s="6">
        <f>首页!$B$7+273.15</f>
        <v>388.15</v>
      </c>
      <c r="D605" s="6">
        <f>首页!$B$6+273.15</f>
        <v>293.14999999999998</v>
      </c>
      <c r="E605" s="6">
        <f>首页!$B$5+273.15</f>
        <v>1373.15</v>
      </c>
      <c r="F605" s="6">
        <f t="shared" si="81"/>
        <v>95</v>
      </c>
      <c r="G605" s="6">
        <f t="shared" si="82"/>
        <v>340.65</v>
      </c>
      <c r="H605" s="6">
        <f t="shared" si="83"/>
        <v>1.9926207055139041E-5</v>
      </c>
      <c r="I605" s="7">
        <f t="shared" si="84"/>
        <v>1158916576932337.8</v>
      </c>
      <c r="J605" s="6">
        <f t="shared" si="85"/>
        <v>1.0226038455893147</v>
      </c>
      <c r="K605" s="7">
        <f>J605*H605*首页!$B$12/P605</f>
        <v>0.69532757496605813</v>
      </c>
      <c r="L605" s="6">
        <f>首页!$B$9*0.0000000567*((C605^4-D605^4)/(C605-D605))</f>
        <v>7.7687338005019564</v>
      </c>
      <c r="M605" s="6">
        <f>IF(首页!$B$13="自然对流",IF(首页!$B$14="立式圆筒",首页!$B$10,PI()*B605/2),PI()*B605/2)</f>
        <v>55.2</v>
      </c>
      <c r="N605" s="7">
        <f>IF(首页!$B$13="强制对流",首页!$B$11*M605/H605,0)</f>
        <v>0</v>
      </c>
      <c r="O605" s="6">
        <f>IF(首页!$B$13="自然对流",IF(首页!$B$14="立式圆筒",(0.825+0.3063*I605^(1/6))^2+0.87*(M605/B605),(0.752+0.303*I605^(1/6))^2),0.3+SQRT((0.592*N605^0.5)^2+(0.0262*N605^0.8/(1-0.5/N605^0.1))^2))</f>
        <v>10055.589321116719</v>
      </c>
      <c r="P605" s="6">
        <f t="shared" si="86"/>
        <v>2.9510194925512497E-2</v>
      </c>
      <c r="Q605" s="6">
        <f t="shared" si="87"/>
        <v>5.3757681332800038</v>
      </c>
      <c r="R605" s="6">
        <f t="shared" si="88"/>
        <v>13.14450193378196</v>
      </c>
      <c r="S605" s="6">
        <f>B605*LN(B605/首页!$B$4)</f>
        <v>3.1652217600938481</v>
      </c>
      <c r="T605" s="6">
        <f>2*首页!$B$8*(E605-C605)/(R605*(C605-D605))</f>
        <v>7.0992259686811304E-2</v>
      </c>
      <c r="U605" t="str">
        <f>IF(首页!$B$13="自然对流","按自然对流公式", "按强制对流公式")</f>
        <v>按自然对流公式</v>
      </c>
      <c r="V605" s="6">
        <f t="shared" si="89"/>
        <v>3.094229500407037</v>
      </c>
    </row>
    <row r="606" spans="1:22" x14ac:dyDescent="0.15">
      <c r="A606">
        <v>601</v>
      </c>
      <c r="B606" s="6">
        <f>首页!$B$4+2*A606/1000</f>
        <v>1.3220000000000001</v>
      </c>
      <c r="C606" s="6">
        <f>首页!$B$7+273.15</f>
        <v>388.15</v>
      </c>
      <c r="D606" s="6">
        <f>首页!$B$6+273.15</f>
        <v>293.14999999999998</v>
      </c>
      <c r="E606" s="6">
        <f>首页!$B$5+273.15</f>
        <v>1373.15</v>
      </c>
      <c r="F606" s="6">
        <f t="shared" si="81"/>
        <v>95</v>
      </c>
      <c r="G606" s="6">
        <f t="shared" si="82"/>
        <v>340.65</v>
      </c>
      <c r="H606" s="6">
        <f t="shared" si="83"/>
        <v>1.9926207055139041E-5</v>
      </c>
      <c r="I606" s="7">
        <f t="shared" si="84"/>
        <v>1158916576932337.8</v>
      </c>
      <c r="J606" s="6">
        <f t="shared" si="85"/>
        <v>1.0226038455893147</v>
      </c>
      <c r="K606" s="7">
        <f>J606*H606*首页!$B$12/P606</f>
        <v>0.69532757496605813</v>
      </c>
      <c r="L606" s="6">
        <f>首页!$B$9*0.0000000567*((C606^4-D606^4)/(C606-D606))</f>
        <v>7.7687338005019564</v>
      </c>
      <c r="M606" s="6">
        <f>IF(首页!$B$13="自然对流",IF(首页!$B$14="立式圆筒",首页!$B$10,PI()*B606/2),PI()*B606/2)</f>
        <v>55.2</v>
      </c>
      <c r="N606" s="7">
        <f>IF(首页!$B$13="强制对流",首页!$B$11*M606/H606,0)</f>
        <v>0</v>
      </c>
      <c r="O606" s="6">
        <f>IF(首页!$B$13="自然对流",IF(首页!$B$14="立式圆筒",(0.825+0.3063*I606^(1/6))^2+0.87*(M606/B606),(0.752+0.303*I606^(1/6))^2),0.3+SQRT((0.592*N606^0.5)^2+(0.0262*N606^0.8/(1-0.5/N606^0.1))^2))</f>
        <v>10055.534280544582</v>
      </c>
      <c r="P606" s="6">
        <f t="shared" si="86"/>
        <v>2.9510194925512497E-2</v>
      </c>
      <c r="Q606" s="6">
        <f t="shared" si="87"/>
        <v>5.3757387083160086</v>
      </c>
      <c r="R606" s="6">
        <f t="shared" si="88"/>
        <v>13.144472508817966</v>
      </c>
      <c r="S606" s="6">
        <f>B606*LN(B606/首页!$B$4)</f>
        <v>3.1720190650263125</v>
      </c>
      <c r="T606" s="6">
        <f>2*首页!$B$8*(E606-C606)/(R606*(C606-D606))</f>
        <v>7.0992418608721922E-2</v>
      </c>
      <c r="U606" t="str">
        <f>IF(首页!$B$13="自然对流","按自然对流公式", "按强制对流公式")</f>
        <v>按自然对流公式</v>
      </c>
      <c r="V606" s="6">
        <f t="shared" si="89"/>
        <v>3.1010266464175906</v>
      </c>
    </row>
    <row r="607" spans="1:22" x14ac:dyDescent="0.15">
      <c r="A607">
        <v>602</v>
      </c>
      <c r="B607" s="6">
        <f>首页!$B$4+2*A607/1000</f>
        <v>1.3239999999999998</v>
      </c>
      <c r="C607" s="6">
        <f>首页!$B$7+273.15</f>
        <v>388.15</v>
      </c>
      <c r="D607" s="6">
        <f>首页!$B$6+273.15</f>
        <v>293.14999999999998</v>
      </c>
      <c r="E607" s="6">
        <f>首页!$B$5+273.15</f>
        <v>1373.15</v>
      </c>
      <c r="F607" s="6">
        <f t="shared" si="81"/>
        <v>95</v>
      </c>
      <c r="G607" s="6">
        <f t="shared" si="82"/>
        <v>340.65</v>
      </c>
      <c r="H607" s="6">
        <f t="shared" si="83"/>
        <v>1.9926207055139041E-5</v>
      </c>
      <c r="I607" s="7">
        <f t="shared" si="84"/>
        <v>1158916576932337.8</v>
      </c>
      <c r="J607" s="6">
        <f t="shared" si="85"/>
        <v>1.0226038455893147</v>
      </c>
      <c r="K607" s="7">
        <f>J607*H607*首页!$B$12/P607</f>
        <v>0.69532757496605813</v>
      </c>
      <c r="L607" s="6">
        <f>首页!$B$9*0.0000000567*((C607^4-D607^4)/(C607-D607))</f>
        <v>7.7687338005019564</v>
      </c>
      <c r="M607" s="6">
        <f>IF(首页!$B$13="自然对流",IF(首页!$B$14="立式圆筒",首页!$B$10,PI()*B607/2),PI()*B607/2)</f>
        <v>55.2</v>
      </c>
      <c r="N607" s="7">
        <f>IF(首页!$B$13="强制对流",首页!$B$11*M607/H607,0)</f>
        <v>0</v>
      </c>
      <c r="O607" s="6">
        <f>IF(首页!$B$13="自然对流",IF(首页!$B$14="立式圆筒",(0.825+0.3063*I607^(1/6))^2+0.87*(M607/B607),(0.752+0.303*I607^(1/6))^2),0.3+SQRT((0.592*N607^0.5)^2+(0.0262*N607^0.8/(1-0.5/N607^0.1))^2))</f>
        <v>10055.479406258162</v>
      </c>
      <c r="P607" s="6">
        <f t="shared" si="86"/>
        <v>2.9510194925512497E-2</v>
      </c>
      <c r="Q607" s="6">
        <f t="shared" si="87"/>
        <v>5.3757093722491849</v>
      </c>
      <c r="R607" s="6">
        <f t="shared" si="88"/>
        <v>13.144443172751142</v>
      </c>
      <c r="S607" s="6">
        <f>B607*LN(B607/首页!$B$4)</f>
        <v>3.1788193956785369</v>
      </c>
      <c r="T607" s="6">
        <f>2*首页!$B$8*(E607-C607)/(R607*(C607-D607))</f>
        <v>7.0992577051214215E-2</v>
      </c>
      <c r="U607" t="str">
        <f>IF(首页!$B$13="自然对流","按自然对流公式", "按强制对流公式")</f>
        <v>按自然对流公式</v>
      </c>
      <c r="V607" s="6">
        <f t="shared" si="89"/>
        <v>3.1078268186273226</v>
      </c>
    </row>
    <row r="608" spans="1:22" x14ac:dyDescent="0.15">
      <c r="A608">
        <v>603</v>
      </c>
      <c r="B608" s="6">
        <f>首页!$B$4+2*A608/1000</f>
        <v>1.3260000000000001</v>
      </c>
      <c r="C608" s="6">
        <f>首页!$B$7+273.15</f>
        <v>388.15</v>
      </c>
      <c r="D608" s="6">
        <f>首页!$B$6+273.15</f>
        <v>293.14999999999998</v>
      </c>
      <c r="E608" s="6">
        <f>首页!$B$5+273.15</f>
        <v>1373.15</v>
      </c>
      <c r="F608" s="6">
        <f t="shared" si="81"/>
        <v>95</v>
      </c>
      <c r="G608" s="6">
        <f t="shared" si="82"/>
        <v>340.65</v>
      </c>
      <c r="H608" s="6">
        <f t="shared" si="83"/>
        <v>1.9926207055139041E-5</v>
      </c>
      <c r="I608" s="7">
        <f t="shared" si="84"/>
        <v>1158916576932337.8</v>
      </c>
      <c r="J608" s="6">
        <f t="shared" si="85"/>
        <v>1.0226038455893147</v>
      </c>
      <c r="K608" s="7">
        <f>J608*H608*首页!$B$12/P608</f>
        <v>0.69532757496605813</v>
      </c>
      <c r="L608" s="6">
        <f>首页!$B$9*0.0000000567*((C608^4-D608^4)/(C608-D608))</f>
        <v>7.7687338005019564</v>
      </c>
      <c r="M608" s="6">
        <f>IF(首页!$B$13="自然对流",IF(首页!$B$14="立式圆筒",首页!$B$10,PI()*B608/2),PI()*B608/2)</f>
        <v>55.2</v>
      </c>
      <c r="N608" s="7">
        <f>IF(首页!$B$13="强制对流",首页!$B$11*M608/H608,0)</f>
        <v>0</v>
      </c>
      <c r="O608" s="6">
        <f>IF(首页!$B$13="自然对流",IF(首页!$B$14="立式圆筒",(0.825+0.3063*I608^(1/6))^2+0.87*(M608/B608),(0.752+0.303*I608^(1/6))^2),0.3+SQRT((0.592*N608^0.5)^2+(0.0262*N608^0.8/(1-0.5/N608^0.1))^2))</f>
        <v>10055.424697505036</v>
      </c>
      <c r="P608" s="6">
        <f t="shared" si="86"/>
        <v>2.9510194925512497E-2</v>
      </c>
      <c r="Q608" s="6">
        <f t="shared" si="87"/>
        <v>5.3756801246772845</v>
      </c>
      <c r="R608" s="6">
        <f t="shared" si="88"/>
        <v>13.14441392517924</v>
      </c>
      <c r="S608" s="6">
        <f>B608*LN(B608/首页!$B$4)</f>
        <v>3.1856227474799486</v>
      </c>
      <c r="T608" s="6">
        <f>2*首页!$B$8*(E608-C608)/(R608*(C608-D608))</f>
        <v>7.0992735016454339E-2</v>
      </c>
      <c r="U608" t="str">
        <f>IF(首页!$B$13="自然对流","按自然对流公式", "按强制对流公式")</f>
        <v>按自然对流公式</v>
      </c>
      <c r="V608" s="6">
        <f t="shared" si="89"/>
        <v>3.1146300124634942</v>
      </c>
    </row>
    <row r="609" spans="1:22" x14ac:dyDescent="0.15">
      <c r="A609">
        <v>604</v>
      </c>
      <c r="B609" s="6">
        <f>首页!$B$4+2*A609/1000</f>
        <v>1.3279999999999998</v>
      </c>
      <c r="C609" s="6">
        <f>首页!$B$7+273.15</f>
        <v>388.15</v>
      </c>
      <c r="D609" s="6">
        <f>首页!$B$6+273.15</f>
        <v>293.14999999999998</v>
      </c>
      <c r="E609" s="6">
        <f>首页!$B$5+273.15</f>
        <v>1373.15</v>
      </c>
      <c r="F609" s="6">
        <f t="shared" si="81"/>
        <v>95</v>
      </c>
      <c r="G609" s="6">
        <f t="shared" si="82"/>
        <v>340.65</v>
      </c>
      <c r="H609" s="6">
        <f t="shared" si="83"/>
        <v>1.9926207055139041E-5</v>
      </c>
      <c r="I609" s="7">
        <f t="shared" si="84"/>
        <v>1158916576932337.8</v>
      </c>
      <c r="J609" s="6">
        <f t="shared" si="85"/>
        <v>1.0226038455893147</v>
      </c>
      <c r="K609" s="7">
        <f>J609*H609*首页!$B$12/P609</f>
        <v>0.69532757496605813</v>
      </c>
      <c r="L609" s="6">
        <f>首页!$B$9*0.0000000567*((C609^4-D609^4)/(C609-D609))</f>
        <v>7.7687338005019564</v>
      </c>
      <c r="M609" s="6">
        <f>IF(首页!$B$13="自然对流",IF(首页!$B$14="立式圆筒",首页!$B$10,PI()*B609/2),PI()*B609/2)</f>
        <v>55.2</v>
      </c>
      <c r="N609" s="7">
        <f>IF(首页!$B$13="强制对流",首页!$B$11*M609/H609,0)</f>
        <v>0</v>
      </c>
      <c r="O609" s="6">
        <f>IF(首页!$B$13="自然对流",IF(首页!$B$14="立式圆筒",(0.825+0.3063*I609^(1/6))^2+0.87*(M609/B609),(0.752+0.303*I609^(1/6))^2),0.3+SQRT((0.592*N609^0.5)^2+(0.0262*N609^0.8/(1-0.5/N609^0.1))^2))</f>
        <v>10055.370153537309</v>
      </c>
      <c r="P609" s="6">
        <f t="shared" si="86"/>
        <v>2.9510194925512497E-2</v>
      </c>
      <c r="Q609" s="6">
        <f t="shared" si="87"/>
        <v>5.3756509652004798</v>
      </c>
      <c r="R609" s="6">
        <f t="shared" si="88"/>
        <v>13.144384765702437</v>
      </c>
      <c r="S609" s="6">
        <f>B609*LN(B609/首页!$B$4)</f>
        <v>3.1924291158737539</v>
      </c>
      <c r="T609" s="6">
        <f>2*首页!$B$8*(E609-C609)/(R609*(C609-D609))</f>
        <v>7.0992892506595323E-2</v>
      </c>
      <c r="U609" t="str">
        <f>IF(首页!$B$13="自然对流","按自然对流公式", "按强制对流公式")</f>
        <v>按自然对流公式</v>
      </c>
      <c r="V609" s="6">
        <f t="shared" si="89"/>
        <v>3.1214362233671586</v>
      </c>
    </row>
    <row r="610" spans="1:22" x14ac:dyDescent="0.15">
      <c r="A610">
        <v>605</v>
      </c>
      <c r="B610" s="6">
        <f>首页!$B$4+2*A610/1000</f>
        <v>1.33</v>
      </c>
      <c r="C610" s="6">
        <f>首页!$B$7+273.15</f>
        <v>388.15</v>
      </c>
      <c r="D610" s="6">
        <f>首页!$B$6+273.15</f>
        <v>293.14999999999998</v>
      </c>
      <c r="E610" s="6">
        <f>首页!$B$5+273.15</f>
        <v>1373.15</v>
      </c>
      <c r="F610" s="6">
        <f t="shared" si="81"/>
        <v>95</v>
      </c>
      <c r="G610" s="6">
        <f t="shared" si="82"/>
        <v>340.65</v>
      </c>
      <c r="H610" s="6">
        <f t="shared" si="83"/>
        <v>1.9926207055139041E-5</v>
      </c>
      <c r="I610" s="7">
        <f t="shared" si="84"/>
        <v>1158916576932337.8</v>
      </c>
      <c r="J610" s="6">
        <f t="shared" si="85"/>
        <v>1.0226038455893147</v>
      </c>
      <c r="K610" s="7">
        <f>J610*H610*首页!$B$12/P610</f>
        <v>0.69532757496605813</v>
      </c>
      <c r="L610" s="6">
        <f>首页!$B$9*0.0000000567*((C610^4-D610^4)/(C610-D610))</f>
        <v>7.7687338005019564</v>
      </c>
      <c r="M610" s="6">
        <f>IF(首页!$B$13="自然对流",IF(首页!$B$14="立式圆筒",首页!$B$10,PI()*B610/2),PI()*B610/2)</f>
        <v>55.2</v>
      </c>
      <c r="N610" s="7">
        <f>IF(首页!$B$13="强制对流",首页!$B$11*M610/H610,0)</f>
        <v>0</v>
      </c>
      <c r="O610" s="6">
        <f>IF(首页!$B$13="自然对流",IF(首页!$B$14="立式圆筒",(0.825+0.3063*I610^(1/6))^2+0.87*(M610/B610),(0.752+0.303*I610^(1/6))^2),0.3+SQRT((0.592*N610^0.5)^2+(0.0262*N610^0.8/(1-0.5/N610^0.1))^2))</f>
        <v>10055.315773611592</v>
      </c>
      <c r="P610" s="6">
        <f t="shared" si="86"/>
        <v>2.9510194925512497E-2</v>
      </c>
      <c r="Q610" s="6">
        <f t="shared" si="87"/>
        <v>5.3756218934213509</v>
      </c>
      <c r="R610" s="6">
        <f t="shared" si="88"/>
        <v>13.144355693923307</v>
      </c>
      <c r="S610" s="6">
        <f>B610*LN(B610/首页!$B$4)</f>
        <v>3.1992384963168923</v>
      </c>
      <c r="T610" s="6">
        <f>2*首页!$B$8*(E610-C610)/(R610*(C610-D610))</f>
        <v>7.0993049523777343E-2</v>
      </c>
      <c r="U610" t="str">
        <f>IF(首页!$B$13="自然对流","按自然对流公式", "按强制对流公式")</f>
        <v>按自然对流公式</v>
      </c>
      <c r="V610" s="6">
        <f t="shared" si="89"/>
        <v>3.1282454467931151</v>
      </c>
    </row>
    <row r="611" spans="1:22" x14ac:dyDescent="0.15">
      <c r="A611">
        <v>606</v>
      </c>
      <c r="B611" s="6">
        <f>首页!$B$4+2*A611/1000</f>
        <v>1.3319999999999999</v>
      </c>
      <c r="C611" s="6">
        <f>首页!$B$7+273.15</f>
        <v>388.15</v>
      </c>
      <c r="D611" s="6">
        <f>首页!$B$6+273.15</f>
        <v>293.14999999999998</v>
      </c>
      <c r="E611" s="6">
        <f>首页!$B$5+273.15</f>
        <v>1373.15</v>
      </c>
      <c r="F611" s="6">
        <f t="shared" si="81"/>
        <v>95</v>
      </c>
      <c r="G611" s="6">
        <f t="shared" si="82"/>
        <v>340.65</v>
      </c>
      <c r="H611" s="6">
        <f t="shared" si="83"/>
        <v>1.9926207055139041E-5</v>
      </c>
      <c r="I611" s="7">
        <f t="shared" si="84"/>
        <v>1158916576932337.8</v>
      </c>
      <c r="J611" s="6">
        <f t="shared" si="85"/>
        <v>1.0226038455893147</v>
      </c>
      <c r="K611" s="7">
        <f>J611*H611*首页!$B$12/P611</f>
        <v>0.69532757496605813</v>
      </c>
      <c r="L611" s="6">
        <f>首页!$B$9*0.0000000567*((C611^4-D611^4)/(C611-D611))</f>
        <v>7.7687338005019564</v>
      </c>
      <c r="M611" s="6">
        <f>IF(首页!$B$13="自然对流",IF(首页!$B$14="立式圆筒",首页!$B$10,PI()*B611/2),PI()*B611/2)</f>
        <v>55.2</v>
      </c>
      <c r="N611" s="7">
        <f>IF(首页!$B$13="强制对流",首页!$B$11*M611/H611,0)</f>
        <v>0</v>
      </c>
      <c r="O611" s="6">
        <f>IF(首页!$B$13="自然对流",IF(首页!$B$14="立式圆筒",(0.825+0.3063*I611^(1/6))^2+0.87*(M611/B611),(0.752+0.303*I611^(1/6))^2),0.3+SQRT((0.592*N611^0.5)^2+(0.0262*N611^0.8/(1-0.5/N611^0.1))^2))</f>
        <v>10055.261556988953</v>
      </c>
      <c r="P611" s="6">
        <f t="shared" si="86"/>
        <v>2.9510194925512497E-2</v>
      </c>
      <c r="Q611" s="6">
        <f t="shared" si="87"/>
        <v>5.37559290894486</v>
      </c>
      <c r="R611" s="6">
        <f t="shared" si="88"/>
        <v>13.144326709446815</v>
      </c>
      <c r="S611" s="6">
        <f>B611*LN(B611/首页!$B$4)</f>
        <v>3.2060508842799598</v>
      </c>
      <c r="T611" s="6">
        <f>2*首页!$B$8*(E611-C611)/(R611*(C611-D611))</f>
        <v>7.0993206070127768E-2</v>
      </c>
      <c r="U611" t="str">
        <f>IF(首页!$B$13="自然对流","按自然对流公式", "按强制对流公式")</f>
        <v>按自然对流公式</v>
      </c>
      <c r="V611" s="6">
        <f t="shared" si="89"/>
        <v>3.1350576782098321</v>
      </c>
    </row>
    <row r="612" spans="1:22" x14ac:dyDescent="0.15">
      <c r="A612">
        <v>607</v>
      </c>
      <c r="B612" s="6">
        <f>首页!$B$4+2*A612/1000</f>
        <v>1.3340000000000001</v>
      </c>
      <c r="C612" s="6">
        <f>首页!$B$7+273.15</f>
        <v>388.15</v>
      </c>
      <c r="D612" s="6">
        <f>首页!$B$6+273.15</f>
        <v>293.14999999999998</v>
      </c>
      <c r="E612" s="6">
        <f>首页!$B$5+273.15</f>
        <v>1373.15</v>
      </c>
      <c r="F612" s="6">
        <f t="shared" si="81"/>
        <v>95</v>
      </c>
      <c r="G612" s="6">
        <f t="shared" si="82"/>
        <v>340.65</v>
      </c>
      <c r="H612" s="6">
        <f t="shared" si="83"/>
        <v>1.9926207055139041E-5</v>
      </c>
      <c r="I612" s="7">
        <f t="shared" si="84"/>
        <v>1158916576932337.8</v>
      </c>
      <c r="J612" s="6">
        <f t="shared" si="85"/>
        <v>1.0226038455893147</v>
      </c>
      <c r="K612" s="7">
        <f>J612*H612*首页!$B$12/P612</f>
        <v>0.69532757496605813</v>
      </c>
      <c r="L612" s="6">
        <f>首页!$B$9*0.0000000567*((C612^4-D612^4)/(C612-D612))</f>
        <v>7.7687338005019564</v>
      </c>
      <c r="M612" s="6">
        <f>IF(首页!$B$13="自然对流",IF(首页!$B$14="立式圆筒",首页!$B$10,PI()*B612/2),PI()*B612/2)</f>
        <v>55.2</v>
      </c>
      <c r="N612" s="7">
        <f>IF(首页!$B$13="强制对流",首页!$B$11*M612/H612,0)</f>
        <v>0</v>
      </c>
      <c r="O612" s="6">
        <f>IF(首页!$B$13="自然对流",IF(首页!$B$14="立式圆筒",(0.825+0.3063*I612^(1/6))^2+0.87*(M612/B612),(0.752+0.303*I612^(1/6))^2),0.3+SQRT((0.592*N612^0.5)^2+(0.0262*N612^0.8/(1-0.5/N612^0.1))^2))</f>
        <v>10055.2075029349</v>
      </c>
      <c r="P612" s="6">
        <f t="shared" si="86"/>
        <v>2.9510194925512497E-2</v>
      </c>
      <c r="Q612" s="6">
        <f t="shared" si="87"/>
        <v>5.3755640113783452</v>
      </c>
      <c r="R612" s="6">
        <f t="shared" si="88"/>
        <v>13.144297811880302</v>
      </c>
      <c r="S612" s="6">
        <f>B612*LN(B612/首页!$B$4)</f>
        <v>3.2128662752471597</v>
      </c>
      <c r="T612" s="6">
        <f>2*首页!$B$8*(E612-C612)/(R612*(C612-D612))</f>
        <v>7.0993362147761099E-2</v>
      </c>
      <c r="U612" t="str">
        <f>IF(首页!$B$13="自然对流","按自然对流公式", "按强制对流公式")</f>
        <v>按自然对流公式</v>
      </c>
      <c r="V612" s="6">
        <f t="shared" si="89"/>
        <v>3.1418729130993985</v>
      </c>
    </row>
    <row r="613" spans="1:22" x14ac:dyDescent="0.15">
      <c r="A613">
        <v>608</v>
      </c>
      <c r="B613" s="6">
        <f>首页!$B$4+2*A613/1000</f>
        <v>1.3359999999999999</v>
      </c>
      <c r="C613" s="6">
        <f>首页!$B$7+273.15</f>
        <v>388.15</v>
      </c>
      <c r="D613" s="6">
        <f>首页!$B$6+273.15</f>
        <v>293.14999999999998</v>
      </c>
      <c r="E613" s="6">
        <f>首页!$B$5+273.15</f>
        <v>1373.15</v>
      </c>
      <c r="F613" s="6">
        <f t="shared" si="81"/>
        <v>95</v>
      </c>
      <c r="G613" s="6">
        <f t="shared" si="82"/>
        <v>340.65</v>
      </c>
      <c r="H613" s="6">
        <f t="shared" si="83"/>
        <v>1.9926207055139041E-5</v>
      </c>
      <c r="I613" s="7">
        <f t="shared" si="84"/>
        <v>1158916576932337.8</v>
      </c>
      <c r="J613" s="6">
        <f t="shared" si="85"/>
        <v>1.0226038455893147</v>
      </c>
      <c r="K613" s="7">
        <f>J613*H613*首页!$B$12/P613</f>
        <v>0.69532757496605813</v>
      </c>
      <c r="L613" s="6">
        <f>首页!$B$9*0.0000000567*((C613^4-D613^4)/(C613-D613))</f>
        <v>7.7687338005019564</v>
      </c>
      <c r="M613" s="6">
        <f>IF(首页!$B$13="自然对流",IF(首页!$B$14="立式圆筒",首页!$B$10,PI()*B613/2),PI()*B613/2)</f>
        <v>55.2</v>
      </c>
      <c r="N613" s="7">
        <f>IF(首页!$B$13="强制对流",首页!$B$11*M613/H613,0)</f>
        <v>0</v>
      </c>
      <c r="O613" s="6">
        <f>IF(首页!$B$13="自然对流",IF(首页!$B$14="立式圆筒",(0.825+0.3063*I613^(1/6))^2+0.87*(M613/B613),(0.752+0.303*I613^(1/6))^2),0.3+SQRT((0.592*N613^0.5)^2+(0.0262*N613^0.8/(1-0.5/N613^0.1))^2))</f>
        <v>10055.153610719331</v>
      </c>
      <c r="P613" s="6">
        <f t="shared" si="86"/>
        <v>2.9510194925512497E-2</v>
      </c>
      <c r="Q613" s="6">
        <f t="shared" si="87"/>
        <v>5.3755352003314893</v>
      </c>
      <c r="R613" s="6">
        <f t="shared" si="88"/>
        <v>13.144269000833447</v>
      </c>
      <c r="S613" s="6">
        <f>B613*LN(B613/首页!$B$4)</f>
        <v>3.2196846647162318</v>
      </c>
      <c r="T613" s="6">
        <f>2*首页!$B$8*(E613-C613)/(R613*(C613-D613))</f>
        <v>7.0993517758779351E-2</v>
      </c>
      <c r="U613" t="str">
        <f>IF(首页!$B$13="自然对流","按自然对流公式", "按强制对流公式")</f>
        <v>按自然对流公式</v>
      </c>
      <c r="V613" s="6">
        <f t="shared" si="89"/>
        <v>3.1486911469574523</v>
      </c>
    </row>
    <row r="614" spans="1:22" x14ac:dyDescent="0.15">
      <c r="A614">
        <v>609</v>
      </c>
      <c r="B614" s="6">
        <f>首页!$B$4+2*A614/1000</f>
        <v>1.3380000000000001</v>
      </c>
      <c r="C614" s="6">
        <f>首页!$B$7+273.15</f>
        <v>388.15</v>
      </c>
      <c r="D614" s="6">
        <f>首页!$B$6+273.15</f>
        <v>293.14999999999998</v>
      </c>
      <c r="E614" s="6">
        <f>首页!$B$5+273.15</f>
        <v>1373.15</v>
      </c>
      <c r="F614" s="6">
        <f t="shared" si="81"/>
        <v>95</v>
      </c>
      <c r="G614" s="6">
        <f t="shared" si="82"/>
        <v>340.65</v>
      </c>
      <c r="H614" s="6">
        <f t="shared" si="83"/>
        <v>1.9926207055139041E-5</v>
      </c>
      <c r="I614" s="7">
        <f t="shared" si="84"/>
        <v>1158916576932337.8</v>
      </c>
      <c r="J614" s="6">
        <f t="shared" si="85"/>
        <v>1.0226038455893147</v>
      </c>
      <c r="K614" s="7">
        <f>J614*H614*首页!$B$12/P614</f>
        <v>0.69532757496605813</v>
      </c>
      <c r="L614" s="6">
        <f>首页!$B$9*0.0000000567*((C614^4-D614^4)/(C614-D614))</f>
        <v>7.7687338005019564</v>
      </c>
      <c r="M614" s="6">
        <f>IF(首页!$B$13="自然对流",IF(首页!$B$14="立式圆筒",首页!$B$10,PI()*B614/2),PI()*B614/2)</f>
        <v>55.2</v>
      </c>
      <c r="N614" s="7">
        <f>IF(首页!$B$13="强制对流",首页!$B$11*M614/H614,0)</f>
        <v>0</v>
      </c>
      <c r="O614" s="6">
        <f>IF(首页!$B$13="自然对流",IF(首页!$B$14="立式圆筒",(0.825+0.3063*I614^(1/6))^2+0.87*(M614/B614),(0.752+0.303*I614^(1/6))^2),0.3+SQRT((0.592*N614^0.5)^2+(0.0262*N614^0.8/(1-0.5/N614^0.1))^2))</f>
        <v>10055.099879616515</v>
      </c>
      <c r="P614" s="6">
        <f t="shared" si="86"/>
        <v>2.9510194925512497E-2</v>
      </c>
      <c r="Q614" s="6">
        <f t="shared" si="87"/>
        <v>5.3755064754163149</v>
      </c>
      <c r="R614" s="6">
        <f t="shared" si="88"/>
        <v>13.144240275918271</v>
      </c>
      <c r="S614" s="6">
        <f>B614*LN(B614/首页!$B$4)</f>
        <v>3.2265060481983996</v>
      </c>
      <c r="T614" s="6">
        <f>2*首页!$B$8*(E614-C614)/(R614*(C614-D614))</f>
        <v>7.0993672905271865E-2</v>
      </c>
      <c r="U614" t="str">
        <f>IF(首页!$B$13="自然对流","按自然对流公式", "按强制对流公式")</f>
        <v>按自然对流公式</v>
      </c>
      <c r="V614" s="6">
        <f t="shared" si="89"/>
        <v>3.1555123752931276</v>
      </c>
    </row>
    <row r="615" spans="1:22" x14ac:dyDescent="0.15">
      <c r="A615">
        <v>610</v>
      </c>
      <c r="B615" s="6">
        <f>首页!$B$4+2*A615/1000</f>
        <v>1.3399999999999999</v>
      </c>
      <c r="C615" s="6">
        <f>首页!$B$7+273.15</f>
        <v>388.15</v>
      </c>
      <c r="D615" s="6">
        <f>首页!$B$6+273.15</f>
        <v>293.14999999999998</v>
      </c>
      <c r="E615" s="6">
        <f>首页!$B$5+273.15</f>
        <v>1373.15</v>
      </c>
      <c r="F615" s="6">
        <f t="shared" si="81"/>
        <v>95</v>
      </c>
      <c r="G615" s="6">
        <f t="shared" si="82"/>
        <v>340.65</v>
      </c>
      <c r="H615" s="6">
        <f t="shared" si="83"/>
        <v>1.9926207055139041E-5</v>
      </c>
      <c r="I615" s="7">
        <f t="shared" si="84"/>
        <v>1158916576932337.8</v>
      </c>
      <c r="J615" s="6">
        <f t="shared" si="85"/>
        <v>1.0226038455893147</v>
      </c>
      <c r="K615" s="7">
        <f>J615*H615*首页!$B$12/P615</f>
        <v>0.69532757496605813</v>
      </c>
      <c r="L615" s="6">
        <f>首页!$B$9*0.0000000567*((C615^4-D615^4)/(C615-D615))</f>
        <v>7.7687338005019564</v>
      </c>
      <c r="M615" s="6">
        <f>IF(首页!$B$13="自然对流",IF(首页!$B$14="立式圆筒",首页!$B$10,PI()*B615/2),PI()*B615/2)</f>
        <v>55.2</v>
      </c>
      <c r="N615" s="7">
        <f>IF(首页!$B$13="强制对流",首页!$B$11*M615/H615,0)</f>
        <v>0</v>
      </c>
      <c r="O615" s="6">
        <f>IF(首页!$B$13="自然对流",IF(首页!$B$14="立式圆筒",(0.825+0.3063*I615^(1/6))^2+0.87*(M615/B615),(0.752+0.303*I615^(1/6))^2),0.3+SQRT((0.592*N615^0.5)^2+(0.0262*N615^0.8/(1-0.5/N615^0.1))^2))</f>
        <v>10055.04630890505</v>
      </c>
      <c r="P615" s="6">
        <f t="shared" si="86"/>
        <v>2.9510194925512497E-2</v>
      </c>
      <c r="Q615" s="6">
        <f t="shared" si="87"/>
        <v>5.3754778362471543</v>
      </c>
      <c r="R615" s="6">
        <f t="shared" si="88"/>
        <v>13.144211636749111</v>
      </c>
      <c r="S615" s="6">
        <f>B615*LN(B615/首页!$B$4)</f>
        <v>3.2333304212183007</v>
      </c>
      <c r="T615" s="6">
        <f>2*首页!$B$8*(E615-C615)/(R615*(C615-D615))</f>
        <v>7.0993827589315606E-2</v>
      </c>
      <c r="U615" t="str">
        <f>IF(首页!$B$13="自然对流","按自然对流公式", "按强制对流公式")</f>
        <v>按自然对流公式</v>
      </c>
      <c r="V615" s="6">
        <f t="shared" si="89"/>
        <v>3.1623365936289849</v>
      </c>
    </row>
    <row r="616" spans="1:22" x14ac:dyDescent="0.15">
      <c r="A616">
        <v>611</v>
      </c>
      <c r="B616" s="6">
        <f>首页!$B$4+2*A616/1000</f>
        <v>1.3420000000000001</v>
      </c>
      <c r="C616" s="6">
        <f>首页!$B$7+273.15</f>
        <v>388.15</v>
      </c>
      <c r="D616" s="6">
        <f>首页!$B$6+273.15</f>
        <v>293.14999999999998</v>
      </c>
      <c r="E616" s="6">
        <f>首页!$B$5+273.15</f>
        <v>1373.15</v>
      </c>
      <c r="F616" s="6">
        <f t="shared" si="81"/>
        <v>95</v>
      </c>
      <c r="G616" s="6">
        <f t="shared" si="82"/>
        <v>340.65</v>
      </c>
      <c r="H616" s="6">
        <f t="shared" si="83"/>
        <v>1.9926207055139041E-5</v>
      </c>
      <c r="I616" s="7">
        <f t="shared" si="84"/>
        <v>1158916576932337.8</v>
      </c>
      <c r="J616" s="6">
        <f t="shared" si="85"/>
        <v>1.0226038455893147</v>
      </c>
      <c r="K616" s="7">
        <f>J616*H616*首页!$B$12/P616</f>
        <v>0.69532757496605813</v>
      </c>
      <c r="L616" s="6">
        <f>首页!$B$9*0.0000000567*((C616^4-D616^4)/(C616-D616))</f>
        <v>7.7687338005019564</v>
      </c>
      <c r="M616" s="6">
        <f>IF(首页!$B$13="自然对流",IF(首页!$B$14="立式圆筒",首页!$B$10,PI()*B616/2),PI()*B616/2)</f>
        <v>55.2</v>
      </c>
      <c r="N616" s="7">
        <f>IF(首页!$B$13="强制对流",首页!$B$11*M616/H616,0)</f>
        <v>0</v>
      </c>
      <c r="O616" s="6">
        <f>IF(首页!$B$13="自然对流",IF(首页!$B$14="立式圆筒",(0.825+0.3063*I616^(1/6))^2+0.87*(M616/B616),(0.752+0.303*I616^(1/6))^2),0.3+SQRT((0.592*N616^0.5)^2+(0.0262*N616^0.8/(1-0.5/N616^0.1))^2))</f>
        <v>10054.992897867836</v>
      </c>
      <c r="P616" s="6">
        <f t="shared" si="86"/>
        <v>2.9510194925512497E-2</v>
      </c>
      <c r="Q616" s="6">
        <f t="shared" si="87"/>
        <v>5.3754492824406448</v>
      </c>
      <c r="R616" s="6">
        <f t="shared" si="88"/>
        <v>13.1441830829426</v>
      </c>
      <c r="S616" s="6">
        <f>B616*LN(B616/首页!$B$4)</f>
        <v>3.2401577793139382</v>
      </c>
      <c r="T616" s="6">
        <f>2*首页!$B$8*(E616-C616)/(R616*(C616-D616))</f>
        <v>7.0993981812975115E-2</v>
      </c>
      <c r="U616" t="str">
        <f>IF(首页!$B$13="自然对流","按自然对流公式", "按强制对流公式")</f>
        <v>按自然对流公式</v>
      </c>
      <c r="V616" s="6">
        <f t="shared" si="89"/>
        <v>3.1691637975009632</v>
      </c>
    </row>
    <row r="617" spans="1:22" x14ac:dyDescent="0.15">
      <c r="A617">
        <v>612</v>
      </c>
      <c r="B617" s="6">
        <f>首页!$B$4+2*A617/1000</f>
        <v>1.3439999999999999</v>
      </c>
      <c r="C617" s="6">
        <f>首页!$B$7+273.15</f>
        <v>388.15</v>
      </c>
      <c r="D617" s="6">
        <f>首页!$B$6+273.15</f>
        <v>293.14999999999998</v>
      </c>
      <c r="E617" s="6">
        <f>首页!$B$5+273.15</f>
        <v>1373.15</v>
      </c>
      <c r="F617" s="6">
        <f t="shared" si="81"/>
        <v>95</v>
      </c>
      <c r="G617" s="6">
        <f t="shared" si="82"/>
        <v>340.65</v>
      </c>
      <c r="H617" s="6">
        <f t="shared" si="83"/>
        <v>1.9926207055139041E-5</v>
      </c>
      <c r="I617" s="7">
        <f t="shared" si="84"/>
        <v>1158916576932337.8</v>
      </c>
      <c r="J617" s="6">
        <f t="shared" si="85"/>
        <v>1.0226038455893147</v>
      </c>
      <c r="K617" s="7">
        <f>J617*H617*首页!$B$12/P617</f>
        <v>0.69532757496605813</v>
      </c>
      <c r="L617" s="6">
        <f>首页!$B$9*0.0000000567*((C617^4-D617^4)/(C617-D617))</f>
        <v>7.7687338005019564</v>
      </c>
      <c r="M617" s="6">
        <f>IF(首页!$B$13="自然对流",IF(首页!$B$14="立式圆筒",首页!$B$10,PI()*B617/2),PI()*B617/2)</f>
        <v>55.2</v>
      </c>
      <c r="N617" s="7">
        <f>IF(首页!$B$13="强制对流",首页!$B$11*M617/H617,0)</f>
        <v>0</v>
      </c>
      <c r="O617" s="6">
        <f>IF(首页!$B$13="自然对流",IF(首页!$B$14="立式圆筒",(0.825+0.3063*I617^(1/6))^2+0.87*(M617/B617),(0.752+0.303*I617^(1/6))^2),0.3+SQRT((0.592*N617^0.5)^2+(0.0262*N617^0.8/(1-0.5/N617^0.1))^2))</f>
        <v>10054.939645792043</v>
      </c>
      <c r="P617" s="6">
        <f t="shared" si="86"/>
        <v>2.9510194925512497E-2</v>
      </c>
      <c r="Q617" s="6">
        <f t="shared" si="87"/>
        <v>5.375420813615702</v>
      </c>
      <c r="R617" s="6">
        <f t="shared" si="88"/>
        <v>13.144154614117658</v>
      </c>
      <c r="S617" s="6">
        <f>B617*LN(B617/首页!$B$4)</f>
        <v>3.2469881180366089</v>
      </c>
      <c r="T617" s="6">
        <f>2*首页!$B$8*(E617-C617)/(R617*(C617-D617))</f>
        <v>7.0994135578302697E-2</v>
      </c>
      <c r="U617" t="str">
        <f>IF(首页!$B$13="自然对流","按自然对流公式", "按强制对流公式")</f>
        <v>按自然对流公式</v>
      </c>
      <c r="V617" s="6">
        <f t="shared" si="89"/>
        <v>3.1759939824583063</v>
      </c>
    </row>
    <row r="618" spans="1:22" x14ac:dyDescent="0.15">
      <c r="A618">
        <v>613</v>
      </c>
      <c r="B618" s="6">
        <f>首页!$B$4+2*A618/1000</f>
        <v>1.3460000000000001</v>
      </c>
      <c r="C618" s="6">
        <f>首页!$B$7+273.15</f>
        <v>388.15</v>
      </c>
      <c r="D618" s="6">
        <f>首页!$B$6+273.15</f>
        <v>293.14999999999998</v>
      </c>
      <c r="E618" s="6">
        <f>首页!$B$5+273.15</f>
        <v>1373.15</v>
      </c>
      <c r="F618" s="6">
        <f t="shared" si="81"/>
        <v>95</v>
      </c>
      <c r="G618" s="6">
        <f t="shared" si="82"/>
        <v>340.65</v>
      </c>
      <c r="H618" s="6">
        <f t="shared" si="83"/>
        <v>1.9926207055139041E-5</v>
      </c>
      <c r="I618" s="7">
        <f t="shared" si="84"/>
        <v>1158916576932337.8</v>
      </c>
      <c r="J618" s="6">
        <f t="shared" si="85"/>
        <v>1.0226038455893147</v>
      </c>
      <c r="K618" s="7">
        <f>J618*H618*首页!$B$12/P618</f>
        <v>0.69532757496605813</v>
      </c>
      <c r="L618" s="6">
        <f>首页!$B$9*0.0000000567*((C618^4-D618^4)/(C618-D618))</f>
        <v>7.7687338005019564</v>
      </c>
      <c r="M618" s="6">
        <f>IF(首页!$B$13="自然对流",IF(首页!$B$14="立式圆筒",首页!$B$10,PI()*B618/2),PI()*B618/2)</f>
        <v>55.2</v>
      </c>
      <c r="N618" s="7">
        <f>IF(首页!$B$13="强制对流",首页!$B$11*M618/H618,0)</f>
        <v>0</v>
      </c>
      <c r="O618" s="6">
        <f>IF(首页!$B$13="自然对流",IF(首页!$B$14="立式圆筒",(0.825+0.3063*I618^(1/6))^2+0.87*(M618/B618),(0.752+0.303*I618^(1/6))^2),0.3+SQRT((0.592*N618^0.5)^2+(0.0262*N618^0.8/(1-0.5/N618^0.1))^2))</f>
        <v>10054.886551969075</v>
      </c>
      <c r="P618" s="6">
        <f t="shared" si="86"/>
        <v>2.9510194925512497E-2</v>
      </c>
      <c r="Q618" s="6">
        <f t="shared" si="87"/>
        <v>5.3753924293935071</v>
      </c>
      <c r="R618" s="6">
        <f t="shared" si="88"/>
        <v>13.144126229895463</v>
      </c>
      <c r="S618" s="6">
        <f>B618*LN(B618/首页!$B$4)</f>
        <v>3.2538214329508568</v>
      </c>
      <c r="T618" s="6">
        <f>2*首页!$B$8*(E618-C618)/(R618*(C618-D618))</f>
        <v>7.0994288887338511E-2</v>
      </c>
      <c r="U618" t="str">
        <f>IF(首页!$B$13="自然对流","按自然对流公式", "按强制对流公式")</f>
        <v>按自然对流公式</v>
      </c>
      <c r="V618" s="6">
        <f t="shared" si="89"/>
        <v>3.1828271440635181</v>
      </c>
    </row>
    <row r="619" spans="1:22" x14ac:dyDescent="0.15">
      <c r="A619">
        <v>614</v>
      </c>
      <c r="B619" s="6">
        <f>首页!$B$4+2*A619/1000</f>
        <v>1.3479999999999999</v>
      </c>
      <c r="C619" s="6">
        <f>首页!$B$7+273.15</f>
        <v>388.15</v>
      </c>
      <c r="D619" s="6">
        <f>首页!$B$6+273.15</f>
        <v>293.14999999999998</v>
      </c>
      <c r="E619" s="6">
        <f>首页!$B$5+273.15</f>
        <v>1373.15</v>
      </c>
      <c r="F619" s="6">
        <f t="shared" si="81"/>
        <v>95</v>
      </c>
      <c r="G619" s="6">
        <f t="shared" si="82"/>
        <v>340.65</v>
      </c>
      <c r="H619" s="6">
        <f t="shared" si="83"/>
        <v>1.9926207055139041E-5</v>
      </c>
      <c r="I619" s="7">
        <f t="shared" si="84"/>
        <v>1158916576932337.8</v>
      </c>
      <c r="J619" s="6">
        <f t="shared" si="85"/>
        <v>1.0226038455893147</v>
      </c>
      <c r="K619" s="7">
        <f>J619*H619*首页!$B$12/P619</f>
        <v>0.69532757496605813</v>
      </c>
      <c r="L619" s="6">
        <f>首页!$B$9*0.0000000567*((C619^4-D619^4)/(C619-D619))</f>
        <v>7.7687338005019564</v>
      </c>
      <c r="M619" s="6">
        <f>IF(首页!$B$13="自然对流",IF(首页!$B$14="立式圆筒",首页!$B$10,PI()*B619/2),PI()*B619/2)</f>
        <v>55.2</v>
      </c>
      <c r="N619" s="7">
        <f>IF(首页!$B$13="强制对流",首页!$B$11*M619/H619,0)</f>
        <v>0</v>
      </c>
      <c r="O619" s="6">
        <f>IF(首页!$B$13="自然对流",IF(首页!$B$14="立式圆筒",(0.825+0.3063*I619^(1/6))^2+0.87*(M619/B619),(0.752+0.303*I619^(1/6))^2),0.3+SQRT((0.592*N619^0.5)^2+(0.0262*N619^0.8/(1-0.5/N619^0.1))^2))</f>
        <v>10054.833615694544</v>
      </c>
      <c r="P619" s="6">
        <f t="shared" si="86"/>
        <v>2.9510194925512497E-2</v>
      </c>
      <c r="Q619" s="6">
        <f t="shared" si="87"/>
        <v>5.375364129397493</v>
      </c>
      <c r="R619" s="6">
        <f t="shared" si="88"/>
        <v>13.144097929899448</v>
      </c>
      <c r="S619" s="6">
        <f>B619*LN(B619/首页!$B$4)</f>
        <v>3.2606577196343975</v>
      </c>
      <c r="T619" s="6">
        <f>2*首页!$B$8*(E619-C619)/(R619*(C619-D619))</f>
        <v>7.0994441742110545E-2</v>
      </c>
      <c r="U619" t="str">
        <f>IF(首页!$B$13="自然对流","按自然对流公式", "按强制对流公式")</f>
        <v>按自然对流公式</v>
      </c>
      <c r="V619" s="6">
        <f t="shared" si="89"/>
        <v>3.1896632778922869</v>
      </c>
    </row>
    <row r="620" spans="1:22" x14ac:dyDescent="0.15">
      <c r="A620">
        <v>615</v>
      </c>
      <c r="B620" s="6">
        <f>首页!$B$4+2*A620/1000</f>
        <v>1.35</v>
      </c>
      <c r="C620" s="6">
        <f>首页!$B$7+273.15</f>
        <v>388.15</v>
      </c>
      <c r="D620" s="6">
        <f>首页!$B$6+273.15</f>
        <v>293.14999999999998</v>
      </c>
      <c r="E620" s="6">
        <f>首页!$B$5+273.15</f>
        <v>1373.15</v>
      </c>
      <c r="F620" s="6">
        <f t="shared" si="81"/>
        <v>95</v>
      </c>
      <c r="G620" s="6">
        <f t="shared" si="82"/>
        <v>340.65</v>
      </c>
      <c r="H620" s="6">
        <f t="shared" si="83"/>
        <v>1.9926207055139041E-5</v>
      </c>
      <c r="I620" s="7">
        <f t="shared" si="84"/>
        <v>1158916576932337.8</v>
      </c>
      <c r="J620" s="6">
        <f t="shared" si="85"/>
        <v>1.0226038455893147</v>
      </c>
      <c r="K620" s="7">
        <f>J620*H620*首页!$B$12/P620</f>
        <v>0.69532757496605813</v>
      </c>
      <c r="L620" s="6">
        <f>首页!$B$9*0.0000000567*((C620^4-D620^4)/(C620-D620))</f>
        <v>7.7687338005019564</v>
      </c>
      <c r="M620" s="6">
        <f>IF(首页!$B$13="自然对流",IF(首页!$B$14="立式圆筒",首页!$B$10,PI()*B620/2),PI()*B620/2)</f>
        <v>55.2</v>
      </c>
      <c r="N620" s="7">
        <f>IF(首页!$B$13="强制对流",首页!$B$11*M620/H620,0)</f>
        <v>0</v>
      </c>
      <c r="O620" s="6">
        <f>IF(首页!$B$13="自然对流",IF(首页!$B$14="立式圆筒",(0.825+0.3063*I620^(1/6))^2+0.87*(M620/B620),(0.752+0.303*I620^(1/6))^2),0.3+SQRT((0.592*N620^0.5)^2+(0.0262*N620^0.8/(1-0.5/N620^0.1))^2))</f>
        <v>10054.780836268234</v>
      </c>
      <c r="P620" s="6">
        <f t="shared" si="86"/>
        <v>2.9510194925512497E-2</v>
      </c>
      <c r="Q620" s="6">
        <f t="shared" si="87"/>
        <v>5.3753359132533172</v>
      </c>
      <c r="R620" s="6">
        <f t="shared" si="88"/>
        <v>13.144069713755274</v>
      </c>
      <c r="S620" s="6">
        <f>B620*LN(B620/首页!$B$4)</f>
        <v>3.2674969736780799</v>
      </c>
      <c r="T620" s="6">
        <f>2*首页!$B$8*(E620-C620)/(R620*(C620-D620))</f>
        <v>7.0994594144634826E-2</v>
      </c>
      <c r="U620" t="str">
        <f>IF(首页!$B$13="自然对流","按自然对流公式", "按强制对流公式")</f>
        <v>按自然对流公式</v>
      </c>
      <c r="V620" s="6">
        <f t="shared" si="89"/>
        <v>3.1965023795334453</v>
      </c>
    </row>
    <row r="621" spans="1:22" x14ac:dyDescent="0.15">
      <c r="A621">
        <v>616</v>
      </c>
      <c r="B621" s="6">
        <f>首页!$B$4+2*A621/1000</f>
        <v>1.3519999999999999</v>
      </c>
      <c r="C621" s="6">
        <f>首页!$B$7+273.15</f>
        <v>388.15</v>
      </c>
      <c r="D621" s="6">
        <f>首页!$B$6+273.15</f>
        <v>293.14999999999998</v>
      </c>
      <c r="E621" s="6">
        <f>首页!$B$5+273.15</f>
        <v>1373.15</v>
      </c>
      <c r="F621" s="6">
        <f t="shared" si="81"/>
        <v>95</v>
      </c>
      <c r="G621" s="6">
        <f t="shared" si="82"/>
        <v>340.65</v>
      </c>
      <c r="H621" s="6">
        <f t="shared" si="83"/>
        <v>1.9926207055139041E-5</v>
      </c>
      <c r="I621" s="7">
        <f t="shared" si="84"/>
        <v>1158916576932337.8</v>
      </c>
      <c r="J621" s="6">
        <f t="shared" si="85"/>
        <v>1.0226038455893147</v>
      </c>
      <c r="K621" s="7">
        <f>J621*H621*首页!$B$12/P621</f>
        <v>0.69532757496605813</v>
      </c>
      <c r="L621" s="6">
        <f>首页!$B$9*0.0000000567*((C621^4-D621^4)/(C621-D621))</f>
        <v>7.7687338005019564</v>
      </c>
      <c r="M621" s="6">
        <f>IF(首页!$B$13="自然对流",IF(首页!$B$14="立式圆筒",首页!$B$10,PI()*B621/2),PI()*B621/2)</f>
        <v>55.2</v>
      </c>
      <c r="N621" s="7">
        <f>IF(首页!$B$13="强制对流",首页!$B$11*M621/H621,0)</f>
        <v>0</v>
      </c>
      <c r="O621" s="6">
        <f>IF(首页!$B$13="自然对流",IF(首页!$B$14="立式圆筒",(0.825+0.3063*I621^(1/6))^2+0.87*(M621/B621),(0.752+0.303*I621^(1/6))^2),0.3+SQRT((0.592*N621^0.5)^2+(0.0262*N621^0.8/(1-0.5/N621^0.1))^2))</f>
        <v>10054.728212994072</v>
      </c>
      <c r="P621" s="6">
        <f t="shared" si="86"/>
        <v>2.9510194925512497E-2</v>
      </c>
      <c r="Q621" s="6">
        <f t="shared" si="87"/>
        <v>5.3753077805888587</v>
      </c>
      <c r="R621" s="6">
        <f t="shared" si="88"/>
        <v>13.144041581090814</v>
      </c>
      <c r="S621" s="6">
        <f>B621*LN(B621/首页!$B$4)</f>
        <v>3.274339190685807</v>
      </c>
      <c r="T621" s="6">
        <f>2*首页!$B$8*(E621-C621)/(R621*(C621-D621))</f>
        <v>7.0994746096915501E-2</v>
      </c>
      <c r="U621" t="str">
        <f>IF(首页!$B$13="自然对流","按自然对流公式", "按强制对流公式")</f>
        <v>按自然对流公式</v>
      </c>
      <c r="V621" s="6">
        <f t="shared" si="89"/>
        <v>3.2033444445888914</v>
      </c>
    </row>
    <row r="622" spans="1:22" x14ac:dyDescent="0.15">
      <c r="A622">
        <v>617</v>
      </c>
      <c r="B622" s="6">
        <f>首页!$B$4+2*A622/1000</f>
        <v>1.3540000000000001</v>
      </c>
      <c r="C622" s="6">
        <f>首页!$B$7+273.15</f>
        <v>388.15</v>
      </c>
      <c r="D622" s="6">
        <f>首页!$B$6+273.15</f>
        <v>293.14999999999998</v>
      </c>
      <c r="E622" s="6">
        <f>首页!$B$5+273.15</f>
        <v>1373.15</v>
      </c>
      <c r="F622" s="6">
        <f t="shared" si="81"/>
        <v>95</v>
      </c>
      <c r="G622" s="6">
        <f t="shared" si="82"/>
        <v>340.65</v>
      </c>
      <c r="H622" s="6">
        <f t="shared" si="83"/>
        <v>1.9926207055139041E-5</v>
      </c>
      <c r="I622" s="7">
        <f t="shared" si="84"/>
        <v>1158916576932337.8</v>
      </c>
      <c r="J622" s="6">
        <f t="shared" si="85"/>
        <v>1.0226038455893147</v>
      </c>
      <c r="K622" s="7">
        <f>J622*H622*首页!$B$12/P622</f>
        <v>0.69532757496605813</v>
      </c>
      <c r="L622" s="6">
        <f>首页!$B$9*0.0000000567*((C622^4-D622^4)/(C622-D622))</f>
        <v>7.7687338005019564</v>
      </c>
      <c r="M622" s="6">
        <f>IF(首页!$B$13="自然对流",IF(首页!$B$14="立式圆筒",首页!$B$10,PI()*B622/2),PI()*B622/2)</f>
        <v>55.2</v>
      </c>
      <c r="N622" s="7">
        <f>IF(首页!$B$13="强制对流",首页!$B$11*M622/H622,0)</f>
        <v>0</v>
      </c>
      <c r="O622" s="6">
        <f>IF(首页!$B$13="自然对流",IF(首页!$B$14="立式圆筒",(0.825+0.3063*I622^(1/6))^2+0.87*(M622/B622),(0.752+0.303*I622^(1/6))^2),0.3+SQRT((0.592*N622^0.5)^2+(0.0262*N622^0.8/(1-0.5/N622^0.1))^2))</f>
        <v>10054.675745180099</v>
      </c>
      <c r="P622" s="6">
        <f t="shared" si="86"/>
        <v>2.9510194925512497E-2</v>
      </c>
      <c r="Q622" s="6">
        <f t="shared" si="87"/>
        <v>5.3752797310341904</v>
      </c>
      <c r="R622" s="6">
        <f t="shared" si="88"/>
        <v>13.144013531536146</v>
      </c>
      <c r="S622" s="6">
        <f>B622*LN(B622/首页!$B$4)</f>
        <v>3.2811843662744966</v>
      </c>
      <c r="T622" s="6">
        <f>2*首页!$B$8*(E622-C622)/(R622*(C622-D622))</f>
        <v>7.0994897600944851E-2</v>
      </c>
      <c r="U622" t="str">
        <f>IF(首页!$B$13="自然对流","按自然对流公式", "按强制对流公式")</f>
        <v>按自然对流公式</v>
      </c>
      <c r="V622" s="6">
        <f t="shared" si="89"/>
        <v>3.2101894686735517</v>
      </c>
    </row>
    <row r="623" spans="1:22" x14ac:dyDescent="0.15">
      <c r="A623">
        <v>618</v>
      </c>
      <c r="B623" s="6">
        <f>首页!$B$4+2*A623/1000</f>
        <v>1.3559999999999999</v>
      </c>
      <c r="C623" s="6">
        <f>首页!$B$7+273.15</f>
        <v>388.15</v>
      </c>
      <c r="D623" s="6">
        <f>首页!$B$6+273.15</f>
        <v>293.14999999999998</v>
      </c>
      <c r="E623" s="6">
        <f>首页!$B$5+273.15</f>
        <v>1373.15</v>
      </c>
      <c r="F623" s="6">
        <f t="shared" si="81"/>
        <v>95</v>
      </c>
      <c r="G623" s="6">
        <f t="shared" si="82"/>
        <v>340.65</v>
      </c>
      <c r="H623" s="6">
        <f t="shared" si="83"/>
        <v>1.9926207055139041E-5</v>
      </c>
      <c r="I623" s="7">
        <f t="shared" si="84"/>
        <v>1158916576932337.8</v>
      </c>
      <c r="J623" s="6">
        <f t="shared" si="85"/>
        <v>1.0226038455893147</v>
      </c>
      <c r="K623" s="7">
        <f>J623*H623*首页!$B$12/P623</f>
        <v>0.69532757496605813</v>
      </c>
      <c r="L623" s="6">
        <f>首页!$B$9*0.0000000567*((C623^4-D623^4)/(C623-D623))</f>
        <v>7.7687338005019564</v>
      </c>
      <c r="M623" s="6">
        <f>IF(首页!$B$13="自然对流",IF(首页!$B$14="立式圆筒",首页!$B$10,PI()*B623/2),PI()*B623/2)</f>
        <v>55.2</v>
      </c>
      <c r="N623" s="7">
        <f>IF(首页!$B$13="强制对流",首页!$B$11*M623/H623,0)</f>
        <v>0</v>
      </c>
      <c r="O623" s="6">
        <f>IF(首页!$B$13="自然对流",IF(首页!$B$14="立式圆筒",(0.825+0.3063*I623^(1/6))^2+0.87*(M623/B623),(0.752+0.303*I623^(1/6))^2),0.3+SQRT((0.592*N623^0.5)^2+(0.0262*N623^0.8/(1-0.5/N623^0.1))^2))</f>
        <v>10054.62343213844</v>
      </c>
      <c r="P623" s="6">
        <f t="shared" si="86"/>
        <v>2.9510194925512497E-2</v>
      </c>
      <c r="Q623" s="6">
        <f t="shared" si="87"/>
        <v>5.3752517642215727</v>
      </c>
      <c r="R623" s="6">
        <f t="shared" si="88"/>
        <v>13.143985564723529</v>
      </c>
      <c r="S623" s="6">
        <f>B623*LN(B623/首页!$B$4)</f>
        <v>3.2880324960740075</v>
      </c>
      <c r="T623" s="6">
        <f>2*首页!$B$8*(E623-C623)/(R623*(C623-D623))</f>
        <v>7.0995048658703416E-2</v>
      </c>
      <c r="U623" t="str">
        <f>IF(首页!$B$13="自然对流","按自然对流公式", "按强制对流公式")</f>
        <v>按自然对流公式</v>
      </c>
      <c r="V623" s="6">
        <f t="shared" si="89"/>
        <v>3.2170374474153043</v>
      </c>
    </row>
    <row r="624" spans="1:22" x14ac:dyDescent="0.15">
      <c r="A624">
        <v>619</v>
      </c>
      <c r="B624" s="6">
        <f>首页!$B$4+2*A624/1000</f>
        <v>1.3580000000000001</v>
      </c>
      <c r="C624" s="6">
        <f>首页!$B$7+273.15</f>
        <v>388.15</v>
      </c>
      <c r="D624" s="6">
        <f>首页!$B$6+273.15</f>
        <v>293.14999999999998</v>
      </c>
      <c r="E624" s="6">
        <f>首页!$B$5+273.15</f>
        <v>1373.15</v>
      </c>
      <c r="F624" s="6">
        <f t="shared" si="81"/>
        <v>95</v>
      </c>
      <c r="G624" s="6">
        <f t="shared" si="82"/>
        <v>340.65</v>
      </c>
      <c r="H624" s="6">
        <f t="shared" si="83"/>
        <v>1.9926207055139041E-5</v>
      </c>
      <c r="I624" s="7">
        <f t="shared" si="84"/>
        <v>1158916576932337.8</v>
      </c>
      <c r="J624" s="6">
        <f t="shared" si="85"/>
        <v>1.0226038455893147</v>
      </c>
      <c r="K624" s="7">
        <f>J624*H624*首页!$B$12/P624</f>
        <v>0.69532757496605813</v>
      </c>
      <c r="L624" s="6">
        <f>首页!$B$9*0.0000000567*((C624^4-D624^4)/(C624-D624))</f>
        <v>7.7687338005019564</v>
      </c>
      <c r="M624" s="6">
        <f>IF(首页!$B$13="自然对流",IF(首页!$B$14="立式圆筒",首页!$B$10,PI()*B624/2),PI()*B624/2)</f>
        <v>55.2</v>
      </c>
      <c r="N624" s="7">
        <f>IF(首页!$B$13="强制对流",首页!$B$11*M624/H624,0)</f>
        <v>0</v>
      </c>
      <c r="O624" s="6">
        <f>IF(首页!$B$13="自然对流",IF(首页!$B$14="立式圆筒",(0.825+0.3063*I624^(1/6))^2+0.87*(M624/B624),(0.752+0.303*I624^(1/6))^2),0.3+SQRT((0.592*N624^0.5)^2+(0.0262*N624^0.8/(1-0.5/N624^0.1))^2))</f>
        <v>10054.571273185267</v>
      </c>
      <c r="P624" s="6">
        <f t="shared" si="86"/>
        <v>2.9510194925512497E-2</v>
      </c>
      <c r="Q624" s="6">
        <f t="shared" si="87"/>
        <v>5.3752238797854277</v>
      </c>
      <c r="R624" s="6">
        <f t="shared" si="88"/>
        <v>13.143957680287384</v>
      </c>
      <c r="S624" s="6">
        <f>B624*LN(B624/首页!$B$4)</f>
        <v>3.2948835757270967</v>
      </c>
      <c r="T624" s="6">
        <f>2*首页!$B$8*(E624-C624)/(R624*(C624-D624))</f>
        <v>7.0995199272160109E-2</v>
      </c>
      <c r="U624" t="str">
        <f>IF(首页!$B$13="自然对流","按自然对流公式", "按强制对流公式")</f>
        <v>按自然对流公式</v>
      </c>
      <c r="V624" s="6">
        <f t="shared" si="89"/>
        <v>3.2238883764549366</v>
      </c>
    </row>
    <row r="625" spans="1:22" x14ac:dyDescent="0.15">
      <c r="A625">
        <v>620</v>
      </c>
      <c r="B625" s="6">
        <f>首页!$B$4+2*A625/1000</f>
        <v>1.3599999999999999</v>
      </c>
      <c r="C625" s="6">
        <f>首页!$B$7+273.15</f>
        <v>388.15</v>
      </c>
      <c r="D625" s="6">
        <f>首页!$B$6+273.15</f>
        <v>293.14999999999998</v>
      </c>
      <c r="E625" s="6">
        <f>首页!$B$5+273.15</f>
        <v>1373.15</v>
      </c>
      <c r="F625" s="6">
        <f t="shared" si="81"/>
        <v>95</v>
      </c>
      <c r="G625" s="6">
        <f t="shared" si="82"/>
        <v>340.65</v>
      </c>
      <c r="H625" s="6">
        <f t="shared" si="83"/>
        <v>1.9926207055139041E-5</v>
      </c>
      <c r="I625" s="7">
        <f t="shared" si="84"/>
        <v>1158916576932337.8</v>
      </c>
      <c r="J625" s="6">
        <f t="shared" si="85"/>
        <v>1.0226038455893147</v>
      </c>
      <c r="K625" s="7">
        <f>J625*H625*首页!$B$12/P625</f>
        <v>0.69532757496605813</v>
      </c>
      <c r="L625" s="6">
        <f>首页!$B$9*0.0000000567*((C625^4-D625^4)/(C625-D625))</f>
        <v>7.7687338005019564</v>
      </c>
      <c r="M625" s="6">
        <f>IF(首页!$B$13="自然对流",IF(首页!$B$14="立式圆筒",首页!$B$10,PI()*B625/2),PI()*B625/2)</f>
        <v>55.2</v>
      </c>
      <c r="N625" s="7">
        <f>IF(首页!$B$13="强制对流",首页!$B$11*M625/H625,0)</f>
        <v>0</v>
      </c>
      <c r="O625" s="6">
        <f>IF(首页!$B$13="自然对流",IF(首页!$B$14="立式圆筒",(0.825+0.3063*I625^(1/6))^2+0.87*(M625/B625),(0.752+0.303*I625^(1/6))^2),0.3+SQRT((0.592*N625^0.5)^2+(0.0262*N625^0.8/(1-0.5/N625^0.1))^2))</f>
        <v>10054.519267640782</v>
      </c>
      <c r="P625" s="6">
        <f t="shared" si="86"/>
        <v>2.9510194925512497E-2</v>
      </c>
      <c r="Q625" s="6">
        <f t="shared" si="87"/>
        <v>5.3751960773623297</v>
      </c>
      <c r="R625" s="6">
        <f t="shared" si="88"/>
        <v>13.143929877864286</v>
      </c>
      <c r="S625" s="6">
        <f>B625*LN(B625/首页!$B$4)</f>
        <v>3.30173760088935</v>
      </c>
      <c r="T625" s="6">
        <f>2*首页!$B$8*(E625-C625)/(R625*(C625-D625))</f>
        <v>7.0995349443272279E-2</v>
      </c>
      <c r="U625" t="str">
        <f>IF(首页!$B$13="自然对流","按自然对流公式", "按强制对流公式")</f>
        <v>按自然对流公式</v>
      </c>
      <c r="V625" s="6">
        <f t="shared" si="89"/>
        <v>3.2307422514460775</v>
      </c>
    </row>
    <row r="626" spans="1:22" x14ac:dyDescent="0.15">
      <c r="A626">
        <v>621</v>
      </c>
      <c r="B626" s="6">
        <f>首页!$B$4+2*A626/1000</f>
        <v>1.3620000000000001</v>
      </c>
      <c r="C626" s="6">
        <f>首页!$B$7+273.15</f>
        <v>388.15</v>
      </c>
      <c r="D626" s="6">
        <f>首页!$B$6+273.15</f>
        <v>293.14999999999998</v>
      </c>
      <c r="E626" s="6">
        <f>首页!$B$5+273.15</f>
        <v>1373.15</v>
      </c>
      <c r="F626" s="6">
        <f t="shared" si="81"/>
        <v>95</v>
      </c>
      <c r="G626" s="6">
        <f t="shared" si="82"/>
        <v>340.65</v>
      </c>
      <c r="H626" s="6">
        <f t="shared" si="83"/>
        <v>1.9926207055139041E-5</v>
      </c>
      <c r="I626" s="7">
        <f t="shared" si="84"/>
        <v>1158916576932337.8</v>
      </c>
      <c r="J626" s="6">
        <f t="shared" si="85"/>
        <v>1.0226038455893147</v>
      </c>
      <c r="K626" s="7">
        <f>J626*H626*首页!$B$12/P626</f>
        <v>0.69532757496605813</v>
      </c>
      <c r="L626" s="6">
        <f>首页!$B$9*0.0000000567*((C626^4-D626^4)/(C626-D626))</f>
        <v>7.7687338005019564</v>
      </c>
      <c r="M626" s="6">
        <f>IF(首页!$B$13="自然对流",IF(首页!$B$14="立式圆筒",首页!$B$10,PI()*B626/2),PI()*B626/2)</f>
        <v>55.2</v>
      </c>
      <c r="N626" s="7">
        <f>IF(首页!$B$13="强制对流",首页!$B$11*M626/H626,0)</f>
        <v>0</v>
      </c>
      <c r="O626" s="6">
        <f>IF(首页!$B$13="自然对流",IF(首页!$B$14="立式圆筒",(0.825+0.3063*I626^(1/6))^2+0.87*(M626/B626),(0.752+0.303*I626^(1/6))^2),0.3+SQRT((0.592*N626^0.5)^2+(0.0262*N626^0.8/(1-0.5/N626^0.1))^2))</f>
        <v>10054.467414829172</v>
      </c>
      <c r="P626" s="6">
        <f t="shared" si="86"/>
        <v>2.9510194925512497E-2</v>
      </c>
      <c r="Q626" s="6">
        <f t="shared" si="87"/>
        <v>5.3751683565909891</v>
      </c>
      <c r="R626" s="6">
        <f t="shared" si="88"/>
        <v>13.143902157092946</v>
      </c>
      <c r="S626" s="6">
        <f>B626*LN(B626/首页!$B$4)</f>
        <v>3.308594567229135</v>
      </c>
      <c r="T626" s="6">
        <f>2*首页!$B$8*(E626-C626)/(R626*(C626-D626))</f>
        <v>7.0995499173985788E-2</v>
      </c>
      <c r="U626" t="str">
        <f>IF(首页!$B$13="自然对流","按自然对流公式", "按强制对流公式")</f>
        <v>按自然对流公式</v>
      </c>
      <c r="V626" s="6">
        <f t="shared" si="89"/>
        <v>3.2375990680551494</v>
      </c>
    </row>
    <row r="627" spans="1:22" x14ac:dyDescent="0.15">
      <c r="A627">
        <v>622</v>
      </c>
      <c r="B627" s="6">
        <f>首页!$B$4+2*A627/1000</f>
        <v>1.3639999999999999</v>
      </c>
      <c r="C627" s="6">
        <f>首页!$B$7+273.15</f>
        <v>388.15</v>
      </c>
      <c r="D627" s="6">
        <f>首页!$B$6+273.15</f>
        <v>293.14999999999998</v>
      </c>
      <c r="E627" s="6">
        <f>首页!$B$5+273.15</f>
        <v>1373.15</v>
      </c>
      <c r="F627" s="6">
        <f t="shared" si="81"/>
        <v>95</v>
      </c>
      <c r="G627" s="6">
        <f t="shared" si="82"/>
        <v>340.65</v>
      </c>
      <c r="H627" s="6">
        <f t="shared" si="83"/>
        <v>1.9926207055139041E-5</v>
      </c>
      <c r="I627" s="7">
        <f t="shared" si="84"/>
        <v>1158916576932337.8</v>
      </c>
      <c r="J627" s="6">
        <f t="shared" si="85"/>
        <v>1.0226038455893147</v>
      </c>
      <c r="K627" s="7">
        <f>J627*H627*首页!$B$12/P627</f>
        <v>0.69532757496605813</v>
      </c>
      <c r="L627" s="6">
        <f>首页!$B$9*0.0000000567*((C627^4-D627^4)/(C627-D627))</f>
        <v>7.7687338005019564</v>
      </c>
      <c r="M627" s="6">
        <f>IF(首页!$B$13="自然对流",IF(首页!$B$14="立式圆筒",首页!$B$10,PI()*B627/2),PI()*B627/2)</f>
        <v>55.2</v>
      </c>
      <c r="N627" s="7">
        <f>IF(首页!$B$13="强制对流",首页!$B$11*M627/H627,0)</f>
        <v>0</v>
      </c>
      <c r="O627" s="6">
        <f>IF(首页!$B$13="自然对流",IF(首页!$B$14="立式圆筒",(0.825+0.3063*I627^(1/6))^2+0.87*(M627/B627),(0.752+0.303*I627^(1/6))^2),0.3+SQRT((0.592*N627^0.5)^2+(0.0262*N627^0.8/(1-0.5/N627^0.1))^2))</f>
        <v>10054.415714078596</v>
      </c>
      <c r="P627" s="6">
        <f t="shared" si="86"/>
        <v>2.9510194925512497E-2</v>
      </c>
      <c r="Q627" s="6">
        <f t="shared" si="87"/>
        <v>5.3751407171122327</v>
      </c>
      <c r="R627" s="6">
        <f t="shared" si="88"/>
        <v>13.14387451761419</v>
      </c>
      <c r="S627" s="6">
        <f>B627*LN(B627/首页!$B$4)</f>
        <v>3.3154544704275368</v>
      </c>
      <c r="T627" s="6">
        <f>2*首页!$B$8*(E627-C627)/(R627*(C627-D627))</f>
        <v>7.0995648466235073E-2</v>
      </c>
      <c r="U627" t="str">
        <f>IF(首页!$B$13="自然对流","按自然对流公式", "按强制对流公式")</f>
        <v>按自然对流公式</v>
      </c>
      <c r="V627" s="6">
        <f t="shared" si="89"/>
        <v>3.2444588219613015</v>
      </c>
    </row>
    <row r="628" spans="1:22" x14ac:dyDescent="0.15">
      <c r="A628">
        <v>623</v>
      </c>
      <c r="B628" s="6">
        <f>首页!$B$4+2*A628/1000</f>
        <v>1.3660000000000001</v>
      </c>
      <c r="C628" s="6">
        <f>首页!$B$7+273.15</f>
        <v>388.15</v>
      </c>
      <c r="D628" s="6">
        <f>首页!$B$6+273.15</f>
        <v>293.14999999999998</v>
      </c>
      <c r="E628" s="6">
        <f>首页!$B$5+273.15</f>
        <v>1373.15</v>
      </c>
      <c r="F628" s="6">
        <f t="shared" si="81"/>
        <v>95</v>
      </c>
      <c r="G628" s="6">
        <f t="shared" si="82"/>
        <v>340.65</v>
      </c>
      <c r="H628" s="6">
        <f t="shared" si="83"/>
        <v>1.9926207055139041E-5</v>
      </c>
      <c r="I628" s="7">
        <f t="shared" si="84"/>
        <v>1158916576932337.8</v>
      </c>
      <c r="J628" s="6">
        <f t="shared" si="85"/>
        <v>1.0226038455893147</v>
      </c>
      <c r="K628" s="7">
        <f>J628*H628*首页!$B$12/P628</f>
        <v>0.69532757496605813</v>
      </c>
      <c r="L628" s="6">
        <f>首页!$B$9*0.0000000567*((C628^4-D628^4)/(C628-D628))</f>
        <v>7.7687338005019564</v>
      </c>
      <c r="M628" s="6">
        <f>IF(首页!$B$13="自然对流",IF(首页!$B$14="立式圆筒",首页!$B$10,PI()*B628/2),PI()*B628/2)</f>
        <v>55.2</v>
      </c>
      <c r="N628" s="7">
        <f>IF(首页!$B$13="强制对流",首页!$B$11*M628/H628,0)</f>
        <v>0</v>
      </c>
      <c r="O628" s="6">
        <f>IF(首页!$B$13="自然对流",IF(首页!$B$14="立式圆筒",(0.825+0.3063*I628^(1/6))^2+0.87*(M628/B628),(0.752+0.303*I628^(1/6))^2),0.3+SQRT((0.592*N628^0.5)^2+(0.0262*N628^0.8/(1-0.5/N628^0.1))^2))</f>
        <v>10054.364164721137</v>
      </c>
      <c r="P628" s="6">
        <f t="shared" si="86"/>
        <v>2.9510194925512497E-2</v>
      </c>
      <c r="Q628" s="6">
        <f t="shared" si="87"/>
        <v>5.3751131585689924</v>
      </c>
      <c r="R628" s="6">
        <f t="shared" si="88"/>
        <v>13.143846959070949</v>
      </c>
      <c r="S628" s="6">
        <f>B628*LN(B628/首页!$B$4)</f>
        <v>3.3223173061783102</v>
      </c>
      <c r="T628" s="6">
        <f>2*首页!$B$8*(E628-C628)/(R628*(C628-D628))</f>
        <v>7.0995797321943319E-2</v>
      </c>
      <c r="U628" t="str">
        <f>IF(首页!$B$13="自然对流","按自然对流公式", "按强制对流公式")</f>
        <v>按自然对流公式</v>
      </c>
      <c r="V628" s="6">
        <f t="shared" si="89"/>
        <v>3.2513215088563667</v>
      </c>
    </row>
    <row r="629" spans="1:22" x14ac:dyDescent="0.15">
      <c r="A629">
        <v>624</v>
      </c>
      <c r="B629" s="6">
        <f>首页!$B$4+2*A629/1000</f>
        <v>1.3679999999999999</v>
      </c>
      <c r="C629" s="6">
        <f>首页!$B$7+273.15</f>
        <v>388.15</v>
      </c>
      <c r="D629" s="6">
        <f>首页!$B$6+273.15</f>
        <v>293.14999999999998</v>
      </c>
      <c r="E629" s="6">
        <f>首页!$B$5+273.15</f>
        <v>1373.15</v>
      </c>
      <c r="F629" s="6">
        <f t="shared" si="81"/>
        <v>95</v>
      </c>
      <c r="G629" s="6">
        <f t="shared" si="82"/>
        <v>340.65</v>
      </c>
      <c r="H629" s="6">
        <f t="shared" si="83"/>
        <v>1.9926207055139041E-5</v>
      </c>
      <c r="I629" s="7">
        <f t="shared" si="84"/>
        <v>1158916576932337.8</v>
      </c>
      <c r="J629" s="6">
        <f t="shared" si="85"/>
        <v>1.0226038455893147</v>
      </c>
      <c r="K629" s="7">
        <f>J629*H629*首页!$B$12/P629</f>
        <v>0.69532757496605813</v>
      </c>
      <c r="L629" s="6">
        <f>首页!$B$9*0.0000000567*((C629^4-D629^4)/(C629-D629))</f>
        <v>7.7687338005019564</v>
      </c>
      <c r="M629" s="6">
        <f>IF(首页!$B$13="自然对流",IF(首页!$B$14="立式圆筒",首页!$B$10,PI()*B629/2),PI()*B629/2)</f>
        <v>55.2</v>
      </c>
      <c r="N629" s="7">
        <f>IF(首页!$B$13="强制对流",首页!$B$11*M629/H629,0)</f>
        <v>0</v>
      </c>
      <c r="O629" s="6">
        <f>IF(首页!$B$13="自然对流",IF(首页!$B$14="立式圆筒",(0.825+0.3063*I629^(1/6))^2+0.87*(M629/B629),(0.752+0.303*I629^(1/6))^2),0.3+SQRT((0.592*N629^0.5)^2+(0.0262*N629^0.8/(1-0.5/N629^0.1))^2))</f>
        <v>10054.312766092795</v>
      </c>
      <c r="P629" s="6">
        <f t="shared" si="86"/>
        <v>2.9510194925512497E-2</v>
      </c>
      <c r="Q629" s="6">
        <f t="shared" si="87"/>
        <v>5.3750856806062881</v>
      </c>
      <c r="R629" s="6">
        <f t="shared" si="88"/>
        <v>13.143819481108245</v>
      </c>
      <c r="S629" s="6">
        <f>B629*LN(B629/首页!$B$4)</f>
        <v>3.3291830701878151</v>
      </c>
      <c r="T629" s="6">
        <f>2*首页!$B$8*(E629-C629)/(R629*(C629-D629))</f>
        <v>7.0995945743022426E-2</v>
      </c>
      <c r="U629" t="str">
        <f>IF(首页!$B$13="自然对流","按自然对流公式", "按强制对流公式")</f>
        <v>按自然对流公式</v>
      </c>
      <c r="V629" s="6">
        <f t="shared" si="89"/>
        <v>3.2581871244447926</v>
      </c>
    </row>
    <row r="630" spans="1:22" x14ac:dyDescent="0.15">
      <c r="A630">
        <v>625</v>
      </c>
      <c r="B630" s="6">
        <f>首页!$B$4+2*A630/1000</f>
        <v>1.37</v>
      </c>
      <c r="C630" s="6">
        <f>首页!$B$7+273.15</f>
        <v>388.15</v>
      </c>
      <c r="D630" s="6">
        <f>首页!$B$6+273.15</f>
        <v>293.14999999999998</v>
      </c>
      <c r="E630" s="6">
        <f>首页!$B$5+273.15</f>
        <v>1373.15</v>
      </c>
      <c r="F630" s="6">
        <f t="shared" si="81"/>
        <v>95</v>
      </c>
      <c r="G630" s="6">
        <f t="shared" si="82"/>
        <v>340.65</v>
      </c>
      <c r="H630" s="6">
        <f t="shared" si="83"/>
        <v>1.9926207055139041E-5</v>
      </c>
      <c r="I630" s="7">
        <f t="shared" si="84"/>
        <v>1158916576932337.8</v>
      </c>
      <c r="J630" s="6">
        <f t="shared" si="85"/>
        <v>1.0226038455893147</v>
      </c>
      <c r="K630" s="7">
        <f>J630*H630*首页!$B$12/P630</f>
        <v>0.69532757496605813</v>
      </c>
      <c r="L630" s="6">
        <f>首页!$B$9*0.0000000567*((C630^4-D630^4)/(C630-D630))</f>
        <v>7.7687338005019564</v>
      </c>
      <c r="M630" s="6">
        <f>IF(首页!$B$13="自然对流",IF(首页!$B$14="立式圆筒",首页!$B$10,PI()*B630/2),PI()*B630/2)</f>
        <v>55.2</v>
      </c>
      <c r="N630" s="7">
        <f>IF(首页!$B$13="强制对流",首页!$B$11*M630/H630,0)</f>
        <v>0</v>
      </c>
      <c r="O630" s="6">
        <f>IF(首页!$B$13="自然对流",IF(首页!$B$14="立式圆筒",(0.825+0.3063*I630^(1/6))^2+0.87*(M630/B630),(0.752+0.303*I630^(1/6))^2),0.3+SQRT((0.592*N630^0.5)^2+(0.0262*N630^0.8/(1-0.5/N630^0.1))^2))</f>
        <v>10054.261517533439</v>
      </c>
      <c r="P630" s="6">
        <f t="shared" si="86"/>
        <v>2.9510194925512497E-2</v>
      </c>
      <c r="Q630" s="6">
        <f t="shared" si="87"/>
        <v>5.3750582828712119</v>
      </c>
      <c r="R630" s="6">
        <f t="shared" si="88"/>
        <v>13.143792083373167</v>
      </c>
      <c r="S630" s="6">
        <f>B630*LN(B630/首页!$B$4)</f>
        <v>3.3360517581749711</v>
      </c>
      <c r="T630" s="6">
        <f>2*首页!$B$8*(E630-C630)/(R630*(C630-D630))</f>
        <v>7.099609373137318E-2</v>
      </c>
      <c r="U630" t="str">
        <f>IF(首页!$B$13="自然对流","按自然对流公式", "按强制对流公式")</f>
        <v>按自然对流公式</v>
      </c>
      <c r="V630" s="6">
        <f t="shared" si="89"/>
        <v>3.2650556644435977</v>
      </c>
    </row>
    <row r="631" spans="1:22" x14ac:dyDescent="0.15">
      <c r="A631">
        <v>626</v>
      </c>
      <c r="B631" s="6">
        <f>首页!$B$4+2*A631/1000</f>
        <v>1.3719999999999999</v>
      </c>
      <c r="C631" s="6">
        <f>首页!$B$7+273.15</f>
        <v>388.15</v>
      </c>
      <c r="D631" s="6">
        <f>首页!$B$6+273.15</f>
        <v>293.14999999999998</v>
      </c>
      <c r="E631" s="6">
        <f>首页!$B$5+273.15</f>
        <v>1373.15</v>
      </c>
      <c r="F631" s="6">
        <f t="shared" si="81"/>
        <v>95</v>
      </c>
      <c r="G631" s="6">
        <f t="shared" si="82"/>
        <v>340.65</v>
      </c>
      <c r="H631" s="6">
        <f t="shared" si="83"/>
        <v>1.9926207055139041E-5</v>
      </c>
      <c r="I631" s="7">
        <f t="shared" si="84"/>
        <v>1158916576932337.8</v>
      </c>
      <c r="J631" s="6">
        <f t="shared" si="85"/>
        <v>1.0226038455893147</v>
      </c>
      <c r="K631" s="7">
        <f>J631*H631*首页!$B$12/P631</f>
        <v>0.69532757496605813</v>
      </c>
      <c r="L631" s="6">
        <f>首页!$B$9*0.0000000567*((C631^4-D631^4)/(C631-D631))</f>
        <v>7.7687338005019564</v>
      </c>
      <c r="M631" s="6">
        <f>IF(首页!$B$13="自然对流",IF(首页!$B$14="立式圆筒",首页!$B$10,PI()*B631/2),PI()*B631/2)</f>
        <v>55.2</v>
      </c>
      <c r="N631" s="7">
        <f>IF(首页!$B$13="强制对流",首页!$B$11*M631/H631,0)</f>
        <v>0</v>
      </c>
      <c r="O631" s="6">
        <f>IF(首页!$B$13="自然对流",IF(首页!$B$14="立式圆筒",(0.825+0.3063*I631^(1/6))^2+0.87*(M631/B631),(0.752+0.303*I631^(1/6))^2),0.3+SQRT((0.592*N631^0.5)^2+(0.0262*N631^0.8/(1-0.5/N631^0.1))^2))</f>
        <v>10054.210418386794</v>
      </c>
      <c r="P631" s="6">
        <f t="shared" si="86"/>
        <v>2.9510194925512497E-2</v>
      </c>
      <c r="Q631" s="6">
        <f t="shared" si="87"/>
        <v>5.3750309650129129</v>
      </c>
      <c r="R631" s="6">
        <f t="shared" si="88"/>
        <v>13.14376476551487</v>
      </c>
      <c r="S631" s="6">
        <f>B631*LN(B631/首页!$B$4)</f>
        <v>3.3429233658711919</v>
      </c>
      <c r="T631" s="6">
        <f>2*首页!$B$8*(E631-C631)/(R631*(C631-D631))</f>
        <v>7.0996241288885265E-2</v>
      </c>
      <c r="U631" t="str">
        <f>IF(首页!$B$13="自然对流","按自然对流公式", "按强制对流公式")</f>
        <v>按自然对流公式</v>
      </c>
      <c r="V631" s="6">
        <f t="shared" si="89"/>
        <v>3.2719271245823065</v>
      </c>
    </row>
    <row r="632" spans="1:22" x14ac:dyDescent="0.15">
      <c r="A632">
        <v>627</v>
      </c>
      <c r="B632" s="6">
        <f>首页!$B$4+2*A632/1000</f>
        <v>1.3740000000000001</v>
      </c>
      <c r="C632" s="6">
        <f>首页!$B$7+273.15</f>
        <v>388.15</v>
      </c>
      <c r="D632" s="6">
        <f>首页!$B$6+273.15</f>
        <v>293.14999999999998</v>
      </c>
      <c r="E632" s="6">
        <f>首页!$B$5+273.15</f>
        <v>1373.15</v>
      </c>
      <c r="F632" s="6">
        <f t="shared" si="81"/>
        <v>95</v>
      </c>
      <c r="G632" s="6">
        <f t="shared" si="82"/>
        <v>340.65</v>
      </c>
      <c r="H632" s="6">
        <f t="shared" si="83"/>
        <v>1.9926207055139041E-5</v>
      </c>
      <c r="I632" s="7">
        <f t="shared" si="84"/>
        <v>1158916576932337.8</v>
      </c>
      <c r="J632" s="6">
        <f t="shared" si="85"/>
        <v>1.0226038455893147</v>
      </c>
      <c r="K632" s="7">
        <f>J632*H632*首页!$B$12/P632</f>
        <v>0.69532757496605813</v>
      </c>
      <c r="L632" s="6">
        <f>首页!$B$9*0.0000000567*((C632^4-D632^4)/(C632-D632))</f>
        <v>7.7687338005019564</v>
      </c>
      <c r="M632" s="6">
        <f>IF(首页!$B$13="自然对流",IF(首页!$B$14="立式圆筒",首页!$B$10,PI()*B632/2),PI()*B632/2)</f>
        <v>55.2</v>
      </c>
      <c r="N632" s="7">
        <f>IF(首页!$B$13="强制对流",首页!$B$11*M632/H632,0)</f>
        <v>0</v>
      </c>
      <c r="O632" s="6">
        <f>IF(首页!$B$13="自然对流",IF(首页!$B$14="立式圆筒",(0.825+0.3063*I632^(1/6))^2+0.87*(M632/B632),(0.752+0.303*I632^(1/6))^2),0.3+SQRT((0.592*N632^0.5)^2+(0.0262*N632^0.8/(1-0.5/N632^0.1))^2))</f>
        <v>10054.159468000402</v>
      </c>
      <c r="P632" s="6">
        <f t="shared" si="86"/>
        <v>2.9510194925512497E-2</v>
      </c>
      <c r="Q632" s="6">
        <f t="shared" si="87"/>
        <v>5.3750037266825883</v>
      </c>
      <c r="R632" s="6">
        <f t="shared" si="88"/>
        <v>13.143737527184545</v>
      </c>
      <c r="S632" s="6">
        <f>B632*LN(B632/首页!$B$4)</f>
        <v>3.3497978890203419</v>
      </c>
      <c r="T632" s="6">
        <f>2*首页!$B$8*(E632-C632)/(R632*(C632-D632))</f>
        <v>7.0996388417437398E-2</v>
      </c>
      <c r="U632" t="str">
        <f>IF(首页!$B$13="自然对流","按自然对流公式", "按强制对流公式")</f>
        <v>按自然对流公式</v>
      </c>
      <c r="V632" s="6">
        <f t="shared" si="89"/>
        <v>3.2788015006029045</v>
      </c>
    </row>
    <row r="633" spans="1:22" x14ac:dyDescent="0.15">
      <c r="A633">
        <v>628</v>
      </c>
      <c r="B633" s="6">
        <f>首页!$B$4+2*A633/1000</f>
        <v>1.3759999999999999</v>
      </c>
      <c r="C633" s="6">
        <f>首页!$B$7+273.15</f>
        <v>388.15</v>
      </c>
      <c r="D633" s="6">
        <f>首页!$B$6+273.15</f>
        <v>293.14999999999998</v>
      </c>
      <c r="E633" s="6">
        <f>首页!$B$5+273.15</f>
        <v>1373.15</v>
      </c>
      <c r="F633" s="6">
        <f t="shared" si="81"/>
        <v>95</v>
      </c>
      <c r="G633" s="6">
        <f t="shared" si="82"/>
        <v>340.65</v>
      </c>
      <c r="H633" s="6">
        <f t="shared" si="83"/>
        <v>1.9926207055139041E-5</v>
      </c>
      <c r="I633" s="7">
        <f t="shared" si="84"/>
        <v>1158916576932337.8</v>
      </c>
      <c r="J633" s="6">
        <f t="shared" si="85"/>
        <v>1.0226038455893147</v>
      </c>
      <c r="K633" s="7">
        <f>J633*H633*首页!$B$12/P633</f>
        <v>0.69532757496605813</v>
      </c>
      <c r="L633" s="6">
        <f>首页!$B$9*0.0000000567*((C633^4-D633^4)/(C633-D633))</f>
        <v>7.7687338005019564</v>
      </c>
      <c r="M633" s="6">
        <f>IF(首页!$B$13="自然对流",IF(首页!$B$14="立式圆筒",首页!$B$10,PI()*B633/2),PI()*B633/2)</f>
        <v>55.2</v>
      </c>
      <c r="N633" s="7">
        <f>IF(首页!$B$13="强制对流",首页!$B$11*M633/H633,0)</f>
        <v>0</v>
      </c>
      <c r="O633" s="6">
        <f>IF(首页!$B$13="自然对流",IF(首页!$B$14="立式圆筒",(0.825+0.3063*I633^(1/6))^2+0.87*(M633/B633),(0.752+0.303*I633^(1/6))^2),0.3+SQRT((0.592*N633^0.5)^2+(0.0262*N633^0.8/(1-0.5/N633^0.1))^2))</f>
        <v>10054.108665725598</v>
      </c>
      <c r="P633" s="6">
        <f t="shared" si="86"/>
        <v>2.9510194925512497E-2</v>
      </c>
      <c r="Q633" s="6">
        <f t="shared" si="87"/>
        <v>5.3749765675334551</v>
      </c>
      <c r="R633" s="6">
        <f t="shared" si="88"/>
        <v>13.143710368035411</v>
      </c>
      <c r="S633" s="6">
        <f>B633*LN(B633/首页!$B$4)</f>
        <v>3.3566753233786701</v>
      </c>
      <c r="T633" s="6">
        <f>2*首页!$B$8*(E633-C633)/(R633*(C633-D633))</f>
        <v>7.0996535118897419E-2</v>
      </c>
      <c r="U633" t="str">
        <f>IF(首页!$B$13="自然对流","按自然对流公式", "按强制对流公式")</f>
        <v>按自然对流公式</v>
      </c>
      <c r="V633" s="6">
        <f t="shared" si="89"/>
        <v>3.2856787882597729</v>
      </c>
    </row>
    <row r="634" spans="1:22" x14ac:dyDescent="0.15">
      <c r="A634">
        <v>629</v>
      </c>
      <c r="B634" s="6">
        <f>首页!$B$4+2*A634/1000</f>
        <v>1.3780000000000001</v>
      </c>
      <c r="C634" s="6">
        <f>首页!$B$7+273.15</f>
        <v>388.15</v>
      </c>
      <c r="D634" s="6">
        <f>首页!$B$6+273.15</f>
        <v>293.14999999999998</v>
      </c>
      <c r="E634" s="6">
        <f>首页!$B$5+273.15</f>
        <v>1373.15</v>
      </c>
      <c r="F634" s="6">
        <f t="shared" si="81"/>
        <v>95</v>
      </c>
      <c r="G634" s="6">
        <f t="shared" si="82"/>
        <v>340.65</v>
      </c>
      <c r="H634" s="6">
        <f t="shared" si="83"/>
        <v>1.9926207055139041E-5</v>
      </c>
      <c r="I634" s="7">
        <f t="shared" si="84"/>
        <v>1158916576932337.8</v>
      </c>
      <c r="J634" s="6">
        <f t="shared" si="85"/>
        <v>1.0226038455893147</v>
      </c>
      <c r="K634" s="7">
        <f>J634*H634*首页!$B$12/P634</f>
        <v>0.69532757496605813</v>
      </c>
      <c r="L634" s="6">
        <f>首页!$B$9*0.0000000567*((C634^4-D634^4)/(C634-D634))</f>
        <v>7.7687338005019564</v>
      </c>
      <c r="M634" s="6">
        <f>IF(首页!$B$13="自然对流",IF(首页!$B$14="立式圆筒",首页!$B$10,PI()*B634/2),PI()*B634/2)</f>
        <v>55.2</v>
      </c>
      <c r="N634" s="7">
        <f>IF(首页!$B$13="强制对流",首页!$B$11*M634/H634,0)</f>
        <v>0</v>
      </c>
      <c r="O634" s="6">
        <f>IF(首页!$B$13="自然对流",IF(首页!$B$14="立式圆筒",(0.825+0.3063*I634^(1/6))^2+0.87*(M634/B634),(0.752+0.303*I634^(1/6))^2),0.3+SQRT((0.592*N634^0.5)^2+(0.0262*N634^0.8/(1-0.5/N634^0.1))^2))</f>
        <v>10054.058010917483</v>
      </c>
      <c r="P634" s="6">
        <f t="shared" si="86"/>
        <v>2.9510194925512497E-2</v>
      </c>
      <c r="Q634" s="6">
        <f t="shared" si="87"/>
        <v>5.3749494872207491</v>
      </c>
      <c r="R634" s="6">
        <f t="shared" si="88"/>
        <v>13.143683287722705</v>
      </c>
      <c r="S634" s="6">
        <f>B634*LN(B634/首页!$B$4)</f>
        <v>3.3635556647147671</v>
      </c>
      <c r="T634" s="6">
        <f>2*首页!$B$8*(E634-C634)/(R634*(C634-D634))</f>
        <v>7.0996681395122274E-2</v>
      </c>
      <c r="U634" t="str">
        <f>IF(首页!$B$13="自然对流","按自然对流公式", "按强制对流公式")</f>
        <v>按自然对流公式</v>
      </c>
      <c r="V634" s="6">
        <f t="shared" si="89"/>
        <v>3.2925589833196449</v>
      </c>
    </row>
    <row r="635" spans="1:22" x14ac:dyDescent="0.15">
      <c r="A635">
        <v>630</v>
      </c>
      <c r="B635" s="6">
        <f>首页!$B$4+2*A635/1000</f>
        <v>1.38</v>
      </c>
      <c r="C635" s="6">
        <f>首页!$B$7+273.15</f>
        <v>388.15</v>
      </c>
      <c r="D635" s="6">
        <f>首页!$B$6+273.15</f>
        <v>293.14999999999998</v>
      </c>
      <c r="E635" s="6">
        <f>首页!$B$5+273.15</f>
        <v>1373.15</v>
      </c>
      <c r="F635" s="6">
        <f t="shared" si="81"/>
        <v>95</v>
      </c>
      <c r="G635" s="6">
        <f t="shared" si="82"/>
        <v>340.65</v>
      </c>
      <c r="H635" s="6">
        <f t="shared" si="83"/>
        <v>1.9926207055139041E-5</v>
      </c>
      <c r="I635" s="7">
        <f t="shared" si="84"/>
        <v>1158916576932337.8</v>
      </c>
      <c r="J635" s="6">
        <f t="shared" si="85"/>
        <v>1.0226038455893147</v>
      </c>
      <c r="K635" s="7">
        <f>J635*H635*首页!$B$12/P635</f>
        <v>0.69532757496605813</v>
      </c>
      <c r="L635" s="6">
        <f>首页!$B$9*0.0000000567*((C635^4-D635^4)/(C635-D635))</f>
        <v>7.7687338005019564</v>
      </c>
      <c r="M635" s="6">
        <f>IF(首页!$B$13="自然对流",IF(首页!$B$14="立式圆筒",首页!$B$10,PI()*B635/2),PI()*B635/2)</f>
        <v>55.2</v>
      </c>
      <c r="N635" s="7">
        <f>IF(首页!$B$13="强制对流",首页!$B$11*M635/H635,0)</f>
        <v>0</v>
      </c>
      <c r="O635" s="6">
        <f>IF(首页!$B$13="自然对流",IF(首页!$B$14="立式圆筒",(0.825+0.3063*I635^(1/6))^2+0.87*(M635/B635),(0.752+0.303*I635^(1/6))^2),0.3+SQRT((0.592*N635^0.5)^2+(0.0262*N635^0.8/(1-0.5/N635^0.1))^2))</f>
        <v>10054.007502934899</v>
      </c>
      <c r="P635" s="6">
        <f t="shared" si="86"/>
        <v>2.9510194925512497E-2</v>
      </c>
      <c r="Q635" s="6">
        <f t="shared" si="87"/>
        <v>5.3749224854017035</v>
      </c>
      <c r="R635" s="6">
        <f t="shared" si="88"/>
        <v>13.14365628590366</v>
      </c>
      <c r="S635" s="6">
        <f>B635*LN(B635/首页!$B$4)</f>
        <v>3.3704389088095015</v>
      </c>
      <c r="T635" s="6">
        <f>2*首页!$B$8*(E635-C635)/(R635*(C635-D635))</f>
        <v>7.0996827247958208E-2</v>
      </c>
      <c r="U635" t="str">
        <f>IF(首页!$B$13="自然对流","按自然对流公式", "按强制对流公式")</f>
        <v>按自然对流公式</v>
      </c>
      <c r="V635" s="6">
        <f t="shared" si="89"/>
        <v>3.2994420815615433</v>
      </c>
    </row>
    <row r="636" spans="1:22" x14ac:dyDescent="0.15">
      <c r="A636">
        <v>631</v>
      </c>
      <c r="B636" s="6">
        <f>首页!$B$4+2*A636/1000</f>
        <v>1.3820000000000001</v>
      </c>
      <c r="C636" s="6">
        <f>首页!$B$7+273.15</f>
        <v>388.15</v>
      </c>
      <c r="D636" s="6">
        <f>首页!$B$6+273.15</f>
        <v>293.14999999999998</v>
      </c>
      <c r="E636" s="6">
        <f>首页!$B$5+273.15</f>
        <v>1373.15</v>
      </c>
      <c r="F636" s="6">
        <f t="shared" si="81"/>
        <v>95</v>
      </c>
      <c r="G636" s="6">
        <f t="shared" si="82"/>
        <v>340.65</v>
      </c>
      <c r="H636" s="6">
        <f t="shared" si="83"/>
        <v>1.9926207055139041E-5</v>
      </c>
      <c r="I636" s="7">
        <f t="shared" si="84"/>
        <v>1158916576932337.8</v>
      </c>
      <c r="J636" s="6">
        <f t="shared" si="85"/>
        <v>1.0226038455893147</v>
      </c>
      <c r="K636" s="7">
        <f>J636*H636*首页!$B$12/P636</f>
        <v>0.69532757496605813</v>
      </c>
      <c r="L636" s="6">
        <f>首页!$B$9*0.0000000567*((C636^4-D636^4)/(C636-D636))</f>
        <v>7.7687338005019564</v>
      </c>
      <c r="M636" s="6">
        <f>IF(首页!$B$13="自然对流",IF(首页!$B$14="立式圆筒",首页!$B$10,PI()*B636/2),PI()*B636/2)</f>
        <v>55.2</v>
      </c>
      <c r="N636" s="7">
        <f>IF(首页!$B$13="强制对流",首页!$B$11*M636/H636,0)</f>
        <v>0</v>
      </c>
      <c r="O636" s="6">
        <f>IF(首页!$B$13="自然对流",IF(首页!$B$14="立式圆筒",(0.825+0.3063*I636^(1/6))^2+0.87*(M636/B636),(0.752+0.303*I636^(1/6))^2),0.3+SQRT((0.592*N636^0.5)^2+(0.0262*N636^0.8/(1-0.5/N636^0.1))^2))</f>
        <v>10053.957141140399</v>
      </c>
      <c r="P636" s="6">
        <f t="shared" si="86"/>
        <v>2.9510194925512497E-2</v>
      </c>
      <c r="Q636" s="6">
        <f t="shared" si="87"/>
        <v>5.374895561735535</v>
      </c>
      <c r="R636" s="6">
        <f t="shared" si="88"/>
        <v>13.14362936223749</v>
      </c>
      <c r="S636" s="6">
        <f>B636*LN(B636/首页!$B$4)</f>
        <v>3.3773250514559772</v>
      </c>
      <c r="T636" s="6">
        <f>2*首页!$B$8*(E636-C636)/(R636*(C636-D636))</f>
        <v>7.0996972679240794E-2</v>
      </c>
      <c r="U636" t="str">
        <f>IF(首页!$B$13="自然对流","按自然对流公式", "按强制对流公式")</f>
        <v>按自然对流公式</v>
      </c>
      <c r="V636" s="6">
        <f t="shared" si="89"/>
        <v>3.3063280787767364</v>
      </c>
    </row>
    <row r="637" spans="1:22" x14ac:dyDescent="0.15">
      <c r="A637">
        <v>632</v>
      </c>
      <c r="B637" s="6">
        <f>首页!$B$4+2*A637/1000</f>
        <v>1.3839999999999999</v>
      </c>
      <c r="C637" s="6">
        <f>首页!$B$7+273.15</f>
        <v>388.15</v>
      </c>
      <c r="D637" s="6">
        <f>首页!$B$6+273.15</f>
        <v>293.14999999999998</v>
      </c>
      <c r="E637" s="6">
        <f>首页!$B$5+273.15</f>
        <v>1373.15</v>
      </c>
      <c r="F637" s="6">
        <f t="shared" si="81"/>
        <v>95</v>
      </c>
      <c r="G637" s="6">
        <f t="shared" si="82"/>
        <v>340.65</v>
      </c>
      <c r="H637" s="6">
        <f t="shared" si="83"/>
        <v>1.9926207055139041E-5</v>
      </c>
      <c r="I637" s="7">
        <f t="shared" si="84"/>
        <v>1158916576932337.8</v>
      </c>
      <c r="J637" s="6">
        <f t="shared" si="85"/>
        <v>1.0226038455893147</v>
      </c>
      <c r="K637" s="7">
        <f>J637*H637*首页!$B$12/P637</f>
        <v>0.69532757496605813</v>
      </c>
      <c r="L637" s="6">
        <f>首页!$B$9*0.0000000567*((C637^4-D637^4)/(C637-D637))</f>
        <v>7.7687338005019564</v>
      </c>
      <c r="M637" s="6">
        <f>IF(首页!$B$13="自然对流",IF(首页!$B$14="立式圆筒",首页!$B$10,PI()*B637/2),PI()*B637/2)</f>
        <v>55.2</v>
      </c>
      <c r="N637" s="7">
        <f>IF(首页!$B$13="强制对流",首页!$B$11*M637/H637,0)</f>
        <v>0</v>
      </c>
      <c r="O637" s="6">
        <f>IF(首页!$B$13="自然对流",IF(首页!$B$14="立式圆筒",(0.825+0.3063*I637^(1/6))^2+0.87*(M637/B637),(0.752+0.303*I637^(1/6))^2),0.3+SQRT((0.592*N637^0.5)^2+(0.0262*N637^0.8/(1-0.5/N637^0.1))^2))</f>
        <v>10053.906924900217</v>
      </c>
      <c r="P637" s="6">
        <f t="shared" si="86"/>
        <v>2.9510194925512497E-2</v>
      </c>
      <c r="Q637" s="6">
        <f t="shared" si="87"/>
        <v>5.3748687158834301</v>
      </c>
      <c r="R637" s="6">
        <f t="shared" si="88"/>
        <v>13.143602516385386</v>
      </c>
      <c r="S637" s="6">
        <f>B637*LN(B637/首页!$B$4)</f>
        <v>3.3842140884594669</v>
      </c>
      <c r="T637" s="6">
        <f>2*首页!$B$8*(E637-C637)/(R637*(C637-D637))</f>
        <v>7.0997117690794961E-2</v>
      </c>
      <c r="U637" t="str">
        <f>IF(首页!$B$13="自然对流","按自然对流公式", "按强制对流公式")</f>
        <v>按自然对流公式</v>
      </c>
      <c r="V637" s="6">
        <f t="shared" si="89"/>
        <v>3.3132169707686718</v>
      </c>
    </row>
    <row r="638" spans="1:22" x14ac:dyDescent="0.15">
      <c r="A638">
        <v>633</v>
      </c>
      <c r="B638" s="6">
        <f>首页!$B$4+2*A638/1000</f>
        <v>1.3860000000000001</v>
      </c>
      <c r="C638" s="6">
        <f>首页!$B$7+273.15</f>
        <v>388.15</v>
      </c>
      <c r="D638" s="6">
        <f>首页!$B$6+273.15</f>
        <v>293.14999999999998</v>
      </c>
      <c r="E638" s="6">
        <f>首页!$B$5+273.15</f>
        <v>1373.15</v>
      </c>
      <c r="F638" s="6">
        <f t="shared" si="81"/>
        <v>95</v>
      </c>
      <c r="G638" s="6">
        <f t="shared" si="82"/>
        <v>340.65</v>
      </c>
      <c r="H638" s="6">
        <f t="shared" si="83"/>
        <v>1.9926207055139041E-5</v>
      </c>
      <c r="I638" s="7">
        <f t="shared" si="84"/>
        <v>1158916576932337.8</v>
      </c>
      <c r="J638" s="6">
        <f t="shared" si="85"/>
        <v>1.0226038455893147</v>
      </c>
      <c r="K638" s="7">
        <f>J638*H638*首页!$B$12/P638</f>
        <v>0.69532757496605813</v>
      </c>
      <c r="L638" s="6">
        <f>首页!$B$9*0.0000000567*((C638^4-D638^4)/(C638-D638))</f>
        <v>7.7687338005019564</v>
      </c>
      <c r="M638" s="6">
        <f>IF(首页!$B$13="自然对流",IF(首页!$B$14="立式圆筒",首页!$B$10,PI()*B638/2),PI()*B638/2)</f>
        <v>55.2</v>
      </c>
      <c r="N638" s="7">
        <f>IF(首页!$B$13="强制对流",首页!$B$11*M638/H638,0)</f>
        <v>0</v>
      </c>
      <c r="O638" s="6">
        <f>IF(首页!$B$13="自然对流",IF(首页!$B$14="立式圆筒",(0.825+0.3063*I638^(1/6))^2+0.87*(M638/B638),(0.752+0.303*I638^(1/6))^2),0.3+SQRT((0.592*N638^0.5)^2+(0.0262*N638^0.8/(1-0.5/N638^0.1))^2))</f>
        <v>10053.85685358425</v>
      </c>
      <c r="P638" s="6">
        <f t="shared" si="86"/>
        <v>2.9510194925512497E-2</v>
      </c>
      <c r="Q638" s="6">
        <f t="shared" si="87"/>
        <v>5.3748419475085312</v>
      </c>
      <c r="R638" s="6">
        <f t="shared" si="88"/>
        <v>13.143575748010488</v>
      </c>
      <c r="S638" s="6">
        <f>B638*LN(B638/首页!$B$4)</f>
        <v>3.3911060156373751</v>
      </c>
      <c r="T638" s="6">
        <f>2*首页!$B$8*(E638-C638)/(R638*(C638-D638))</f>
        <v>7.0997262284435203E-2</v>
      </c>
      <c r="U638" t="str">
        <f>IF(首页!$B$13="自然对流","按自然对流公式", "按强制对流公式")</f>
        <v>按自然对流公式</v>
      </c>
      <c r="V638" s="6">
        <f t="shared" si="89"/>
        <v>3.3201087533529399</v>
      </c>
    </row>
    <row r="639" spans="1:22" x14ac:dyDescent="0.15">
      <c r="A639">
        <v>634</v>
      </c>
      <c r="B639" s="6">
        <f>首页!$B$4+2*A639/1000</f>
        <v>1.3879999999999999</v>
      </c>
      <c r="C639" s="6">
        <f>首页!$B$7+273.15</f>
        <v>388.15</v>
      </c>
      <c r="D639" s="6">
        <f>首页!$B$6+273.15</f>
        <v>293.14999999999998</v>
      </c>
      <c r="E639" s="6">
        <f>首页!$B$5+273.15</f>
        <v>1373.15</v>
      </c>
      <c r="F639" s="6">
        <f t="shared" si="81"/>
        <v>95</v>
      </c>
      <c r="G639" s="6">
        <f t="shared" si="82"/>
        <v>340.65</v>
      </c>
      <c r="H639" s="6">
        <f t="shared" si="83"/>
        <v>1.9926207055139041E-5</v>
      </c>
      <c r="I639" s="7">
        <f t="shared" si="84"/>
        <v>1158916576932337.8</v>
      </c>
      <c r="J639" s="6">
        <f t="shared" si="85"/>
        <v>1.0226038455893147</v>
      </c>
      <c r="K639" s="7">
        <f>J639*H639*首页!$B$12/P639</f>
        <v>0.69532757496605813</v>
      </c>
      <c r="L639" s="6">
        <f>首页!$B$9*0.0000000567*((C639^4-D639^4)/(C639-D639))</f>
        <v>7.7687338005019564</v>
      </c>
      <c r="M639" s="6">
        <f>IF(首页!$B$13="自然对流",IF(首页!$B$14="立式圆筒",首页!$B$10,PI()*B639/2),PI()*B639/2)</f>
        <v>55.2</v>
      </c>
      <c r="N639" s="7">
        <f>IF(首页!$B$13="强制对流",首页!$B$11*M639/H639,0)</f>
        <v>0</v>
      </c>
      <c r="O639" s="6">
        <f>IF(首页!$B$13="自然对流",IF(首页!$B$14="立式圆筒",(0.825+0.3063*I639^(1/6))^2+0.87*(M639/B639),(0.752+0.303*I639^(1/6))^2),0.3+SQRT((0.592*N639^0.5)^2+(0.0262*N639^0.8/(1-0.5/N639^0.1))^2))</f>
        <v>10053.806926566023</v>
      </c>
      <c r="P639" s="6">
        <f t="shared" si="86"/>
        <v>2.9510194925512497E-2</v>
      </c>
      <c r="Q639" s="6">
        <f t="shared" si="87"/>
        <v>5.3748152562759248</v>
      </c>
      <c r="R639" s="6">
        <f t="shared" si="88"/>
        <v>13.143549056777882</v>
      </c>
      <c r="S639" s="6">
        <f>B639*LN(B639/首页!$B$4)</f>
        <v>3.3980008288191685</v>
      </c>
      <c r="T639" s="6">
        <f>2*首页!$B$8*(E639-C639)/(R639*(C639-D639))</f>
        <v>7.0997406461965479E-2</v>
      </c>
      <c r="U639" t="str">
        <f>IF(首页!$B$13="自然对流","按自然对流公式", "按强制对流公式")</f>
        <v>按自然对流公式</v>
      </c>
      <c r="V639" s="6">
        <f t="shared" si="89"/>
        <v>3.3270034223572029</v>
      </c>
    </row>
    <row r="640" spans="1:22" x14ac:dyDescent="0.15">
      <c r="A640">
        <v>635</v>
      </c>
      <c r="B640" s="6">
        <f>首页!$B$4+2*A640/1000</f>
        <v>1.3900000000000001</v>
      </c>
      <c r="C640" s="6">
        <f>首页!$B$7+273.15</f>
        <v>388.15</v>
      </c>
      <c r="D640" s="6">
        <f>首页!$B$6+273.15</f>
        <v>293.14999999999998</v>
      </c>
      <c r="E640" s="6">
        <f>首页!$B$5+273.15</f>
        <v>1373.15</v>
      </c>
      <c r="F640" s="6">
        <f t="shared" si="81"/>
        <v>95</v>
      </c>
      <c r="G640" s="6">
        <f t="shared" si="82"/>
        <v>340.65</v>
      </c>
      <c r="H640" s="6">
        <f t="shared" si="83"/>
        <v>1.9926207055139041E-5</v>
      </c>
      <c r="I640" s="7">
        <f t="shared" si="84"/>
        <v>1158916576932337.8</v>
      </c>
      <c r="J640" s="6">
        <f t="shared" si="85"/>
        <v>1.0226038455893147</v>
      </c>
      <c r="K640" s="7">
        <f>J640*H640*首页!$B$12/P640</f>
        <v>0.69532757496605813</v>
      </c>
      <c r="L640" s="6">
        <f>首页!$B$9*0.0000000567*((C640^4-D640^4)/(C640-D640))</f>
        <v>7.7687338005019564</v>
      </c>
      <c r="M640" s="6">
        <f>IF(首页!$B$13="自然对流",IF(首页!$B$14="立式圆筒",首页!$B$10,PI()*B640/2),PI()*B640/2)</f>
        <v>55.2</v>
      </c>
      <c r="N640" s="7">
        <f>IF(首页!$B$13="强制对流",首页!$B$11*M640/H640,0)</f>
        <v>0</v>
      </c>
      <c r="O640" s="6">
        <f>IF(首页!$B$13="自然对流",IF(首页!$B$14="立式圆筒",(0.825+0.3063*I640^(1/6))^2+0.87*(M640/B640),(0.752+0.303*I640^(1/6))^2),0.3+SQRT((0.592*N640^0.5)^2+(0.0262*N640^0.8/(1-0.5/N640^0.1))^2))</f>
        <v>10053.75714322267</v>
      </c>
      <c r="P640" s="6">
        <f t="shared" si="86"/>
        <v>2.9510194925512497E-2</v>
      </c>
      <c r="Q640" s="6">
        <f t="shared" si="87"/>
        <v>5.3747886418526205</v>
      </c>
      <c r="R640" s="6">
        <f t="shared" si="88"/>
        <v>13.143522442354577</v>
      </c>
      <c r="S640" s="6">
        <f>B640*LN(B640/首页!$B$4)</f>
        <v>3.4048985238463416</v>
      </c>
      <c r="T640" s="6">
        <f>2*首页!$B$8*(E640-C640)/(R640*(C640-D640))</f>
        <v>7.0997550225179437E-2</v>
      </c>
      <c r="U640" t="str">
        <f>IF(首页!$B$13="自然对流","按自然对流公式", "按强制对流公式")</f>
        <v>按自然对流公式</v>
      </c>
      <c r="V640" s="6">
        <f t="shared" si="89"/>
        <v>3.3339009736211622</v>
      </c>
    </row>
    <row r="641" spans="1:22" x14ac:dyDescent="0.15">
      <c r="A641">
        <v>636</v>
      </c>
      <c r="B641" s="6">
        <f>首页!$B$4+2*A641/1000</f>
        <v>1.3919999999999999</v>
      </c>
      <c r="C641" s="6">
        <f>首页!$B$7+273.15</f>
        <v>388.15</v>
      </c>
      <c r="D641" s="6">
        <f>首页!$B$6+273.15</f>
        <v>293.14999999999998</v>
      </c>
      <c r="E641" s="6">
        <f>首页!$B$5+273.15</f>
        <v>1373.15</v>
      </c>
      <c r="F641" s="6">
        <f t="shared" si="81"/>
        <v>95</v>
      </c>
      <c r="G641" s="6">
        <f t="shared" si="82"/>
        <v>340.65</v>
      </c>
      <c r="H641" s="6">
        <f t="shared" si="83"/>
        <v>1.9926207055139041E-5</v>
      </c>
      <c r="I641" s="7">
        <f t="shared" si="84"/>
        <v>1158916576932337.8</v>
      </c>
      <c r="J641" s="6">
        <f t="shared" si="85"/>
        <v>1.0226038455893147</v>
      </c>
      <c r="K641" s="7">
        <f>J641*H641*首页!$B$12/P641</f>
        <v>0.69532757496605813</v>
      </c>
      <c r="L641" s="6">
        <f>首页!$B$9*0.0000000567*((C641^4-D641^4)/(C641-D641))</f>
        <v>7.7687338005019564</v>
      </c>
      <c r="M641" s="6">
        <f>IF(首页!$B$13="自然对流",IF(首页!$B$14="立式圆筒",首页!$B$10,PI()*B641/2),PI()*B641/2)</f>
        <v>55.2</v>
      </c>
      <c r="N641" s="7">
        <f>IF(首页!$B$13="强制对流",首页!$B$11*M641/H641,0)</f>
        <v>0</v>
      </c>
      <c r="O641" s="6">
        <f>IF(首页!$B$13="自然对流",IF(首页!$B$14="立式圆筒",(0.825+0.3063*I641^(1/6))^2+0.87*(M641/B641),(0.752+0.303*I641^(1/6))^2),0.3+SQRT((0.592*N641^0.5)^2+(0.0262*N641^0.8/(1-0.5/N641^0.1))^2))</f>
        <v>10053.7075029349</v>
      </c>
      <c r="P641" s="6">
        <f t="shared" si="86"/>
        <v>2.9510194925512497E-2</v>
      </c>
      <c r="Q641" s="6">
        <f t="shared" si="87"/>
        <v>5.3747621039075426</v>
      </c>
      <c r="R641" s="6">
        <f t="shared" si="88"/>
        <v>13.143495904409498</v>
      </c>
      <c r="S641" s="6">
        <f>B641*LN(B641/首页!$B$4)</f>
        <v>3.4117990965723477</v>
      </c>
      <c r="T641" s="6">
        <f>2*首页!$B$8*(E641-C641)/(R641*(C641-D641))</f>
        <v>7.0997693575860443E-2</v>
      </c>
      <c r="U641" t="str">
        <f>IF(首页!$B$13="自然对流","按自然对流公式", "按强制对流公式")</f>
        <v>按自然对流公式</v>
      </c>
      <c r="V641" s="6">
        <f t="shared" si="89"/>
        <v>3.3408014029964872</v>
      </c>
    </row>
    <row r="642" spans="1:22" x14ac:dyDescent="0.15">
      <c r="A642">
        <v>637</v>
      </c>
      <c r="B642" s="6">
        <f>首页!$B$4+2*A642/1000</f>
        <v>1.3940000000000001</v>
      </c>
      <c r="C642" s="6">
        <f>首页!$B$7+273.15</f>
        <v>388.15</v>
      </c>
      <c r="D642" s="6">
        <f>首页!$B$6+273.15</f>
        <v>293.14999999999998</v>
      </c>
      <c r="E642" s="6">
        <f>首页!$B$5+273.15</f>
        <v>1373.15</v>
      </c>
      <c r="F642" s="6">
        <f t="shared" si="81"/>
        <v>95</v>
      </c>
      <c r="G642" s="6">
        <f t="shared" si="82"/>
        <v>340.65</v>
      </c>
      <c r="H642" s="6">
        <f t="shared" si="83"/>
        <v>1.9926207055139041E-5</v>
      </c>
      <c r="I642" s="7">
        <f t="shared" si="84"/>
        <v>1158916576932337.8</v>
      </c>
      <c r="J642" s="6">
        <f t="shared" si="85"/>
        <v>1.0226038455893147</v>
      </c>
      <c r="K642" s="7">
        <f>J642*H642*首页!$B$12/P642</f>
        <v>0.69532757496605813</v>
      </c>
      <c r="L642" s="6">
        <f>首页!$B$9*0.0000000567*((C642^4-D642^4)/(C642-D642))</f>
        <v>7.7687338005019564</v>
      </c>
      <c r="M642" s="6">
        <f>IF(首页!$B$13="自然对流",IF(首页!$B$14="立式圆筒",首页!$B$10,PI()*B642/2),PI()*B642/2)</f>
        <v>55.2</v>
      </c>
      <c r="N642" s="7">
        <f>IF(首页!$B$13="强制对流",首页!$B$11*M642/H642,0)</f>
        <v>0</v>
      </c>
      <c r="O642" s="6">
        <f>IF(首页!$B$13="自然对流",IF(首页!$B$14="立式圆筒",(0.825+0.3063*I642^(1/6))^2+0.87*(M642/B642),(0.752+0.303*I642^(1/6))^2),0.3+SQRT((0.592*N642^0.5)^2+(0.0262*N642^0.8/(1-0.5/N642^0.1))^2))</f>
        <v>10053.65800508698</v>
      </c>
      <c r="P642" s="6">
        <f t="shared" si="86"/>
        <v>2.9510194925512497E-2</v>
      </c>
      <c r="Q642" s="6">
        <f t="shared" si="87"/>
        <v>5.3747356421115198</v>
      </c>
      <c r="R642" s="6">
        <f t="shared" si="88"/>
        <v>13.143469442613476</v>
      </c>
      <c r="S642" s="6">
        <f>B642*LN(B642/首页!$B$4)</f>
        <v>3.4187025428625621</v>
      </c>
      <c r="T642" s="6">
        <f>2*首页!$B$8*(E642-C642)/(R642*(C642-D642))</f>
        <v>7.0997836515781565E-2</v>
      </c>
      <c r="U642" t="str">
        <f>IF(首页!$B$13="自然对流","按自然对流公式", "按强制对流公式")</f>
        <v>按自然对流公式</v>
      </c>
      <c r="V642" s="6">
        <f t="shared" si="89"/>
        <v>3.3477047063467804</v>
      </c>
    </row>
    <row r="643" spans="1:22" x14ac:dyDescent="0.15">
      <c r="A643">
        <v>638</v>
      </c>
      <c r="B643" s="6">
        <f>首页!$B$4+2*A643/1000</f>
        <v>1.3959999999999999</v>
      </c>
      <c r="C643" s="6">
        <f>首页!$B$7+273.15</f>
        <v>388.15</v>
      </c>
      <c r="D643" s="6">
        <f>首页!$B$6+273.15</f>
        <v>293.14999999999998</v>
      </c>
      <c r="E643" s="6">
        <f>首页!$B$5+273.15</f>
        <v>1373.15</v>
      </c>
      <c r="F643" s="6">
        <f t="shared" si="81"/>
        <v>95</v>
      </c>
      <c r="G643" s="6">
        <f t="shared" si="82"/>
        <v>340.65</v>
      </c>
      <c r="H643" s="6">
        <f t="shared" si="83"/>
        <v>1.9926207055139041E-5</v>
      </c>
      <c r="I643" s="7">
        <f t="shared" si="84"/>
        <v>1158916576932337.8</v>
      </c>
      <c r="J643" s="6">
        <f t="shared" si="85"/>
        <v>1.0226038455893147</v>
      </c>
      <c r="K643" s="7">
        <f>J643*H643*首页!$B$12/P643</f>
        <v>0.69532757496605813</v>
      </c>
      <c r="L643" s="6">
        <f>首页!$B$9*0.0000000567*((C643^4-D643^4)/(C643-D643))</f>
        <v>7.7687338005019564</v>
      </c>
      <c r="M643" s="6">
        <f>IF(首页!$B$13="自然对流",IF(首页!$B$14="立式圆筒",首页!$B$10,PI()*B643/2),PI()*B643/2)</f>
        <v>55.2</v>
      </c>
      <c r="N643" s="7">
        <f>IF(首页!$B$13="强制对流",首页!$B$11*M643/H643,0)</f>
        <v>0</v>
      </c>
      <c r="O643" s="6">
        <f>IF(首页!$B$13="自然对流",IF(首页!$B$14="立式圆筒",(0.825+0.3063*I643^(1/6))^2+0.87*(M643/B643),(0.752+0.303*I643^(1/6))^2),0.3+SQRT((0.592*N643^0.5)^2+(0.0262*N643^0.8/(1-0.5/N643^0.1))^2))</f>
        <v>10053.608649066706</v>
      </c>
      <c r="P643" s="6">
        <f t="shared" si="86"/>
        <v>2.9510194925512497E-2</v>
      </c>
      <c r="Q643" s="6">
        <f t="shared" si="87"/>
        <v>5.3747092561372609</v>
      </c>
      <c r="R643" s="6">
        <f t="shared" si="88"/>
        <v>13.143443056639217</v>
      </c>
      <c r="S643" s="6">
        <f>B643*LN(B643/首页!$B$4)</f>
        <v>3.4256088585942188</v>
      </c>
      <c r="T643" s="6">
        <f>2*首页!$B$8*(E643-C643)/(R643*(C643-D643))</f>
        <v>7.0997979046705822E-2</v>
      </c>
      <c r="U643" t="str">
        <f>IF(首页!$B$13="自然对流","按自然对流公式", "按强制对流公式")</f>
        <v>按自然对流公式</v>
      </c>
      <c r="V643" s="6">
        <f t="shared" si="89"/>
        <v>3.3546108795475131</v>
      </c>
    </row>
    <row r="644" spans="1:22" x14ac:dyDescent="0.15">
      <c r="A644">
        <v>639</v>
      </c>
      <c r="B644" s="6">
        <f>首页!$B$4+2*A644/1000</f>
        <v>1.3980000000000001</v>
      </c>
      <c r="C644" s="6">
        <f>首页!$B$7+273.15</f>
        <v>388.15</v>
      </c>
      <c r="D644" s="6">
        <f>首页!$B$6+273.15</f>
        <v>293.14999999999998</v>
      </c>
      <c r="E644" s="6">
        <f>首页!$B$5+273.15</f>
        <v>1373.15</v>
      </c>
      <c r="F644" s="6">
        <f t="shared" si="81"/>
        <v>95</v>
      </c>
      <c r="G644" s="6">
        <f t="shared" si="82"/>
        <v>340.65</v>
      </c>
      <c r="H644" s="6">
        <f t="shared" si="83"/>
        <v>1.9926207055139041E-5</v>
      </c>
      <c r="I644" s="7">
        <f t="shared" si="84"/>
        <v>1158916576932337.8</v>
      </c>
      <c r="J644" s="6">
        <f t="shared" si="85"/>
        <v>1.0226038455893147</v>
      </c>
      <c r="K644" s="7">
        <f>J644*H644*首页!$B$12/P644</f>
        <v>0.69532757496605813</v>
      </c>
      <c r="L644" s="6">
        <f>首页!$B$9*0.0000000567*((C644^4-D644^4)/(C644-D644))</f>
        <v>7.7687338005019564</v>
      </c>
      <c r="M644" s="6">
        <f>IF(首页!$B$13="自然对流",IF(首页!$B$14="立式圆筒",首页!$B$10,PI()*B644/2),PI()*B644/2)</f>
        <v>55.2</v>
      </c>
      <c r="N644" s="7">
        <f>IF(首页!$B$13="强制对流",首页!$B$11*M644/H644,0)</f>
        <v>0</v>
      </c>
      <c r="O644" s="6">
        <f>IF(首页!$B$13="自然对流",IF(首页!$B$14="立式圆筒",(0.825+0.3063*I644^(1/6))^2+0.87*(M644/B644),(0.752+0.303*I644^(1/6))^2),0.3+SQRT((0.592*N644^0.5)^2+(0.0262*N644^0.8/(1-0.5/N644^0.1))^2))</f>
        <v>10053.559434265371</v>
      </c>
      <c r="P644" s="6">
        <f t="shared" si="86"/>
        <v>2.9510194925512497E-2</v>
      </c>
      <c r="Q644" s="6">
        <f t="shared" si="87"/>
        <v>5.3746829456593517</v>
      </c>
      <c r="R644" s="6">
        <f t="shared" si="88"/>
        <v>13.143416746161307</v>
      </c>
      <c r="S644" s="6">
        <f>B644*LN(B644/首页!$B$4)</f>
        <v>3.4325180396563706</v>
      </c>
      <c r="T644" s="6">
        <f>2*首页!$B$8*(E644-C644)/(R644*(C644-D644))</f>
        <v>7.0998121170386091E-2</v>
      </c>
      <c r="U644" t="str">
        <f>IF(首页!$B$13="自然对流","按自然对流公式", "按强制对流公式")</f>
        <v>按自然对流公式</v>
      </c>
      <c r="V644" s="6">
        <f t="shared" si="89"/>
        <v>3.3615199184859845</v>
      </c>
    </row>
    <row r="645" spans="1:22" x14ac:dyDescent="0.15">
      <c r="A645">
        <v>640</v>
      </c>
      <c r="B645" s="6">
        <f>首页!$B$4+2*A645/1000</f>
        <v>1.4</v>
      </c>
      <c r="C645" s="6">
        <f>首页!$B$7+273.15</f>
        <v>388.15</v>
      </c>
      <c r="D645" s="6">
        <f>首页!$B$6+273.15</f>
        <v>293.14999999999998</v>
      </c>
      <c r="E645" s="6">
        <f>首页!$B$5+273.15</f>
        <v>1373.15</v>
      </c>
      <c r="F645" s="6">
        <f t="shared" ref="F645:F708" si="90">C645-D645</f>
        <v>95</v>
      </c>
      <c r="G645" s="6">
        <f t="shared" ref="G645:G708" si="91">(C645+D645)/2</f>
        <v>340.65</v>
      </c>
      <c r="H645" s="6">
        <f t="shared" ref="H645:H708" si="92">0.0000000042113*G645^2.5/(112+G645)</f>
        <v>1.9926207055139041E-5</v>
      </c>
      <c r="I645" s="7">
        <f t="shared" ref="I645:I708" si="93">9.81*M645^3*F645/(H645^2*G645)</f>
        <v>1158916576932337.8</v>
      </c>
      <c r="J645" s="6">
        <f t="shared" ref="J645:J708" si="94">348.35/G645</f>
        <v>1.0226038455893147</v>
      </c>
      <c r="K645" s="7">
        <f>J645*H645*首页!$B$12/P645</f>
        <v>0.69532757496605813</v>
      </c>
      <c r="L645" s="6">
        <f>首页!$B$9*0.0000000567*((C645^4-D645^4)/(C645-D645))</f>
        <v>7.7687338005019564</v>
      </c>
      <c r="M645" s="6">
        <f>IF(首页!$B$13="自然对流",IF(首页!$B$14="立式圆筒",首页!$B$10,PI()*B645/2),PI()*B645/2)</f>
        <v>55.2</v>
      </c>
      <c r="N645" s="7">
        <f>IF(首页!$B$13="强制对流",首页!$B$11*M645/H645,0)</f>
        <v>0</v>
      </c>
      <c r="O645" s="6">
        <f>IF(首页!$B$13="自然对流",IF(首页!$B$14="立式圆筒",(0.825+0.3063*I645^(1/6))^2+0.87*(M645/B645),(0.752+0.303*I645^(1/6))^2),0.3+SQRT((0.592*N645^0.5)^2+(0.0262*N645^0.8/(1-0.5/N645^0.1))^2))</f>
        <v>10053.510360077757</v>
      </c>
      <c r="P645" s="6">
        <f t="shared" ref="P645:P708" si="95">0.0243+0.000078421*(G645-273)-0.000000020755*(G645-273)^2</f>
        <v>2.9510194925512497E-2</v>
      </c>
      <c r="Q645" s="6">
        <f t="shared" ref="Q645:Q708" si="96">O645*P645/M645</f>
        <v>5.3746567103542375</v>
      </c>
      <c r="R645" s="6">
        <f t="shared" ref="R645:R708" si="97">L645+Q645</f>
        <v>13.143390510856193</v>
      </c>
      <c r="S645" s="6">
        <f>B645*LN(B645/首页!$B$4)</f>
        <v>3.4394300819498254</v>
      </c>
      <c r="T645" s="6">
        <f>2*首页!$B$8*(E645-C645)/(R645*(C645-D645))</f>
        <v>7.0998262888565269E-2</v>
      </c>
      <c r="U645" t="str">
        <f>IF(首页!$B$13="自然对流","按自然对流公式", "按强制对流公式")</f>
        <v>按自然对流公式</v>
      </c>
      <c r="V645" s="6">
        <f t="shared" ref="V645:V708" si="98">ABS(S645-T645)</f>
        <v>3.3684318190612599</v>
      </c>
    </row>
    <row r="646" spans="1:22" x14ac:dyDescent="0.15">
      <c r="A646">
        <v>641</v>
      </c>
      <c r="B646" s="6">
        <f>首页!$B$4+2*A646/1000</f>
        <v>1.4020000000000001</v>
      </c>
      <c r="C646" s="6">
        <f>首页!$B$7+273.15</f>
        <v>388.15</v>
      </c>
      <c r="D646" s="6">
        <f>首页!$B$6+273.15</f>
        <v>293.14999999999998</v>
      </c>
      <c r="E646" s="6">
        <f>首页!$B$5+273.15</f>
        <v>1373.15</v>
      </c>
      <c r="F646" s="6">
        <f t="shared" si="90"/>
        <v>95</v>
      </c>
      <c r="G646" s="6">
        <f t="shared" si="91"/>
        <v>340.65</v>
      </c>
      <c r="H646" s="6">
        <f t="shared" si="92"/>
        <v>1.9926207055139041E-5</v>
      </c>
      <c r="I646" s="7">
        <f t="shared" si="93"/>
        <v>1158916576932337.8</v>
      </c>
      <c r="J646" s="6">
        <f t="shared" si="94"/>
        <v>1.0226038455893147</v>
      </c>
      <c r="K646" s="7">
        <f>J646*H646*首页!$B$12/P646</f>
        <v>0.69532757496605813</v>
      </c>
      <c r="L646" s="6">
        <f>首页!$B$9*0.0000000567*((C646^4-D646^4)/(C646-D646))</f>
        <v>7.7687338005019564</v>
      </c>
      <c r="M646" s="6">
        <f>IF(首页!$B$13="自然对流",IF(首页!$B$14="立式圆筒",首页!$B$10,PI()*B646/2),PI()*B646/2)</f>
        <v>55.2</v>
      </c>
      <c r="N646" s="7">
        <f>IF(首页!$B$13="强制对流",首页!$B$11*M646/H646,0)</f>
        <v>0</v>
      </c>
      <c r="O646" s="6">
        <f>IF(首页!$B$13="自然对流",IF(首页!$B$14="立式圆筒",(0.825+0.3063*I646^(1/6))^2+0.87*(M646/B646),(0.752+0.303*I646^(1/6))^2),0.3+SQRT((0.592*N646^0.5)^2+(0.0262*N646^0.8/(1-0.5/N646^0.1))^2))</f>
        <v>10053.461425902089</v>
      </c>
      <c r="P646" s="6">
        <f t="shared" si="95"/>
        <v>2.9510194925512497E-2</v>
      </c>
      <c r="Q646" s="6">
        <f t="shared" si="96"/>
        <v>5.3746305499002069</v>
      </c>
      <c r="R646" s="6">
        <f t="shared" si="97"/>
        <v>13.143364350402162</v>
      </c>
      <c r="S646" s="6">
        <f>B646*LN(B646/首页!$B$4)</f>
        <v>3.446344981387111</v>
      </c>
      <c r="T646" s="6">
        <f>2*首页!$B$8*(E646-C646)/(R646*(C646-D646))</f>
        <v>7.0998404202976331E-2</v>
      </c>
      <c r="U646" t="str">
        <f>IF(首页!$B$13="自然对流","按自然对流公式", "按强制对流公式")</f>
        <v>按自然对流公式</v>
      </c>
      <c r="V646" s="6">
        <f t="shared" si="98"/>
        <v>3.3753465771841347</v>
      </c>
    </row>
    <row r="647" spans="1:22" x14ac:dyDescent="0.15">
      <c r="A647">
        <v>642</v>
      </c>
      <c r="B647" s="6">
        <f>首页!$B$4+2*A647/1000</f>
        <v>1.4039999999999999</v>
      </c>
      <c r="C647" s="6">
        <f>首页!$B$7+273.15</f>
        <v>388.15</v>
      </c>
      <c r="D647" s="6">
        <f>首页!$B$6+273.15</f>
        <v>293.14999999999998</v>
      </c>
      <c r="E647" s="6">
        <f>首页!$B$5+273.15</f>
        <v>1373.15</v>
      </c>
      <c r="F647" s="6">
        <f t="shared" si="90"/>
        <v>95</v>
      </c>
      <c r="G647" s="6">
        <f t="shared" si="91"/>
        <v>340.65</v>
      </c>
      <c r="H647" s="6">
        <f t="shared" si="92"/>
        <v>1.9926207055139041E-5</v>
      </c>
      <c r="I647" s="7">
        <f t="shared" si="93"/>
        <v>1158916576932337.8</v>
      </c>
      <c r="J647" s="6">
        <f t="shared" si="94"/>
        <v>1.0226038455893147</v>
      </c>
      <c r="K647" s="7">
        <f>J647*H647*首页!$B$12/P647</f>
        <v>0.69532757496605813</v>
      </c>
      <c r="L647" s="6">
        <f>首页!$B$9*0.0000000567*((C647^4-D647^4)/(C647-D647))</f>
        <v>7.7687338005019564</v>
      </c>
      <c r="M647" s="6">
        <f>IF(首页!$B$13="自然对流",IF(首页!$B$14="立式圆筒",首页!$B$10,PI()*B647/2),PI()*B647/2)</f>
        <v>55.2</v>
      </c>
      <c r="N647" s="7">
        <f>IF(首页!$B$13="强制对流",首页!$B$11*M647/H647,0)</f>
        <v>0</v>
      </c>
      <c r="O647" s="6">
        <f>IF(首页!$B$13="自然对流",IF(首页!$B$14="立式圆筒",(0.825+0.3063*I647^(1/6))^2+0.87*(M647/B647),(0.752+0.303*I647^(1/6))^2),0.3+SQRT((0.592*N647^0.5)^2+(0.0262*N647^0.8/(1-0.5/N647^0.1))^2))</f>
        <v>10053.412631140029</v>
      </c>
      <c r="P647" s="6">
        <f t="shared" si="95"/>
        <v>2.9510194925512497E-2</v>
      </c>
      <c r="Q647" s="6">
        <f t="shared" si="96"/>
        <v>5.374604463977386</v>
      </c>
      <c r="R647" s="6">
        <f t="shared" si="97"/>
        <v>13.143338264479343</v>
      </c>
      <c r="S647" s="6">
        <f>B647*LN(B647/首页!$B$4)</f>
        <v>3.4532627338924091</v>
      </c>
      <c r="T647" s="6">
        <f>2*首页!$B$8*(E647-C647)/(R647*(C647-D647))</f>
        <v>7.0998545115342357E-2</v>
      </c>
      <c r="U647" t="str">
        <f>IF(首页!$B$13="自然对流","按自然对流公式", "按强制对流公式")</f>
        <v>按自然对流公式</v>
      </c>
      <c r="V647" s="6">
        <f t="shared" si="98"/>
        <v>3.3822641887770666</v>
      </c>
    </row>
    <row r="648" spans="1:22" x14ac:dyDescent="0.15">
      <c r="A648">
        <v>643</v>
      </c>
      <c r="B648" s="6">
        <f>首页!$B$4+2*A648/1000</f>
        <v>1.4060000000000001</v>
      </c>
      <c r="C648" s="6">
        <f>首页!$B$7+273.15</f>
        <v>388.15</v>
      </c>
      <c r="D648" s="6">
        <f>首页!$B$6+273.15</f>
        <v>293.14999999999998</v>
      </c>
      <c r="E648" s="6">
        <f>首页!$B$5+273.15</f>
        <v>1373.15</v>
      </c>
      <c r="F648" s="6">
        <f t="shared" si="90"/>
        <v>95</v>
      </c>
      <c r="G648" s="6">
        <f t="shared" si="91"/>
        <v>340.65</v>
      </c>
      <c r="H648" s="6">
        <f t="shared" si="92"/>
        <v>1.9926207055139041E-5</v>
      </c>
      <c r="I648" s="7">
        <f t="shared" si="93"/>
        <v>1158916576932337.8</v>
      </c>
      <c r="J648" s="6">
        <f t="shared" si="94"/>
        <v>1.0226038455893147</v>
      </c>
      <c r="K648" s="7">
        <f>J648*H648*首页!$B$12/P648</f>
        <v>0.69532757496605813</v>
      </c>
      <c r="L648" s="6">
        <f>首页!$B$9*0.0000000567*((C648^4-D648^4)/(C648-D648))</f>
        <v>7.7687338005019564</v>
      </c>
      <c r="M648" s="6">
        <f>IF(首页!$B$13="自然对流",IF(首页!$B$14="立式圆筒",首页!$B$10,PI()*B648/2),PI()*B648/2)</f>
        <v>55.2</v>
      </c>
      <c r="N648" s="7">
        <f>IF(首页!$B$13="强制对流",首页!$B$11*M648/H648,0)</f>
        <v>0</v>
      </c>
      <c r="O648" s="6">
        <f>IF(首页!$B$13="自然对流",IF(首页!$B$14="立式圆筒",(0.825+0.3063*I648^(1/6))^2+0.87*(M648/B648),(0.752+0.303*I648^(1/6))^2),0.3+SQRT((0.592*N648^0.5)^2+(0.0262*N648^0.8/(1-0.5/N648^0.1))^2))</f>
        <v>10053.363975196635</v>
      </c>
      <c r="P648" s="6">
        <f t="shared" si="95"/>
        <v>2.9510194925512497E-2</v>
      </c>
      <c r="Q648" s="6">
        <f t="shared" si="96"/>
        <v>5.3745784522677145</v>
      </c>
      <c r="R648" s="6">
        <f t="shared" si="97"/>
        <v>13.143312252769672</v>
      </c>
      <c r="S648" s="6">
        <f>B648*LN(B648/首页!$B$4)</f>
        <v>3.4601833354015215</v>
      </c>
      <c r="T648" s="6">
        <f>2*首页!$B$8*(E648-C648)/(R648*(C648-D648))</f>
        <v>7.0998685627376698E-2</v>
      </c>
      <c r="U648" t="str">
        <f>IF(首页!$B$13="自然对流","按自然对流公式", "按强制对流公式")</f>
        <v>按自然对流公式</v>
      </c>
      <c r="V648" s="6">
        <f t="shared" si="98"/>
        <v>3.3891846497741449</v>
      </c>
    </row>
    <row r="649" spans="1:22" x14ac:dyDescent="0.15">
      <c r="A649">
        <v>644</v>
      </c>
      <c r="B649" s="6">
        <f>首页!$B$4+2*A649/1000</f>
        <v>1.4079999999999999</v>
      </c>
      <c r="C649" s="6">
        <f>首页!$B$7+273.15</f>
        <v>388.15</v>
      </c>
      <c r="D649" s="6">
        <f>首页!$B$6+273.15</f>
        <v>293.14999999999998</v>
      </c>
      <c r="E649" s="6">
        <f>首页!$B$5+273.15</f>
        <v>1373.15</v>
      </c>
      <c r="F649" s="6">
        <f t="shared" si="90"/>
        <v>95</v>
      </c>
      <c r="G649" s="6">
        <f t="shared" si="91"/>
        <v>340.65</v>
      </c>
      <c r="H649" s="6">
        <f t="shared" si="92"/>
        <v>1.9926207055139041E-5</v>
      </c>
      <c r="I649" s="7">
        <f t="shared" si="93"/>
        <v>1158916576932337.8</v>
      </c>
      <c r="J649" s="6">
        <f t="shared" si="94"/>
        <v>1.0226038455893147</v>
      </c>
      <c r="K649" s="7">
        <f>J649*H649*首页!$B$12/P649</f>
        <v>0.69532757496605813</v>
      </c>
      <c r="L649" s="6">
        <f>首页!$B$9*0.0000000567*((C649^4-D649^4)/(C649-D649))</f>
        <v>7.7687338005019564</v>
      </c>
      <c r="M649" s="6">
        <f>IF(首页!$B$13="自然对流",IF(首页!$B$14="立式圆筒",首页!$B$10,PI()*B649/2),PI()*B649/2)</f>
        <v>55.2</v>
      </c>
      <c r="N649" s="7">
        <f>IF(首页!$B$13="强制对流",首页!$B$11*M649/H649,0)</f>
        <v>0</v>
      </c>
      <c r="O649" s="6">
        <f>IF(首页!$B$13="自然对流",IF(首页!$B$14="立式圆筒",(0.825+0.3063*I649^(1/6))^2+0.87*(M649/B649),(0.752+0.303*I649^(1/6))^2),0.3+SQRT((0.592*N649^0.5)^2+(0.0262*N649^0.8/(1-0.5/N649^0.1))^2))</f>
        <v>10053.315457480354</v>
      </c>
      <c r="P649" s="6">
        <f t="shared" si="95"/>
        <v>2.9510194925512497E-2</v>
      </c>
      <c r="Q649" s="6">
        <f t="shared" si="96"/>
        <v>5.3745525144549466</v>
      </c>
      <c r="R649" s="6">
        <f t="shared" si="97"/>
        <v>13.143286314956903</v>
      </c>
      <c r="S649" s="6">
        <f>B649*LN(B649/首页!$B$4)</f>
        <v>3.4671067818618058</v>
      </c>
      <c r="T649" s="6">
        <f>2*首页!$B$8*(E649-C649)/(R649*(C649-D649))</f>
        <v>7.0998825740782923E-2</v>
      </c>
      <c r="U649" t="str">
        <f>IF(首页!$B$13="自然对流","按自然对流公式", "按强制对流公式")</f>
        <v>按自然对流公式</v>
      </c>
      <c r="V649" s="6">
        <f t="shared" si="98"/>
        <v>3.396107956121023</v>
      </c>
    </row>
    <row r="650" spans="1:22" x14ac:dyDescent="0.15">
      <c r="A650">
        <v>645</v>
      </c>
      <c r="B650" s="6">
        <f>首页!$B$4+2*A650/1000</f>
        <v>1.4100000000000001</v>
      </c>
      <c r="C650" s="6">
        <f>首页!$B$7+273.15</f>
        <v>388.15</v>
      </c>
      <c r="D650" s="6">
        <f>首页!$B$6+273.15</f>
        <v>293.14999999999998</v>
      </c>
      <c r="E650" s="6">
        <f>首页!$B$5+273.15</f>
        <v>1373.15</v>
      </c>
      <c r="F650" s="6">
        <f t="shared" si="90"/>
        <v>95</v>
      </c>
      <c r="G650" s="6">
        <f t="shared" si="91"/>
        <v>340.65</v>
      </c>
      <c r="H650" s="6">
        <f t="shared" si="92"/>
        <v>1.9926207055139041E-5</v>
      </c>
      <c r="I650" s="7">
        <f t="shared" si="93"/>
        <v>1158916576932337.8</v>
      </c>
      <c r="J650" s="6">
        <f t="shared" si="94"/>
        <v>1.0226038455893147</v>
      </c>
      <c r="K650" s="7">
        <f>J650*H650*首页!$B$12/P650</f>
        <v>0.69532757496605813</v>
      </c>
      <c r="L650" s="6">
        <f>首页!$B$9*0.0000000567*((C650^4-D650^4)/(C650-D650))</f>
        <v>7.7687338005019564</v>
      </c>
      <c r="M650" s="6">
        <f>IF(首页!$B$13="自然对流",IF(首页!$B$14="立式圆筒",首页!$B$10,PI()*B650/2),PI()*B650/2)</f>
        <v>55.2</v>
      </c>
      <c r="N650" s="7">
        <f>IF(首页!$B$13="强制对流",首页!$B$11*M650/H650,0)</f>
        <v>0</v>
      </c>
      <c r="O650" s="6">
        <f>IF(首页!$B$13="自然对流",IF(首页!$B$14="立式圆筒",(0.825+0.3063*I650^(1/6))^2+0.87*(M650/B650),(0.752+0.303*I650^(1/6))^2),0.3+SQRT((0.592*N650^0.5)^2+(0.0262*N650^0.8/(1-0.5/N650^0.1))^2))</f>
        <v>10053.267077402985</v>
      </c>
      <c r="P650" s="6">
        <f t="shared" si="95"/>
        <v>2.9510194925512497E-2</v>
      </c>
      <c r="Q650" s="6">
        <f t="shared" si="96"/>
        <v>5.3745266502246265</v>
      </c>
      <c r="R650" s="6">
        <f t="shared" si="97"/>
        <v>13.143260450726583</v>
      </c>
      <c r="S650" s="6">
        <f>B650*LN(B650/首页!$B$4)</f>
        <v>3.4740330692321373</v>
      </c>
      <c r="T650" s="6">
        <f>2*首页!$B$8*(E650-C650)/(R650*(C650-D650))</f>
        <v>7.0998965457254981E-2</v>
      </c>
      <c r="U650" t="str">
        <f>IF(首页!$B$13="自然对流","按自然对流公式", "按强制对流公式")</f>
        <v>按自然对流公式</v>
      </c>
      <c r="V650" s="6">
        <f t="shared" si="98"/>
        <v>3.4030341037748824</v>
      </c>
    </row>
    <row r="651" spans="1:22" x14ac:dyDescent="0.15">
      <c r="A651">
        <v>646</v>
      </c>
      <c r="B651" s="6">
        <f>首页!$B$4+2*A651/1000</f>
        <v>1.4119999999999999</v>
      </c>
      <c r="C651" s="6">
        <f>首页!$B$7+273.15</f>
        <v>388.15</v>
      </c>
      <c r="D651" s="6">
        <f>首页!$B$6+273.15</f>
        <v>293.14999999999998</v>
      </c>
      <c r="E651" s="6">
        <f>首页!$B$5+273.15</f>
        <v>1373.15</v>
      </c>
      <c r="F651" s="6">
        <f t="shared" si="90"/>
        <v>95</v>
      </c>
      <c r="G651" s="6">
        <f t="shared" si="91"/>
        <v>340.65</v>
      </c>
      <c r="H651" s="6">
        <f t="shared" si="92"/>
        <v>1.9926207055139041E-5</v>
      </c>
      <c r="I651" s="7">
        <f t="shared" si="93"/>
        <v>1158916576932337.8</v>
      </c>
      <c r="J651" s="6">
        <f t="shared" si="94"/>
        <v>1.0226038455893147</v>
      </c>
      <c r="K651" s="7">
        <f>J651*H651*首页!$B$12/P651</f>
        <v>0.69532757496605813</v>
      </c>
      <c r="L651" s="6">
        <f>首页!$B$9*0.0000000567*((C651^4-D651^4)/(C651-D651))</f>
        <v>7.7687338005019564</v>
      </c>
      <c r="M651" s="6">
        <f>IF(首页!$B$13="自然对流",IF(首页!$B$14="立式圆筒",首页!$B$10,PI()*B651/2),PI()*B651/2)</f>
        <v>55.2</v>
      </c>
      <c r="N651" s="7">
        <f>IF(首页!$B$13="强制对流",首页!$B$11*M651/H651,0)</f>
        <v>0</v>
      </c>
      <c r="O651" s="6">
        <f>IF(首页!$B$13="自然对流",IF(首页!$B$14="立式圆筒",(0.825+0.3063*I651^(1/6))^2+0.87*(M651/B651),(0.752+0.303*I651^(1/6))^2),0.3+SQRT((0.592*N651^0.5)^2+(0.0262*N651^0.8/(1-0.5/N651^0.1))^2))</f>
        <v>10053.218834379659</v>
      </c>
      <c r="P651" s="6">
        <f t="shared" si="95"/>
        <v>2.9510194925512497E-2</v>
      </c>
      <c r="Q651" s="6">
        <f t="shared" si="96"/>
        <v>5.3745008592640797</v>
      </c>
      <c r="R651" s="6">
        <f t="shared" si="97"/>
        <v>13.143234659766037</v>
      </c>
      <c r="S651" s="6">
        <f>B651*LN(B651/首页!$B$4)</f>
        <v>3.4809621934828519</v>
      </c>
      <c r="T651" s="6">
        <f>2*首页!$B$8*(E651-C651)/(R651*(C651-D651))</f>
        <v>7.0999104778477207E-2</v>
      </c>
      <c r="U651" t="str">
        <f>IF(首页!$B$13="自然对流","按自然对流公式", "按强制对流公式")</f>
        <v>按自然对流公式</v>
      </c>
      <c r="V651" s="6">
        <f t="shared" si="98"/>
        <v>3.4099630887043748</v>
      </c>
    </row>
    <row r="652" spans="1:22" x14ac:dyDescent="0.15">
      <c r="A652">
        <v>647</v>
      </c>
      <c r="B652" s="6">
        <f>首页!$B$4+2*A652/1000</f>
        <v>1.4140000000000001</v>
      </c>
      <c r="C652" s="6">
        <f>首页!$B$7+273.15</f>
        <v>388.15</v>
      </c>
      <c r="D652" s="6">
        <f>首页!$B$6+273.15</f>
        <v>293.14999999999998</v>
      </c>
      <c r="E652" s="6">
        <f>首页!$B$5+273.15</f>
        <v>1373.15</v>
      </c>
      <c r="F652" s="6">
        <f t="shared" si="90"/>
        <v>95</v>
      </c>
      <c r="G652" s="6">
        <f t="shared" si="91"/>
        <v>340.65</v>
      </c>
      <c r="H652" s="6">
        <f t="shared" si="92"/>
        <v>1.9926207055139041E-5</v>
      </c>
      <c r="I652" s="7">
        <f t="shared" si="93"/>
        <v>1158916576932337.8</v>
      </c>
      <c r="J652" s="6">
        <f t="shared" si="94"/>
        <v>1.0226038455893147</v>
      </c>
      <c r="K652" s="7">
        <f>J652*H652*首页!$B$12/P652</f>
        <v>0.69532757496605813</v>
      </c>
      <c r="L652" s="6">
        <f>首页!$B$9*0.0000000567*((C652^4-D652^4)/(C652-D652))</f>
        <v>7.7687338005019564</v>
      </c>
      <c r="M652" s="6">
        <f>IF(首页!$B$13="自然对流",IF(首页!$B$14="立式圆筒",首页!$B$10,PI()*B652/2),PI()*B652/2)</f>
        <v>55.2</v>
      </c>
      <c r="N652" s="7">
        <f>IF(首页!$B$13="强制对流",首页!$B$11*M652/H652,0)</f>
        <v>0</v>
      </c>
      <c r="O652" s="6">
        <f>IF(首页!$B$13="自然对流",IF(首页!$B$14="立式圆筒",(0.825+0.3063*I652^(1/6))^2+0.87*(M652/B652),(0.752+0.303*I652^(1/6))^2),0.3+SQRT((0.592*N652^0.5)^2+(0.0262*N652^0.8/(1-0.5/N652^0.1))^2))</f>
        <v>10053.170727828818</v>
      </c>
      <c r="P652" s="6">
        <f t="shared" si="95"/>
        <v>2.9510194925512497E-2</v>
      </c>
      <c r="Q652" s="6">
        <f t="shared" si="96"/>
        <v>5.3744751412624048</v>
      </c>
      <c r="R652" s="6">
        <f t="shared" si="97"/>
        <v>13.14320894176436</v>
      </c>
      <c r="S652" s="6">
        <f>B652*LN(B652/首页!$B$4)</f>
        <v>3.4878941505957042</v>
      </c>
      <c r="T652" s="6">
        <f>2*首页!$B$8*(E652-C652)/(R652*(C652-D652))</f>
        <v>7.0999243706124468E-2</v>
      </c>
      <c r="U652" t="str">
        <f>IF(首页!$B$13="自然对流","按自然对流公式", "按强制对流公式")</f>
        <v>按自然对流公式</v>
      </c>
      <c r="V652" s="6">
        <f t="shared" si="98"/>
        <v>3.4168949068895795</v>
      </c>
    </row>
    <row r="653" spans="1:22" x14ac:dyDescent="0.15">
      <c r="A653">
        <v>648</v>
      </c>
      <c r="B653" s="6">
        <f>首页!$B$4+2*A653/1000</f>
        <v>1.4159999999999999</v>
      </c>
      <c r="C653" s="6">
        <f>首页!$B$7+273.15</f>
        <v>388.15</v>
      </c>
      <c r="D653" s="6">
        <f>首页!$B$6+273.15</f>
        <v>293.14999999999998</v>
      </c>
      <c r="E653" s="6">
        <f>首页!$B$5+273.15</f>
        <v>1373.15</v>
      </c>
      <c r="F653" s="6">
        <f t="shared" si="90"/>
        <v>95</v>
      </c>
      <c r="G653" s="6">
        <f t="shared" si="91"/>
        <v>340.65</v>
      </c>
      <c r="H653" s="6">
        <f t="shared" si="92"/>
        <v>1.9926207055139041E-5</v>
      </c>
      <c r="I653" s="7">
        <f t="shared" si="93"/>
        <v>1158916576932337.8</v>
      </c>
      <c r="J653" s="6">
        <f t="shared" si="94"/>
        <v>1.0226038455893147</v>
      </c>
      <c r="K653" s="7">
        <f>J653*H653*首页!$B$12/P653</f>
        <v>0.69532757496605813</v>
      </c>
      <c r="L653" s="6">
        <f>首页!$B$9*0.0000000567*((C653^4-D653^4)/(C653-D653))</f>
        <v>7.7687338005019564</v>
      </c>
      <c r="M653" s="6">
        <f>IF(首页!$B$13="自然对流",IF(首页!$B$14="立式圆筒",首页!$B$10,PI()*B653/2),PI()*B653/2)</f>
        <v>55.2</v>
      </c>
      <c r="N653" s="7">
        <f>IF(首页!$B$13="强制对流",首页!$B$11*M653/H653,0)</f>
        <v>0</v>
      </c>
      <c r="O653" s="6">
        <f>IF(首页!$B$13="自然对流",IF(首页!$B$14="立式圆筒",(0.825+0.3063*I653^(1/6))^2+0.87*(M653/B653),(0.752+0.303*I653^(1/6))^2),0.3+SQRT((0.592*N653^0.5)^2+(0.0262*N653^0.8/(1-0.5/N653^0.1))^2))</f>
        <v>10053.122757172188</v>
      </c>
      <c r="P653" s="6">
        <f t="shared" si="95"/>
        <v>2.9510194925512497E-2</v>
      </c>
      <c r="Q653" s="6">
        <f t="shared" si="96"/>
        <v>5.3744494959104507</v>
      </c>
      <c r="R653" s="6">
        <f t="shared" si="97"/>
        <v>13.143183296412406</v>
      </c>
      <c r="S653" s="6">
        <f>B653*LN(B653/首页!$B$4)</f>
        <v>3.4948289365638128</v>
      </c>
      <c r="T653" s="6">
        <f>2*首页!$B$8*(E653-C653)/(R653*(C653-D653))</f>
        <v>7.0999382241862141E-2</v>
      </c>
      <c r="U653" t="str">
        <f>IF(首页!$B$13="自然对流","按自然对流公式", "按强制对流公式")</f>
        <v>按自然对流公式</v>
      </c>
      <c r="V653" s="6">
        <f t="shared" si="98"/>
        <v>3.4238295543219506</v>
      </c>
    </row>
    <row r="654" spans="1:22" x14ac:dyDescent="0.15">
      <c r="A654">
        <v>649</v>
      </c>
      <c r="B654" s="6">
        <f>首页!$B$4+2*A654/1000</f>
        <v>1.4180000000000001</v>
      </c>
      <c r="C654" s="6">
        <f>首页!$B$7+273.15</f>
        <v>388.15</v>
      </c>
      <c r="D654" s="6">
        <f>首页!$B$6+273.15</f>
        <v>293.14999999999998</v>
      </c>
      <c r="E654" s="6">
        <f>首页!$B$5+273.15</f>
        <v>1373.15</v>
      </c>
      <c r="F654" s="6">
        <f t="shared" si="90"/>
        <v>95</v>
      </c>
      <c r="G654" s="6">
        <f t="shared" si="91"/>
        <v>340.65</v>
      </c>
      <c r="H654" s="6">
        <f t="shared" si="92"/>
        <v>1.9926207055139041E-5</v>
      </c>
      <c r="I654" s="7">
        <f t="shared" si="93"/>
        <v>1158916576932337.8</v>
      </c>
      <c r="J654" s="6">
        <f t="shared" si="94"/>
        <v>1.0226038455893147</v>
      </c>
      <c r="K654" s="7">
        <f>J654*H654*首页!$B$12/P654</f>
        <v>0.69532757496605813</v>
      </c>
      <c r="L654" s="6">
        <f>首页!$B$9*0.0000000567*((C654^4-D654^4)/(C654-D654))</f>
        <v>7.7687338005019564</v>
      </c>
      <c r="M654" s="6">
        <f>IF(首页!$B$13="自然对流",IF(首页!$B$14="立式圆筒",首页!$B$10,PI()*B654/2),PI()*B654/2)</f>
        <v>55.2</v>
      </c>
      <c r="N654" s="7">
        <f>IF(首页!$B$13="强制对流",首页!$B$11*M654/H654,0)</f>
        <v>0</v>
      </c>
      <c r="O654" s="6">
        <f>IF(首页!$B$13="自然对流",IF(首页!$B$14="立式圆筒",(0.825+0.3063*I654^(1/6))^2+0.87*(M654/B654),(0.752+0.303*I654^(1/6))^2),0.3+SQRT((0.592*N654^0.5)^2+(0.0262*N654^0.8/(1-0.5/N654^0.1))^2))</f>
        <v>10053.074921834759</v>
      </c>
      <c r="P654" s="6">
        <f t="shared" si="95"/>
        <v>2.9510194925512497E-2</v>
      </c>
      <c r="Q654" s="6">
        <f t="shared" si="96"/>
        <v>5.3744239229008164</v>
      </c>
      <c r="R654" s="6">
        <f t="shared" si="97"/>
        <v>13.143157723402773</v>
      </c>
      <c r="S654" s="6">
        <f>B654*LN(B654/首页!$B$4)</f>
        <v>3.5017665473916186</v>
      </c>
      <c r="T654" s="6">
        <f>2*首页!$B$8*(E654-C654)/(R654*(C654-D654))</f>
        <v>7.0999520387346221E-2</v>
      </c>
      <c r="U654" t="str">
        <f>IF(首页!$B$13="自然对流","按自然对流公式", "按强制对流公式")</f>
        <v>按自然对流公式</v>
      </c>
      <c r="V654" s="6">
        <f t="shared" si="98"/>
        <v>3.4307670270042725</v>
      </c>
    </row>
    <row r="655" spans="1:22" x14ac:dyDescent="0.15">
      <c r="A655">
        <v>650</v>
      </c>
      <c r="B655" s="6">
        <f>首页!$B$4+2*A655/1000</f>
        <v>1.42</v>
      </c>
      <c r="C655" s="6">
        <f>首页!$B$7+273.15</f>
        <v>388.15</v>
      </c>
      <c r="D655" s="6">
        <f>首页!$B$6+273.15</f>
        <v>293.14999999999998</v>
      </c>
      <c r="E655" s="6">
        <f>首页!$B$5+273.15</f>
        <v>1373.15</v>
      </c>
      <c r="F655" s="6">
        <f t="shared" si="90"/>
        <v>95</v>
      </c>
      <c r="G655" s="6">
        <f t="shared" si="91"/>
        <v>340.65</v>
      </c>
      <c r="H655" s="6">
        <f t="shared" si="92"/>
        <v>1.9926207055139041E-5</v>
      </c>
      <c r="I655" s="7">
        <f t="shared" si="93"/>
        <v>1158916576932337.8</v>
      </c>
      <c r="J655" s="6">
        <f t="shared" si="94"/>
        <v>1.0226038455893147</v>
      </c>
      <c r="K655" s="7">
        <f>J655*H655*首页!$B$12/P655</f>
        <v>0.69532757496605813</v>
      </c>
      <c r="L655" s="6">
        <f>首页!$B$9*0.0000000567*((C655^4-D655^4)/(C655-D655))</f>
        <v>7.7687338005019564</v>
      </c>
      <c r="M655" s="6">
        <f>IF(首页!$B$13="自然对流",IF(首页!$B$14="立式圆筒",首页!$B$10,PI()*B655/2),PI()*B655/2)</f>
        <v>55.2</v>
      </c>
      <c r="N655" s="7">
        <f>IF(首页!$B$13="强制对流",首页!$B$11*M655/H655,0)</f>
        <v>0</v>
      </c>
      <c r="O655" s="6">
        <f>IF(首页!$B$13="自然对流",IF(首页!$B$14="立式圆筒",(0.825+0.3063*I655^(1/6))^2+0.87*(M655/B655),(0.752+0.303*I655^(1/6))^2),0.3+SQRT((0.592*N655^0.5)^2+(0.0262*N655^0.8/(1-0.5/N655^0.1))^2))</f>
        <v>10053.02722124476</v>
      </c>
      <c r="P655" s="6">
        <f t="shared" si="95"/>
        <v>2.9510194925512497E-2</v>
      </c>
      <c r="Q655" s="6">
        <f t="shared" si="96"/>
        <v>5.374398421927828</v>
      </c>
      <c r="R655" s="6">
        <f t="shared" si="97"/>
        <v>13.143132222429784</v>
      </c>
      <c r="S655" s="6">
        <f>B655*LN(B655/首页!$B$4)</f>
        <v>3.5087069790948298</v>
      </c>
      <c r="T655" s="6">
        <f>2*首页!$B$8*(E655-C655)/(R655*(C655-D655))</f>
        <v>7.0999658144223432E-2</v>
      </c>
      <c r="U655" t="str">
        <f>IF(首页!$B$13="自然对流","按自然对流公式", "按强制对流公式")</f>
        <v>按自然对流公式</v>
      </c>
      <c r="V655" s="6">
        <f t="shared" si="98"/>
        <v>3.4377073209506062</v>
      </c>
    </row>
    <row r="656" spans="1:22" x14ac:dyDescent="0.15">
      <c r="A656">
        <v>651</v>
      </c>
      <c r="B656" s="6">
        <f>首页!$B$4+2*A656/1000</f>
        <v>1.4220000000000002</v>
      </c>
      <c r="C656" s="6">
        <f>首页!$B$7+273.15</f>
        <v>388.15</v>
      </c>
      <c r="D656" s="6">
        <f>首页!$B$6+273.15</f>
        <v>293.14999999999998</v>
      </c>
      <c r="E656" s="6">
        <f>首页!$B$5+273.15</f>
        <v>1373.15</v>
      </c>
      <c r="F656" s="6">
        <f t="shared" si="90"/>
        <v>95</v>
      </c>
      <c r="G656" s="6">
        <f t="shared" si="91"/>
        <v>340.65</v>
      </c>
      <c r="H656" s="6">
        <f t="shared" si="92"/>
        <v>1.9926207055139041E-5</v>
      </c>
      <c r="I656" s="7">
        <f t="shared" si="93"/>
        <v>1158916576932337.8</v>
      </c>
      <c r="J656" s="6">
        <f t="shared" si="94"/>
        <v>1.0226038455893147</v>
      </c>
      <c r="K656" s="7">
        <f>J656*H656*首页!$B$12/P656</f>
        <v>0.69532757496605813</v>
      </c>
      <c r="L656" s="6">
        <f>首页!$B$9*0.0000000567*((C656^4-D656^4)/(C656-D656))</f>
        <v>7.7687338005019564</v>
      </c>
      <c r="M656" s="6">
        <f>IF(首页!$B$13="自然对流",IF(首页!$B$14="立式圆筒",首页!$B$10,PI()*B656/2),PI()*B656/2)</f>
        <v>55.2</v>
      </c>
      <c r="N656" s="7">
        <f>IF(首页!$B$13="强制对流",首页!$B$11*M656/H656,0)</f>
        <v>0</v>
      </c>
      <c r="O656" s="6">
        <f>IF(首页!$B$13="自然对流",IF(首页!$B$14="立式圆筒",(0.825+0.3063*I656^(1/6))^2+0.87*(M656/B656),(0.752+0.303*I656^(1/6))^2),0.3+SQRT((0.592*N656^0.5)^2+(0.0262*N656^0.8/(1-0.5/N656^0.1))^2))</f>
        <v>10052.979654833634</v>
      </c>
      <c r="P656" s="6">
        <f t="shared" si="95"/>
        <v>2.9510194925512497E-2</v>
      </c>
      <c r="Q656" s="6">
        <f t="shared" si="96"/>
        <v>5.3743729926875341</v>
      </c>
      <c r="R656" s="6">
        <f t="shared" si="97"/>
        <v>13.14310679318949</v>
      </c>
      <c r="S656" s="6">
        <f>B656*LN(B656/首页!$B$4)</f>
        <v>3.5156502277003816</v>
      </c>
      <c r="T656" s="6">
        <f>2*首页!$B$8*(E656-C656)/(R656*(C656-D656))</f>
        <v>7.0999795514131187E-2</v>
      </c>
      <c r="U656" t="str">
        <f>IF(首页!$B$13="自然对流","按自然对流公式", "按强制对流公式")</f>
        <v>按自然对流公式</v>
      </c>
      <c r="V656" s="6">
        <f t="shared" si="98"/>
        <v>3.4446504321862506</v>
      </c>
    </row>
    <row r="657" spans="1:22" x14ac:dyDescent="0.15">
      <c r="A657">
        <v>652</v>
      </c>
      <c r="B657" s="6">
        <f>首页!$B$4+2*A657/1000</f>
        <v>1.4239999999999999</v>
      </c>
      <c r="C657" s="6">
        <f>首页!$B$7+273.15</f>
        <v>388.15</v>
      </c>
      <c r="D657" s="6">
        <f>首页!$B$6+273.15</f>
        <v>293.14999999999998</v>
      </c>
      <c r="E657" s="6">
        <f>首页!$B$5+273.15</f>
        <v>1373.15</v>
      </c>
      <c r="F657" s="6">
        <f t="shared" si="90"/>
        <v>95</v>
      </c>
      <c r="G657" s="6">
        <f t="shared" si="91"/>
        <v>340.65</v>
      </c>
      <c r="H657" s="6">
        <f t="shared" si="92"/>
        <v>1.9926207055139041E-5</v>
      </c>
      <c r="I657" s="7">
        <f t="shared" si="93"/>
        <v>1158916576932337.8</v>
      </c>
      <c r="J657" s="6">
        <f t="shared" si="94"/>
        <v>1.0226038455893147</v>
      </c>
      <c r="K657" s="7">
        <f>J657*H657*首页!$B$12/P657</f>
        <v>0.69532757496605813</v>
      </c>
      <c r="L657" s="6">
        <f>首页!$B$9*0.0000000567*((C657^4-D657^4)/(C657-D657))</f>
        <v>7.7687338005019564</v>
      </c>
      <c r="M657" s="6">
        <f>IF(首页!$B$13="自然对流",IF(首页!$B$14="立式圆筒",首页!$B$10,PI()*B657/2),PI()*B657/2)</f>
        <v>55.2</v>
      </c>
      <c r="N657" s="7">
        <f>IF(首页!$B$13="强制对流",首页!$B$11*M657/H657,0)</f>
        <v>0</v>
      </c>
      <c r="O657" s="6">
        <f>IF(首页!$B$13="自然对流",IF(首页!$B$14="立式圆筒",(0.825+0.3063*I657^(1/6))^2+0.87*(M657/B657),(0.752+0.303*I657^(1/6))^2),0.3+SQRT((0.592*N657^0.5)^2+(0.0262*N657^0.8/(1-0.5/N657^0.1))^2))</f>
        <v>10052.932222036023</v>
      </c>
      <c r="P657" s="6">
        <f t="shared" si="95"/>
        <v>2.9510194925512497E-2</v>
      </c>
      <c r="Q657" s="6">
        <f t="shared" si="96"/>
        <v>5.3743476348776902</v>
      </c>
      <c r="R657" s="6">
        <f t="shared" si="97"/>
        <v>13.143081435379646</v>
      </c>
      <c r="S657" s="6">
        <f>B657*LN(B657/首页!$B$4)</f>
        <v>3.522596289246382</v>
      </c>
      <c r="T657" s="6">
        <f>2*首页!$B$8*(E657-C657)/(R657*(C657-D657))</f>
        <v>7.0999932498697738E-2</v>
      </c>
      <c r="U657" t="str">
        <f>IF(首页!$B$13="自然对流","按自然对流公式", "按强制对流公式")</f>
        <v>按自然对流公式</v>
      </c>
      <c r="V657" s="6">
        <f t="shared" si="98"/>
        <v>3.4515963567476842</v>
      </c>
    </row>
    <row r="658" spans="1:22" x14ac:dyDescent="0.15">
      <c r="A658">
        <v>653</v>
      </c>
      <c r="B658" s="6">
        <f>首页!$B$4+2*A658/1000</f>
        <v>1.4260000000000002</v>
      </c>
      <c r="C658" s="6">
        <f>首页!$B$7+273.15</f>
        <v>388.15</v>
      </c>
      <c r="D658" s="6">
        <f>首页!$B$6+273.15</f>
        <v>293.14999999999998</v>
      </c>
      <c r="E658" s="6">
        <f>首页!$B$5+273.15</f>
        <v>1373.15</v>
      </c>
      <c r="F658" s="6">
        <f t="shared" si="90"/>
        <v>95</v>
      </c>
      <c r="G658" s="6">
        <f t="shared" si="91"/>
        <v>340.65</v>
      </c>
      <c r="H658" s="6">
        <f t="shared" si="92"/>
        <v>1.9926207055139041E-5</v>
      </c>
      <c r="I658" s="7">
        <f t="shared" si="93"/>
        <v>1158916576932337.8</v>
      </c>
      <c r="J658" s="6">
        <f t="shared" si="94"/>
        <v>1.0226038455893147</v>
      </c>
      <c r="K658" s="7">
        <f>J658*H658*首页!$B$12/P658</f>
        <v>0.69532757496605813</v>
      </c>
      <c r="L658" s="6">
        <f>首页!$B$9*0.0000000567*((C658^4-D658^4)/(C658-D658))</f>
        <v>7.7687338005019564</v>
      </c>
      <c r="M658" s="6">
        <f>IF(首页!$B$13="自然对流",IF(首页!$B$14="立式圆筒",首页!$B$10,PI()*B658/2),PI()*B658/2)</f>
        <v>55.2</v>
      </c>
      <c r="N658" s="7">
        <f>IF(首页!$B$13="强制对流",首页!$B$11*M658/H658,0)</f>
        <v>0</v>
      </c>
      <c r="O658" s="6">
        <f>IF(首页!$B$13="自然对流",IF(首页!$B$14="立式圆筒",(0.825+0.3063*I658^(1/6))^2+0.87*(M658/B658),(0.752+0.303*I658^(1/6))^2),0.3+SQRT((0.592*N658^0.5)^2+(0.0262*N658^0.8/(1-0.5/N658^0.1))^2))</f>
        <v>10052.884922289739</v>
      </c>
      <c r="P658" s="6">
        <f t="shared" si="95"/>
        <v>2.9510194925512497E-2</v>
      </c>
      <c r="Q658" s="6">
        <f t="shared" si="96"/>
        <v>5.3743223481977482</v>
      </c>
      <c r="R658" s="6">
        <f t="shared" si="97"/>
        <v>13.143056148699705</v>
      </c>
      <c r="S658" s="6">
        <f>B658*LN(B658/首页!$B$4)</f>
        <v>3.5295451597820713</v>
      </c>
      <c r="T658" s="6">
        <f>2*首页!$B$8*(E658-C658)/(R658*(C658-D658))</f>
        <v>7.1000069099542207E-2</v>
      </c>
      <c r="U658" t="str">
        <f>IF(首页!$B$13="自然对流","按自然对流公式", "按强制对流公式")</f>
        <v>按自然对流公式</v>
      </c>
      <c r="V658" s="6">
        <f t="shared" si="98"/>
        <v>3.458545090682529</v>
      </c>
    </row>
    <row r="659" spans="1:22" x14ac:dyDescent="0.15">
      <c r="A659">
        <v>654</v>
      </c>
      <c r="B659" s="6">
        <f>首页!$B$4+2*A659/1000</f>
        <v>1.4279999999999999</v>
      </c>
      <c r="C659" s="6">
        <f>首页!$B$7+273.15</f>
        <v>388.15</v>
      </c>
      <c r="D659" s="6">
        <f>首页!$B$6+273.15</f>
        <v>293.14999999999998</v>
      </c>
      <c r="E659" s="6">
        <f>首页!$B$5+273.15</f>
        <v>1373.15</v>
      </c>
      <c r="F659" s="6">
        <f t="shared" si="90"/>
        <v>95</v>
      </c>
      <c r="G659" s="6">
        <f t="shared" si="91"/>
        <v>340.65</v>
      </c>
      <c r="H659" s="6">
        <f t="shared" si="92"/>
        <v>1.9926207055139041E-5</v>
      </c>
      <c r="I659" s="7">
        <f t="shared" si="93"/>
        <v>1158916576932337.8</v>
      </c>
      <c r="J659" s="6">
        <f t="shared" si="94"/>
        <v>1.0226038455893147</v>
      </c>
      <c r="K659" s="7">
        <f>J659*H659*首页!$B$12/P659</f>
        <v>0.69532757496605813</v>
      </c>
      <c r="L659" s="6">
        <f>首页!$B$9*0.0000000567*((C659^4-D659^4)/(C659-D659))</f>
        <v>7.7687338005019564</v>
      </c>
      <c r="M659" s="6">
        <f>IF(首页!$B$13="自然对流",IF(首页!$B$14="立式圆筒",首页!$B$10,PI()*B659/2),PI()*B659/2)</f>
        <v>55.2</v>
      </c>
      <c r="N659" s="7">
        <f>IF(首页!$B$13="强制对流",首页!$B$11*M659/H659,0)</f>
        <v>0</v>
      </c>
      <c r="O659" s="6">
        <f>IF(首页!$B$13="自然对流",IF(首页!$B$14="立式圆筒",(0.825+0.3063*I659^(1/6))^2+0.87*(M659/B659),(0.752+0.303*I659^(1/6))^2),0.3+SQRT((0.592*N659^0.5)^2+(0.0262*N659^0.8/(1-0.5/N659^0.1))^2))</f>
        <v>10052.83775503574</v>
      </c>
      <c r="P659" s="6">
        <f t="shared" si="95"/>
        <v>2.9510194925512497E-2</v>
      </c>
      <c r="Q659" s="6">
        <f t="shared" si="96"/>
        <v>5.3742971323488424</v>
      </c>
      <c r="R659" s="6">
        <f t="shared" si="97"/>
        <v>13.143030932850799</v>
      </c>
      <c r="S659" s="6">
        <f>B659*LN(B659/首页!$B$4)</f>
        <v>3.5364968353677666</v>
      </c>
      <c r="T659" s="6">
        <f>2*首页!$B$8*(E659-C659)/(R659*(C659-D659))</f>
        <v>7.1000205318274695E-2</v>
      </c>
      <c r="U659" t="str">
        <f>IF(首页!$B$13="自然对流","按自然对流公式", "按强制对流公式")</f>
        <v>按自然对流公式</v>
      </c>
      <c r="V659" s="6">
        <f t="shared" si="98"/>
        <v>3.465496630049492</v>
      </c>
    </row>
    <row r="660" spans="1:22" x14ac:dyDescent="0.15">
      <c r="A660">
        <v>655</v>
      </c>
      <c r="B660" s="6">
        <f>首页!$B$4+2*A660/1000</f>
        <v>1.4300000000000002</v>
      </c>
      <c r="C660" s="6">
        <f>首页!$B$7+273.15</f>
        <v>388.15</v>
      </c>
      <c r="D660" s="6">
        <f>首页!$B$6+273.15</f>
        <v>293.14999999999998</v>
      </c>
      <c r="E660" s="6">
        <f>首页!$B$5+273.15</f>
        <v>1373.15</v>
      </c>
      <c r="F660" s="6">
        <f t="shared" si="90"/>
        <v>95</v>
      </c>
      <c r="G660" s="6">
        <f t="shared" si="91"/>
        <v>340.65</v>
      </c>
      <c r="H660" s="6">
        <f t="shared" si="92"/>
        <v>1.9926207055139041E-5</v>
      </c>
      <c r="I660" s="7">
        <f t="shared" si="93"/>
        <v>1158916576932337.8</v>
      </c>
      <c r="J660" s="6">
        <f t="shared" si="94"/>
        <v>1.0226038455893147</v>
      </c>
      <c r="K660" s="7">
        <f>J660*H660*首页!$B$12/P660</f>
        <v>0.69532757496605813</v>
      </c>
      <c r="L660" s="6">
        <f>首页!$B$9*0.0000000567*((C660^4-D660^4)/(C660-D660))</f>
        <v>7.7687338005019564</v>
      </c>
      <c r="M660" s="6">
        <f>IF(首页!$B$13="自然对流",IF(首页!$B$14="立式圆筒",首页!$B$10,PI()*B660/2),PI()*B660/2)</f>
        <v>55.2</v>
      </c>
      <c r="N660" s="7">
        <f>IF(首页!$B$13="强制对流",首页!$B$11*M660/H660,0)</f>
        <v>0</v>
      </c>
      <c r="O660" s="6">
        <f>IF(首页!$B$13="自然对流",IF(首页!$B$14="立式圆筒",(0.825+0.3063*I660^(1/6))^2+0.87*(M660/B660),(0.752+0.303*I660^(1/6))^2),0.3+SQRT((0.592*N660^0.5)^2+(0.0262*N660^0.8/(1-0.5/N660^0.1))^2))</f>
        <v>10052.790719718116</v>
      </c>
      <c r="P660" s="6">
        <f t="shared" si="95"/>
        <v>2.9510194925512497E-2</v>
      </c>
      <c r="Q660" s="6">
        <f t="shared" si="96"/>
        <v>5.3742719870337794</v>
      </c>
      <c r="R660" s="6">
        <f t="shared" si="97"/>
        <v>13.143005787535735</v>
      </c>
      <c r="S660" s="6">
        <f>B660*LN(B660/首页!$B$4)</f>
        <v>3.5434513120748274</v>
      </c>
      <c r="T660" s="6">
        <f>2*首页!$B$8*(E660-C660)/(R660*(C660-D660))</f>
        <v>7.1000341156496269E-2</v>
      </c>
      <c r="U660" t="str">
        <f>IF(首页!$B$13="自然对流","按自然对流公式", "按强制对流公式")</f>
        <v>按自然对流公式</v>
      </c>
      <c r="V660" s="6">
        <f t="shared" si="98"/>
        <v>3.4724509709183313</v>
      </c>
    </row>
    <row r="661" spans="1:22" x14ac:dyDescent="0.15">
      <c r="A661">
        <v>656</v>
      </c>
      <c r="B661" s="6">
        <f>首页!$B$4+2*A661/1000</f>
        <v>1.4319999999999999</v>
      </c>
      <c r="C661" s="6">
        <f>首页!$B$7+273.15</f>
        <v>388.15</v>
      </c>
      <c r="D661" s="6">
        <f>首页!$B$6+273.15</f>
        <v>293.14999999999998</v>
      </c>
      <c r="E661" s="6">
        <f>首页!$B$5+273.15</f>
        <v>1373.15</v>
      </c>
      <c r="F661" s="6">
        <f t="shared" si="90"/>
        <v>95</v>
      </c>
      <c r="G661" s="6">
        <f t="shared" si="91"/>
        <v>340.65</v>
      </c>
      <c r="H661" s="6">
        <f t="shared" si="92"/>
        <v>1.9926207055139041E-5</v>
      </c>
      <c r="I661" s="7">
        <f t="shared" si="93"/>
        <v>1158916576932337.8</v>
      </c>
      <c r="J661" s="6">
        <f t="shared" si="94"/>
        <v>1.0226038455893147</v>
      </c>
      <c r="K661" s="7">
        <f>J661*H661*首页!$B$12/P661</f>
        <v>0.69532757496605813</v>
      </c>
      <c r="L661" s="6">
        <f>首页!$B$9*0.0000000567*((C661^4-D661^4)/(C661-D661))</f>
        <v>7.7687338005019564</v>
      </c>
      <c r="M661" s="6">
        <f>IF(首页!$B$13="自然对流",IF(首页!$B$14="立式圆筒",首页!$B$10,PI()*B661/2),PI()*B661/2)</f>
        <v>55.2</v>
      </c>
      <c r="N661" s="7">
        <f>IF(首页!$B$13="强制对流",首页!$B$11*M661/H661,0)</f>
        <v>0</v>
      </c>
      <c r="O661" s="6">
        <f>IF(首页!$B$13="自然对流",IF(首页!$B$14="立式圆筒",(0.825+0.3063*I661^(1/6))^2+0.87*(M661/B661),(0.752+0.303*I661^(1/6))^2),0.3+SQRT((0.592*N661^0.5)^2+(0.0262*N661^0.8/(1-0.5/N661^0.1))^2))</f>
        <v>10052.743815784062</v>
      </c>
      <c r="P661" s="6">
        <f t="shared" si="95"/>
        <v>2.9510194925512497E-2</v>
      </c>
      <c r="Q661" s="6">
        <f t="shared" si="96"/>
        <v>5.3742469119570275</v>
      </c>
      <c r="R661" s="6">
        <f t="shared" si="97"/>
        <v>13.142980712458984</v>
      </c>
      <c r="S661" s="6">
        <f>B661*LN(B661/首页!$B$4)</f>
        <v>3.5504085859855961</v>
      </c>
      <c r="T661" s="6">
        <f>2*首页!$B$8*(E661-C661)/(R661*(C661-D661))</f>
        <v>7.1000476615799057E-2</v>
      </c>
      <c r="U661" t="str">
        <f>IF(首页!$B$13="自然对流","按自然对流公式", "按强制对流公式")</f>
        <v>按自然对流公式</v>
      </c>
      <c r="V661" s="6">
        <f t="shared" si="98"/>
        <v>3.4794081093697971</v>
      </c>
    </row>
    <row r="662" spans="1:22" x14ac:dyDescent="0.15">
      <c r="A662">
        <v>657</v>
      </c>
      <c r="B662" s="6">
        <f>首页!$B$4+2*A662/1000</f>
        <v>1.4340000000000002</v>
      </c>
      <c r="C662" s="6">
        <f>首页!$B$7+273.15</f>
        <v>388.15</v>
      </c>
      <c r="D662" s="6">
        <f>首页!$B$6+273.15</f>
        <v>293.14999999999998</v>
      </c>
      <c r="E662" s="6">
        <f>首页!$B$5+273.15</f>
        <v>1373.15</v>
      </c>
      <c r="F662" s="6">
        <f t="shared" si="90"/>
        <v>95</v>
      </c>
      <c r="G662" s="6">
        <f t="shared" si="91"/>
        <v>340.65</v>
      </c>
      <c r="H662" s="6">
        <f t="shared" si="92"/>
        <v>1.9926207055139041E-5</v>
      </c>
      <c r="I662" s="7">
        <f t="shared" si="93"/>
        <v>1158916576932337.8</v>
      </c>
      <c r="J662" s="6">
        <f t="shared" si="94"/>
        <v>1.0226038455893147</v>
      </c>
      <c r="K662" s="7">
        <f>J662*H662*首页!$B$12/P662</f>
        <v>0.69532757496605813</v>
      </c>
      <c r="L662" s="6">
        <f>首页!$B$9*0.0000000567*((C662^4-D662^4)/(C662-D662))</f>
        <v>7.7687338005019564</v>
      </c>
      <c r="M662" s="6">
        <f>IF(首页!$B$13="自然对流",IF(首页!$B$14="立式圆筒",首页!$B$10,PI()*B662/2),PI()*B662/2)</f>
        <v>55.2</v>
      </c>
      <c r="N662" s="7">
        <f>IF(首页!$B$13="强制对流",首页!$B$11*M662/H662,0)</f>
        <v>0</v>
      </c>
      <c r="O662" s="6">
        <f>IF(首页!$B$13="自然对流",IF(首页!$B$14="立式圆筒",(0.825+0.3063*I662^(1/6))^2+0.87*(M662/B662),(0.752+0.303*I662^(1/6))^2),0.3+SQRT((0.592*N662^0.5)^2+(0.0262*N662^0.8/(1-0.5/N662^0.1))^2))</f>
        <v>10052.697042683854</v>
      </c>
      <c r="P662" s="6">
        <f t="shared" si="95"/>
        <v>2.9510194925512497E-2</v>
      </c>
      <c r="Q662" s="6">
        <f t="shared" si="96"/>
        <v>5.3742219068247019</v>
      </c>
      <c r="R662" s="6">
        <f t="shared" si="97"/>
        <v>13.142955707326658</v>
      </c>
      <c r="S662" s="6">
        <f>B662*LN(B662/首页!$B$4)</f>
        <v>3.5573686531933637</v>
      </c>
      <c r="T662" s="6">
        <f>2*首页!$B$8*(E662-C662)/(R662*(C662-D662))</f>
        <v>7.100061169776635E-2</v>
      </c>
      <c r="U662" t="str">
        <f>IF(首页!$B$13="自然对流","按自然对流公式", "按强制对流公式")</f>
        <v>按自然对流公式</v>
      </c>
      <c r="V662" s="6">
        <f t="shared" si="98"/>
        <v>3.4863680414955973</v>
      </c>
    </row>
    <row r="663" spans="1:22" x14ac:dyDescent="0.15">
      <c r="A663">
        <v>658</v>
      </c>
      <c r="B663" s="6">
        <f>首页!$B$4+2*A663/1000</f>
        <v>1.4359999999999999</v>
      </c>
      <c r="C663" s="6">
        <f>首页!$B$7+273.15</f>
        <v>388.15</v>
      </c>
      <c r="D663" s="6">
        <f>首页!$B$6+273.15</f>
        <v>293.14999999999998</v>
      </c>
      <c r="E663" s="6">
        <f>首页!$B$5+273.15</f>
        <v>1373.15</v>
      </c>
      <c r="F663" s="6">
        <f t="shared" si="90"/>
        <v>95</v>
      </c>
      <c r="G663" s="6">
        <f t="shared" si="91"/>
        <v>340.65</v>
      </c>
      <c r="H663" s="6">
        <f t="shared" si="92"/>
        <v>1.9926207055139041E-5</v>
      </c>
      <c r="I663" s="7">
        <f t="shared" si="93"/>
        <v>1158916576932337.8</v>
      </c>
      <c r="J663" s="6">
        <f t="shared" si="94"/>
        <v>1.0226038455893147</v>
      </c>
      <c r="K663" s="7">
        <f>J663*H663*首页!$B$12/P663</f>
        <v>0.69532757496605813</v>
      </c>
      <c r="L663" s="6">
        <f>首页!$B$9*0.0000000567*((C663^4-D663^4)/(C663-D663))</f>
        <v>7.7687338005019564</v>
      </c>
      <c r="M663" s="6">
        <f>IF(首页!$B$13="自然对流",IF(首页!$B$14="立式圆筒",首页!$B$10,PI()*B663/2),PI()*B663/2)</f>
        <v>55.2</v>
      </c>
      <c r="N663" s="7">
        <f>IF(首页!$B$13="强制对流",首页!$B$11*M663/H663,0)</f>
        <v>0</v>
      </c>
      <c r="O663" s="6">
        <f>IF(首页!$B$13="自然对流",IF(首页!$B$14="立式圆筒",(0.825+0.3063*I663^(1/6))^2+0.87*(M663/B663),(0.752+0.303*I663^(1/6))^2),0.3+SQRT((0.592*N663^0.5)^2+(0.0262*N663^0.8/(1-0.5/N663^0.1))^2))</f>
        <v>10052.650399870832</v>
      </c>
      <c r="P663" s="6">
        <f t="shared" si="95"/>
        <v>2.9510194925512497E-2</v>
      </c>
      <c r="Q663" s="6">
        <f t="shared" si="96"/>
        <v>5.3741969713445537</v>
      </c>
      <c r="R663" s="6">
        <f t="shared" si="97"/>
        <v>13.14293077184651</v>
      </c>
      <c r="S663" s="6">
        <f>B663*LN(B663/首页!$B$4)</f>
        <v>3.5643315098023134</v>
      </c>
      <c r="T663" s="6">
        <f>2*首页!$B$8*(E663-C663)/(R663*(C663-D663))</f>
        <v>7.1000746403972609E-2</v>
      </c>
      <c r="U663" t="str">
        <f>IF(首页!$B$13="自然对流","按自然对流公式", "按强制对流公式")</f>
        <v>按自然对流公式</v>
      </c>
      <c r="V663" s="6">
        <f t="shared" si="98"/>
        <v>3.4933307633983408</v>
      </c>
    </row>
    <row r="664" spans="1:22" x14ac:dyDescent="0.15">
      <c r="A664">
        <v>659</v>
      </c>
      <c r="B664" s="6">
        <f>首页!$B$4+2*A664/1000</f>
        <v>1.4380000000000002</v>
      </c>
      <c r="C664" s="6">
        <f>首页!$B$7+273.15</f>
        <v>388.15</v>
      </c>
      <c r="D664" s="6">
        <f>首页!$B$6+273.15</f>
        <v>293.14999999999998</v>
      </c>
      <c r="E664" s="6">
        <f>首页!$B$5+273.15</f>
        <v>1373.15</v>
      </c>
      <c r="F664" s="6">
        <f t="shared" si="90"/>
        <v>95</v>
      </c>
      <c r="G664" s="6">
        <f t="shared" si="91"/>
        <v>340.65</v>
      </c>
      <c r="H664" s="6">
        <f t="shared" si="92"/>
        <v>1.9926207055139041E-5</v>
      </c>
      <c r="I664" s="7">
        <f t="shared" si="93"/>
        <v>1158916576932337.8</v>
      </c>
      <c r="J664" s="6">
        <f t="shared" si="94"/>
        <v>1.0226038455893147</v>
      </c>
      <c r="K664" s="7">
        <f>J664*H664*首页!$B$12/P664</f>
        <v>0.69532757496605813</v>
      </c>
      <c r="L664" s="6">
        <f>首页!$B$9*0.0000000567*((C664^4-D664^4)/(C664-D664))</f>
        <v>7.7687338005019564</v>
      </c>
      <c r="M664" s="6">
        <f>IF(首页!$B$13="自然对流",IF(首页!$B$14="立式圆筒",首页!$B$10,PI()*B664/2),PI()*B664/2)</f>
        <v>55.2</v>
      </c>
      <c r="N664" s="7">
        <f>IF(首页!$B$13="强制对流",首页!$B$11*M664/H664,0)</f>
        <v>0</v>
      </c>
      <c r="O664" s="6">
        <f>IF(首页!$B$13="自然对流",IF(首页!$B$14="立式圆筒",(0.825+0.3063*I664^(1/6))^2+0.87*(M664/B664),(0.752+0.303*I664^(1/6))^2),0.3+SQRT((0.592*N664^0.5)^2+(0.0262*N664^0.8/(1-0.5/N664^0.1))^2))</f>
        <v>10052.60388680138</v>
      </c>
      <c r="P664" s="6">
        <f t="shared" si="95"/>
        <v>2.9510194925512497E-2</v>
      </c>
      <c r="Q664" s="6">
        <f t="shared" si="96"/>
        <v>5.3741721052259646</v>
      </c>
      <c r="R664" s="6">
        <f t="shared" si="97"/>
        <v>13.142905905727922</v>
      </c>
      <c r="S664" s="6">
        <f>B664*LN(B664/首页!$B$4)</f>
        <v>3.5712971519274848</v>
      </c>
      <c r="T664" s="6">
        <f>2*首页!$B$8*(E664-C664)/(R664*(C664-D664))</f>
        <v>7.1000880735983568E-2</v>
      </c>
      <c r="U664" t="str">
        <f>IF(首页!$B$13="自然对流","按自然对流公式", "按强制对流公式")</f>
        <v>按自然对流公式</v>
      </c>
      <c r="V664" s="6">
        <f t="shared" si="98"/>
        <v>3.5002962711915013</v>
      </c>
    </row>
    <row r="665" spans="1:22" x14ac:dyDescent="0.15">
      <c r="A665">
        <v>660</v>
      </c>
      <c r="B665" s="6">
        <f>首页!$B$4+2*A665/1000</f>
        <v>1.44</v>
      </c>
      <c r="C665" s="6">
        <f>首页!$B$7+273.15</f>
        <v>388.15</v>
      </c>
      <c r="D665" s="6">
        <f>首页!$B$6+273.15</f>
        <v>293.14999999999998</v>
      </c>
      <c r="E665" s="6">
        <f>首页!$B$5+273.15</f>
        <v>1373.15</v>
      </c>
      <c r="F665" s="6">
        <f t="shared" si="90"/>
        <v>95</v>
      </c>
      <c r="G665" s="6">
        <f t="shared" si="91"/>
        <v>340.65</v>
      </c>
      <c r="H665" s="6">
        <f t="shared" si="92"/>
        <v>1.9926207055139041E-5</v>
      </c>
      <c r="I665" s="7">
        <f t="shared" si="93"/>
        <v>1158916576932337.8</v>
      </c>
      <c r="J665" s="6">
        <f t="shared" si="94"/>
        <v>1.0226038455893147</v>
      </c>
      <c r="K665" s="7">
        <f>J665*H665*首页!$B$12/P665</f>
        <v>0.69532757496605813</v>
      </c>
      <c r="L665" s="6">
        <f>首页!$B$9*0.0000000567*((C665^4-D665^4)/(C665-D665))</f>
        <v>7.7687338005019564</v>
      </c>
      <c r="M665" s="6">
        <f>IF(首页!$B$13="自然对流",IF(首页!$B$14="立式圆筒",首页!$B$10,PI()*B665/2),PI()*B665/2)</f>
        <v>55.2</v>
      </c>
      <c r="N665" s="7">
        <f>IF(首页!$B$13="强制对流",首页!$B$11*M665/H665,0)</f>
        <v>0</v>
      </c>
      <c r="O665" s="6">
        <f>IF(首页!$B$13="自然对流",IF(首页!$B$14="立式圆筒",(0.825+0.3063*I665^(1/6))^2+0.87*(M665/B665),(0.752+0.303*I665^(1/6))^2),0.3+SQRT((0.592*N665^0.5)^2+(0.0262*N665^0.8/(1-0.5/N665^0.1))^2))</f>
        <v>10052.5575029349</v>
      </c>
      <c r="P665" s="6">
        <f t="shared" si="95"/>
        <v>2.9510194925512497E-2</v>
      </c>
      <c r="Q665" s="6">
        <f t="shared" si="96"/>
        <v>5.3741473081799285</v>
      </c>
      <c r="R665" s="6">
        <f t="shared" si="97"/>
        <v>13.142881108681884</v>
      </c>
      <c r="S665" s="6">
        <f>B665*LN(B665/首页!$B$4)</f>
        <v>3.5782655756947204</v>
      </c>
      <c r="T665" s="6">
        <f>2*首页!$B$8*(E665-C665)/(R665*(C665-D665))</f>
        <v>7.1001014695356218E-2</v>
      </c>
      <c r="U665" t="str">
        <f>IF(首页!$B$13="自然对流","按自然对流公式", "按强制对流公式")</f>
        <v>按自然对流公式</v>
      </c>
      <c r="V665" s="6">
        <f t="shared" si="98"/>
        <v>3.507264560999364</v>
      </c>
    </row>
    <row r="666" spans="1:22" x14ac:dyDescent="0.15">
      <c r="A666">
        <v>661</v>
      </c>
      <c r="B666" s="6">
        <f>首页!$B$4+2*A666/1000</f>
        <v>1.4420000000000002</v>
      </c>
      <c r="C666" s="6">
        <f>首页!$B$7+273.15</f>
        <v>388.15</v>
      </c>
      <c r="D666" s="6">
        <f>首页!$B$6+273.15</f>
        <v>293.14999999999998</v>
      </c>
      <c r="E666" s="6">
        <f>首页!$B$5+273.15</f>
        <v>1373.15</v>
      </c>
      <c r="F666" s="6">
        <f t="shared" si="90"/>
        <v>95</v>
      </c>
      <c r="G666" s="6">
        <f t="shared" si="91"/>
        <v>340.65</v>
      </c>
      <c r="H666" s="6">
        <f t="shared" si="92"/>
        <v>1.9926207055139041E-5</v>
      </c>
      <c r="I666" s="7">
        <f t="shared" si="93"/>
        <v>1158916576932337.8</v>
      </c>
      <c r="J666" s="6">
        <f t="shared" si="94"/>
        <v>1.0226038455893147</v>
      </c>
      <c r="K666" s="7">
        <f>J666*H666*首页!$B$12/P666</f>
        <v>0.69532757496605813</v>
      </c>
      <c r="L666" s="6">
        <f>首页!$B$9*0.0000000567*((C666^4-D666^4)/(C666-D666))</f>
        <v>7.7687338005019564</v>
      </c>
      <c r="M666" s="6">
        <f>IF(首页!$B$13="自然对流",IF(首页!$B$14="立式圆筒",首页!$B$10,PI()*B666/2),PI()*B666/2)</f>
        <v>55.2</v>
      </c>
      <c r="N666" s="7">
        <f>IF(首页!$B$13="强制对流",首页!$B$11*M666/H666,0)</f>
        <v>0</v>
      </c>
      <c r="O666" s="6">
        <f>IF(首页!$B$13="自然对流",IF(首页!$B$14="立式圆筒",(0.825+0.3063*I666^(1/6))^2+0.87*(M666/B666),(0.752+0.303*I666^(1/6))^2),0.3+SQRT((0.592*N666^0.5)^2+(0.0262*N666^0.8/(1-0.5/N666^0.1))^2))</f>
        <v>10052.51124773379</v>
      </c>
      <c r="P666" s="6">
        <f t="shared" si="95"/>
        <v>2.9510194925512497E-2</v>
      </c>
      <c r="Q666" s="6">
        <f t="shared" si="96"/>
        <v>5.3741225799190389</v>
      </c>
      <c r="R666" s="6">
        <f t="shared" si="97"/>
        <v>13.142856380420994</v>
      </c>
      <c r="S666" s="6">
        <f>B666*LN(B666/首页!$B$4)</f>
        <v>3.5852367772406279</v>
      </c>
      <c r="T666" s="6">
        <f>2*首页!$B$8*(E666-C666)/(R666*(C666-D666))</f>
        <v>7.1001148283639015E-2</v>
      </c>
      <c r="U666" t="str">
        <f>IF(首页!$B$13="自然对流","按自然对流公式", "按强制对流公式")</f>
        <v>按自然对流公式</v>
      </c>
      <c r="V666" s="6">
        <f t="shared" si="98"/>
        <v>3.5142356289569889</v>
      </c>
    </row>
    <row r="667" spans="1:22" x14ac:dyDescent="0.15">
      <c r="A667">
        <v>662</v>
      </c>
      <c r="B667" s="6">
        <f>首页!$B$4+2*A667/1000</f>
        <v>1.444</v>
      </c>
      <c r="C667" s="6">
        <f>首页!$B$7+273.15</f>
        <v>388.15</v>
      </c>
      <c r="D667" s="6">
        <f>首页!$B$6+273.15</f>
        <v>293.14999999999998</v>
      </c>
      <c r="E667" s="6">
        <f>首页!$B$5+273.15</f>
        <v>1373.15</v>
      </c>
      <c r="F667" s="6">
        <f t="shared" si="90"/>
        <v>95</v>
      </c>
      <c r="G667" s="6">
        <f t="shared" si="91"/>
        <v>340.65</v>
      </c>
      <c r="H667" s="6">
        <f t="shared" si="92"/>
        <v>1.9926207055139041E-5</v>
      </c>
      <c r="I667" s="7">
        <f t="shared" si="93"/>
        <v>1158916576932337.8</v>
      </c>
      <c r="J667" s="6">
        <f t="shared" si="94"/>
        <v>1.0226038455893147</v>
      </c>
      <c r="K667" s="7">
        <f>J667*H667*首页!$B$12/P667</f>
        <v>0.69532757496605813</v>
      </c>
      <c r="L667" s="6">
        <f>首页!$B$9*0.0000000567*((C667^4-D667^4)/(C667-D667))</f>
        <v>7.7687338005019564</v>
      </c>
      <c r="M667" s="6">
        <f>IF(首页!$B$13="自然对流",IF(首页!$B$14="立式圆筒",首页!$B$10,PI()*B667/2),PI()*B667/2)</f>
        <v>55.2</v>
      </c>
      <c r="N667" s="7">
        <f>IF(首页!$B$13="强制对流",首页!$B$11*M667/H667,0)</f>
        <v>0</v>
      </c>
      <c r="O667" s="6">
        <f>IF(首页!$B$13="自然对流",IF(首页!$B$14="立式圆筒",(0.825+0.3063*I667^(1/6))^2+0.87*(M667/B667),(0.752+0.303*I667^(1/6))^2),0.3+SQRT((0.592*N667^0.5)^2+(0.0262*N667^0.8/(1-0.5/N667^0.1))^2))</f>
        <v>10052.465120663432</v>
      </c>
      <c r="P667" s="6">
        <f t="shared" si="95"/>
        <v>2.9510194925512497E-2</v>
      </c>
      <c r="Q667" s="6">
        <f t="shared" si="96"/>
        <v>5.3740979201574879</v>
      </c>
      <c r="R667" s="6">
        <f t="shared" si="97"/>
        <v>13.142831720659444</v>
      </c>
      <c r="S667" s="6">
        <f>B667*LN(B667/首页!$B$4)</f>
        <v>3.5922107527125275</v>
      </c>
      <c r="T667" s="6">
        <f>2*首页!$B$8*(E667-C667)/(R667*(C667-D667))</f>
        <v>7.1001281502371755E-2</v>
      </c>
      <c r="U667" t="str">
        <f>IF(首页!$B$13="自然对流","按自然对流公式", "按强制对流公式")</f>
        <v>按自然对流公式</v>
      </c>
      <c r="V667" s="6">
        <f t="shared" si="98"/>
        <v>3.5212094712101556</v>
      </c>
    </row>
    <row r="668" spans="1:22" x14ac:dyDescent="0.15">
      <c r="A668">
        <v>663</v>
      </c>
      <c r="B668" s="6">
        <f>首页!$B$4+2*A668/1000</f>
        <v>1.4460000000000002</v>
      </c>
      <c r="C668" s="6">
        <f>首页!$B$7+273.15</f>
        <v>388.15</v>
      </c>
      <c r="D668" s="6">
        <f>首页!$B$6+273.15</f>
        <v>293.14999999999998</v>
      </c>
      <c r="E668" s="6">
        <f>首页!$B$5+273.15</f>
        <v>1373.15</v>
      </c>
      <c r="F668" s="6">
        <f t="shared" si="90"/>
        <v>95</v>
      </c>
      <c r="G668" s="6">
        <f t="shared" si="91"/>
        <v>340.65</v>
      </c>
      <c r="H668" s="6">
        <f t="shared" si="92"/>
        <v>1.9926207055139041E-5</v>
      </c>
      <c r="I668" s="7">
        <f t="shared" si="93"/>
        <v>1158916576932337.8</v>
      </c>
      <c r="J668" s="6">
        <f t="shared" si="94"/>
        <v>1.0226038455893147</v>
      </c>
      <c r="K668" s="7">
        <f>J668*H668*首页!$B$12/P668</f>
        <v>0.69532757496605813</v>
      </c>
      <c r="L668" s="6">
        <f>首页!$B$9*0.0000000567*((C668^4-D668^4)/(C668-D668))</f>
        <v>7.7687338005019564</v>
      </c>
      <c r="M668" s="6">
        <f>IF(首页!$B$13="自然对流",IF(首页!$B$14="立式圆筒",首页!$B$10,PI()*B668/2),PI()*B668/2)</f>
        <v>55.2</v>
      </c>
      <c r="N668" s="7">
        <f>IF(首页!$B$13="强制对流",首页!$B$11*M668/H668,0)</f>
        <v>0</v>
      </c>
      <c r="O668" s="6">
        <f>IF(首页!$B$13="自然对流",IF(首页!$B$14="立式圆筒",(0.825+0.3063*I668^(1/6))^2+0.87*(M668/B668),(0.752+0.303*I668^(1/6))^2),0.3+SQRT((0.592*N668^0.5)^2+(0.0262*N668^0.8/(1-0.5/N668^0.1))^2))</f>
        <v>10052.419121192161</v>
      </c>
      <c r="P668" s="6">
        <f t="shared" si="95"/>
        <v>2.9510194925512497E-2</v>
      </c>
      <c r="Q668" s="6">
        <f t="shared" si="96"/>
        <v>5.3740733286110451</v>
      </c>
      <c r="R668" s="6">
        <f t="shared" si="97"/>
        <v>13.142807129113002</v>
      </c>
      <c r="S668" s="6">
        <f>B668*LN(B668/首页!$B$4)</f>
        <v>3.5991874982684173</v>
      </c>
      <c r="T668" s="6">
        <f>2*首页!$B$8*(E668-C668)/(R668*(C668-D668))</f>
        <v>7.1001414353085782E-2</v>
      </c>
      <c r="U668" t="str">
        <f>IF(首页!$B$13="自然对流","按自然对流公式", "按强制对流公式")</f>
        <v>按自然对流公式</v>
      </c>
      <c r="V668" s="6">
        <f t="shared" si="98"/>
        <v>3.5281860839153314</v>
      </c>
    </row>
    <row r="669" spans="1:22" x14ac:dyDescent="0.15">
      <c r="A669">
        <v>664</v>
      </c>
      <c r="B669" s="6">
        <f>首页!$B$4+2*A669/1000</f>
        <v>1.448</v>
      </c>
      <c r="C669" s="6">
        <f>首页!$B$7+273.15</f>
        <v>388.15</v>
      </c>
      <c r="D669" s="6">
        <f>首页!$B$6+273.15</f>
        <v>293.14999999999998</v>
      </c>
      <c r="E669" s="6">
        <f>首页!$B$5+273.15</f>
        <v>1373.15</v>
      </c>
      <c r="F669" s="6">
        <f t="shared" si="90"/>
        <v>95</v>
      </c>
      <c r="G669" s="6">
        <f t="shared" si="91"/>
        <v>340.65</v>
      </c>
      <c r="H669" s="6">
        <f t="shared" si="92"/>
        <v>1.9926207055139041E-5</v>
      </c>
      <c r="I669" s="7">
        <f t="shared" si="93"/>
        <v>1158916576932337.8</v>
      </c>
      <c r="J669" s="6">
        <f t="shared" si="94"/>
        <v>1.0226038455893147</v>
      </c>
      <c r="K669" s="7">
        <f>J669*H669*首页!$B$12/P669</f>
        <v>0.69532757496605813</v>
      </c>
      <c r="L669" s="6">
        <f>首页!$B$9*0.0000000567*((C669^4-D669^4)/(C669-D669))</f>
        <v>7.7687338005019564</v>
      </c>
      <c r="M669" s="6">
        <f>IF(首页!$B$13="自然对流",IF(首页!$B$14="立式圆筒",首页!$B$10,PI()*B669/2),PI()*B669/2)</f>
        <v>55.2</v>
      </c>
      <c r="N669" s="7">
        <f>IF(首页!$B$13="强制对流",首页!$B$11*M669/H669,0)</f>
        <v>0</v>
      </c>
      <c r="O669" s="6">
        <f>IF(首页!$B$13="自然对流",IF(首页!$B$14="立式圆筒",(0.825+0.3063*I669^(1/6))^2+0.87*(M669/B669),(0.752+0.303*I669^(1/6))^2),0.3+SQRT((0.592*N669^0.5)^2+(0.0262*N669^0.8/(1-0.5/N669^0.1))^2))</f>
        <v>10052.373248791253</v>
      </c>
      <c r="P669" s="6">
        <f t="shared" si="95"/>
        <v>2.9510194925512497E-2</v>
      </c>
      <c r="Q669" s="6">
        <f t="shared" si="96"/>
        <v>5.3740488049970505</v>
      </c>
      <c r="R669" s="6">
        <f t="shared" si="97"/>
        <v>13.142782605499008</v>
      </c>
      <c r="S669" s="6">
        <f>B669*LN(B669/首页!$B$4)</f>
        <v>3.6061670100769154</v>
      </c>
      <c r="T669" s="6">
        <f>2*首页!$B$8*(E669-C669)/(R669*(C669-D669))</f>
        <v>7.1001546837304003E-2</v>
      </c>
      <c r="U669" t="str">
        <f>IF(首页!$B$13="自然对流","按自然对流公式", "按强制对流公式")</f>
        <v>按自然对流公式</v>
      </c>
      <c r="V669" s="6">
        <f t="shared" si="98"/>
        <v>3.5351654632396112</v>
      </c>
    </row>
    <row r="670" spans="1:22" x14ac:dyDescent="0.15">
      <c r="A670">
        <v>665</v>
      </c>
      <c r="B670" s="6">
        <f>首页!$B$4+2*A670/1000</f>
        <v>1.4500000000000002</v>
      </c>
      <c r="C670" s="6">
        <f>首页!$B$7+273.15</f>
        <v>388.15</v>
      </c>
      <c r="D670" s="6">
        <f>首页!$B$6+273.15</f>
        <v>293.14999999999998</v>
      </c>
      <c r="E670" s="6">
        <f>首页!$B$5+273.15</f>
        <v>1373.15</v>
      </c>
      <c r="F670" s="6">
        <f t="shared" si="90"/>
        <v>95</v>
      </c>
      <c r="G670" s="6">
        <f t="shared" si="91"/>
        <v>340.65</v>
      </c>
      <c r="H670" s="6">
        <f t="shared" si="92"/>
        <v>1.9926207055139041E-5</v>
      </c>
      <c r="I670" s="7">
        <f t="shared" si="93"/>
        <v>1158916576932337.8</v>
      </c>
      <c r="J670" s="6">
        <f t="shared" si="94"/>
        <v>1.0226038455893147</v>
      </c>
      <c r="K670" s="7">
        <f>J670*H670*首页!$B$12/P670</f>
        <v>0.69532757496605813</v>
      </c>
      <c r="L670" s="6">
        <f>首页!$B$9*0.0000000567*((C670^4-D670^4)/(C670-D670))</f>
        <v>7.7687338005019564</v>
      </c>
      <c r="M670" s="6">
        <f>IF(首页!$B$13="自然对流",IF(首页!$B$14="立式圆筒",首页!$B$10,PI()*B670/2),PI()*B670/2)</f>
        <v>55.2</v>
      </c>
      <c r="N670" s="7">
        <f>IF(首页!$B$13="强制对流",首页!$B$11*M670/H670,0)</f>
        <v>0</v>
      </c>
      <c r="O670" s="6">
        <f>IF(首页!$B$13="自然对流",IF(首页!$B$14="立式圆筒",(0.825+0.3063*I670^(1/6))^2+0.87*(M670/B670),(0.752+0.303*I670^(1/6))^2),0.3+SQRT((0.592*N670^0.5)^2+(0.0262*N670^0.8/(1-0.5/N670^0.1))^2))</f>
        <v>10052.327502934901</v>
      </c>
      <c r="P670" s="6">
        <f t="shared" si="95"/>
        <v>2.9510194925512497E-2</v>
      </c>
      <c r="Q670" s="6">
        <f t="shared" si="96"/>
        <v>5.3740243490344053</v>
      </c>
      <c r="R670" s="6">
        <f t="shared" si="97"/>
        <v>13.142758149536363</v>
      </c>
      <c r="S670" s="6">
        <f>B670*LN(B670/首页!$B$4)</f>
        <v>3.6131492843172333</v>
      </c>
      <c r="T670" s="6">
        <f>2*首页!$B$8*(E670-C670)/(R670*(C670-D670))</f>
        <v>7.1001678956540887E-2</v>
      </c>
      <c r="U670" t="str">
        <f>IF(首页!$B$13="自然对流","按自然对流公式", "按强制对流公式")</f>
        <v>按自然对流公式</v>
      </c>
      <c r="V670" s="6">
        <f t="shared" si="98"/>
        <v>3.5421476053606922</v>
      </c>
    </row>
    <row r="671" spans="1:22" x14ac:dyDescent="0.15">
      <c r="A671">
        <v>666</v>
      </c>
      <c r="B671" s="6">
        <f>首页!$B$4+2*A671/1000</f>
        <v>1.452</v>
      </c>
      <c r="C671" s="6">
        <f>首页!$B$7+273.15</f>
        <v>388.15</v>
      </c>
      <c r="D671" s="6">
        <f>首页!$B$6+273.15</f>
        <v>293.14999999999998</v>
      </c>
      <c r="E671" s="6">
        <f>首页!$B$5+273.15</f>
        <v>1373.15</v>
      </c>
      <c r="F671" s="6">
        <f t="shared" si="90"/>
        <v>95</v>
      </c>
      <c r="G671" s="6">
        <f t="shared" si="91"/>
        <v>340.65</v>
      </c>
      <c r="H671" s="6">
        <f t="shared" si="92"/>
        <v>1.9926207055139041E-5</v>
      </c>
      <c r="I671" s="7">
        <f t="shared" si="93"/>
        <v>1158916576932337.8</v>
      </c>
      <c r="J671" s="6">
        <f t="shared" si="94"/>
        <v>1.0226038455893147</v>
      </c>
      <c r="K671" s="7">
        <f>J671*H671*首页!$B$12/P671</f>
        <v>0.69532757496605813</v>
      </c>
      <c r="L671" s="6">
        <f>首页!$B$9*0.0000000567*((C671^4-D671^4)/(C671-D671))</f>
        <v>7.7687338005019564</v>
      </c>
      <c r="M671" s="6">
        <f>IF(首页!$B$13="自然对流",IF(首页!$B$14="立式圆筒",首页!$B$10,PI()*B671/2),PI()*B671/2)</f>
        <v>55.2</v>
      </c>
      <c r="N671" s="7">
        <f>IF(首页!$B$13="强制对流",首页!$B$11*M671/H671,0)</f>
        <v>0</v>
      </c>
      <c r="O671" s="6">
        <f>IF(首页!$B$13="自然对流",IF(首页!$B$14="立式圆筒",(0.825+0.3063*I671^(1/6))^2+0.87*(M671/B671),(0.752+0.303*I671^(1/6))^2),0.3+SQRT((0.592*N671^0.5)^2+(0.0262*N671^0.8/(1-0.5/N671^0.1))^2))</f>
        <v>10052.28188310019</v>
      </c>
      <c r="P671" s="6">
        <f t="shared" si="95"/>
        <v>2.9510194925512497E-2</v>
      </c>
      <c r="Q671" s="6">
        <f t="shared" si="96"/>
        <v>5.373999960443558</v>
      </c>
      <c r="R671" s="6">
        <f t="shared" si="97"/>
        <v>13.142733760945514</v>
      </c>
      <c r="S671" s="6">
        <f>B671*LN(B671/首页!$B$4)</f>
        <v>3.6201343171791138</v>
      </c>
      <c r="T671" s="6">
        <f>2*首页!$B$8*(E671-C671)/(R671*(C671-D671))</f>
        <v>7.100181071230259E-2</v>
      </c>
      <c r="U671" t="str">
        <f>IF(首页!$B$13="自然对流","按自然对流公式", "按强制对流公式")</f>
        <v>按自然对流公式</v>
      </c>
      <c r="V671" s="6">
        <f t="shared" si="98"/>
        <v>3.5491325064668113</v>
      </c>
    </row>
    <row r="672" spans="1:22" x14ac:dyDescent="0.15">
      <c r="A672">
        <v>667</v>
      </c>
      <c r="B672" s="6">
        <f>首页!$B$4+2*A672/1000</f>
        <v>1.4540000000000002</v>
      </c>
      <c r="C672" s="6">
        <f>首页!$B$7+273.15</f>
        <v>388.15</v>
      </c>
      <c r="D672" s="6">
        <f>首页!$B$6+273.15</f>
        <v>293.14999999999998</v>
      </c>
      <c r="E672" s="6">
        <f>首页!$B$5+273.15</f>
        <v>1373.15</v>
      </c>
      <c r="F672" s="6">
        <f t="shared" si="90"/>
        <v>95</v>
      </c>
      <c r="G672" s="6">
        <f t="shared" si="91"/>
        <v>340.65</v>
      </c>
      <c r="H672" s="6">
        <f t="shared" si="92"/>
        <v>1.9926207055139041E-5</v>
      </c>
      <c r="I672" s="7">
        <f t="shared" si="93"/>
        <v>1158916576932337.8</v>
      </c>
      <c r="J672" s="6">
        <f t="shared" si="94"/>
        <v>1.0226038455893147</v>
      </c>
      <c r="K672" s="7">
        <f>J672*H672*首页!$B$12/P672</f>
        <v>0.69532757496605813</v>
      </c>
      <c r="L672" s="6">
        <f>首页!$B$9*0.0000000567*((C672^4-D672^4)/(C672-D672))</f>
        <v>7.7687338005019564</v>
      </c>
      <c r="M672" s="6">
        <f>IF(首页!$B$13="自然对流",IF(首页!$B$14="立式圆筒",首页!$B$10,PI()*B672/2),PI()*B672/2)</f>
        <v>55.2</v>
      </c>
      <c r="N672" s="7">
        <f>IF(首页!$B$13="强制对流",首页!$B$11*M672/H672,0)</f>
        <v>0</v>
      </c>
      <c r="O672" s="6">
        <f>IF(首页!$B$13="自然对流",IF(首页!$B$14="立式圆筒",(0.825+0.3063*I672^(1/6))^2+0.87*(M672/B672),(0.752+0.303*I672^(1/6))^2),0.3+SQRT((0.592*N672^0.5)^2+(0.0262*N672^0.8/(1-0.5/N672^0.1))^2))</f>
        <v>10052.236388767087</v>
      </c>
      <c r="P672" s="6">
        <f t="shared" si="95"/>
        <v>2.9510194925512497E-2</v>
      </c>
      <c r="Q672" s="6">
        <f t="shared" si="96"/>
        <v>5.3739756389464954</v>
      </c>
      <c r="R672" s="6">
        <f t="shared" si="97"/>
        <v>13.142709439448453</v>
      </c>
      <c r="S672" s="6">
        <f>B672*LN(B672/首页!$B$4)</f>
        <v>3.6271221048628033</v>
      </c>
      <c r="T672" s="6">
        <f>2*首页!$B$8*(E672-C672)/(R672*(C672-D672))</f>
        <v>7.1001942106086999E-2</v>
      </c>
      <c r="U672" t="str">
        <f>IF(首页!$B$13="自然对流","按自然对流公式", "按强制对流公式")</f>
        <v>按自然对流公式</v>
      </c>
      <c r="V672" s="6">
        <f t="shared" si="98"/>
        <v>3.5561201627567165</v>
      </c>
    </row>
    <row r="673" spans="1:22" x14ac:dyDescent="0.15">
      <c r="A673">
        <v>668</v>
      </c>
      <c r="B673" s="6">
        <f>首页!$B$4+2*A673/1000</f>
        <v>1.456</v>
      </c>
      <c r="C673" s="6">
        <f>首页!$B$7+273.15</f>
        <v>388.15</v>
      </c>
      <c r="D673" s="6">
        <f>首页!$B$6+273.15</f>
        <v>293.14999999999998</v>
      </c>
      <c r="E673" s="6">
        <f>首页!$B$5+273.15</f>
        <v>1373.15</v>
      </c>
      <c r="F673" s="6">
        <f t="shared" si="90"/>
        <v>95</v>
      </c>
      <c r="G673" s="6">
        <f t="shared" si="91"/>
        <v>340.65</v>
      </c>
      <c r="H673" s="6">
        <f t="shared" si="92"/>
        <v>1.9926207055139041E-5</v>
      </c>
      <c r="I673" s="7">
        <f t="shared" si="93"/>
        <v>1158916576932337.8</v>
      </c>
      <c r="J673" s="6">
        <f t="shared" si="94"/>
        <v>1.0226038455893147</v>
      </c>
      <c r="K673" s="7">
        <f>J673*H673*首页!$B$12/P673</f>
        <v>0.69532757496605813</v>
      </c>
      <c r="L673" s="6">
        <f>首页!$B$9*0.0000000567*((C673^4-D673^4)/(C673-D673))</f>
        <v>7.7687338005019564</v>
      </c>
      <c r="M673" s="6">
        <f>IF(首页!$B$13="自然对流",IF(首页!$B$14="立式圆筒",首页!$B$10,PI()*B673/2),PI()*B673/2)</f>
        <v>55.2</v>
      </c>
      <c r="N673" s="7">
        <f>IF(首页!$B$13="强制对流",首页!$B$11*M673/H673,0)</f>
        <v>0</v>
      </c>
      <c r="O673" s="6">
        <f>IF(首页!$B$13="自然对流",IF(首页!$B$14="立式圆筒",(0.825+0.3063*I673^(1/6))^2+0.87*(M673/B673),(0.752+0.303*I673^(1/6))^2),0.3+SQRT((0.592*N673^0.5)^2+(0.0262*N673^0.8/(1-0.5/N673^0.1))^2))</f>
        <v>10052.191019418417</v>
      </c>
      <c r="P673" s="6">
        <f t="shared" si="95"/>
        <v>2.9510194925512497E-2</v>
      </c>
      <c r="Q673" s="6">
        <f t="shared" si="96"/>
        <v>5.373951384266733</v>
      </c>
      <c r="R673" s="6">
        <f t="shared" si="97"/>
        <v>13.142685184768689</v>
      </c>
      <c r="S673" s="6">
        <f>B673*LN(B673/首页!$B$4)</f>
        <v>3.6341126435789959</v>
      </c>
      <c r="T673" s="6">
        <f>2*首页!$B$8*(E673-C673)/(R673*(C673-D673))</f>
        <v>7.1002073139383781E-2</v>
      </c>
      <c r="U673" t="str">
        <f>IF(首页!$B$13="自然对流","按自然对流公式", "按强制对流公式")</f>
        <v>按自然对流公式</v>
      </c>
      <c r="V673" s="6">
        <f t="shared" si="98"/>
        <v>3.563110570439612</v>
      </c>
    </row>
    <row r="674" spans="1:22" x14ac:dyDescent="0.15">
      <c r="A674">
        <v>669</v>
      </c>
      <c r="B674" s="6">
        <f>首页!$B$4+2*A674/1000</f>
        <v>1.4580000000000002</v>
      </c>
      <c r="C674" s="6">
        <f>首页!$B$7+273.15</f>
        <v>388.15</v>
      </c>
      <c r="D674" s="6">
        <f>首页!$B$6+273.15</f>
        <v>293.14999999999998</v>
      </c>
      <c r="E674" s="6">
        <f>首页!$B$5+273.15</f>
        <v>1373.15</v>
      </c>
      <c r="F674" s="6">
        <f t="shared" si="90"/>
        <v>95</v>
      </c>
      <c r="G674" s="6">
        <f t="shared" si="91"/>
        <v>340.65</v>
      </c>
      <c r="H674" s="6">
        <f t="shared" si="92"/>
        <v>1.9926207055139041E-5</v>
      </c>
      <c r="I674" s="7">
        <f t="shared" si="93"/>
        <v>1158916576932337.8</v>
      </c>
      <c r="J674" s="6">
        <f t="shared" si="94"/>
        <v>1.0226038455893147</v>
      </c>
      <c r="K674" s="7">
        <f>J674*H674*首页!$B$12/P674</f>
        <v>0.69532757496605813</v>
      </c>
      <c r="L674" s="6">
        <f>首页!$B$9*0.0000000567*((C674^4-D674^4)/(C674-D674))</f>
        <v>7.7687338005019564</v>
      </c>
      <c r="M674" s="6">
        <f>IF(首页!$B$13="自然对流",IF(首页!$B$14="立式圆筒",首页!$B$10,PI()*B674/2),PI()*B674/2)</f>
        <v>55.2</v>
      </c>
      <c r="N674" s="7">
        <f>IF(首页!$B$13="强制对流",首页!$B$11*M674/H674,0)</f>
        <v>0</v>
      </c>
      <c r="O674" s="6">
        <f>IF(首页!$B$13="自然对流",IF(首页!$B$14="立式圆筒",(0.825+0.3063*I674^(1/6))^2+0.87*(M674/B674),(0.752+0.303*I674^(1/6))^2),0.3+SQRT((0.592*N674^0.5)^2+(0.0262*N674^0.8/(1-0.5/N674^0.1))^2))</f>
        <v>10052.145774539838</v>
      </c>
      <c r="P674" s="6">
        <f t="shared" si="95"/>
        <v>2.9510194925512497E-2</v>
      </c>
      <c r="Q674" s="6">
        <f t="shared" si="96"/>
        <v>5.3739271961293005</v>
      </c>
      <c r="R674" s="6">
        <f t="shared" si="97"/>
        <v>13.142660996631257</v>
      </c>
      <c r="S674" s="6">
        <f>B674*LN(B674/首页!$B$4)</f>
        <v>3.641105929548802</v>
      </c>
      <c r="T674" s="6">
        <f>2*首页!$B$8*(E674-C674)/(R674*(C674-D674))</f>
        <v>7.1002203813674447E-2</v>
      </c>
      <c r="U674" t="str">
        <f>IF(首页!$B$13="自然对流","按自然对流公式", "按强制对流公式")</f>
        <v>按自然对流公式</v>
      </c>
      <c r="V674" s="6">
        <f t="shared" si="98"/>
        <v>3.5701037257351276</v>
      </c>
    </row>
    <row r="675" spans="1:22" x14ac:dyDescent="0.15">
      <c r="A675">
        <v>670</v>
      </c>
      <c r="B675" s="6">
        <f>首页!$B$4+2*A675/1000</f>
        <v>1.46</v>
      </c>
      <c r="C675" s="6">
        <f>首页!$B$7+273.15</f>
        <v>388.15</v>
      </c>
      <c r="D675" s="6">
        <f>首页!$B$6+273.15</f>
        <v>293.14999999999998</v>
      </c>
      <c r="E675" s="6">
        <f>首页!$B$5+273.15</f>
        <v>1373.15</v>
      </c>
      <c r="F675" s="6">
        <f t="shared" si="90"/>
        <v>95</v>
      </c>
      <c r="G675" s="6">
        <f t="shared" si="91"/>
        <v>340.65</v>
      </c>
      <c r="H675" s="6">
        <f t="shared" si="92"/>
        <v>1.9926207055139041E-5</v>
      </c>
      <c r="I675" s="7">
        <f t="shared" si="93"/>
        <v>1158916576932337.8</v>
      </c>
      <c r="J675" s="6">
        <f t="shared" si="94"/>
        <v>1.0226038455893147</v>
      </c>
      <c r="K675" s="7">
        <f>J675*H675*首页!$B$12/P675</f>
        <v>0.69532757496605813</v>
      </c>
      <c r="L675" s="6">
        <f>首页!$B$9*0.0000000567*((C675^4-D675^4)/(C675-D675))</f>
        <v>7.7687338005019564</v>
      </c>
      <c r="M675" s="6">
        <f>IF(首页!$B$13="自然对流",IF(首页!$B$14="立式圆筒",首页!$B$10,PI()*B675/2),PI()*B675/2)</f>
        <v>55.2</v>
      </c>
      <c r="N675" s="7">
        <f>IF(首页!$B$13="强制对流",首页!$B$11*M675/H675,0)</f>
        <v>0</v>
      </c>
      <c r="O675" s="6">
        <f>IF(首页!$B$13="自然对流",IF(首页!$B$14="立式圆筒",(0.825+0.3063*I675^(1/6))^2+0.87*(M675/B675),(0.752+0.303*I675^(1/6))^2),0.3+SQRT((0.592*N675^0.5)^2+(0.0262*N675^0.8/(1-0.5/N675^0.1))^2))</f>
        <v>10052.100653619831</v>
      </c>
      <c r="P675" s="6">
        <f t="shared" si="95"/>
        <v>2.9510194925512497E-2</v>
      </c>
      <c r="Q675" s="6">
        <f t="shared" si="96"/>
        <v>5.3739030742607383</v>
      </c>
      <c r="R675" s="6">
        <f t="shared" si="97"/>
        <v>13.142636874762694</v>
      </c>
      <c r="S675" s="6">
        <f>B675*LN(B675/首页!$B$4)</f>
        <v>3.6481019590036903</v>
      </c>
      <c r="T675" s="6">
        <f>2*首页!$B$8*(E675-C675)/(R675*(C675-D675))</f>
        <v>7.1002334130432374E-2</v>
      </c>
      <c r="U675" t="str">
        <f>IF(首页!$B$13="自然对流","按自然对流公式", "按强制对流公式")</f>
        <v>按自然对流公式</v>
      </c>
      <c r="V675" s="6">
        <f t="shared" si="98"/>
        <v>3.5770996248732581</v>
      </c>
    </row>
    <row r="676" spans="1:22" x14ac:dyDescent="0.15">
      <c r="A676">
        <v>671</v>
      </c>
      <c r="B676" s="6">
        <f>首页!$B$4+2*A676/1000</f>
        <v>1.4620000000000002</v>
      </c>
      <c r="C676" s="6">
        <f>首页!$B$7+273.15</f>
        <v>388.15</v>
      </c>
      <c r="D676" s="6">
        <f>首页!$B$6+273.15</f>
        <v>293.14999999999998</v>
      </c>
      <c r="E676" s="6">
        <f>首页!$B$5+273.15</f>
        <v>1373.15</v>
      </c>
      <c r="F676" s="6">
        <f t="shared" si="90"/>
        <v>95</v>
      </c>
      <c r="G676" s="6">
        <f t="shared" si="91"/>
        <v>340.65</v>
      </c>
      <c r="H676" s="6">
        <f t="shared" si="92"/>
        <v>1.9926207055139041E-5</v>
      </c>
      <c r="I676" s="7">
        <f t="shared" si="93"/>
        <v>1158916576932337.8</v>
      </c>
      <c r="J676" s="6">
        <f t="shared" si="94"/>
        <v>1.0226038455893147</v>
      </c>
      <c r="K676" s="7">
        <f>J676*H676*首页!$B$12/P676</f>
        <v>0.69532757496605813</v>
      </c>
      <c r="L676" s="6">
        <f>首页!$B$9*0.0000000567*((C676^4-D676^4)/(C676-D676))</f>
        <v>7.7687338005019564</v>
      </c>
      <c r="M676" s="6">
        <f>IF(首页!$B$13="自然对流",IF(首页!$B$14="立式圆筒",首页!$B$10,PI()*B676/2),PI()*B676/2)</f>
        <v>55.2</v>
      </c>
      <c r="N676" s="7">
        <f>IF(首页!$B$13="强制对流",首页!$B$11*M676/H676,0)</f>
        <v>0</v>
      </c>
      <c r="O676" s="6">
        <f>IF(首页!$B$13="自然对流",IF(首页!$B$14="立式圆筒",(0.825+0.3063*I676^(1/6))^2+0.87*(M676/B676),(0.752+0.303*I676^(1/6))^2),0.3+SQRT((0.592*N676^0.5)^2+(0.0262*N676^0.8/(1-0.5/N676^0.1))^2))</f>
        <v>10052.055656149674</v>
      </c>
      <c r="P676" s="6">
        <f t="shared" si="95"/>
        <v>2.9510194925512497E-2</v>
      </c>
      <c r="Q676" s="6">
        <f t="shared" si="96"/>
        <v>5.373879018389081</v>
      </c>
      <c r="R676" s="6">
        <f t="shared" si="97"/>
        <v>13.142612818891038</v>
      </c>
      <c r="S676" s="6">
        <f>B676*LN(B676/首页!$B$4)</f>
        <v>3.6551007281854657</v>
      </c>
      <c r="T676" s="6">
        <f>2*首页!$B$8*(E676-C676)/(R676*(C676-D676))</f>
        <v>7.1002464091122874E-2</v>
      </c>
      <c r="U676" t="str">
        <f>IF(首页!$B$13="自然对流","按自然对流公式", "按强制对流公式")</f>
        <v>按自然对流公式</v>
      </c>
      <c r="V676" s="6">
        <f t="shared" si="98"/>
        <v>3.5840982640943428</v>
      </c>
    </row>
    <row r="677" spans="1:22" x14ac:dyDescent="0.15">
      <c r="A677">
        <v>672</v>
      </c>
      <c r="B677" s="6">
        <f>首页!$B$4+2*A677/1000</f>
        <v>1.464</v>
      </c>
      <c r="C677" s="6">
        <f>首页!$B$7+273.15</f>
        <v>388.15</v>
      </c>
      <c r="D677" s="6">
        <f>首页!$B$6+273.15</f>
        <v>293.14999999999998</v>
      </c>
      <c r="E677" s="6">
        <f>首页!$B$5+273.15</f>
        <v>1373.15</v>
      </c>
      <c r="F677" s="6">
        <f t="shared" si="90"/>
        <v>95</v>
      </c>
      <c r="G677" s="6">
        <f t="shared" si="91"/>
        <v>340.65</v>
      </c>
      <c r="H677" s="6">
        <f t="shared" si="92"/>
        <v>1.9926207055139041E-5</v>
      </c>
      <c r="I677" s="7">
        <f t="shared" si="93"/>
        <v>1158916576932337.8</v>
      </c>
      <c r="J677" s="6">
        <f t="shared" si="94"/>
        <v>1.0226038455893147</v>
      </c>
      <c r="K677" s="7">
        <f>J677*H677*首页!$B$12/P677</f>
        <v>0.69532757496605813</v>
      </c>
      <c r="L677" s="6">
        <f>首页!$B$9*0.0000000567*((C677^4-D677^4)/(C677-D677))</f>
        <v>7.7687338005019564</v>
      </c>
      <c r="M677" s="6">
        <f>IF(首页!$B$13="自然对流",IF(首页!$B$14="立式圆筒",首页!$B$10,PI()*B677/2),PI()*B677/2)</f>
        <v>55.2</v>
      </c>
      <c r="N677" s="7">
        <f>IF(首页!$B$13="强制对流",首页!$B$11*M677/H677,0)</f>
        <v>0</v>
      </c>
      <c r="O677" s="6">
        <f>IF(首页!$B$13="自然对流",IF(首页!$B$14="立式圆筒",(0.825+0.3063*I677^(1/6))^2+0.87*(M677/B677),(0.752+0.303*I677^(1/6))^2),0.3+SQRT((0.592*N677^0.5)^2+(0.0262*N677^0.8/(1-0.5/N677^0.1))^2))</f>
        <v>10052.010781623425</v>
      </c>
      <c r="P677" s="6">
        <f t="shared" si="95"/>
        <v>2.9510194925512497E-2</v>
      </c>
      <c r="Q677" s="6">
        <f t="shared" si="96"/>
        <v>5.3738550282438489</v>
      </c>
      <c r="R677" s="6">
        <f t="shared" si="97"/>
        <v>13.142588828745804</v>
      </c>
      <c r="S677" s="6">
        <f>B677*LN(B677/首页!$B$4)</f>
        <v>3.6621022333462045</v>
      </c>
      <c r="T677" s="6">
        <f>2*首页!$B$8*(E677-C677)/(R677*(C677-D677))</f>
        <v>7.1002593697203353E-2</v>
      </c>
      <c r="U677" t="str">
        <f>IF(首页!$B$13="自然对流","按自然对流公式", "按强制对流公式")</f>
        <v>按自然对流公式</v>
      </c>
      <c r="V677" s="6">
        <f t="shared" si="98"/>
        <v>3.5910996396490011</v>
      </c>
    </row>
    <row r="678" spans="1:22" x14ac:dyDescent="0.15">
      <c r="A678">
        <v>673</v>
      </c>
      <c r="B678" s="6">
        <f>首页!$B$4+2*A678/1000</f>
        <v>1.4660000000000002</v>
      </c>
      <c r="C678" s="6">
        <f>首页!$B$7+273.15</f>
        <v>388.15</v>
      </c>
      <c r="D678" s="6">
        <f>首页!$B$6+273.15</f>
        <v>293.14999999999998</v>
      </c>
      <c r="E678" s="6">
        <f>首页!$B$5+273.15</f>
        <v>1373.15</v>
      </c>
      <c r="F678" s="6">
        <f t="shared" si="90"/>
        <v>95</v>
      </c>
      <c r="G678" s="6">
        <f t="shared" si="91"/>
        <v>340.65</v>
      </c>
      <c r="H678" s="6">
        <f t="shared" si="92"/>
        <v>1.9926207055139041E-5</v>
      </c>
      <c r="I678" s="7">
        <f t="shared" si="93"/>
        <v>1158916576932337.8</v>
      </c>
      <c r="J678" s="6">
        <f t="shared" si="94"/>
        <v>1.0226038455893147</v>
      </c>
      <c r="K678" s="7">
        <f>J678*H678*首页!$B$12/P678</f>
        <v>0.69532757496605813</v>
      </c>
      <c r="L678" s="6">
        <f>首页!$B$9*0.0000000567*((C678^4-D678^4)/(C678-D678))</f>
        <v>7.7687338005019564</v>
      </c>
      <c r="M678" s="6">
        <f>IF(首页!$B$13="自然对流",IF(首页!$B$14="立式圆筒",首页!$B$10,PI()*B678/2),PI()*B678/2)</f>
        <v>55.2</v>
      </c>
      <c r="N678" s="7">
        <f>IF(首页!$B$13="强制对流",首页!$B$11*M678/H678,0)</f>
        <v>0</v>
      </c>
      <c r="O678" s="6">
        <f>IF(首页!$B$13="自然对流",IF(首页!$B$14="立式圆筒",(0.825+0.3063*I678^(1/6))^2+0.87*(M678/B678),(0.752+0.303*I678^(1/6))^2),0.3+SQRT((0.592*N678^0.5)^2+(0.0262*N678^0.8/(1-0.5/N678^0.1))^2))</f>
        <v>10051.966029537902</v>
      </c>
      <c r="P678" s="6">
        <f t="shared" si="95"/>
        <v>2.9510194925512497E-2</v>
      </c>
      <c r="Q678" s="6">
        <f t="shared" si="96"/>
        <v>5.3738311035560393</v>
      </c>
      <c r="R678" s="6">
        <f t="shared" si="97"/>
        <v>13.142564904057995</v>
      </c>
      <c r="S678" s="6">
        <f>B678*LN(B678/首页!$B$4)</f>
        <v>3.6691064707482322</v>
      </c>
      <c r="T678" s="6">
        <f>2*首页!$B$8*(E678-C678)/(R678*(C678-D678))</f>
        <v>7.1002722950123193E-2</v>
      </c>
      <c r="U678" t="str">
        <f>IF(首页!$B$13="自然对流","按自然对流公式", "按强制对流公式")</f>
        <v>按自然对流公式</v>
      </c>
      <c r="V678" s="6">
        <f t="shared" si="98"/>
        <v>3.5981037477981088</v>
      </c>
    </row>
    <row r="679" spans="1:22" x14ac:dyDescent="0.15">
      <c r="A679">
        <v>674</v>
      </c>
      <c r="B679" s="6">
        <f>首页!$B$4+2*A679/1000</f>
        <v>1.468</v>
      </c>
      <c r="C679" s="6">
        <f>首页!$B$7+273.15</f>
        <v>388.15</v>
      </c>
      <c r="D679" s="6">
        <f>首页!$B$6+273.15</f>
        <v>293.14999999999998</v>
      </c>
      <c r="E679" s="6">
        <f>首页!$B$5+273.15</f>
        <v>1373.15</v>
      </c>
      <c r="F679" s="6">
        <f t="shared" si="90"/>
        <v>95</v>
      </c>
      <c r="G679" s="6">
        <f t="shared" si="91"/>
        <v>340.65</v>
      </c>
      <c r="H679" s="6">
        <f t="shared" si="92"/>
        <v>1.9926207055139041E-5</v>
      </c>
      <c r="I679" s="7">
        <f t="shared" si="93"/>
        <v>1158916576932337.8</v>
      </c>
      <c r="J679" s="6">
        <f t="shared" si="94"/>
        <v>1.0226038455893147</v>
      </c>
      <c r="K679" s="7">
        <f>J679*H679*首页!$B$12/P679</f>
        <v>0.69532757496605813</v>
      </c>
      <c r="L679" s="6">
        <f>首页!$B$9*0.0000000567*((C679^4-D679^4)/(C679-D679))</f>
        <v>7.7687338005019564</v>
      </c>
      <c r="M679" s="6">
        <f>IF(首页!$B$13="自然对流",IF(首页!$B$14="立式圆筒",首页!$B$10,PI()*B679/2),PI()*B679/2)</f>
        <v>55.2</v>
      </c>
      <c r="N679" s="7">
        <f>IF(首页!$B$13="强制对流",首页!$B$11*M679/H679,0)</f>
        <v>0</v>
      </c>
      <c r="O679" s="6">
        <f>IF(首页!$B$13="自然对流",IF(首页!$B$14="立式圆筒",(0.825+0.3063*I679^(1/6))^2+0.87*(M679/B679),(0.752+0.303*I679^(1/6))^2),0.3+SQRT((0.592*N679^0.5)^2+(0.0262*N679^0.8/(1-0.5/N679^0.1))^2))</f>
        <v>10051.921399392666</v>
      </c>
      <c r="P679" s="6">
        <f t="shared" si="95"/>
        <v>2.9510194925512497E-2</v>
      </c>
      <c r="Q679" s="6">
        <f t="shared" si="96"/>
        <v>5.3738072440581135</v>
      </c>
      <c r="R679" s="6">
        <f t="shared" si="97"/>
        <v>13.142541044560069</v>
      </c>
      <c r="S679" s="6">
        <f>B679*LN(B679/首页!$B$4)</f>
        <v>3.6761134366640653</v>
      </c>
      <c r="T679" s="6">
        <f>2*首页!$B$8*(E679-C679)/(R679*(C679-D679))</f>
        <v>7.1002851851323906E-2</v>
      </c>
      <c r="U679" t="str">
        <f>IF(首页!$B$13="自然对流","按自然对流公式", "按强制对流公式")</f>
        <v>按自然对流公式</v>
      </c>
      <c r="V679" s="6">
        <f t="shared" si="98"/>
        <v>3.6051105848127416</v>
      </c>
    </row>
    <row r="680" spans="1:22" x14ac:dyDescent="0.15">
      <c r="A680">
        <v>675</v>
      </c>
      <c r="B680" s="6">
        <f>首页!$B$4+2*A680/1000</f>
        <v>1.4700000000000002</v>
      </c>
      <c r="C680" s="6">
        <f>首页!$B$7+273.15</f>
        <v>388.15</v>
      </c>
      <c r="D680" s="6">
        <f>首页!$B$6+273.15</f>
        <v>293.14999999999998</v>
      </c>
      <c r="E680" s="6">
        <f>首页!$B$5+273.15</f>
        <v>1373.15</v>
      </c>
      <c r="F680" s="6">
        <f t="shared" si="90"/>
        <v>95</v>
      </c>
      <c r="G680" s="6">
        <f t="shared" si="91"/>
        <v>340.65</v>
      </c>
      <c r="H680" s="6">
        <f t="shared" si="92"/>
        <v>1.9926207055139041E-5</v>
      </c>
      <c r="I680" s="7">
        <f t="shared" si="93"/>
        <v>1158916576932337.8</v>
      </c>
      <c r="J680" s="6">
        <f t="shared" si="94"/>
        <v>1.0226038455893147</v>
      </c>
      <c r="K680" s="7">
        <f>J680*H680*首页!$B$12/P680</f>
        <v>0.69532757496605813</v>
      </c>
      <c r="L680" s="6">
        <f>首页!$B$9*0.0000000567*((C680^4-D680^4)/(C680-D680))</f>
        <v>7.7687338005019564</v>
      </c>
      <c r="M680" s="6">
        <f>IF(首页!$B$13="自然对流",IF(首页!$B$14="立式圆筒",首页!$B$10,PI()*B680/2),PI()*B680/2)</f>
        <v>55.2</v>
      </c>
      <c r="N680" s="7">
        <f>IF(首页!$B$13="强制对流",首页!$B$11*M680/H680,0)</f>
        <v>0</v>
      </c>
      <c r="O680" s="6">
        <f>IF(首页!$B$13="自然对流",IF(首页!$B$14="立式圆筒",(0.825+0.3063*I680^(1/6))^2+0.87*(M680/B680),(0.752+0.303*I680^(1/6))^2),0.3+SQRT((0.592*N680^0.5)^2+(0.0262*N680^0.8/(1-0.5/N680^0.1))^2))</f>
        <v>10051.876890690002</v>
      </c>
      <c r="P680" s="6">
        <f t="shared" si="95"/>
        <v>2.9510194925512497E-2</v>
      </c>
      <c r="Q680" s="6">
        <f t="shared" si="96"/>
        <v>5.3737834494839927</v>
      </c>
      <c r="R680" s="6">
        <f t="shared" si="97"/>
        <v>13.14251724998595</v>
      </c>
      <c r="S680" s="6">
        <f>B680*LN(B680/首页!$B$4)</f>
        <v>3.6831231273763825</v>
      </c>
      <c r="T680" s="6">
        <f>2*首页!$B$8*(E680-C680)/(R680*(C680-D680))</f>
        <v>7.1002980402239138E-2</v>
      </c>
      <c r="U680" t="str">
        <f>IF(首页!$B$13="自然对流","按自然对流公式", "按强制对流公式")</f>
        <v>按自然对流公式</v>
      </c>
      <c r="V680" s="6">
        <f t="shared" si="98"/>
        <v>3.6121201469741435</v>
      </c>
    </row>
    <row r="681" spans="1:22" x14ac:dyDescent="0.15">
      <c r="A681">
        <v>676</v>
      </c>
      <c r="B681" s="6">
        <f>首页!$B$4+2*A681/1000</f>
        <v>1.472</v>
      </c>
      <c r="C681" s="6">
        <f>首页!$B$7+273.15</f>
        <v>388.15</v>
      </c>
      <c r="D681" s="6">
        <f>首页!$B$6+273.15</f>
        <v>293.14999999999998</v>
      </c>
      <c r="E681" s="6">
        <f>首页!$B$5+273.15</f>
        <v>1373.15</v>
      </c>
      <c r="F681" s="6">
        <f t="shared" si="90"/>
        <v>95</v>
      </c>
      <c r="G681" s="6">
        <f t="shared" si="91"/>
        <v>340.65</v>
      </c>
      <c r="H681" s="6">
        <f t="shared" si="92"/>
        <v>1.9926207055139041E-5</v>
      </c>
      <c r="I681" s="7">
        <f t="shared" si="93"/>
        <v>1158916576932337.8</v>
      </c>
      <c r="J681" s="6">
        <f t="shared" si="94"/>
        <v>1.0226038455893147</v>
      </c>
      <c r="K681" s="7">
        <f>J681*H681*首页!$B$12/P681</f>
        <v>0.69532757496605813</v>
      </c>
      <c r="L681" s="6">
        <f>首页!$B$9*0.0000000567*((C681^4-D681^4)/(C681-D681))</f>
        <v>7.7687338005019564</v>
      </c>
      <c r="M681" s="6">
        <f>IF(首页!$B$13="自然对流",IF(首页!$B$14="立式圆筒",首页!$B$10,PI()*B681/2),PI()*B681/2)</f>
        <v>55.2</v>
      </c>
      <c r="N681" s="7">
        <f>IF(首页!$B$13="强制对流",首页!$B$11*M681/H681,0)</f>
        <v>0</v>
      </c>
      <c r="O681" s="6">
        <f>IF(首页!$B$13="自然对流",IF(首页!$B$14="立式圆筒",(0.825+0.3063*I681^(1/6))^2+0.87*(M681/B681),(0.752+0.303*I681^(1/6))^2),0.3+SQRT((0.592*N681^0.5)^2+(0.0262*N681^0.8/(1-0.5/N681^0.1))^2))</f>
        <v>10051.8325029349</v>
      </c>
      <c r="P681" s="6">
        <f t="shared" si="95"/>
        <v>2.9510194925512497E-2</v>
      </c>
      <c r="Q681" s="6">
        <f t="shared" si="96"/>
        <v>5.3737597195690405</v>
      </c>
      <c r="R681" s="6">
        <f t="shared" si="97"/>
        <v>13.142493520070996</v>
      </c>
      <c r="S681" s="6">
        <f>B681*LN(B681/首页!$B$4)</f>
        <v>3.690135539177974</v>
      </c>
      <c r="T681" s="6">
        <f>2*首页!$B$8*(E681-C681)/(R681*(C681-D681))</f>
        <v>7.1003108604294846E-2</v>
      </c>
      <c r="U681" t="str">
        <f>IF(首页!$B$13="自然对流","按自然对流公式", "按强制对流公式")</f>
        <v>按自然对流公式</v>
      </c>
      <c r="V681" s="6">
        <f t="shared" si="98"/>
        <v>3.6191324305736789</v>
      </c>
    </row>
    <row r="682" spans="1:22" x14ac:dyDescent="0.15">
      <c r="A682">
        <v>677</v>
      </c>
      <c r="B682" s="6">
        <f>首页!$B$4+2*A682/1000</f>
        <v>1.4740000000000002</v>
      </c>
      <c r="C682" s="6">
        <f>首页!$B$7+273.15</f>
        <v>388.15</v>
      </c>
      <c r="D682" s="6">
        <f>首页!$B$6+273.15</f>
        <v>293.14999999999998</v>
      </c>
      <c r="E682" s="6">
        <f>首页!$B$5+273.15</f>
        <v>1373.15</v>
      </c>
      <c r="F682" s="6">
        <f t="shared" si="90"/>
        <v>95</v>
      </c>
      <c r="G682" s="6">
        <f t="shared" si="91"/>
        <v>340.65</v>
      </c>
      <c r="H682" s="6">
        <f t="shared" si="92"/>
        <v>1.9926207055139041E-5</v>
      </c>
      <c r="I682" s="7">
        <f t="shared" si="93"/>
        <v>1158916576932337.8</v>
      </c>
      <c r="J682" s="6">
        <f t="shared" si="94"/>
        <v>1.0226038455893147</v>
      </c>
      <c r="K682" s="7">
        <f>J682*H682*首页!$B$12/P682</f>
        <v>0.69532757496605813</v>
      </c>
      <c r="L682" s="6">
        <f>首页!$B$9*0.0000000567*((C682^4-D682^4)/(C682-D682))</f>
        <v>7.7687338005019564</v>
      </c>
      <c r="M682" s="6">
        <f>IF(首页!$B$13="自然对流",IF(首页!$B$14="立式圆筒",首页!$B$10,PI()*B682/2),PI()*B682/2)</f>
        <v>55.2</v>
      </c>
      <c r="N682" s="7">
        <f>IF(首页!$B$13="强制对流",首页!$B$11*M682/H682,0)</f>
        <v>0</v>
      </c>
      <c r="O682" s="6">
        <f>IF(首页!$B$13="自然对流",IF(首页!$B$14="立式圆筒",(0.825+0.3063*I682^(1/6))^2+0.87*(M682/B682),(0.752+0.303*I682^(1/6))^2),0.3+SQRT((0.592*N682^0.5)^2+(0.0262*N682^0.8/(1-0.5/N682^0.1))^2))</f>
        <v>10051.788235635035</v>
      </c>
      <c r="P682" s="6">
        <f t="shared" si="95"/>
        <v>2.9510194925512497E-2</v>
      </c>
      <c r="Q682" s="6">
        <f t="shared" si="96"/>
        <v>5.3737360540500578</v>
      </c>
      <c r="R682" s="6">
        <f t="shared" si="97"/>
        <v>13.142469854552015</v>
      </c>
      <c r="S682" s="6">
        <f>B682*LN(B682/首页!$B$4)</f>
        <v>3.6971506683717061</v>
      </c>
      <c r="T682" s="6">
        <f>2*首页!$B$8*(E682-C682)/(R682*(C682-D682))</f>
        <v>7.1003236458909144E-2</v>
      </c>
      <c r="U682" t="str">
        <f>IF(首页!$B$13="自然对流","按自然对流公式", "按强制对流公式")</f>
        <v>按自然对流公式</v>
      </c>
      <c r="V682" s="6">
        <f t="shared" si="98"/>
        <v>3.6261474319127971</v>
      </c>
    </row>
    <row r="683" spans="1:22" x14ac:dyDescent="0.15">
      <c r="A683">
        <v>678</v>
      </c>
      <c r="B683" s="6">
        <f>首页!$B$4+2*A683/1000</f>
        <v>1.476</v>
      </c>
      <c r="C683" s="6">
        <f>首页!$B$7+273.15</f>
        <v>388.15</v>
      </c>
      <c r="D683" s="6">
        <f>首页!$B$6+273.15</f>
        <v>293.14999999999998</v>
      </c>
      <c r="E683" s="6">
        <f>首页!$B$5+273.15</f>
        <v>1373.15</v>
      </c>
      <c r="F683" s="6">
        <f t="shared" si="90"/>
        <v>95</v>
      </c>
      <c r="G683" s="6">
        <f t="shared" si="91"/>
        <v>340.65</v>
      </c>
      <c r="H683" s="6">
        <f t="shared" si="92"/>
        <v>1.9926207055139041E-5</v>
      </c>
      <c r="I683" s="7">
        <f t="shared" si="93"/>
        <v>1158916576932337.8</v>
      </c>
      <c r="J683" s="6">
        <f t="shared" si="94"/>
        <v>1.0226038455893147</v>
      </c>
      <c r="K683" s="7">
        <f>J683*H683*首页!$B$12/P683</f>
        <v>0.69532757496605813</v>
      </c>
      <c r="L683" s="6">
        <f>首页!$B$9*0.0000000567*((C683^4-D683^4)/(C683-D683))</f>
        <v>7.7687338005019564</v>
      </c>
      <c r="M683" s="6">
        <f>IF(首页!$B$13="自然对流",IF(首页!$B$14="立式圆筒",首页!$B$10,PI()*B683/2),PI()*B683/2)</f>
        <v>55.2</v>
      </c>
      <c r="N683" s="7">
        <f>IF(首页!$B$13="强制对流",首页!$B$11*M683/H683,0)</f>
        <v>0</v>
      </c>
      <c r="O683" s="6">
        <f>IF(首页!$B$13="自然对流",IF(首页!$B$14="立式圆筒",(0.825+0.3063*I683^(1/6))^2+0.87*(M683/B683),(0.752+0.303*I683^(1/6))^2),0.3+SQRT((0.592*N683^0.5)^2+(0.0262*N683^0.8/(1-0.5/N683^0.1))^2))</f>
        <v>10051.744088300753</v>
      </c>
      <c r="P683" s="6">
        <f t="shared" si="95"/>
        <v>2.9510194925512497E-2</v>
      </c>
      <c r="Q683" s="6">
        <f t="shared" si="96"/>
        <v>5.3737124526652735</v>
      </c>
      <c r="R683" s="6">
        <f t="shared" si="97"/>
        <v>13.142446253167229</v>
      </c>
      <c r="S683" s="6">
        <f>B683*LN(B683/首页!$B$4)</f>
        <v>3.7041685112704772</v>
      </c>
      <c r="T683" s="6">
        <f>2*首页!$B$8*(E683-C683)/(R683*(C683-D683))</f>
        <v>7.10033639674926E-2</v>
      </c>
      <c r="U683" t="str">
        <f>IF(首页!$B$13="自然对流","按自然对流公式", "按强制对流公式")</f>
        <v>按自然对流公式</v>
      </c>
      <c r="V683" s="6">
        <f t="shared" si="98"/>
        <v>3.6331651473029845</v>
      </c>
    </row>
    <row r="684" spans="1:22" x14ac:dyDescent="0.15">
      <c r="A684">
        <v>679</v>
      </c>
      <c r="B684" s="6">
        <f>首页!$B$4+2*A684/1000</f>
        <v>1.4780000000000002</v>
      </c>
      <c r="C684" s="6">
        <f>首页!$B$7+273.15</f>
        <v>388.15</v>
      </c>
      <c r="D684" s="6">
        <f>首页!$B$6+273.15</f>
        <v>293.14999999999998</v>
      </c>
      <c r="E684" s="6">
        <f>首页!$B$5+273.15</f>
        <v>1373.15</v>
      </c>
      <c r="F684" s="6">
        <f t="shared" si="90"/>
        <v>95</v>
      </c>
      <c r="G684" s="6">
        <f t="shared" si="91"/>
        <v>340.65</v>
      </c>
      <c r="H684" s="6">
        <f t="shared" si="92"/>
        <v>1.9926207055139041E-5</v>
      </c>
      <c r="I684" s="7">
        <f t="shared" si="93"/>
        <v>1158916576932337.8</v>
      </c>
      <c r="J684" s="6">
        <f t="shared" si="94"/>
        <v>1.0226038455893147</v>
      </c>
      <c r="K684" s="7">
        <f>J684*H684*首页!$B$12/P684</f>
        <v>0.69532757496605813</v>
      </c>
      <c r="L684" s="6">
        <f>首页!$B$9*0.0000000567*((C684^4-D684^4)/(C684-D684))</f>
        <v>7.7687338005019564</v>
      </c>
      <c r="M684" s="6">
        <f>IF(首页!$B$13="自然对流",IF(首页!$B$14="立式圆筒",首页!$B$10,PI()*B684/2),PI()*B684/2)</f>
        <v>55.2</v>
      </c>
      <c r="N684" s="7">
        <f>IF(首页!$B$13="强制对流",首页!$B$11*M684/H684,0)</f>
        <v>0</v>
      </c>
      <c r="O684" s="6">
        <f>IF(首页!$B$13="自然对流",IF(首页!$B$14="立式圆筒",(0.825+0.3063*I684^(1/6))^2+0.87*(M684/B684),(0.752+0.303*I684^(1/6))^2),0.3+SQRT((0.592*N684^0.5)^2+(0.0262*N684^0.8/(1-0.5/N684^0.1))^2))</f>
        <v>10051.70006044505</v>
      </c>
      <c r="P684" s="6">
        <f t="shared" si="95"/>
        <v>2.9510194925512497E-2</v>
      </c>
      <c r="Q684" s="6">
        <f t="shared" si="96"/>
        <v>5.3736889151543314</v>
      </c>
      <c r="R684" s="6">
        <f t="shared" si="97"/>
        <v>13.142422715656288</v>
      </c>
      <c r="S684" s="6">
        <f>B684*LN(B684/首页!$B$4)</f>
        <v>3.7111890641971779</v>
      </c>
      <c r="T684" s="6">
        <f>2*首页!$B$8*(E684-C684)/(R684*(C684-D684))</f>
        <v>7.1003491131448007E-2</v>
      </c>
      <c r="U684" t="str">
        <f>IF(首页!$B$13="自然对流","按自然对流公式", "按强制对流公式")</f>
        <v>按自然对流公式</v>
      </c>
      <c r="V684" s="6">
        <f t="shared" si="98"/>
        <v>3.6401855730657298</v>
      </c>
    </row>
    <row r="685" spans="1:22" x14ac:dyDescent="0.15">
      <c r="A685">
        <v>680</v>
      </c>
      <c r="B685" s="6">
        <f>首页!$B$4+2*A685/1000</f>
        <v>1.48</v>
      </c>
      <c r="C685" s="6">
        <f>首页!$B$7+273.15</f>
        <v>388.15</v>
      </c>
      <c r="D685" s="6">
        <f>首页!$B$6+273.15</f>
        <v>293.14999999999998</v>
      </c>
      <c r="E685" s="6">
        <f>首页!$B$5+273.15</f>
        <v>1373.15</v>
      </c>
      <c r="F685" s="6">
        <f t="shared" si="90"/>
        <v>95</v>
      </c>
      <c r="G685" s="6">
        <f t="shared" si="91"/>
        <v>340.65</v>
      </c>
      <c r="H685" s="6">
        <f t="shared" si="92"/>
        <v>1.9926207055139041E-5</v>
      </c>
      <c r="I685" s="7">
        <f t="shared" si="93"/>
        <v>1158916576932337.8</v>
      </c>
      <c r="J685" s="6">
        <f t="shared" si="94"/>
        <v>1.0226038455893147</v>
      </c>
      <c r="K685" s="7">
        <f>J685*H685*首页!$B$12/P685</f>
        <v>0.69532757496605813</v>
      </c>
      <c r="L685" s="6">
        <f>首页!$B$9*0.0000000567*((C685^4-D685^4)/(C685-D685))</f>
        <v>7.7687338005019564</v>
      </c>
      <c r="M685" s="6">
        <f>IF(首页!$B$13="自然对流",IF(首页!$B$14="立式圆筒",首页!$B$10,PI()*B685/2),PI()*B685/2)</f>
        <v>55.2</v>
      </c>
      <c r="N685" s="7">
        <f>IF(首页!$B$13="强制对流",首页!$B$11*M685/H685,0)</f>
        <v>0</v>
      </c>
      <c r="O685" s="6">
        <f>IF(首页!$B$13="自然对流",IF(首页!$B$14="立式圆筒",(0.825+0.3063*I685^(1/6))^2+0.87*(M685/B685),(0.752+0.303*I685^(1/6))^2),0.3+SQRT((0.592*N685^0.5)^2+(0.0262*N685^0.8/(1-0.5/N685^0.1))^2))</f>
        <v>10051.656151583549</v>
      </c>
      <c r="P685" s="6">
        <f t="shared" si="95"/>
        <v>2.9510194925512497E-2</v>
      </c>
      <c r="Q685" s="6">
        <f t="shared" si="96"/>
        <v>5.3736654412582849</v>
      </c>
      <c r="R685" s="6">
        <f t="shared" si="97"/>
        <v>13.142399241760241</v>
      </c>
      <c r="S685" s="6">
        <f>B685*LN(B685/首页!$B$4)</f>
        <v>3.71821232348465</v>
      </c>
      <c r="T685" s="6">
        <f>2*首页!$B$8*(E685-C685)/(R685*(C685-D685))</f>
        <v>7.1003617952170708E-2</v>
      </c>
      <c r="U685" t="str">
        <f>IF(首页!$B$13="自然对流","按自然对流公式", "按强制对流公式")</f>
        <v>按自然对流公式</v>
      </c>
      <c r="V685" s="6">
        <f t="shared" si="98"/>
        <v>3.6472087055324791</v>
      </c>
    </row>
    <row r="686" spans="1:22" x14ac:dyDescent="0.15">
      <c r="A686">
        <v>681</v>
      </c>
      <c r="B686" s="6">
        <f>首页!$B$4+2*A686/1000</f>
        <v>1.4820000000000002</v>
      </c>
      <c r="C686" s="6">
        <f>首页!$B$7+273.15</f>
        <v>388.15</v>
      </c>
      <c r="D686" s="6">
        <f>首页!$B$6+273.15</f>
        <v>293.14999999999998</v>
      </c>
      <c r="E686" s="6">
        <f>首页!$B$5+273.15</f>
        <v>1373.15</v>
      </c>
      <c r="F686" s="6">
        <f t="shared" si="90"/>
        <v>95</v>
      </c>
      <c r="G686" s="6">
        <f t="shared" si="91"/>
        <v>340.65</v>
      </c>
      <c r="H686" s="6">
        <f t="shared" si="92"/>
        <v>1.9926207055139041E-5</v>
      </c>
      <c r="I686" s="7">
        <f t="shared" si="93"/>
        <v>1158916576932337.8</v>
      </c>
      <c r="J686" s="6">
        <f t="shared" si="94"/>
        <v>1.0226038455893147</v>
      </c>
      <c r="K686" s="7">
        <f>J686*H686*首页!$B$12/P686</f>
        <v>0.69532757496605813</v>
      </c>
      <c r="L686" s="6">
        <f>首页!$B$9*0.0000000567*((C686^4-D686^4)/(C686-D686))</f>
        <v>7.7687338005019564</v>
      </c>
      <c r="M686" s="6">
        <f>IF(首页!$B$13="自然对流",IF(首页!$B$14="立式圆筒",首页!$B$10,PI()*B686/2),PI()*B686/2)</f>
        <v>55.2</v>
      </c>
      <c r="N686" s="7">
        <f>IF(首页!$B$13="强制对流",首页!$B$11*M686/H686,0)</f>
        <v>0</v>
      </c>
      <c r="O686" s="6">
        <f>IF(首页!$B$13="自然对流",IF(首页!$B$14="立式圆筒",(0.825+0.3063*I686^(1/6))^2+0.87*(M686/B686),(0.752+0.303*I686^(1/6))^2),0.3+SQRT((0.592*N686^0.5)^2+(0.0262*N686^0.8/(1-0.5/N686^0.1))^2))</f>
        <v>10051.612361234495</v>
      </c>
      <c r="P686" s="6">
        <f t="shared" si="95"/>
        <v>2.9510194925512497E-2</v>
      </c>
      <c r="Q686" s="6">
        <f t="shared" si="96"/>
        <v>5.3736420307195809</v>
      </c>
      <c r="R686" s="6">
        <f t="shared" si="97"/>
        <v>13.142375831221537</v>
      </c>
      <c r="S686" s="6">
        <f>B686*LN(B686/首页!$B$4)</f>
        <v>3.7252382854756481</v>
      </c>
      <c r="T686" s="6">
        <f>2*首页!$B$8*(E686-C686)/(R686*(C686-D686))</f>
        <v>7.1003744431048468E-2</v>
      </c>
      <c r="U686" t="str">
        <f>IF(首页!$B$13="自然对流","按自然对流公式", "按强制对流公式")</f>
        <v>按自然对流公式</v>
      </c>
      <c r="V686" s="6">
        <f t="shared" si="98"/>
        <v>3.6542345410445995</v>
      </c>
    </row>
    <row r="687" spans="1:22" x14ac:dyDescent="0.15">
      <c r="A687">
        <v>682</v>
      </c>
      <c r="B687" s="6">
        <f>首页!$B$4+2*A687/1000</f>
        <v>1.484</v>
      </c>
      <c r="C687" s="6">
        <f>首页!$B$7+273.15</f>
        <v>388.15</v>
      </c>
      <c r="D687" s="6">
        <f>首页!$B$6+273.15</f>
        <v>293.14999999999998</v>
      </c>
      <c r="E687" s="6">
        <f>首页!$B$5+273.15</f>
        <v>1373.15</v>
      </c>
      <c r="F687" s="6">
        <f t="shared" si="90"/>
        <v>95</v>
      </c>
      <c r="G687" s="6">
        <f t="shared" si="91"/>
        <v>340.65</v>
      </c>
      <c r="H687" s="6">
        <f t="shared" si="92"/>
        <v>1.9926207055139041E-5</v>
      </c>
      <c r="I687" s="7">
        <f t="shared" si="93"/>
        <v>1158916576932337.8</v>
      </c>
      <c r="J687" s="6">
        <f t="shared" si="94"/>
        <v>1.0226038455893147</v>
      </c>
      <c r="K687" s="7">
        <f>J687*H687*首页!$B$12/P687</f>
        <v>0.69532757496605813</v>
      </c>
      <c r="L687" s="6">
        <f>首页!$B$9*0.0000000567*((C687^4-D687^4)/(C687-D687))</f>
        <v>7.7687338005019564</v>
      </c>
      <c r="M687" s="6">
        <f>IF(首页!$B$13="自然对流",IF(首页!$B$14="立式圆筒",首页!$B$10,PI()*B687/2),PI()*B687/2)</f>
        <v>55.2</v>
      </c>
      <c r="N687" s="7">
        <f>IF(首页!$B$13="强制对流",首页!$B$11*M687/H687,0)</f>
        <v>0</v>
      </c>
      <c r="O687" s="6">
        <f>IF(首页!$B$13="自然对流",IF(首页!$B$14="立式圆筒",(0.825+0.3063*I687^(1/6))^2+0.87*(M687/B687),(0.752+0.303*I687^(1/6))^2),0.3+SQRT((0.592*N687^0.5)^2+(0.0262*N687^0.8/(1-0.5/N687^0.1))^2))</f>
        <v>10051.568688918727</v>
      </c>
      <c r="P687" s="6">
        <f t="shared" si="95"/>
        <v>2.9510194925512497E-2</v>
      </c>
      <c r="Q687" s="6">
        <f t="shared" si="96"/>
        <v>5.3736186832820598</v>
      </c>
      <c r="R687" s="6">
        <f t="shared" si="97"/>
        <v>13.142352483784016</v>
      </c>
      <c r="S687" s="6">
        <f>B687*LN(B687/首页!$B$4)</f>
        <v>3.7322669465227953</v>
      </c>
      <c r="T687" s="6">
        <f>2*首页!$B$8*(E687-C687)/(R687*(C687-D687))</f>
        <v>7.1003870569461572E-2</v>
      </c>
      <c r="U687" t="str">
        <f>IF(首页!$B$13="自然对流","按自然对流公式", "按强制对流公式")</f>
        <v>按自然对流公式</v>
      </c>
      <c r="V687" s="6">
        <f t="shared" si="98"/>
        <v>3.6612630759533338</v>
      </c>
    </row>
    <row r="688" spans="1:22" x14ac:dyDescent="0.15">
      <c r="A688">
        <v>683</v>
      </c>
      <c r="B688" s="6">
        <f>首页!$B$4+2*A688/1000</f>
        <v>1.4860000000000002</v>
      </c>
      <c r="C688" s="6">
        <f>首页!$B$7+273.15</f>
        <v>388.15</v>
      </c>
      <c r="D688" s="6">
        <f>首页!$B$6+273.15</f>
        <v>293.14999999999998</v>
      </c>
      <c r="E688" s="6">
        <f>首页!$B$5+273.15</f>
        <v>1373.15</v>
      </c>
      <c r="F688" s="6">
        <f t="shared" si="90"/>
        <v>95</v>
      </c>
      <c r="G688" s="6">
        <f t="shared" si="91"/>
        <v>340.65</v>
      </c>
      <c r="H688" s="6">
        <f t="shared" si="92"/>
        <v>1.9926207055139041E-5</v>
      </c>
      <c r="I688" s="7">
        <f t="shared" si="93"/>
        <v>1158916576932337.8</v>
      </c>
      <c r="J688" s="6">
        <f t="shared" si="94"/>
        <v>1.0226038455893147</v>
      </c>
      <c r="K688" s="7">
        <f>J688*H688*首页!$B$12/P688</f>
        <v>0.69532757496605813</v>
      </c>
      <c r="L688" s="6">
        <f>首页!$B$9*0.0000000567*((C688^4-D688^4)/(C688-D688))</f>
        <v>7.7687338005019564</v>
      </c>
      <c r="M688" s="6">
        <f>IF(首页!$B$13="自然对流",IF(首页!$B$14="立式圆筒",首页!$B$10,PI()*B688/2),PI()*B688/2)</f>
        <v>55.2</v>
      </c>
      <c r="N688" s="7">
        <f>IF(首页!$B$13="强制对流",首页!$B$11*M688/H688,0)</f>
        <v>0</v>
      </c>
      <c r="O688" s="6">
        <f>IF(首页!$B$13="自然对流",IF(首页!$B$14="立式圆筒",(0.825+0.3063*I688^(1/6))^2+0.87*(M688/B688),(0.752+0.303*I688^(1/6))^2),0.3+SQRT((0.592*N688^0.5)^2+(0.0262*N688^0.8/(1-0.5/N688^0.1))^2))</f>
        <v>10051.525134159665</v>
      </c>
      <c r="P688" s="6">
        <f t="shared" si="95"/>
        <v>2.9510194925512497E-2</v>
      </c>
      <c r="Q688" s="6">
        <f t="shared" si="96"/>
        <v>5.3735953986909397</v>
      </c>
      <c r="R688" s="6">
        <f t="shared" si="97"/>
        <v>13.142329199192897</v>
      </c>
      <c r="S688" s="6">
        <f>B688*LN(B688/首页!$B$4)</f>
        <v>3.7392983029885496</v>
      </c>
      <c r="T688" s="6">
        <f>2*首页!$B$8*(E688-C688)/(R688*(C688-D688))</f>
        <v>7.1003996368782921E-2</v>
      </c>
      <c r="U688" t="str">
        <f>IF(首页!$B$13="自然对流","按自然对流公式", "按强制对流公式")</f>
        <v>按自然对流公式</v>
      </c>
      <c r="V688" s="6">
        <f t="shared" si="98"/>
        <v>3.6682943066197669</v>
      </c>
    </row>
    <row r="689" spans="1:22" x14ac:dyDescent="0.15">
      <c r="A689">
        <v>684</v>
      </c>
      <c r="B689" s="6">
        <f>首页!$B$4+2*A689/1000</f>
        <v>1.488</v>
      </c>
      <c r="C689" s="6">
        <f>首页!$B$7+273.15</f>
        <v>388.15</v>
      </c>
      <c r="D689" s="6">
        <f>首页!$B$6+273.15</f>
        <v>293.14999999999998</v>
      </c>
      <c r="E689" s="6">
        <f>首页!$B$5+273.15</f>
        <v>1373.15</v>
      </c>
      <c r="F689" s="6">
        <f t="shared" si="90"/>
        <v>95</v>
      </c>
      <c r="G689" s="6">
        <f t="shared" si="91"/>
        <v>340.65</v>
      </c>
      <c r="H689" s="6">
        <f t="shared" si="92"/>
        <v>1.9926207055139041E-5</v>
      </c>
      <c r="I689" s="7">
        <f t="shared" si="93"/>
        <v>1158916576932337.8</v>
      </c>
      <c r="J689" s="6">
        <f t="shared" si="94"/>
        <v>1.0226038455893147</v>
      </c>
      <c r="K689" s="7">
        <f>J689*H689*首页!$B$12/P689</f>
        <v>0.69532757496605813</v>
      </c>
      <c r="L689" s="6">
        <f>首页!$B$9*0.0000000567*((C689^4-D689^4)/(C689-D689))</f>
        <v>7.7687338005019564</v>
      </c>
      <c r="M689" s="6">
        <f>IF(首页!$B$13="自然对流",IF(首页!$B$14="立式圆筒",首页!$B$10,PI()*B689/2),PI()*B689/2)</f>
        <v>55.2</v>
      </c>
      <c r="N689" s="7">
        <f>IF(首页!$B$13="强制对流",首页!$B$11*M689/H689,0)</f>
        <v>0</v>
      </c>
      <c r="O689" s="6">
        <f>IF(首页!$B$13="自然对流",IF(首页!$B$14="立式圆筒",(0.825+0.3063*I689^(1/6))^2+0.87*(M689/B689),(0.752+0.303*I689^(1/6))^2),0.3+SQRT((0.592*N689^0.5)^2+(0.0262*N689^0.8/(1-0.5/N689^0.1))^2))</f>
        <v>10051.481696483286</v>
      </c>
      <c r="P689" s="6">
        <f t="shared" si="95"/>
        <v>2.9510194925512497E-2</v>
      </c>
      <c r="Q689" s="6">
        <f t="shared" si="96"/>
        <v>5.3735721766928046</v>
      </c>
      <c r="R689" s="6">
        <f t="shared" si="97"/>
        <v>13.142305977194761</v>
      </c>
      <c r="S689" s="6">
        <f>B689*LN(B689/首页!$B$4)</f>
        <v>3.746332351245155</v>
      </c>
      <c r="T689" s="6">
        <f>2*首页!$B$8*(E689-C689)/(R689*(C689-D689))</f>
        <v>7.1004121830378034E-2</v>
      </c>
      <c r="U689" t="str">
        <f>IF(首页!$B$13="自然对流","按自然对流公式", "按强制对流公式")</f>
        <v>按自然对流公式</v>
      </c>
      <c r="V689" s="6">
        <f t="shared" si="98"/>
        <v>3.6753282294147769</v>
      </c>
    </row>
    <row r="690" spans="1:22" x14ac:dyDescent="0.15">
      <c r="A690">
        <v>685</v>
      </c>
      <c r="B690" s="6">
        <f>首页!$B$4+2*A690/1000</f>
        <v>1.4900000000000002</v>
      </c>
      <c r="C690" s="6">
        <f>首页!$B$7+273.15</f>
        <v>388.15</v>
      </c>
      <c r="D690" s="6">
        <f>首页!$B$6+273.15</f>
        <v>293.14999999999998</v>
      </c>
      <c r="E690" s="6">
        <f>首页!$B$5+273.15</f>
        <v>1373.15</v>
      </c>
      <c r="F690" s="6">
        <f t="shared" si="90"/>
        <v>95</v>
      </c>
      <c r="G690" s="6">
        <f t="shared" si="91"/>
        <v>340.65</v>
      </c>
      <c r="H690" s="6">
        <f t="shared" si="92"/>
        <v>1.9926207055139041E-5</v>
      </c>
      <c r="I690" s="7">
        <f t="shared" si="93"/>
        <v>1158916576932337.8</v>
      </c>
      <c r="J690" s="6">
        <f t="shared" si="94"/>
        <v>1.0226038455893147</v>
      </c>
      <c r="K690" s="7">
        <f>J690*H690*首页!$B$12/P690</f>
        <v>0.69532757496605813</v>
      </c>
      <c r="L690" s="6">
        <f>首页!$B$9*0.0000000567*((C690^4-D690^4)/(C690-D690))</f>
        <v>7.7687338005019564</v>
      </c>
      <c r="M690" s="6">
        <f>IF(首页!$B$13="自然对流",IF(首页!$B$14="立式圆筒",首页!$B$10,PI()*B690/2),PI()*B690/2)</f>
        <v>55.2</v>
      </c>
      <c r="N690" s="7">
        <f>IF(首页!$B$13="强制对流",首页!$B$11*M690/H690,0)</f>
        <v>0</v>
      </c>
      <c r="O690" s="6">
        <f>IF(首页!$B$13="自然对流",IF(首页!$B$14="立式圆筒",(0.825+0.3063*I690^(1/6))^2+0.87*(M690/B690),(0.752+0.303*I690^(1/6))^2),0.3+SQRT((0.592*N690^0.5)^2+(0.0262*N690^0.8/(1-0.5/N690^0.1))^2))</f>
        <v>10051.438375418122</v>
      </c>
      <c r="P690" s="6">
        <f t="shared" si="95"/>
        <v>2.9510194925512497E-2</v>
      </c>
      <c r="Q690" s="6">
        <f t="shared" si="96"/>
        <v>5.3735490170356055</v>
      </c>
      <c r="R690" s="6">
        <f t="shared" si="97"/>
        <v>13.142282817537563</v>
      </c>
      <c r="S690" s="6">
        <f>B690*LN(B690/首页!$B$4)</f>
        <v>3.7533690876746149</v>
      </c>
      <c r="T690" s="6">
        <f>2*首页!$B$8*(E690-C690)/(R690*(C690-D690))</f>
        <v>7.100424695560506E-2</v>
      </c>
      <c r="U690" t="str">
        <f>IF(首页!$B$13="自然对流","按自然对流公式", "按强制对流公式")</f>
        <v>按自然对流公式</v>
      </c>
      <c r="V690" s="6">
        <f t="shared" si="98"/>
        <v>3.6823648407190097</v>
      </c>
    </row>
    <row r="691" spans="1:22" x14ac:dyDescent="0.15">
      <c r="A691">
        <v>686</v>
      </c>
      <c r="B691" s="6">
        <f>首页!$B$4+2*A691/1000</f>
        <v>1.492</v>
      </c>
      <c r="C691" s="6">
        <f>首页!$B$7+273.15</f>
        <v>388.15</v>
      </c>
      <c r="D691" s="6">
        <f>首页!$B$6+273.15</f>
        <v>293.14999999999998</v>
      </c>
      <c r="E691" s="6">
        <f>首页!$B$5+273.15</f>
        <v>1373.15</v>
      </c>
      <c r="F691" s="6">
        <f t="shared" si="90"/>
        <v>95</v>
      </c>
      <c r="G691" s="6">
        <f t="shared" si="91"/>
        <v>340.65</v>
      </c>
      <c r="H691" s="6">
        <f t="shared" si="92"/>
        <v>1.9926207055139041E-5</v>
      </c>
      <c r="I691" s="7">
        <f t="shared" si="93"/>
        <v>1158916576932337.8</v>
      </c>
      <c r="J691" s="6">
        <f t="shared" si="94"/>
        <v>1.0226038455893147</v>
      </c>
      <c r="K691" s="7">
        <f>J691*H691*首页!$B$12/P691</f>
        <v>0.69532757496605813</v>
      </c>
      <c r="L691" s="6">
        <f>首页!$B$9*0.0000000567*((C691^4-D691^4)/(C691-D691))</f>
        <v>7.7687338005019564</v>
      </c>
      <c r="M691" s="6">
        <f>IF(首页!$B$13="自然对流",IF(首页!$B$14="立式圆筒",首页!$B$10,PI()*B691/2),PI()*B691/2)</f>
        <v>55.2</v>
      </c>
      <c r="N691" s="7">
        <f>IF(首页!$B$13="强制对流",首页!$B$11*M691/H691,0)</f>
        <v>0</v>
      </c>
      <c r="O691" s="6">
        <f>IF(首页!$B$13="自然对流",IF(首页!$B$14="立式圆筒",(0.825+0.3063*I691^(1/6))^2+0.87*(M691/B691),(0.752+0.303*I691^(1/6))^2),0.3+SQRT((0.592*N691^0.5)^2+(0.0262*N691^0.8/(1-0.5/N691^0.1))^2))</f>
        <v>10051.395170495221</v>
      </c>
      <c r="P691" s="6">
        <f t="shared" si="95"/>
        <v>2.9510194925512497E-2</v>
      </c>
      <c r="Q691" s="6">
        <f t="shared" si="96"/>
        <v>5.3735259194686398</v>
      </c>
      <c r="R691" s="6">
        <f t="shared" si="97"/>
        <v>13.142259719970596</v>
      </c>
      <c r="S691" s="6">
        <f>B691*LN(B691/首页!$B$4)</f>
        <v>3.7604085086686365</v>
      </c>
      <c r="T691" s="6">
        <f>2*首页!$B$8*(E691-C691)/(R691*(C691-D691))</f>
        <v>7.1004371745814948E-2</v>
      </c>
      <c r="U691" t="str">
        <f>IF(首页!$B$13="自然对流","按自然对流公式", "按强制对流公式")</f>
        <v>按自然对流公式</v>
      </c>
      <c r="V691" s="6">
        <f t="shared" si="98"/>
        <v>3.6894041369228217</v>
      </c>
    </row>
    <row r="692" spans="1:22" x14ac:dyDescent="0.15">
      <c r="A692">
        <v>687</v>
      </c>
      <c r="B692" s="6">
        <f>首页!$B$4+2*A692/1000</f>
        <v>1.4940000000000002</v>
      </c>
      <c r="C692" s="6">
        <f>首页!$B$7+273.15</f>
        <v>388.15</v>
      </c>
      <c r="D692" s="6">
        <f>首页!$B$6+273.15</f>
        <v>293.14999999999998</v>
      </c>
      <c r="E692" s="6">
        <f>首页!$B$5+273.15</f>
        <v>1373.15</v>
      </c>
      <c r="F692" s="6">
        <f t="shared" si="90"/>
        <v>95</v>
      </c>
      <c r="G692" s="6">
        <f t="shared" si="91"/>
        <v>340.65</v>
      </c>
      <c r="H692" s="6">
        <f t="shared" si="92"/>
        <v>1.9926207055139041E-5</v>
      </c>
      <c r="I692" s="7">
        <f t="shared" si="93"/>
        <v>1158916576932337.8</v>
      </c>
      <c r="J692" s="6">
        <f t="shared" si="94"/>
        <v>1.0226038455893147</v>
      </c>
      <c r="K692" s="7">
        <f>J692*H692*首页!$B$12/P692</f>
        <v>0.69532757496605813</v>
      </c>
      <c r="L692" s="6">
        <f>首页!$B$9*0.0000000567*((C692^4-D692^4)/(C692-D692))</f>
        <v>7.7687338005019564</v>
      </c>
      <c r="M692" s="6">
        <f>IF(首页!$B$13="自然对流",IF(首页!$B$14="立式圆筒",首页!$B$10,PI()*B692/2),PI()*B692/2)</f>
        <v>55.2</v>
      </c>
      <c r="N692" s="7">
        <f>IF(首页!$B$13="强制对流",首页!$B$11*M692/H692,0)</f>
        <v>0</v>
      </c>
      <c r="O692" s="6">
        <f>IF(首页!$B$13="自然对流",IF(首页!$B$14="立式圆筒",(0.825+0.3063*I692^(1/6))^2+0.87*(M692/B692),(0.752+0.303*I692^(1/6))^2),0.3+SQRT((0.592*N692^0.5)^2+(0.0262*N692^0.8/(1-0.5/N692^0.1))^2))</f>
        <v>10051.352081248153</v>
      </c>
      <c r="P692" s="6">
        <f t="shared" si="95"/>
        <v>2.9510194925512497E-2</v>
      </c>
      <c r="Q692" s="6">
        <f t="shared" si="96"/>
        <v>5.3735028837425487</v>
      </c>
      <c r="R692" s="6">
        <f t="shared" si="97"/>
        <v>13.142236684244505</v>
      </c>
      <c r="S692" s="6">
        <f>B692*LN(B692/首页!$B$4)</f>
        <v>3.7674506106286119</v>
      </c>
      <c r="T692" s="6">
        <f>2*首页!$B$8*(E692-C692)/(R692*(C692-D692))</f>
        <v>7.10044962023514E-2</v>
      </c>
      <c r="U692" t="str">
        <f>IF(首页!$B$13="自然对流","按自然对流公式", "按强制对流公式")</f>
        <v>按自然对流公式</v>
      </c>
      <c r="V692" s="6">
        <f t="shared" si="98"/>
        <v>3.6964461144262604</v>
      </c>
    </row>
    <row r="693" spans="1:22" x14ac:dyDescent="0.15">
      <c r="A693">
        <v>688</v>
      </c>
      <c r="B693" s="6">
        <f>首页!$B$4+2*A693/1000</f>
        <v>1.496</v>
      </c>
      <c r="C693" s="6">
        <f>首页!$B$7+273.15</f>
        <v>388.15</v>
      </c>
      <c r="D693" s="6">
        <f>首页!$B$6+273.15</f>
        <v>293.14999999999998</v>
      </c>
      <c r="E693" s="6">
        <f>首页!$B$5+273.15</f>
        <v>1373.15</v>
      </c>
      <c r="F693" s="6">
        <f t="shared" si="90"/>
        <v>95</v>
      </c>
      <c r="G693" s="6">
        <f t="shared" si="91"/>
        <v>340.65</v>
      </c>
      <c r="H693" s="6">
        <f t="shared" si="92"/>
        <v>1.9926207055139041E-5</v>
      </c>
      <c r="I693" s="7">
        <f t="shared" si="93"/>
        <v>1158916576932337.8</v>
      </c>
      <c r="J693" s="6">
        <f t="shared" si="94"/>
        <v>1.0226038455893147</v>
      </c>
      <c r="K693" s="7">
        <f>J693*H693*首页!$B$12/P693</f>
        <v>0.69532757496605813</v>
      </c>
      <c r="L693" s="6">
        <f>首页!$B$9*0.0000000567*((C693^4-D693^4)/(C693-D693))</f>
        <v>7.7687338005019564</v>
      </c>
      <c r="M693" s="6">
        <f>IF(首页!$B$13="自然对流",IF(首页!$B$14="立式圆筒",首页!$B$10,PI()*B693/2),PI()*B693/2)</f>
        <v>55.2</v>
      </c>
      <c r="N693" s="7">
        <f>IF(首页!$B$13="强制对流",首页!$B$11*M693/H693,0)</f>
        <v>0</v>
      </c>
      <c r="O693" s="6">
        <f>IF(首页!$B$13="自然对流",IF(首页!$B$14="立式圆筒",(0.825+0.3063*I693^(1/6))^2+0.87*(M693/B693),(0.752+0.303*I693^(1/6))^2),0.3+SQRT((0.592*N693^0.5)^2+(0.0262*N693^0.8/(1-0.5/N693^0.1))^2))</f>
        <v>10051.309107212976</v>
      </c>
      <c r="P693" s="6">
        <f t="shared" si="95"/>
        <v>2.9510194925512497E-2</v>
      </c>
      <c r="Q693" s="6">
        <f t="shared" si="96"/>
        <v>5.3734799096093093</v>
      </c>
      <c r="R693" s="6">
        <f t="shared" si="97"/>
        <v>13.142213710111266</v>
      </c>
      <c r="S693" s="6">
        <f>B693*LN(B693/首页!$B$4)</f>
        <v>3.7744953899655558</v>
      </c>
      <c r="T693" s="6">
        <f>2*首页!$B$8*(E693-C693)/(R693*(C693-D693))</f>
        <v>7.1004620326550888E-2</v>
      </c>
      <c r="U693" t="str">
        <f>IF(首页!$B$13="自然对流","按自然对流公式", "按强制对流公式")</f>
        <v>按自然对流公式</v>
      </c>
      <c r="V693" s="6">
        <f t="shared" si="98"/>
        <v>3.7034907696390049</v>
      </c>
    </row>
    <row r="694" spans="1:22" x14ac:dyDescent="0.15">
      <c r="A694">
        <v>689</v>
      </c>
      <c r="B694" s="6">
        <f>首页!$B$4+2*A694/1000</f>
        <v>1.4979999999999998</v>
      </c>
      <c r="C694" s="6">
        <f>首页!$B$7+273.15</f>
        <v>388.15</v>
      </c>
      <c r="D694" s="6">
        <f>首页!$B$6+273.15</f>
        <v>293.14999999999998</v>
      </c>
      <c r="E694" s="6">
        <f>首页!$B$5+273.15</f>
        <v>1373.15</v>
      </c>
      <c r="F694" s="6">
        <f t="shared" si="90"/>
        <v>95</v>
      </c>
      <c r="G694" s="6">
        <f t="shared" si="91"/>
        <v>340.65</v>
      </c>
      <c r="H694" s="6">
        <f t="shared" si="92"/>
        <v>1.9926207055139041E-5</v>
      </c>
      <c r="I694" s="7">
        <f t="shared" si="93"/>
        <v>1158916576932337.8</v>
      </c>
      <c r="J694" s="6">
        <f t="shared" si="94"/>
        <v>1.0226038455893147</v>
      </c>
      <c r="K694" s="7">
        <f>J694*H694*首页!$B$12/P694</f>
        <v>0.69532757496605813</v>
      </c>
      <c r="L694" s="6">
        <f>首页!$B$9*0.0000000567*((C694^4-D694^4)/(C694-D694))</f>
        <v>7.7687338005019564</v>
      </c>
      <c r="M694" s="6">
        <f>IF(首页!$B$13="自然对流",IF(首页!$B$14="立式圆筒",首页!$B$10,PI()*B694/2),PI()*B694/2)</f>
        <v>55.2</v>
      </c>
      <c r="N694" s="7">
        <f>IF(首页!$B$13="强制对流",首页!$B$11*M694/H694,0)</f>
        <v>0</v>
      </c>
      <c r="O694" s="6">
        <f>IF(首页!$B$13="自然对流",IF(首页!$B$14="立式圆筒",(0.825+0.3063*I694^(1/6))^2+0.87*(M694/B694),(0.752+0.303*I694^(1/6))^2),0.3+SQRT((0.592*N694^0.5)^2+(0.0262*N694^0.8/(1-0.5/N694^0.1))^2))</f>
        <v>10051.266247928224</v>
      </c>
      <c r="P694" s="6">
        <f t="shared" si="95"/>
        <v>2.9510194925512497E-2</v>
      </c>
      <c r="Q694" s="6">
        <f t="shared" si="96"/>
        <v>5.3734569968222194</v>
      </c>
      <c r="R694" s="6">
        <f t="shared" si="97"/>
        <v>13.142190797324176</v>
      </c>
      <c r="S694" s="6">
        <f>B694*LN(B694/首页!$B$4)</f>
        <v>3.7815428431000875</v>
      </c>
      <c r="T694" s="6">
        <f>2*首页!$B$8*(E694-C694)/(R694*(C694-D694))</f>
        <v>7.1004744119742835E-2</v>
      </c>
      <c r="U694" t="str">
        <f>IF(首页!$B$13="自然对流","按自然对流公式", "按强制对流公式")</f>
        <v>按自然对流公式</v>
      </c>
      <c r="V694" s="6">
        <f t="shared" si="98"/>
        <v>3.7105380989803445</v>
      </c>
    </row>
    <row r="695" spans="1:22" x14ac:dyDescent="0.15">
      <c r="A695">
        <v>690</v>
      </c>
      <c r="B695" s="6">
        <f>首页!$B$4+2*A695/1000</f>
        <v>1.5</v>
      </c>
      <c r="C695" s="6">
        <f>首页!$B$7+273.15</f>
        <v>388.15</v>
      </c>
      <c r="D695" s="6">
        <f>首页!$B$6+273.15</f>
        <v>293.14999999999998</v>
      </c>
      <c r="E695" s="6">
        <f>首页!$B$5+273.15</f>
        <v>1373.15</v>
      </c>
      <c r="F695" s="6">
        <f t="shared" si="90"/>
        <v>95</v>
      </c>
      <c r="G695" s="6">
        <f t="shared" si="91"/>
        <v>340.65</v>
      </c>
      <c r="H695" s="6">
        <f t="shared" si="92"/>
        <v>1.9926207055139041E-5</v>
      </c>
      <c r="I695" s="7">
        <f t="shared" si="93"/>
        <v>1158916576932337.8</v>
      </c>
      <c r="J695" s="6">
        <f t="shared" si="94"/>
        <v>1.0226038455893147</v>
      </c>
      <c r="K695" s="7">
        <f>J695*H695*首页!$B$12/P695</f>
        <v>0.69532757496605813</v>
      </c>
      <c r="L695" s="6">
        <f>首页!$B$9*0.0000000567*((C695^4-D695^4)/(C695-D695))</f>
        <v>7.7687338005019564</v>
      </c>
      <c r="M695" s="6">
        <f>IF(首页!$B$13="自然对流",IF(首页!$B$14="立式圆筒",首页!$B$10,PI()*B695/2),PI()*B695/2)</f>
        <v>55.2</v>
      </c>
      <c r="N695" s="7">
        <f>IF(首页!$B$13="强制对流",首页!$B$11*M695/H695,0)</f>
        <v>0</v>
      </c>
      <c r="O695" s="6">
        <f>IF(首页!$B$13="自然对流",IF(首页!$B$14="立式圆筒",(0.825+0.3063*I695^(1/6))^2+0.87*(M695/B695),(0.752+0.303*I695^(1/6))^2),0.3+SQRT((0.592*N695^0.5)^2+(0.0262*N695^0.8/(1-0.5/N695^0.1))^2))</f>
        <v>10051.223502934899</v>
      </c>
      <c r="P695" s="6">
        <f t="shared" si="95"/>
        <v>2.9510194925512497E-2</v>
      </c>
      <c r="Q695" s="6">
        <f t="shared" si="96"/>
        <v>5.3734341451358949</v>
      </c>
      <c r="R695" s="6">
        <f t="shared" si="97"/>
        <v>13.142167945637851</v>
      </c>
      <c r="S695" s="6">
        <f>B695*LN(B695/首页!$B$4)</f>
        <v>3.7885929664623834</v>
      </c>
      <c r="T695" s="6">
        <f>2*首页!$B$8*(E695-C695)/(R695*(C695-D695))</f>
        <v>7.1004867583249531E-2</v>
      </c>
      <c r="U695" t="str">
        <f>IF(首页!$B$13="自然对流","按自然对流公式", "按强制对流公式")</f>
        <v>按自然对流公式</v>
      </c>
      <c r="V695" s="6">
        <f t="shared" si="98"/>
        <v>3.7175880988791339</v>
      </c>
    </row>
    <row r="696" spans="1:22" x14ac:dyDescent="0.15">
      <c r="A696">
        <v>691</v>
      </c>
      <c r="B696" s="6">
        <f>首页!$B$4+2*A696/1000</f>
        <v>1.5019999999999998</v>
      </c>
      <c r="C696" s="6">
        <f>首页!$B$7+273.15</f>
        <v>388.15</v>
      </c>
      <c r="D696" s="6">
        <f>首页!$B$6+273.15</f>
        <v>293.14999999999998</v>
      </c>
      <c r="E696" s="6">
        <f>首页!$B$5+273.15</f>
        <v>1373.15</v>
      </c>
      <c r="F696" s="6">
        <f t="shared" si="90"/>
        <v>95</v>
      </c>
      <c r="G696" s="6">
        <f t="shared" si="91"/>
        <v>340.65</v>
      </c>
      <c r="H696" s="6">
        <f t="shared" si="92"/>
        <v>1.9926207055139041E-5</v>
      </c>
      <c r="I696" s="7">
        <f t="shared" si="93"/>
        <v>1158916576932337.8</v>
      </c>
      <c r="J696" s="6">
        <f t="shared" si="94"/>
        <v>1.0226038455893147</v>
      </c>
      <c r="K696" s="7">
        <f>J696*H696*首页!$B$12/P696</f>
        <v>0.69532757496605813</v>
      </c>
      <c r="L696" s="6">
        <f>首页!$B$9*0.0000000567*((C696^4-D696^4)/(C696-D696))</f>
        <v>7.7687338005019564</v>
      </c>
      <c r="M696" s="6">
        <f>IF(首页!$B$13="自然对流",IF(首页!$B$14="立式圆筒",首页!$B$10,PI()*B696/2),PI()*B696/2)</f>
        <v>55.2</v>
      </c>
      <c r="N696" s="7">
        <f>IF(首页!$B$13="强制对流",首页!$B$11*M696/H696,0)</f>
        <v>0</v>
      </c>
      <c r="O696" s="6">
        <f>IF(首页!$B$13="自然对流",IF(首页!$B$14="立式圆筒",(0.825+0.3063*I696^(1/6))^2+0.87*(M696/B696),(0.752+0.303*I696^(1/6))^2),0.3+SQRT((0.592*N696^0.5)^2+(0.0262*N696^0.8/(1-0.5/N696^0.1))^2))</f>
        <v>10051.180871776445</v>
      </c>
      <c r="P696" s="6">
        <f t="shared" si="95"/>
        <v>2.9510194925512497E-2</v>
      </c>
      <c r="Q696" s="6">
        <f t="shared" si="96"/>
        <v>5.3734113543062598</v>
      </c>
      <c r="R696" s="6">
        <f t="shared" si="97"/>
        <v>13.142145154808215</v>
      </c>
      <c r="S696" s="6">
        <f>B696*LN(B696/首页!$B$4)</f>
        <v>3.7956457564921346</v>
      </c>
      <c r="T696" s="6">
        <f>2*首页!$B$8*(E696-C696)/(R696*(C696-D696))</f>
        <v>7.1004990718386243E-2</v>
      </c>
      <c r="U696" t="str">
        <f>IF(首页!$B$13="自然对流","按自然对流公式", "按强制对流公式")</f>
        <v>按自然对流公式</v>
      </c>
      <c r="V696" s="6">
        <f t="shared" si="98"/>
        <v>3.7246407657737484</v>
      </c>
    </row>
    <row r="697" spans="1:22" x14ac:dyDescent="0.15">
      <c r="A697">
        <v>692</v>
      </c>
      <c r="B697" s="6">
        <f>首页!$B$4+2*A697/1000</f>
        <v>1.504</v>
      </c>
      <c r="C697" s="6">
        <f>首页!$B$7+273.15</f>
        <v>388.15</v>
      </c>
      <c r="D697" s="6">
        <f>首页!$B$6+273.15</f>
        <v>293.14999999999998</v>
      </c>
      <c r="E697" s="6">
        <f>首页!$B$5+273.15</f>
        <v>1373.15</v>
      </c>
      <c r="F697" s="6">
        <f t="shared" si="90"/>
        <v>95</v>
      </c>
      <c r="G697" s="6">
        <f t="shared" si="91"/>
        <v>340.65</v>
      </c>
      <c r="H697" s="6">
        <f t="shared" si="92"/>
        <v>1.9926207055139041E-5</v>
      </c>
      <c r="I697" s="7">
        <f t="shared" si="93"/>
        <v>1158916576932337.8</v>
      </c>
      <c r="J697" s="6">
        <f t="shared" si="94"/>
        <v>1.0226038455893147</v>
      </c>
      <c r="K697" s="7">
        <f>J697*H697*首页!$B$12/P697</f>
        <v>0.69532757496605813</v>
      </c>
      <c r="L697" s="6">
        <f>首页!$B$9*0.0000000567*((C697^4-D697^4)/(C697-D697))</f>
        <v>7.7687338005019564</v>
      </c>
      <c r="M697" s="6">
        <f>IF(首页!$B$13="自然对流",IF(首页!$B$14="立式圆筒",首页!$B$10,PI()*B697/2),PI()*B697/2)</f>
        <v>55.2</v>
      </c>
      <c r="N697" s="7">
        <f>IF(首页!$B$13="强制对流",首页!$B$11*M697/H697,0)</f>
        <v>0</v>
      </c>
      <c r="O697" s="6">
        <f>IF(首页!$B$13="自然对流",IF(首页!$B$14="立式圆筒",(0.825+0.3063*I697^(1/6))^2+0.87*(M697/B697),(0.752+0.303*I697^(1/6))^2),0.3+SQRT((0.592*N697^0.5)^2+(0.0262*N697^0.8/(1-0.5/N697^0.1))^2))</f>
        <v>10051.138353998729</v>
      </c>
      <c r="P697" s="6">
        <f t="shared" si="95"/>
        <v>2.9510194925512497E-2</v>
      </c>
      <c r="Q697" s="6">
        <f t="shared" si="96"/>
        <v>5.3733886240905306</v>
      </c>
      <c r="R697" s="6">
        <f t="shared" si="97"/>
        <v>13.142122424592486</v>
      </c>
      <c r="S697" s="6">
        <f>B697*LN(B697/首页!$B$4)</f>
        <v>3.8027012096385198</v>
      </c>
      <c r="T697" s="6">
        <f>2*首页!$B$8*(E697-C697)/(R697*(C697-D697))</f>
        <v>7.10051135264613E-2</v>
      </c>
      <c r="U697" t="str">
        <f>IF(首页!$B$13="自然对流","按自然对流公式", "按强制对流公式")</f>
        <v>按自然对流公式</v>
      </c>
      <c r="V697" s="6">
        <f t="shared" si="98"/>
        <v>3.7316960961120587</v>
      </c>
    </row>
    <row r="698" spans="1:22" x14ac:dyDescent="0.15">
      <c r="A698">
        <v>693</v>
      </c>
      <c r="B698" s="6">
        <f>首页!$B$4+2*A698/1000</f>
        <v>1.5059999999999998</v>
      </c>
      <c r="C698" s="6">
        <f>首页!$B$7+273.15</f>
        <v>388.15</v>
      </c>
      <c r="D698" s="6">
        <f>首页!$B$6+273.15</f>
        <v>293.14999999999998</v>
      </c>
      <c r="E698" s="6">
        <f>首页!$B$5+273.15</f>
        <v>1373.15</v>
      </c>
      <c r="F698" s="6">
        <f t="shared" si="90"/>
        <v>95</v>
      </c>
      <c r="G698" s="6">
        <f t="shared" si="91"/>
        <v>340.65</v>
      </c>
      <c r="H698" s="6">
        <f t="shared" si="92"/>
        <v>1.9926207055139041E-5</v>
      </c>
      <c r="I698" s="7">
        <f t="shared" si="93"/>
        <v>1158916576932337.8</v>
      </c>
      <c r="J698" s="6">
        <f t="shared" si="94"/>
        <v>1.0226038455893147</v>
      </c>
      <c r="K698" s="7">
        <f>J698*H698*首页!$B$12/P698</f>
        <v>0.69532757496605813</v>
      </c>
      <c r="L698" s="6">
        <f>首页!$B$9*0.0000000567*((C698^4-D698^4)/(C698-D698))</f>
        <v>7.7687338005019564</v>
      </c>
      <c r="M698" s="6">
        <f>IF(首页!$B$13="自然对流",IF(首页!$B$14="立式圆筒",首页!$B$10,PI()*B698/2),PI()*B698/2)</f>
        <v>55.2</v>
      </c>
      <c r="N698" s="7">
        <f>IF(首页!$B$13="强制对流",首页!$B$11*M698/H698,0)</f>
        <v>0</v>
      </c>
      <c r="O698" s="6">
        <f>IF(首页!$B$13="自然对流",IF(首页!$B$14="立式圆筒",(0.825+0.3063*I698^(1/6))^2+0.87*(M698/B698),(0.752+0.303*I698^(1/6))^2),0.3+SQRT((0.592*N698^0.5)^2+(0.0262*N698^0.8/(1-0.5/N698^0.1))^2))</f>
        <v>10051.09594915004</v>
      </c>
      <c r="P698" s="6">
        <f t="shared" si="95"/>
        <v>2.9510194925512497E-2</v>
      </c>
      <c r="Q698" s="6">
        <f t="shared" si="96"/>
        <v>5.3733659542472232</v>
      </c>
      <c r="R698" s="6">
        <f t="shared" si="97"/>
        <v>13.142099754749179</v>
      </c>
      <c r="S698" s="6">
        <f>B698*LN(B698/首页!$B$4)</f>
        <v>3.8097593223601551</v>
      </c>
      <c r="T698" s="6">
        <f>2*首页!$B$8*(E698-C698)/(R698*(C698-D698))</f>
        <v>7.1005236008775965E-2</v>
      </c>
      <c r="U698" t="str">
        <f>IF(首页!$B$13="自然对流","按自然对流公式", "按强制对流公式")</f>
        <v>按自然对流公式</v>
      </c>
      <c r="V698" s="6">
        <f t="shared" si="98"/>
        <v>3.7387540863513791</v>
      </c>
    </row>
    <row r="699" spans="1:22" x14ac:dyDescent="0.15">
      <c r="A699">
        <v>694</v>
      </c>
      <c r="B699" s="6">
        <f>首页!$B$4+2*A699/1000</f>
        <v>1.508</v>
      </c>
      <c r="C699" s="6">
        <f>首页!$B$7+273.15</f>
        <v>388.15</v>
      </c>
      <c r="D699" s="6">
        <f>首页!$B$6+273.15</f>
        <v>293.14999999999998</v>
      </c>
      <c r="E699" s="6">
        <f>首页!$B$5+273.15</f>
        <v>1373.15</v>
      </c>
      <c r="F699" s="6">
        <f t="shared" si="90"/>
        <v>95</v>
      </c>
      <c r="G699" s="6">
        <f t="shared" si="91"/>
        <v>340.65</v>
      </c>
      <c r="H699" s="6">
        <f t="shared" si="92"/>
        <v>1.9926207055139041E-5</v>
      </c>
      <c r="I699" s="7">
        <f t="shared" si="93"/>
        <v>1158916576932337.8</v>
      </c>
      <c r="J699" s="6">
        <f t="shared" si="94"/>
        <v>1.0226038455893147</v>
      </c>
      <c r="K699" s="7">
        <f>J699*H699*首页!$B$12/P699</f>
        <v>0.69532757496605813</v>
      </c>
      <c r="L699" s="6">
        <f>首页!$B$9*0.0000000567*((C699^4-D699^4)/(C699-D699))</f>
        <v>7.7687338005019564</v>
      </c>
      <c r="M699" s="6">
        <f>IF(首页!$B$13="自然对流",IF(首页!$B$14="立式圆筒",首页!$B$10,PI()*B699/2),PI()*B699/2)</f>
        <v>55.2</v>
      </c>
      <c r="N699" s="7">
        <f>IF(首页!$B$13="强制对流",首页!$B$11*M699/H699,0)</f>
        <v>0</v>
      </c>
      <c r="O699" s="6">
        <f>IF(首页!$B$13="自然对流",IF(首页!$B$14="立式圆筒",(0.825+0.3063*I699^(1/6))^2+0.87*(M699/B699),(0.752+0.303*I699^(1/6))^2),0.3+SQRT((0.592*N699^0.5)^2+(0.0262*N699^0.8/(1-0.5/N699^0.1))^2))</f>
        <v>10051.053656781054</v>
      </c>
      <c r="P699" s="6">
        <f t="shared" si="95"/>
        <v>2.9510194925512497E-2</v>
      </c>
      <c r="Q699" s="6">
        <f t="shared" si="96"/>
        <v>5.3733433445361243</v>
      </c>
      <c r="R699" s="6">
        <f t="shared" si="97"/>
        <v>13.14207714503808</v>
      </c>
      <c r="S699" s="6">
        <f>B699*LN(B699/首页!$B$4)</f>
        <v>3.81682009112507</v>
      </c>
      <c r="T699" s="6">
        <f>2*首页!$B$8*(E699-C699)/(R699*(C699-D699))</f>
        <v>7.1005358166624746E-2</v>
      </c>
      <c r="U699" t="str">
        <f>IF(首页!$B$13="自然对流","按自然对流公式", "按强制对流公式")</f>
        <v>按自然对流公式</v>
      </c>
      <c r="V699" s="6">
        <f t="shared" si="98"/>
        <v>3.7458147329584452</v>
      </c>
    </row>
    <row r="700" spans="1:22" x14ac:dyDescent="0.15">
      <c r="A700">
        <v>695</v>
      </c>
      <c r="B700" s="6">
        <f>首页!$B$4+2*A700/1000</f>
        <v>1.5099999999999998</v>
      </c>
      <c r="C700" s="6">
        <f>首页!$B$7+273.15</f>
        <v>388.15</v>
      </c>
      <c r="D700" s="6">
        <f>首页!$B$6+273.15</f>
        <v>293.14999999999998</v>
      </c>
      <c r="E700" s="6">
        <f>首页!$B$5+273.15</f>
        <v>1373.15</v>
      </c>
      <c r="F700" s="6">
        <f t="shared" si="90"/>
        <v>95</v>
      </c>
      <c r="G700" s="6">
        <f t="shared" si="91"/>
        <v>340.65</v>
      </c>
      <c r="H700" s="6">
        <f t="shared" si="92"/>
        <v>1.9926207055139041E-5</v>
      </c>
      <c r="I700" s="7">
        <f t="shared" si="93"/>
        <v>1158916576932337.8</v>
      </c>
      <c r="J700" s="6">
        <f t="shared" si="94"/>
        <v>1.0226038455893147</v>
      </c>
      <c r="K700" s="7">
        <f>J700*H700*首页!$B$12/P700</f>
        <v>0.69532757496605813</v>
      </c>
      <c r="L700" s="6">
        <f>首页!$B$9*0.0000000567*((C700^4-D700^4)/(C700-D700))</f>
        <v>7.7687338005019564</v>
      </c>
      <c r="M700" s="6">
        <f>IF(首页!$B$13="自然对流",IF(首页!$B$14="立式圆筒",首页!$B$10,PI()*B700/2),PI()*B700/2)</f>
        <v>55.2</v>
      </c>
      <c r="N700" s="7">
        <f>IF(首页!$B$13="强制对流",首页!$B$11*M700/H700,0)</f>
        <v>0</v>
      </c>
      <c r="O700" s="6">
        <f>IF(首页!$B$13="自然对流",IF(首页!$B$14="立式圆筒",(0.825+0.3063*I700^(1/6))^2+0.87*(M700/B700),(0.752+0.303*I700^(1/6))^2),0.3+SQRT((0.592*N700^0.5)^2+(0.0262*N700^0.8/(1-0.5/N700^0.1))^2))</f>
        <v>10051.011476444834</v>
      </c>
      <c r="P700" s="6">
        <f t="shared" si="95"/>
        <v>2.9510194925512497E-2</v>
      </c>
      <c r="Q700" s="6">
        <f t="shared" si="96"/>
        <v>5.3733207947182997</v>
      </c>
      <c r="R700" s="6">
        <f t="shared" si="97"/>
        <v>13.142054595220255</v>
      </c>
      <c r="S700" s="6">
        <f>B700*LN(B700/首页!$B$4)</f>
        <v>3.8238835124106547</v>
      </c>
      <c r="T700" s="6">
        <f>2*首页!$B$8*(E700-C700)/(R700*(C700-D700))</f>
        <v>7.1005480001295251E-2</v>
      </c>
      <c r="U700" t="str">
        <f>IF(首页!$B$13="自然对流","按自然对流公式", "按强制对流公式")</f>
        <v>按自然对流公式</v>
      </c>
      <c r="V700" s="6">
        <f t="shared" si="98"/>
        <v>3.7528780324093596</v>
      </c>
    </row>
    <row r="701" spans="1:22" x14ac:dyDescent="0.15">
      <c r="A701">
        <v>696</v>
      </c>
      <c r="B701" s="6">
        <f>首页!$B$4+2*A701/1000</f>
        <v>1.512</v>
      </c>
      <c r="C701" s="6">
        <f>首页!$B$7+273.15</f>
        <v>388.15</v>
      </c>
      <c r="D701" s="6">
        <f>首页!$B$6+273.15</f>
        <v>293.14999999999998</v>
      </c>
      <c r="E701" s="6">
        <f>首页!$B$5+273.15</f>
        <v>1373.15</v>
      </c>
      <c r="F701" s="6">
        <f t="shared" si="90"/>
        <v>95</v>
      </c>
      <c r="G701" s="6">
        <f t="shared" si="91"/>
        <v>340.65</v>
      </c>
      <c r="H701" s="6">
        <f t="shared" si="92"/>
        <v>1.9926207055139041E-5</v>
      </c>
      <c r="I701" s="7">
        <f t="shared" si="93"/>
        <v>1158916576932337.8</v>
      </c>
      <c r="J701" s="6">
        <f t="shared" si="94"/>
        <v>1.0226038455893147</v>
      </c>
      <c r="K701" s="7">
        <f>J701*H701*首页!$B$12/P701</f>
        <v>0.69532757496605813</v>
      </c>
      <c r="L701" s="6">
        <f>首页!$B$9*0.0000000567*((C701^4-D701^4)/(C701-D701))</f>
        <v>7.7687338005019564</v>
      </c>
      <c r="M701" s="6">
        <f>IF(首页!$B$13="自然对流",IF(首页!$B$14="立式圆筒",首页!$B$10,PI()*B701/2),PI()*B701/2)</f>
        <v>55.2</v>
      </c>
      <c r="N701" s="7">
        <f>IF(首页!$B$13="强制对流",首页!$B$11*M701/H701,0)</f>
        <v>0</v>
      </c>
      <c r="O701" s="6">
        <f>IF(首页!$B$13="自然对流",IF(首页!$B$14="立式圆筒",(0.825+0.3063*I701^(1/6))^2+0.87*(M701/B701),(0.752+0.303*I701^(1/6))^2),0.3+SQRT((0.592*N701^0.5)^2+(0.0262*N701^0.8/(1-0.5/N701^0.1))^2))</f>
        <v>10050.969407696804</v>
      </c>
      <c r="P701" s="6">
        <f t="shared" si="95"/>
        <v>2.9510194925512497E-2</v>
      </c>
      <c r="Q701" s="6">
        <f t="shared" si="96"/>
        <v>5.3732983045560792</v>
      </c>
      <c r="R701" s="6">
        <f t="shared" si="97"/>
        <v>13.142032105058036</v>
      </c>
      <c r="S701" s="6">
        <f>B701*LN(B701/首页!$B$4)</f>
        <v>3.8309495827036382</v>
      </c>
      <c r="T701" s="6">
        <f>2*首页!$B$8*(E701-C701)/(R701*(C701-D701))</f>
        <v>7.1005601514068234E-2</v>
      </c>
      <c r="U701" t="str">
        <f>IF(首页!$B$13="自然对流","按自然对流公式", "按强制对流公式")</f>
        <v>按自然对流公式</v>
      </c>
      <c r="V701" s="6">
        <f t="shared" si="98"/>
        <v>3.7599439811895699</v>
      </c>
    </row>
    <row r="702" spans="1:22" x14ac:dyDescent="0.15">
      <c r="A702">
        <v>697</v>
      </c>
      <c r="B702" s="6">
        <f>首页!$B$4+2*A702/1000</f>
        <v>1.5139999999999998</v>
      </c>
      <c r="C702" s="6">
        <f>首页!$B$7+273.15</f>
        <v>388.15</v>
      </c>
      <c r="D702" s="6">
        <f>首页!$B$6+273.15</f>
        <v>293.14999999999998</v>
      </c>
      <c r="E702" s="6">
        <f>首页!$B$5+273.15</f>
        <v>1373.15</v>
      </c>
      <c r="F702" s="6">
        <f t="shared" si="90"/>
        <v>95</v>
      </c>
      <c r="G702" s="6">
        <f t="shared" si="91"/>
        <v>340.65</v>
      </c>
      <c r="H702" s="6">
        <f t="shared" si="92"/>
        <v>1.9926207055139041E-5</v>
      </c>
      <c r="I702" s="7">
        <f t="shared" si="93"/>
        <v>1158916576932337.8</v>
      </c>
      <c r="J702" s="6">
        <f t="shared" si="94"/>
        <v>1.0226038455893147</v>
      </c>
      <c r="K702" s="7">
        <f>J702*H702*首页!$B$12/P702</f>
        <v>0.69532757496605813</v>
      </c>
      <c r="L702" s="6">
        <f>首页!$B$9*0.0000000567*((C702^4-D702^4)/(C702-D702))</f>
        <v>7.7687338005019564</v>
      </c>
      <c r="M702" s="6">
        <f>IF(首页!$B$13="自然对流",IF(首页!$B$14="立式圆筒",首页!$B$10,PI()*B702/2),PI()*B702/2)</f>
        <v>55.2</v>
      </c>
      <c r="N702" s="7">
        <f>IF(首页!$B$13="强制对流",首页!$B$11*M702/H702,0)</f>
        <v>0</v>
      </c>
      <c r="O702" s="6">
        <f>IF(首页!$B$13="自然对流",IF(首页!$B$14="立式圆筒",(0.825+0.3063*I702^(1/6))^2+0.87*(M702/B702),(0.752+0.303*I702^(1/6))^2),0.3+SQRT((0.592*N702^0.5)^2+(0.0262*N702^0.8/(1-0.5/N702^0.1))^2))</f>
        <v>10050.927450094741</v>
      </c>
      <c r="P702" s="6">
        <f t="shared" si="95"/>
        <v>2.9510194925512497E-2</v>
      </c>
      <c r="Q702" s="6">
        <f t="shared" si="96"/>
        <v>5.3732758738130446</v>
      </c>
      <c r="R702" s="6">
        <f t="shared" si="97"/>
        <v>13.142009674315002</v>
      </c>
      <c r="S702" s="6">
        <f>B702*LN(B702/首页!$B$4)</f>
        <v>3.8380182985000366</v>
      </c>
      <c r="T702" s="6">
        <f>2*首页!$B$8*(E702-C702)/(R702*(C702-D702))</f>
        <v>7.1005722706217758E-2</v>
      </c>
      <c r="U702" t="str">
        <f>IF(首页!$B$13="自然对流","按自然对流公式", "按强制对流公式")</f>
        <v>按自然对流公式</v>
      </c>
      <c r="V702" s="6">
        <f t="shared" si="98"/>
        <v>3.7670125757938187</v>
      </c>
    </row>
    <row r="703" spans="1:22" x14ac:dyDescent="0.15">
      <c r="A703">
        <v>698</v>
      </c>
      <c r="B703" s="6">
        <f>首页!$B$4+2*A703/1000</f>
        <v>1.516</v>
      </c>
      <c r="C703" s="6">
        <f>首页!$B$7+273.15</f>
        <v>388.15</v>
      </c>
      <c r="D703" s="6">
        <f>首页!$B$6+273.15</f>
        <v>293.14999999999998</v>
      </c>
      <c r="E703" s="6">
        <f>首页!$B$5+273.15</f>
        <v>1373.15</v>
      </c>
      <c r="F703" s="6">
        <f t="shared" si="90"/>
        <v>95</v>
      </c>
      <c r="G703" s="6">
        <f t="shared" si="91"/>
        <v>340.65</v>
      </c>
      <c r="H703" s="6">
        <f t="shared" si="92"/>
        <v>1.9926207055139041E-5</v>
      </c>
      <c r="I703" s="7">
        <f t="shared" si="93"/>
        <v>1158916576932337.8</v>
      </c>
      <c r="J703" s="6">
        <f t="shared" si="94"/>
        <v>1.0226038455893147</v>
      </c>
      <c r="K703" s="7">
        <f>J703*H703*首页!$B$12/P703</f>
        <v>0.69532757496605813</v>
      </c>
      <c r="L703" s="6">
        <f>首页!$B$9*0.0000000567*((C703^4-D703^4)/(C703-D703))</f>
        <v>7.7687338005019564</v>
      </c>
      <c r="M703" s="6">
        <f>IF(首页!$B$13="自然对流",IF(首页!$B$14="立式圆筒",首页!$B$10,PI()*B703/2),PI()*B703/2)</f>
        <v>55.2</v>
      </c>
      <c r="N703" s="7">
        <f>IF(首页!$B$13="强制对流",首页!$B$11*M703/H703,0)</f>
        <v>0</v>
      </c>
      <c r="O703" s="6">
        <f>IF(首页!$B$13="自然对流",IF(首页!$B$14="立式圆筒",(0.825+0.3063*I703^(1/6))^2+0.87*(M703/B703),(0.752+0.303*I703^(1/6))^2),0.3+SQRT((0.592*N703^0.5)^2+(0.0262*N703^0.8/(1-0.5/N703^0.1))^2))</f>
        <v>10050.885603198753</v>
      </c>
      <c r="P703" s="6">
        <f t="shared" si="95"/>
        <v>2.9510194925512497E-2</v>
      </c>
      <c r="Q703" s="6">
        <f t="shared" si="96"/>
        <v>5.3732535022540295</v>
      </c>
      <c r="R703" s="6">
        <f t="shared" si="97"/>
        <v>13.141987302755986</v>
      </c>
      <c r="S703" s="6">
        <f>B703*LN(B703/首页!$B$4)</f>
        <v>3.8450896563051313</v>
      </c>
      <c r="T703" s="6">
        <f>2*首页!$B$8*(E703-C703)/(R703*(C703-D703))</f>
        <v>7.1005843579011144E-2</v>
      </c>
      <c r="U703" t="str">
        <f>IF(首页!$B$13="自然对流","按自然对流公式", "按强制对流公式")</f>
        <v>按自然对流公式</v>
      </c>
      <c r="V703" s="6">
        <f t="shared" si="98"/>
        <v>3.7740838127261203</v>
      </c>
    </row>
    <row r="704" spans="1:22" x14ac:dyDescent="0.15">
      <c r="A704">
        <v>699</v>
      </c>
      <c r="B704" s="6">
        <f>首页!$B$4+2*A704/1000</f>
        <v>1.5179999999999998</v>
      </c>
      <c r="C704" s="6">
        <f>首页!$B$7+273.15</f>
        <v>388.15</v>
      </c>
      <c r="D704" s="6">
        <f>首页!$B$6+273.15</f>
        <v>293.14999999999998</v>
      </c>
      <c r="E704" s="6">
        <f>首页!$B$5+273.15</f>
        <v>1373.15</v>
      </c>
      <c r="F704" s="6">
        <f t="shared" si="90"/>
        <v>95</v>
      </c>
      <c r="G704" s="6">
        <f t="shared" si="91"/>
        <v>340.65</v>
      </c>
      <c r="H704" s="6">
        <f t="shared" si="92"/>
        <v>1.9926207055139041E-5</v>
      </c>
      <c r="I704" s="7">
        <f t="shared" si="93"/>
        <v>1158916576932337.8</v>
      </c>
      <c r="J704" s="6">
        <f t="shared" si="94"/>
        <v>1.0226038455893147</v>
      </c>
      <c r="K704" s="7">
        <f>J704*H704*首页!$B$12/P704</f>
        <v>0.69532757496605813</v>
      </c>
      <c r="L704" s="6">
        <f>首页!$B$9*0.0000000567*((C704^4-D704^4)/(C704-D704))</f>
        <v>7.7687338005019564</v>
      </c>
      <c r="M704" s="6">
        <f>IF(首页!$B$13="自然对流",IF(首页!$B$14="立式圆筒",首页!$B$10,PI()*B704/2),PI()*B704/2)</f>
        <v>55.2</v>
      </c>
      <c r="N704" s="7">
        <f>IF(首页!$B$13="强制对流",首页!$B$11*M704/H704,0)</f>
        <v>0</v>
      </c>
      <c r="O704" s="6">
        <f>IF(首页!$B$13="自然对流",IF(首页!$B$14="立式圆筒",(0.825+0.3063*I704^(1/6))^2+0.87*(M704/B704),(0.752+0.303*I704^(1/6))^2),0.3+SQRT((0.592*N704^0.5)^2+(0.0262*N704^0.8/(1-0.5/N704^0.1))^2))</f>
        <v>10050.843866571264</v>
      </c>
      <c r="P704" s="6">
        <f t="shared" si="95"/>
        <v>2.9510194925512497E-2</v>
      </c>
      <c r="Q704" s="6">
        <f t="shared" si="96"/>
        <v>5.3732311896451028</v>
      </c>
      <c r="R704" s="6">
        <f t="shared" si="97"/>
        <v>13.141964990147059</v>
      </c>
      <c r="S704" s="6">
        <f>B704*LN(B704/首页!$B$4)</f>
        <v>3.8521636526334166</v>
      </c>
      <c r="T704" s="6">
        <f>2*首页!$B$8*(E704-C704)/(R704*(C704-D704))</f>
        <v>7.1005964133709049E-2</v>
      </c>
      <c r="U704" t="str">
        <f>IF(首页!$B$13="自然对流","按自然对流公式", "按强制对流公式")</f>
        <v>按自然对流公式</v>
      </c>
      <c r="V704" s="6">
        <f t="shared" si="98"/>
        <v>3.7811576884997078</v>
      </c>
    </row>
    <row r="705" spans="1:22" x14ac:dyDescent="0.15">
      <c r="A705">
        <v>700</v>
      </c>
      <c r="B705" s="6">
        <f>首页!$B$4+2*A705/1000</f>
        <v>1.52</v>
      </c>
      <c r="C705" s="6">
        <f>首页!$B$7+273.15</f>
        <v>388.15</v>
      </c>
      <c r="D705" s="6">
        <f>首页!$B$6+273.15</f>
        <v>293.14999999999998</v>
      </c>
      <c r="E705" s="6">
        <f>首页!$B$5+273.15</f>
        <v>1373.15</v>
      </c>
      <c r="F705" s="6">
        <f t="shared" si="90"/>
        <v>95</v>
      </c>
      <c r="G705" s="6">
        <f t="shared" si="91"/>
        <v>340.65</v>
      </c>
      <c r="H705" s="6">
        <f t="shared" si="92"/>
        <v>1.9926207055139041E-5</v>
      </c>
      <c r="I705" s="7">
        <f t="shared" si="93"/>
        <v>1158916576932337.8</v>
      </c>
      <c r="J705" s="6">
        <f t="shared" si="94"/>
        <v>1.0226038455893147</v>
      </c>
      <c r="K705" s="7">
        <f>J705*H705*首页!$B$12/P705</f>
        <v>0.69532757496605813</v>
      </c>
      <c r="L705" s="6">
        <f>首页!$B$9*0.0000000567*((C705^4-D705^4)/(C705-D705))</f>
        <v>7.7687338005019564</v>
      </c>
      <c r="M705" s="6">
        <f>IF(首页!$B$13="自然对流",IF(首页!$B$14="立式圆筒",首页!$B$10,PI()*B705/2),PI()*B705/2)</f>
        <v>55.2</v>
      </c>
      <c r="N705" s="7">
        <f>IF(首页!$B$13="强制对流",首页!$B$11*M705/H705,0)</f>
        <v>0</v>
      </c>
      <c r="O705" s="6">
        <f>IF(首页!$B$13="自然对流",IF(首页!$B$14="立式圆筒",(0.825+0.3063*I705^(1/6))^2+0.87*(M705/B705),(0.752+0.303*I705^(1/6))^2),0.3+SQRT((0.592*N705^0.5)^2+(0.0262*N705^0.8/(1-0.5/N705^0.1))^2))</f>
        <v>10050.802239777006</v>
      </c>
      <c r="P705" s="6">
        <f t="shared" si="95"/>
        <v>2.9510194925512497E-2</v>
      </c>
      <c r="Q705" s="6">
        <f t="shared" si="96"/>
        <v>5.3732089357535688</v>
      </c>
      <c r="R705" s="6">
        <f t="shared" si="97"/>
        <v>13.141942736255526</v>
      </c>
      <c r="S705" s="6">
        <f>B705*LN(B705/首页!$B$4)</f>
        <v>3.8592402840085795</v>
      </c>
      <c r="T705" s="6">
        <f>2*首页!$B$8*(E705-C705)/(R705*(C705-D705))</f>
        <v>7.1006084371565498E-2</v>
      </c>
      <c r="U705" t="str">
        <f>IF(首页!$B$13="自然对流","按自然对流公式", "按强制对流公式")</f>
        <v>按自然对流公式</v>
      </c>
      <c r="V705" s="6">
        <f t="shared" si="98"/>
        <v>3.7882341996370141</v>
      </c>
    </row>
    <row r="706" spans="1:22" x14ac:dyDescent="0.15">
      <c r="A706">
        <v>701</v>
      </c>
      <c r="B706" s="6">
        <f>首页!$B$4+2*A706/1000</f>
        <v>1.5219999999999998</v>
      </c>
      <c r="C706" s="6">
        <f>首页!$B$7+273.15</f>
        <v>388.15</v>
      </c>
      <c r="D706" s="6">
        <f>首页!$B$6+273.15</f>
        <v>293.14999999999998</v>
      </c>
      <c r="E706" s="6">
        <f>首页!$B$5+273.15</f>
        <v>1373.15</v>
      </c>
      <c r="F706" s="6">
        <f t="shared" si="90"/>
        <v>95</v>
      </c>
      <c r="G706" s="6">
        <f t="shared" si="91"/>
        <v>340.65</v>
      </c>
      <c r="H706" s="6">
        <f t="shared" si="92"/>
        <v>1.9926207055139041E-5</v>
      </c>
      <c r="I706" s="7">
        <f t="shared" si="93"/>
        <v>1158916576932337.8</v>
      </c>
      <c r="J706" s="6">
        <f t="shared" si="94"/>
        <v>1.0226038455893147</v>
      </c>
      <c r="K706" s="7">
        <f>J706*H706*首页!$B$12/P706</f>
        <v>0.69532757496605813</v>
      </c>
      <c r="L706" s="6">
        <f>首页!$B$9*0.0000000567*((C706^4-D706^4)/(C706-D706))</f>
        <v>7.7687338005019564</v>
      </c>
      <c r="M706" s="6">
        <f>IF(首页!$B$13="自然对流",IF(首页!$B$14="立式圆筒",首页!$B$10,PI()*B706/2),PI()*B706/2)</f>
        <v>55.2</v>
      </c>
      <c r="N706" s="7">
        <f>IF(首页!$B$13="强制对流",首页!$B$11*M706/H706,0)</f>
        <v>0</v>
      </c>
      <c r="O706" s="6">
        <f>IF(首页!$B$13="自然对流",IF(首页!$B$14="立式圆筒",(0.825+0.3063*I706^(1/6))^2+0.87*(M706/B706),(0.752+0.303*I706^(1/6))^2),0.3+SQRT((0.592*N706^0.5)^2+(0.0262*N706^0.8/(1-0.5/N706^0.1))^2))</f>
        <v>10050.760722382995</v>
      </c>
      <c r="P706" s="6">
        <f t="shared" si="95"/>
        <v>2.9510194925512497E-2</v>
      </c>
      <c r="Q706" s="6">
        <f t="shared" si="96"/>
        <v>5.3731867403479523</v>
      </c>
      <c r="R706" s="6">
        <f t="shared" si="97"/>
        <v>13.14192054084991</v>
      </c>
      <c r="S706" s="6">
        <f>B706*LN(B706/首页!$B$4)</f>
        <v>3.8663195469634482</v>
      </c>
      <c r="T706" s="6">
        <f>2*首页!$B$8*(E706-C706)/(R706*(C706-D706))</f>
        <v>7.1006204293827924E-2</v>
      </c>
      <c r="U706" t="str">
        <f>IF(首页!$B$13="自然对流","按自然对流公式", "按强制对流公式")</f>
        <v>按自然对流公式</v>
      </c>
      <c r="V706" s="6">
        <f t="shared" si="98"/>
        <v>3.7953133426696204</v>
      </c>
    </row>
    <row r="707" spans="1:22" x14ac:dyDescent="0.15">
      <c r="A707">
        <v>702</v>
      </c>
      <c r="B707" s="6">
        <f>首页!$B$4+2*A707/1000</f>
        <v>1.524</v>
      </c>
      <c r="C707" s="6">
        <f>首页!$B$7+273.15</f>
        <v>388.15</v>
      </c>
      <c r="D707" s="6">
        <f>首页!$B$6+273.15</f>
        <v>293.14999999999998</v>
      </c>
      <c r="E707" s="6">
        <f>首页!$B$5+273.15</f>
        <v>1373.15</v>
      </c>
      <c r="F707" s="6">
        <f t="shared" si="90"/>
        <v>95</v>
      </c>
      <c r="G707" s="6">
        <f t="shared" si="91"/>
        <v>340.65</v>
      </c>
      <c r="H707" s="6">
        <f t="shared" si="92"/>
        <v>1.9926207055139041E-5</v>
      </c>
      <c r="I707" s="7">
        <f t="shared" si="93"/>
        <v>1158916576932337.8</v>
      </c>
      <c r="J707" s="6">
        <f t="shared" si="94"/>
        <v>1.0226038455893147</v>
      </c>
      <c r="K707" s="7">
        <f>J707*H707*首页!$B$12/P707</f>
        <v>0.69532757496605813</v>
      </c>
      <c r="L707" s="6">
        <f>首页!$B$9*0.0000000567*((C707^4-D707^4)/(C707-D707))</f>
        <v>7.7687338005019564</v>
      </c>
      <c r="M707" s="6">
        <f>IF(首页!$B$13="自然对流",IF(首页!$B$14="立式圆筒",首页!$B$10,PI()*B707/2),PI()*B707/2)</f>
        <v>55.2</v>
      </c>
      <c r="N707" s="7">
        <f>IF(首页!$B$13="强制对流",首页!$B$11*M707/H707,0)</f>
        <v>0</v>
      </c>
      <c r="O707" s="6">
        <f>IF(首页!$B$13="自然对流",IF(首页!$B$14="立式圆筒",(0.825+0.3063*I707^(1/6))^2+0.87*(M707/B707),(0.752+0.303*I707^(1/6))^2),0.3+SQRT((0.592*N707^0.5)^2+(0.0262*N707^0.8/(1-0.5/N707^0.1))^2))</f>
        <v>10050.719313958522</v>
      </c>
      <c r="P707" s="6">
        <f t="shared" si="95"/>
        <v>2.9510194925512497E-2</v>
      </c>
      <c r="Q707" s="6">
        <f t="shared" si="96"/>
        <v>5.3731646031979929</v>
      </c>
      <c r="R707" s="6">
        <f t="shared" si="97"/>
        <v>13.141898403699949</v>
      </c>
      <c r="S707" s="6">
        <f>B707*LN(B707/首页!$B$4)</f>
        <v>3.8734014380399677</v>
      </c>
      <c r="T707" s="6">
        <f>2*首页!$B$8*(E707-C707)/(R707*(C707-D707))</f>
        <v>7.1006323901737237E-2</v>
      </c>
      <c r="U707" t="str">
        <f>IF(首页!$B$13="自然对流","按自然对流公式", "按强制对流公式")</f>
        <v>按自然对流公式</v>
      </c>
      <c r="V707" s="6">
        <f t="shared" si="98"/>
        <v>3.8023951141382306</v>
      </c>
    </row>
    <row r="708" spans="1:22" x14ac:dyDescent="0.15">
      <c r="A708">
        <v>703</v>
      </c>
      <c r="B708" s="6">
        <f>首页!$B$4+2*A708/1000</f>
        <v>1.5259999999999998</v>
      </c>
      <c r="C708" s="6">
        <f>首页!$B$7+273.15</f>
        <v>388.15</v>
      </c>
      <c r="D708" s="6">
        <f>首页!$B$6+273.15</f>
        <v>293.14999999999998</v>
      </c>
      <c r="E708" s="6">
        <f>首页!$B$5+273.15</f>
        <v>1373.15</v>
      </c>
      <c r="F708" s="6">
        <f t="shared" si="90"/>
        <v>95</v>
      </c>
      <c r="G708" s="6">
        <f t="shared" si="91"/>
        <v>340.65</v>
      </c>
      <c r="H708" s="6">
        <f t="shared" si="92"/>
        <v>1.9926207055139041E-5</v>
      </c>
      <c r="I708" s="7">
        <f t="shared" si="93"/>
        <v>1158916576932337.8</v>
      </c>
      <c r="J708" s="6">
        <f t="shared" si="94"/>
        <v>1.0226038455893147</v>
      </c>
      <c r="K708" s="7">
        <f>J708*H708*首页!$B$12/P708</f>
        <v>0.69532757496605813</v>
      </c>
      <c r="L708" s="6">
        <f>首页!$B$9*0.0000000567*((C708^4-D708^4)/(C708-D708))</f>
        <v>7.7687338005019564</v>
      </c>
      <c r="M708" s="6">
        <f>IF(首页!$B$13="自然对流",IF(首页!$B$14="立式圆筒",首页!$B$10,PI()*B708/2),PI()*B708/2)</f>
        <v>55.2</v>
      </c>
      <c r="N708" s="7">
        <f>IF(首页!$B$13="强制对流",首页!$B$11*M708/H708,0)</f>
        <v>0</v>
      </c>
      <c r="O708" s="6">
        <f>IF(首页!$B$13="自然对流",IF(首页!$B$14="立式圆筒",(0.825+0.3063*I708^(1/6))^2+0.87*(M708/B708),(0.752+0.303*I708^(1/6))^2),0.3+SQRT((0.592*N708^0.5)^2+(0.0262*N708^0.8/(1-0.5/N708^0.1))^2))</f>
        <v>10050.678014075136</v>
      </c>
      <c r="P708" s="6">
        <f t="shared" si="95"/>
        <v>2.9510194925512497E-2</v>
      </c>
      <c r="Q708" s="6">
        <f t="shared" si="96"/>
        <v>5.3731425240746393</v>
      </c>
      <c r="R708" s="6">
        <f t="shared" si="97"/>
        <v>13.141876324576597</v>
      </c>
      <c r="S708" s="6">
        <f>B708*LN(B708/首页!$B$4)</f>
        <v>3.880485953789155</v>
      </c>
      <c r="T708" s="6">
        <f>2*首页!$B$8*(E708-C708)/(R708*(C708-D708))</f>
        <v>7.1006443196527838E-2</v>
      </c>
      <c r="U708" t="str">
        <f>IF(首页!$B$13="自然对流","按自然对流公式", "按强制对流公式")</f>
        <v>按自然对流公式</v>
      </c>
      <c r="V708" s="6">
        <f t="shared" si="98"/>
        <v>3.8094795105926269</v>
      </c>
    </row>
    <row r="709" spans="1:22" x14ac:dyDescent="0.15">
      <c r="A709">
        <v>704</v>
      </c>
      <c r="B709" s="6">
        <f>首页!$B$4+2*A709/1000</f>
        <v>1.528</v>
      </c>
      <c r="C709" s="6">
        <f>首页!$B$7+273.15</f>
        <v>388.15</v>
      </c>
      <c r="D709" s="6">
        <f>首页!$B$6+273.15</f>
        <v>293.14999999999998</v>
      </c>
      <c r="E709" s="6">
        <f>首页!$B$5+273.15</f>
        <v>1373.15</v>
      </c>
      <c r="F709" s="6">
        <f t="shared" ref="F709:F772" si="99">C709-D709</f>
        <v>95</v>
      </c>
      <c r="G709" s="6">
        <f t="shared" ref="G709:G772" si="100">(C709+D709)/2</f>
        <v>340.65</v>
      </c>
      <c r="H709" s="6">
        <f t="shared" ref="H709:H772" si="101">0.0000000042113*G709^2.5/(112+G709)</f>
        <v>1.9926207055139041E-5</v>
      </c>
      <c r="I709" s="7">
        <f t="shared" ref="I709:I772" si="102">9.81*M709^3*F709/(H709^2*G709)</f>
        <v>1158916576932337.8</v>
      </c>
      <c r="J709" s="6">
        <f t="shared" ref="J709:J772" si="103">348.35/G709</f>
        <v>1.0226038455893147</v>
      </c>
      <c r="K709" s="7">
        <f>J709*H709*首页!$B$12/P709</f>
        <v>0.69532757496605813</v>
      </c>
      <c r="L709" s="6">
        <f>首页!$B$9*0.0000000567*((C709^4-D709^4)/(C709-D709))</f>
        <v>7.7687338005019564</v>
      </c>
      <c r="M709" s="6">
        <f>IF(首页!$B$13="自然对流",IF(首页!$B$14="立式圆筒",首页!$B$10,PI()*B709/2),PI()*B709/2)</f>
        <v>55.2</v>
      </c>
      <c r="N709" s="7">
        <f>IF(首页!$B$13="强制对流",首页!$B$11*M709/H709,0)</f>
        <v>0</v>
      </c>
      <c r="O709" s="6">
        <f>IF(首页!$B$13="自然对流",IF(首页!$B$14="立式圆筒",(0.825+0.3063*I709^(1/6))^2+0.87*(M709/B709),(0.752+0.303*I709^(1/6))^2),0.3+SQRT((0.592*N709^0.5)^2+(0.0262*N709^0.8/(1-0.5/N709^0.1))^2))</f>
        <v>10050.636822306627</v>
      </c>
      <c r="P709" s="6">
        <f t="shared" ref="P709:P772" si="104">0.0243+0.000078421*(G709-273)-0.000000020755*(G709-273)^2</f>
        <v>2.9510194925512497E-2</v>
      </c>
      <c r="Q709" s="6">
        <f t="shared" ref="Q709:Q772" si="105">O709*P709/M709</f>
        <v>5.3731205027500373</v>
      </c>
      <c r="R709" s="6">
        <f t="shared" ref="R709:R772" si="106">L709+Q709</f>
        <v>13.141854303251993</v>
      </c>
      <c r="S709" s="6">
        <f>B709*LN(B709/首页!$B$4)</f>
        <v>3.8875730907710735</v>
      </c>
      <c r="T709" s="6">
        <f>2*首页!$B$8*(E709-C709)/(R709*(C709-D709))</f>
        <v>7.1006562179427704E-2</v>
      </c>
      <c r="U709" t="str">
        <f>IF(首页!$B$13="自然对流","按自然对流公式", "按强制对流公式")</f>
        <v>按自然对流公式</v>
      </c>
      <c r="V709" s="6">
        <f t="shared" ref="V709:V772" si="107">ABS(S709-T709)</f>
        <v>3.8165665285916459</v>
      </c>
    </row>
    <row r="710" spans="1:22" x14ac:dyDescent="0.15">
      <c r="A710">
        <v>705</v>
      </c>
      <c r="B710" s="6">
        <f>首页!$B$4+2*A710/1000</f>
        <v>1.5299999999999998</v>
      </c>
      <c r="C710" s="6">
        <f>首页!$B$7+273.15</f>
        <v>388.15</v>
      </c>
      <c r="D710" s="6">
        <f>首页!$B$6+273.15</f>
        <v>293.14999999999998</v>
      </c>
      <c r="E710" s="6">
        <f>首页!$B$5+273.15</f>
        <v>1373.15</v>
      </c>
      <c r="F710" s="6">
        <f t="shared" si="99"/>
        <v>95</v>
      </c>
      <c r="G710" s="6">
        <f t="shared" si="100"/>
        <v>340.65</v>
      </c>
      <c r="H710" s="6">
        <f t="shared" si="101"/>
        <v>1.9926207055139041E-5</v>
      </c>
      <c r="I710" s="7">
        <f t="shared" si="102"/>
        <v>1158916576932337.8</v>
      </c>
      <c r="J710" s="6">
        <f t="shared" si="103"/>
        <v>1.0226038455893147</v>
      </c>
      <c r="K710" s="7">
        <f>J710*H710*首页!$B$12/P710</f>
        <v>0.69532757496605813</v>
      </c>
      <c r="L710" s="6">
        <f>首页!$B$9*0.0000000567*((C710^4-D710^4)/(C710-D710))</f>
        <v>7.7687338005019564</v>
      </c>
      <c r="M710" s="6">
        <f>IF(首页!$B$13="自然对流",IF(首页!$B$14="立式圆筒",首页!$B$10,PI()*B710/2),PI()*B710/2)</f>
        <v>55.2</v>
      </c>
      <c r="N710" s="7">
        <f>IF(首页!$B$13="强制对流",首页!$B$11*M710/H710,0)</f>
        <v>0</v>
      </c>
      <c r="O710" s="6">
        <f>IF(首页!$B$13="自然对流",IF(首页!$B$14="立式圆筒",(0.825+0.3063*I710^(1/6))^2+0.87*(M710/B710),(0.752+0.303*I710^(1/6))^2),0.3+SQRT((0.592*N710^0.5)^2+(0.0262*N710^0.8/(1-0.5/N710^0.1))^2))</f>
        <v>10050.595738229018</v>
      </c>
      <c r="P710" s="6">
        <f t="shared" si="104"/>
        <v>2.9510194925512497E-2</v>
      </c>
      <c r="Q710" s="6">
        <f t="shared" si="105"/>
        <v>5.3730985389975263</v>
      </c>
      <c r="R710" s="6">
        <f t="shared" si="106"/>
        <v>13.141832339499484</v>
      </c>
      <c r="S710" s="6">
        <f>B710*LN(B710/首页!$B$4)</f>
        <v>3.8946628455547851</v>
      </c>
      <c r="T710" s="6">
        <f>2*首页!$B$8*(E710-C710)/(R710*(C710-D710))</f>
        <v>7.100668085165833E-2</v>
      </c>
      <c r="U710" t="str">
        <f>IF(首页!$B$13="自然对流","按自然对流公式", "按强制对流公式")</f>
        <v>按自然对流公式</v>
      </c>
      <c r="V710" s="6">
        <f t="shared" si="107"/>
        <v>3.8236561647031269</v>
      </c>
    </row>
    <row r="711" spans="1:22" x14ac:dyDescent="0.15">
      <c r="A711">
        <v>706</v>
      </c>
      <c r="B711" s="6">
        <f>首页!$B$4+2*A711/1000</f>
        <v>1.532</v>
      </c>
      <c r="C711" s="6">
        <f>首页!$B$7+273.15</f>
        <v>388.15</v>
      </c>
      <c r="D711" s="6">
        <f>首页!$B$6+273.15</f>
        <v>293.14999999999998</v>
      </c>
      <c r="E711" s="6">
        <f>首页!$B$5+273.15</f>
        <v>1373.15</v>
      </c>
      <c r="F711" s="6">
        <f t="shared" si="99"/>
        <v>95</v>
      </c>
      <c r="G711" s="6">
        <f t="shared" si="100"/>
        <v>340.65</v>
      </c>
      <c r="H711" s="6">
        <f t="shared" si="101"/>
        <v>1.9926207055139041E-5</v>
      </c>
      <c r="I711" s="7">
        <f t="shared" si="102"/>
        <v>1158916576932337.8</v>
      </c>
      <c r="J711" s="6">
        <f t="shared" si="103"/>
        <v>1.0226038455893147</v>
      </c>
      <c r="K711" s="7">
        <f>J711*H711*首页!$B$12/P711</f>
        <v>0.69532757496605813</v>
      </c>
      <c r="L711" s="6">
        <f>首页!$B$9*0.0000000567*((C711^4-D711^4)/(C711-D711))</f>
        <v>7.7687338005019564</v>
      </c>
      <c r="M711" s="6">
        <f>IF(首页!$B$13="自然对流",IF(首页!$B$14="立式圆筒",首页!$B$10,PI()*B711/2),PI()*B711/2)</f>
        <v>55.2</v>
      </c>
      <c r="N711" s="7">
        <f>IF(首页!$B$13="强制对流",首页!$B$11*M711/H711,0)</f>
        <v>0</v>
      </c>
      <c r="O711" s="6">
        <f>IF(首页!$B$13="自然对流",IF(首页!$B$14="立式圆筒",(0.825+0.3063*I711^(1/6))^2+0.87*(M711/B711),(0.752+0.303*I711^(1/6))^2),0.3+SQRT((0.592*N711^0.5)^2+(0.0262*N711^0.8/(1-0.5/N711^0.1))^2))</f>
        <v>10050.554761420539</v>
      </c>
      <c r="P711" s="6">
        <f t="shared" si="104"/>
        <v>2.9510194925512497E-2</v>
      </c>
      <c r="Q711" s="6">
        <f t="shared" si="105"/>
        <v>5.3730766325916273</v>
      </c>
      <c r="R711" s="6">
        <f t="shared" si="106"/>
        <v>13.141810433093584</v>
      </c>
      <c r="S711" s="6">
        <f>B711*LN(B711/首页!$B$4)</f>
        <v>3.9017552147183276</v>
      </c>
      <c r="T711" s="6">
        <f>2*首页!$B$8*(E711-C711)/(R711*(C711-D711))</f>
        <v>7.1006799214434924E-2</v>
      </c>
      <c r="U711" t="str">
        <f>IF(首页!$B$13="自然对流","按自然对流公式", "按强制对流公式")</f>
        <v>按自然对流公式</v>
      </c>
      <c r="V711" s="6">
        <f t="shared" si="107"/>
        <v>3.8307484155038929</v>
      </c>
    </row>
    <row r="712" spans="1:22" x14ac:dyDescent="0.15">
      <c r="A712">
        <v>707</v>
      </c>
      <c r="B712" s="6">
        <f>首页!$B$4+2*A712/1000</f>
        <v>1.5339999999999998</v>
      </c>
      <c r="C712" s="6">
        <f>首页!$B$7+273.15</f>
        <v>388.15</v>
      </c>
      <c r="D712" s="6">
        <f>首页!$B$6+273.15</f>
        <v>293.14999999999998</v>
      </c>
      <c r="E712" s="6">
        <f>首页!$B$5+273.15</f>
        <v>1373.15</v>
      </c>
      <c r="F712" s="6">
        <f t="shared" si="99"/>
        <v>95</v>
      </c>
      <c r="G712" s="6">
        <f t="shared" si="100"/>
        <v>340.65</v>
      </c>
      <c r="H712" s="6">
        <f t="shared" si="101"/>
        <v>1.9926207055139041E-5</v>
      </c>
      <c r="I712" s="7">
        <f t="shared" si="102"/>
        <v>1158916576932337.8</v>
      </c>
      <c r="J712" s="6">
        <f t="shared" si="103"/>
        <v>1.0226038455893147</v>
      </c>
      <c r="K712" s="7">
        <f>J712*H712*首页!$B$12/P712</f>
        <v>0.69532757496605813</v>
      </c>
      <c r="L712" s="6">
        <f>首页!$B$9*0.0000000567*((C712^4-D712^4)/(C712-D712))</f>
        <v>7.7687338005019564</v>
      </c>
      <c r="M712" s="6">
        <f>IF(首页!$B$13="自然对流",IF(首页!$B$14="立式圆筒",首页!$B$10,PI()*B712/2),PI()*B712/2)</f>
        <v>55.2</v>
      </c>
      <c r="N712" s="7">
        <f>IF(首页!$B$13="强制对流",首页!$B$11*M712/H712,0)</f>
        <v>0</v>
      </c>
      <c r="O712" s="6">
        <f>IF(首页!$B$13="自然对流",IF(首页!$B$14="立式圆筒",(0.825+0.3063*I712^(1/6))^2+0.87*(M712/B712),(0.752+0.303*I712^(1/6))^2),0.3+SQRT((0.592*N712^0.5)^2+(0.0262*N712^0.8/(1-0.5/N712^0.1))^2))</f>
        <v>10050.513891461627</v>
      </c>
      <c r="P712" s="6">
        <f t="shared" si="104"/>
        <v>2.9510194925512497E-2</v>
      </c>
      <c r="Q712" s="6">
        <f t="shared" si="105"/>
        <v>5.3730547833080395</v>
      </c>
      <c r="R712" s="6">
        <f t="shared" si="106"/>
        <v>13.141788583809996</v>
      </c>
      <c r="S712" s="6">
        <f>B712*LN(B712/首页!$B$4)</f>
        <v>3.9088501948486676</v>
      </c>
      <c r="T712" s="6">
        <f>2*首页!$B$8*(E712-C712)/(R712*(C712-D712))</f>
        <v>7.100691726896631E-2</v>
      </c>
      <c r="U712" t="str">
        <f>IF(首页!$B$13="自然对流","按自然对流公式", "按强制对流公式")</f>
        <v>按自然对流公式</v>
      </c>
      <c r="V712" s="6">
        <f t="shared" si="107"/>
        <v>3.8378432775797013</v>
      </c>
    </row>
    <row r="713" spans="1:22" x14ac:dyDescent="0.15">
      <c r="A713">
        <v>708</v>
      </c>
      <c r="B713" s="6">
        <f>首页!$B$4+2*A713/1000</f>
        <v>1.536</v>
      </c>
      <c r="C713" s="6">
        <f>首页!$B$7+273.15</f>
        <v>388.15</v>
      </c>
      <c r="D713" s="6">
        <f>首页!$B$6+273.15</f>
        <v>293.14999999999998</v>
      </c>
      <c r="E713" s="6">
        <f>首页!$B$5+273.15</f>
        <v>1373.15</v>
      </c>
      <c r="F713" s="6">
        <f t="shared" si="99"/>
        <v>95</v>
      </c>
      <c r="G713" s="6">
        <f t="shared" si="100"/>
        <v>340.65</v>
      </c>
      <c r="H713" s="6">
        <f t="shared" si="101"/>
        <v>1.9926207055139041E-5</v>
      </c>
      <c r="I713" s="7">
        <f t="shared" si="102"/>
        <v>1158916576932337.8</v>
      </c>
      <c r="J713" s="6">
        <f t="shared" si="103"/>
        <v>1.0226038455893147</v>
      </c>
      <c r="K713" s="7">
        <f>J713*H713*首页!$B$12/P713</f>
        <v>0.69532757496605813</v>
      </c>
      <c r="L713" s="6">
        <f>首页!$B$9*0.0000000567*((C713^4-D713^4)/(C713-D713))</f>
        <v>7.7687338005019564</v>
      </c>
      <c r="M713" s="6">
        <f>IF(首页!$B$13="自然对流",IF(首页!$B$14="立式圆筒",首页!$B$10,PI()*B713/2),PI()*B713/2)</f>
        <v>55.2</v>
      </c>
      <c r="N713" s="7">
        <f>IF(首页!$B$13="强制对流",首页!$B$11*M713/H713,0)</f>
        <v>0</v>
      </c>
      <c r="O713" s="6">
        <f>IF(首页!$B$13="自然对流",IF(首页!$B$14="立式圆筒",(0.825+0.3063*I713^(1/6))^2+0.87*(M713/B713),(0.752+0.303*I713^(1/6))^2),0.3+SQRT((0.592*N713^0.5)^2+(0.0262*N713^0.8/(1-0.5/N713^0.1))^2))</f>
        <v>10050.4731279349</v>
      </c>
      <c r="P713" s="6">
        <f t="shared" si="104"/>
        <v>2.9510194925512497E-2</v>
      </c>
      <c r="Q713" s="6">
        <f t="shared" si="105"/>
        <v>5.373032990923627</v>
      </c>
      <c r="R713" s="6">
        <f t="shared" si="106"/>
        <v>13.141766791425583</v>
      </c>
      <c r="S713" s="6">
        <f>B713*LN(B713/首页!$B$4)</f>
        <v>3.9159477825416777</v>
      </c>
      <c r="T713" s="6">
        <f>2*首页!$B$8*(E713-C713)/(R713*(C713-D713))</f>
        <v>7.1007035016455028E-2</v>
      </c>
      <c r="U713" t="str">
        <f>IF(首页!$B$13="自然对流","按自然对流公式", "按强制对流公式")</f>
        <v>按自然对流公式</v>
      </c>
      <c r="V713" s="6">
        <f t="shared" si="107"/>
        <v>3.8449407475252229</v>
      </c>
    </row>
    <row r="714" spans="1:22" x14ac:dyDescent="0.15">
      <c r="A714">
        <v>709</v>
      </c>
      <c r="B714" s="6">
        <f>首页!$B$4+2*A714/1000</f>
        <v>1.5379999999999998</v>
      </c>
      <c r="C714" s="6">
        <f>首页!$B$7+273.15</f>
        <v>388.15</v>
      </c>
      <c r="D714" s="6">
        <f>首页!$B$6+273.15</f>
        <v>293.14999999999998</v>
      </c>
      <c r="E714" s="6">
        <f>首页!$B$5+273.15</f>
        <v>1373.15</v>
      </c>
      <c r="F714" s="6">
        <f t="shared" si="99"/>
        <v>95</v>
      </c>
      <c r="G714" s="6">
        <f t="shared" si="100"/>
        <v>340.65</v>
      </c>
      <c r="H714" s="6">
        <f t="shared" si="101"/>
        <v>1.9926207055139041E-5</v>
      </c>
      <c r="I714" s="7">
        <f t="shared" si="102"/>
        <v>1158916576932337.8</v>
      </c>
      <c r="J714" s="6">
        <f t="shared" si="103"/>
        <v>1.0226038455893147</v>
      </c>
      <c r="K714" s="7">
        <f>J714*H714*首页!$B$12/P714</f>
        <v>0.69532757496605813</v>
      </c>
      <c r="L714" s="6">
        <f>首页!$B$9*0.0000000567*((C714^4-D714^4)/(C714-D714))</f>
        <v>7.7687338005019564</v>
      </c>
      <c r="M714" s="6">
        <f>IF(首页!$B$13="自然对流",IF(首页!$B$14="立式圆筒",首页!$B$10,PI()*B714/2),PI()*B714/2)</f>
        <v>55.2</v>
      </c>
      <c r="N714" s="7">
        <f>IF(首页!$B$13="强制对流",首页!$B$11*M714/H714,0)</f>
        <v>0</v>
      </c>
      <c r="O714" s="6">
        <f>IF(首页!$B$13="自然对流",IF(首页!$B$14="立式圆筒",(0.825+0.3063*I714^(1/6))^2+0.87*(M714/B714),(0.752+0.303*I714^(1/6))^2),0.3+SQRT((0.592*N714^0.5)^2+(0.0262*N714^0.8/(1-0.5/N714^0.1))^2))</f>
        <v>10050.432470425147</v>
      </c>
      <c r="P714" s="6">
        <f t="shared" si="104"/>
        <v>2.9510194925512497E-2</v>
      </c>
      <c r="Q714" s="6">
        <f t="shared" si="105"/>
        <v>5.373011255216416</v>
      </c>
      <c r="R714" s="6">
        <f t="shared" si="106"/>
        <v>13.141745055718372</v>
      </c>
      <c r="S714" s="6">
        <f>B714*LN(B714/首页!$B$4)</f>
        <v>3.9230479744020887</v>
      </c>
      <c r="T714" s="6">
        <f>2*首页!$B$8*(E714-C714)/(R714*(C714-D714))</f>
        <v>7.1007152458097397E-2</v>
      </c>
      <c r="U714" t="str">
        <f>IF(首页!$B$13="自然对流","按自然对流公式", "按强制对流公式")</f>
        <v>按自然对流公式</v>
      </c>
      <c r="V714" s="6">
        <f t="shared" si="107"/>
        <v>3.8520408219439912</v>
      </c>
    </row>
    <row r="715" spans="1:22" x14ac:dyDescent="0.15">
      <c r="A715">
        <v>710</v>
      </c>
      <c r="B715" s="6">
        <f>首页!$B$4+2*A715/1000</f>
        <v>1.54</v>
      </c>
      <c r="C715" s="6">
        <f>首页!$B$7+273.15</f>
        <v>388.15</v>
      </c>
      <c r="D715" s="6">
        <f>首页!$B$6+273.15</f>
        <v>293.14999999999998</v>
      </c>
      <c r="E715" s="6">
        <f>首页!$B$5+273.15</f>
        <v>1373.15</v>
      </c>
      <c r="F715" s="6">
        <f t="shared" si="99"/>
        <v>95</v>
      </c>
      <c r="G715" s="6">
        <f t="shared" si="100"/>
        <v>340.65</v>
      </c>
      <c r="H715" s="6">
        <f t="shared" si="101"/>
        <v>1.9926207055139041E-5</v>
      </c>
      <c r="I715" s="7">
        <f t="shared" si="102"/>
        <v>1158916576932337.8</v>
      </c>
      <c r="J715" s="6">
        <f t="shared" si="103"/>
        <v>1.0226038455893147</v>
      </c>
      <c r="K715" s="7">
        <f>J715*H715*首页!$B$12/P715</f>
        <v>0.69532757496605813</v>
      </c>
      <c r="L715" s="6">
        <f>首页!$B$9*0.0000000567*((C715^4-D715^4)/(C715-D715))</f>
        <v>7.7687338005019564</v>
      </c>
      <c r="M715" s="6">
        <f>IF(首页!$B$13="自然对流",IF(首页!$B$14="立式圆筒",首页!$B$10,PI()*B715/2),PI()*B715/2)</f>
        <v>55.2</v>
      </c>
      <c r="N715" s="7">
        <f>IF(首页!$B$13="强制对流",首页!$B$11*M715/H715,0)</f>
        <v>0</v>
      </c>
      <c r="O715" s="6">
        <f>IF(首页!$B$13="自然对流",IF(首页!$B$14="立式圆筒",(0.825+0.3063*I715^(1/6))^2+0.87*(M715/B715),(0.752+0.303*I715^(1/6))^2),0.3+SQRT((0.592*N715^0.5)^2+(0.0262*N715^0.8/(1-0.5/N715^0.1))^2))</f>
        <v>10050.391918519315</v>
      </c>
      <c r="P715" s="6">
        <f t="shared" si="104"/>
        <v>2.9510194925512497E-2</v>
      </c>
      <c r="Q715" s="6">
        <f t="shared" si="105"/>
        <v>5.3729895759655886</v>
      </c>
      <c r="R715" s="6">
        <f t="shared" si="106"/>
        <v>13.141723376467546</v>
      </c>
      <c r="S715" s="6">
        <f>B715*LN(B715/首页!$B$4)</f>
        <v>3.9301507670434681</v>
      </c>
      <c r="T715" s="6">
        <f>2*首页!$B$8*(E715-C715)/(R715*(C715-D715))</f>
        <v>7.1007269595083508E-2</v>
      </c>
      <c r="U715" t="str">
        <f>IF(首页!$B$13="自然对流","按自然对流公式", "按强制对流公式")</f>
        <v>按自然对流公式</v>
      </c>
      <c r="V715" s="6">
        <f t="shared" si="107"/>
        <v>3.8591434974483847</v>
      </c>
    </row>
    <row r="716" spans="1:22" x14ac:dyDescent="0.15">
      <c r="A716">
        <v>711</v>
      </c>
      <c r="B716" s="6">
        <f>首页!$B$4+2*A716/1000</f>
        <v>1.5419999999999998</v>
      </c>
      <c r="C716" s="6">
        <f>首页!$B$7+273.15</f>
        <v>388.15</v>
      </c>
      <c r="D716" s="6">
        <f>首页!$B$6+273.15</f>
        <v>293.14999999999998</v>
      </c>
      <c r="E716" s="6">
        <f>首页!$B$5+273.15</f>
        <v>1373.15</v>
      </c>
      <c r="F716" s="6">
        <f t="shared" si="99"/>
        <v>95</v>
      </c>
      <c r="G716" s="6">
        <f t="shared" si="100"/>
        <v>340.65</v>
      </c>
      <c r="H716" s="6">
        <f t="shared" si="101"/>
        <v>1.9926207055139041E-5</v>
      </c>
      <c r="I716" s="7">
        <f t="shared" si="102"/>
        <v>1158916576932337.8</v>
      </c>
      <c r="J716" s="6">
        <f t="shared" si="103"/>
        <v>1.0226038455893147</v>
      </c>
      <c r="K716" s="7">
        <f>J716*H716*首页!$B$12/P716</f>
        <v>0.69532757496605813</v>
      </c>
      <c r="L716" s="6">
        <f>首页!$B$9*0.0000000567*((C716^4-D716^4)/(C716-D716))</f>
        <v>7.7687338005019564</v>
      </c>
      <c r="M716" s="6">
        <f>IF(首页!$B$13="自然对流",IF(首页!$B$14="立式圆筒",首页!$B$10,PI()*B716/2),PI()*B716/2)</f>
        <v>55.2</v>
      </c>
      <c r="N716" s="7">
        <f>IF(首页!$B$13="强制对流",首页!$B$11*M716/H716,0)</f>
        <v>0</v>
      </c>
      <c r="O716" s="6">
        <f>IF(首页!$B$13="自然对流",IF(首页!$B$14="立式圆筒",(0.825+0.3063*I716^(1/6))^2+0.87*(M716/B716),(0.752+0.303*I716^(1/6))^2),0.3+SQRT((0.592*N716^0.5)^2+(0.0262*N716^0.8/(1-0.5/N716^0.1))^2))</f>
        <v>10050.351471806494</v>
      </c>
      <c r="P716" s="6">
        <f t="shared" si="104"/>
        <v>2.9510194925512497E-2</v>
      </c>
      <c r="Q716" s="6">
        <f t="shared" si="105"/>
        <v>5.372967952951468</v>
      </c>
      <c r="R716" s="6">
        <f t="shared" si="106"/>
        <v>13.141701753453425</v>
      </c>
      <c r="S716" s="6">
        <f>B716*LN(B716/首页!$B$4)</f>
        <v>3.9372561570881741</v>
      </c>
      <c r="T716" s="6">
        <f>2*首页!$B$8*(E716-C716)/(R716*(C716-D716))</f>
        <v>7.1007386428597302E-2</v>
      </c>
      <c r="U716" t="str">
        <f>IF(首页!$B$13="自然对流","按自然对流公式", "按强制对流公式")</f>
        <v>按自然对流公式</v>
      </c>
      <c r="V716" s="6">
        <f t="shared" si="107"/>
        <v>3.8662487706595767</v>
      </c>
    </row>
    <row r="717" spans="1:22" x14ac:dyDescent="0.15">
      <c r="A717">
        <v>712</v>
      </c>
      <c r="B717" s="6">
        <f>首页!$B$4+2*A717/1000</f>
        <v>1.544</v>
      </c>
      <c r="C717" s="6">
        <f>首页!$B$7+273.15</f>
        <v>388.15</v>
      </c>
      <c r="D717" s="6">
        <f>首页!$B$6+273.15</f>
        <v>293.14999999999998</v>
      </c>
      <c r="E717" s="6">
        <f>首页!$B$5+273.15</f>
        <v>1373.15</v>
      </c>
      <c r="F717" s="6">
        <f t="shared" si="99"/>
        <v>95</v>
      </c>
      <c r="G717" s="6">
        <f t="shared" si="100"/>
        <v>340.65</v>
      </c>
      <c r="H717" s="6">
        <f t="shared" si="101"/>
        <v>1.9926207055139041E-5</v>
      </c>
      <c r="I717" s="7">
        <f t="shared" si="102"/>
        <v>1158916576932337.8</v>
      </c>
      <c r="J717" s="6">
        <f t="shared" si="103"/>
        <v>1.0226038455893147</v>
      </c>
      <c r="K717" s="7">
        <f>J717*H717*首页!$B$12/P717</f>
        <v>0.69532757496605813</v>
      </c>
      <c r="L717" s="6">
        <f>首页!$B$9*0.0000000567*((C717^4-D717^4)/(C717-D717))</f>
        <v>7.7687338005019564</v>
      </c>
      <c r="M717" s="6">
        <f>IF(首页!$B$13="自然对流",IF(首页!$B$14="立式圆筒",首页!$B$10,PI()*B717/2),PI()*B717/2)</f>
        <v>55.2</v>
      </c>
      <c r="N717" s="7">
        <f>IF(首页!$B$13="强制对流",首页!$B$11*M717/H717,0)</f>
        <v>0</v>
      </c>
      <c r="O717" s="6">
        <f>IF(首页!$B$13="自然对流",IF(首页!$B$14="立式圆筒",(0.825+0.3063*I717^(1/6))^2+0.87*(M717/B717),(0.752+0.303*I717^(1/6))^2),0.3+SQRT((0.592*N717^0.5)^2+(0.0262*N717^0.8/(1-0.5/N717^0.1))^2))</f>
        <v>10050.311129877906</v>
      </c>
      <c r="P717" s="6">
        <f t="shared" si="104"/>
        <v>2.9510194925512497E-2</v>
      </c>
      <c r="Q717" s="6">
        <f t="shared" si="105"/>
        <v>5.3729463859555207</v>
      </c>
      <c r="R717" s="6">
        <f t="shared" si="106"/>
        <v>13.141680186457478</v>
      </c>
      <c r="S717" s="6">
        <f>B717*LN(B717/首页!$B$4)</f>
        <v>3.9443641411673309</v>
      </c>
      <c r="T717" s="6">
        <f>2*首页!$B$8*(E717-C717)/(R717*(C717-D717))</f>
        <v>7.1007502959816574E-2</v>
      </c>
      <c r="U717" t="str">
        <f>IF(首页!$B$13="自然对流","按自然对流公式", "按强制对流公式")</f>
        <v>按自然对流公式</v>
      </c>
      <c r="V717" s="6">
        <f t="shared" si="107"/>
        <v>3.8733566382075142</v>
      </c>
    </row>
    <row r="718" spans="1:22" x14ac:dyDescent="0.15">
      <c r="A718">
        <v>713</v>
      </c>
      <c r="B718" s="6">
        <f>首页!$B$4+2*A718/1000</f>
        <v>1.5459999999999998</v>
      </c>
      <c r="C718" s="6">
        <f>首页!$B$7+273.15</f>
        <v>388.15</v>
      </c>
      <c r="D718" s="6">
        <f>首页!$B$6+273.15</f>
        <v>293.14999999999998</v>
      </c>
      <c r="E718" s="6">
        <f>首页!$B$5+273.15</f>
        <v>1373.15</v>
      </c>
      <c r="F718" s="6">
        <f t="shared" si="99"/>
        <v>95</v>
      </c>
      <c r="G718" s="6">
        <f t="shared" si="100"/>
        <v>340.65</v>
      </c>
      <c r="H718" s="6">
        <f t="shared" si="101"/>
        <v>1.9926207055139041E-5</v>
      </c>
      <c r="I718" s="7">
        <f t="shared" si="102"/>
        <v>1158916576932337.8</v>
      </c>
      <c r="J718" s="6">
        <f t="shared" si="103"/>
        <v>1.0226038455893147</v>
      </c>
      <c r="K718" s="7">
        <f>J718*H718*首页!$B$12/P718</f>
        <v>0.69532757496605813</v>
      </c>
      <c r="L718" s="6">
        <f>首页!$B$9*0.0000000567*((C718^4-D718^4)/(C718-D718))</f>
        <v>7.7687338005019564</v>
      </c>
      <c r="M718" s="6">
        <f>IF(首页!$B$13="自然对流",IF(首页!$B$14="立式圆筒",首页!$B$10,PI()*B718/2),PI()*B718/2)</f>
        <v>55.2</v>
      </c>
      <c r="N718" s="7">
        <f>IF(首页!$B$13="强制对流",首页!$B$11*M718/H718,0)</f>
        <v>0</v>
      </c>
      <c r="O718" s="6">
        <f>IF(首页!$B$13="自然对流",IF(首页!$B$14="立式圆筒",(0.825+0.3063*I718^(1/6))^2+0.87*(M718/B718),(0.752+0.303*I718^(1/6))^2),0.3+SQRT((0.592*N718^0.5)^2+(0.0262*N718^0.8/(1-0.5/N718^0.1))^2))</f>
        <v>10050.270892326878</v>
      </c>
      <c r="P718" s="6">
        <f t="shared" si="104"/>
        <v>2.9510194925512497E-2</v>
      </c>
      <c r="Q718" s="6">
        <f t="shared" si="105"/>
        <v>5.3729248747603364</v>
      </c>
      <c r="R718" s="6">
        <f t="shared" si="106"/>
        <v>13.141658675262292</v>
      </c>
      <c r="S718" s="6">
        <f>B718*LN(B718/首页!$B$4)</f>
        <v>3.9514747159207859</v>
      </c>
      <c r="T718" s="6">
        <f>2*首页!$B$8*(E718-C718)/(R718*(C718-D718))</f>
        <v>7.1007619189913065E-2</v>
      </c>
      <c r="U718" t="str">
        <f>IF(首页!$B$13="自然对流","按自然对流公式", "按强制对流公式")</f>
        <v>按自然对流公式</v>
      </c>
      <c r="V718" s="6">
        <f t="shared" si="107"/>
        <v>3.880467096730873</v>
      </c>
    </row>
    <row r="719" spans="1:22" x14ac:dyDescent="0.15">
      <c r="A719">
        <v>714</v>
      </c>
      <c r="B719" s="6">
        <f>首页!$B$4+2*A719/1000</f>
        <v>1.548</v>
      </c>
      <c r="C719" s="6">
        <f>首页!$B$7+273.15</f>
        <v>388.15</v>
      </c>
      <c r="D719" s="6">
        <f>首页!$B$6+273.15</f>
        <v>293.14999999999998</v>
      </c>
      <c r="E719" s="6">
        <f>首页!$B$5+273.15</f>
        <v>1373.15</v>
      </c>
      <c r="F719" s="6">
        <f t="shared" si="99"/>
        <v>95</v>
      </c>
      <c r="G719" s="6">
        <f t="shared" si="100"/>
        <v>340.65</v>
      </c>
      <c r="H719" s="6">
        <f t="shared" si="101"/>
        <v>1.9926207055139041E-5</v>
      </c>
      <c r="I719" s="7">
        <f t="shared" si="102"/>
        <v>1158916576932337.8</v>
      </c>
      <c r="J719" s="6">
        <f t="shared" si="103"/>
        <v>1.0226038455893147</v>
      </c>
      <c r="K719" s="7">
        <f>J719*H719*首页!$B$12/P719</f>
        <v>0.69532757496605813</v>
      </c>
      <c r="L719" s="6">
        <f>首页!$B$9*0.0000000567*((C719^4-D719^4)/(C719-D719))</f>
        <v>7.7687338005019564</v>
      </c>
      <c r="M719" s="6">
        <f>IF(首页!$B$13="自然对流",IF(首页!$B$14="立式圆筒",首页!$B$10,PI()*B719/2),PI()*B719/2)</f>
        <v>55.2</v>
      </c>
      <c r="N719" s="7">
        <f>IF(首页!$B$13="强制对流",首页!$B$11*M719/H719,0)</f>
        <v>0</v>
      </c>
      <c r="O719" s="6">
        <f>IF(首页!$B$13="自然对流",IF(首页!$B$14="立式圆筒",(0.825+0.3063*I719^(1/6))^2+0.87*(M719/B719),(0.752+0.303*I719^(1/6))^2),0.3+SQRT((0.592*N719^0.5)^2+(0.0262*N719^0.8/(1-0.5/N719^0.1))^2))</f>
        <v>10050.230758748854</v>
      </c>
      <c r="P719" s="6">
        <f t="shared" si="104"/>
        <v>2.9510194925512497E-2</v>
      </c>
      <c r="Q719" s="6">
        <f t="shared" si="105"/>
        <v>5.3729034191496376</v>
      </c>
      <c r="R719" s="6">
        <f t="shared" si="106"/>
        <v>13.141637219651594</v>
      </c>
      <c r="S719" s="6">
        <f>B719*LN(B719/首页!$B$4)</f>
        <v>3.9585878779970858</v>
      </c>
      <c r="T719" s="6">
        <f>2*首页!$B$8*(E719-C719)/(R719*(C719-D719))</f>
        <v>7.1007735120052387E-2</v>
      </c>
      <c r="U719" t="str">
        <f>IF(首页!$B$13="自然对流","按自然对流公式", "按强制对流公式")</f>
        <v>按自然对流公式</v>
      </c>
      <c r="V719" s="6">
        <f t="shared" si="107"/>
        <v>3.8875801428770336</v>
      </c>
    </row>
    <row r="720" spans="1:22" x14ac:dyDescent="0.15">
      <c r="A720">
        <v>715</v>
      </c>
      <c r="B720" s="6">
        <f>首页!$B$4+2*A720/1000</f>
        <v>1.5499999999999998</v>
      </c>
      <c r="C720" s="6">
        <f>首页!$B$7+273.15</f>
        <v>388.15</v>
      </c>
      <c r="D720" s="6">
        <f>首页!$B$6+273.15</f>
        <v>293.14999999999998</v>
      </c>
      <c r="E720" s="6">
        <f>首页!$B$5+273.15</f>
        <v>1373.15</v>
      </c>
      <c r="F720" s="6">
        <f t="shared" si="99"/>
        <v>95</v>
      </c>
      <c r="G720" s="6">
        <f t="shared" si="100"/>
        <v>340.65</v>
      </c>
      <c r="H720" s="6">
        <f t="shared" si="101"/>
        <v>1.9926207055139041E-5</v>
      </c>
      <c r="I720" s="7">
        <f t="shared" si="102"/>
        <v>1158916576932337.8</v>
      </c>
      <c r="J720" s="6">
        <f t="shared" si="103"/>
        <v>1.0226038455893147</v>
      </c>
      <c r="K720" s="7">
        <f>J720*H720*首页!$B$12/P720</f>
        <v>0.69532757496605813</v>
      </c>
      <c r="L720" s="6">
        <f>首页!$B$9*0.0000000567*((C720^4-D720^4)/(C720-D720))</f>
        <v>7.7687338005019564</v>
      </c>
      <c r="M720" s="6">
        <f>IF(首页!$B$13="自然对流",IF(首页!$B$14="立式圆筒",首页!$B$10,PI()*B720/2),PI()*B720/2)</f>
        <v>55.2</v>
      </c>
      <c r="N720" s="7">
        <f>IF(首页!$B$13="强制对流",首页!$B$11*M720/H720,0)</f>
        <v>0</v>
      </c>
      <c r="O720" s="6">
        <f>IF(首页!$B$13="自然对流",IF(首页!$B$14="立式圆筒",(0.825+0.3063*I720^(1/6))^2+0.87*(M720/B720),(0.752+0.303*I720^(1/6))^2),0.3+SQRT((0.592*N720^0.5)^2+(0.0262*N720^0.8/(1-0.5/N720^0.1))^2))</f>
        <v>10050.190728741351</v>
      </c>
      <c r="P720" s="6">
        <f t="shared" si="104"/>
        <v>2.9510194925512497E-2</v>
      </c>
      <c r="Q720" s="6">
        <f t="shared" si="105"/>
        <v>5.372882018908256</v>
      </c>
      <c r="R720" s="6">
        <f t="shared" si="106"/>
        <v>13.141615819410212</v>
      </c>
      <c r="S720" s="6">
        <f>B720*LN(B720/首页!$B$4)</f>
        <v>3.9657036240534316</v>
      </c>
      <c r="T720" s="6">
        <f>2*首页!$B$8*(E720-C720)/(R720*(C720-D720))</f>
        <v>7.1007850751394264E-2</v>
      </c>
      <c r="U720" t="str">
        <f>IF(首页!$B$13="自然对流","按自然对流公式", "按强制对流公式")</f>
        <v>按自然对流公式</v>
      </c>
      <c r="V720" s="6">
        <f t="shared" si="107"/>
        <v>3.8946957733020371</v>
      </c>
    </row>
    <row r="721" spans="1:22" x14ac:dyDescent="0.15">
      <c r="A721">
        <v>716</v>
      </c>
      <c r="B721" s="6">
        <f>首页!$B$4+2*A721/1000</f>
        <v>1.552</v>
      </c>
      <c r="C721" s="6">
        <f>首页!$B$7+273.15</f>
        <v>388.15</v>
      </c>
      <c r="D721" s="6">
        <f>首页!$B$6+273.15</f>
        <v>293.14999999999998</v>
      </c>
      <c r="E721" s="6">
        <f>首页!$B$5+273.15</f>
        <v>1373.15</v>
      </c>
      <c r="F721" s="6">
        <f t="shared" si="99"/>
        <v>95</v>
      </c>
      <c r="G721" s="6">
        <f t="shared" si="100"/>
        <v>340.65</v>
      </c>
      <c r="H721" s="6">
        <f t="shared" si="101"/>
        <v>1.9926207055139041E-5</v>
      </c>
      <c r="I721" s="7">
        <f t="shared" si="102"/>
        <v>1158916576932337.8</v>
      </c>
      <c r="J721" s="6">
        <f t="shared" si="103"/>
        <v>1.0226038455893147</v>
      </c>
      <c r="K721" s="7">
        <f>J721*H721*首页!$B$12/P721</f>
        <v>0.69532757496605813</v>
      </c>
      <c r="L721" s="6">
        <f>首页!$B$9*0.0000000567*((C721^4-D721^4)/(C721-D721))</f>
        <v>7.7687338005019564</v>
      </c>
      <c r="M721" s="6">
        <f>IF(首页!$B$13="自然对流",IF(首页!$B$14="立式圆筒",首页!$B$10,PI()*B721/2),PI()*B721/2)</f>
        <v>55.2</v>
      </c>
      <c r="N721" s="7">
        <f>IF(首页!$B$13="强制对流",首页!$B$11*M721/H721,0)</f>
        <v>0</v>
      </c>
      <c r="O721" s="6">
        <f>IF(首页!$B$13="自然对流",IF(首页!$B$14="立式圆筒",(0.825+0.3063*I721^(1/6))^2+0.87*(M721/B721),(0.752+0.303*I721^(1/6))^2),0.3+SQRT((0.592*N721^0.5)^2+(0.0262*N721^0.8/(1-0.5/N721^0.1))^2))</f>
        <v>10050.150801903972</v>
      </c>
      <c r="P721" s="6">
        <f t="shared" si="104"/>
        <v>2.9510194925512497E-2</v>
      </c>
      <c r="Q721" s="6">
        <f t="shared" si="105"/>
        <v>5.3728606738221369</v>
      </c>
      <c r="R721" s="6">
        <f t="shared" si="106"/>
        <v>13.141594474324094</v>
      </c>
      <c r="S721" s="6">
        <f>B721*LN(B721/首页!$B$4)</f>
        <v>3.9728219507556557</v>
      </c>
      <c r="T721" s="6">
        <f>2*首页!$B$8*(E721-C721)/(R721*(C721-D721))</f>
        <v>7.1007966085092342E-2</v>
      </c>
      <c r="U721" t="str">
        <f>IF(首页!$B$13="自然对流","按自然对流公式", "按强制对流公式")</f>
        <v>按自然对流公式</v>
      </c>
      <c r="V721" s="6">
        <f t="shared" si="107"/>
        <v>3.9018139846705635</v>
      </c>
    </row>
    <row r="722" spans="1:22" x14ac:dyDescent="0.15">
      <c r="A722">
        <v>717</v>
      </c>
      <c r="B722" s="6">
        <f>首页!$B$4+2*A722/1000</f>
        <v>1.5539999999999998</v>
      </c>
      <c r="C722" s="6">
        <f>首页!$B$7+273.15</f>
        <v>388.15</v>
      </c>
      <c r="D722" s="6">
        <f>首页!$B$6+273.15</f>
        <v>293.14999999999998</v>
      </c>
      <c r="E722" s="6">
        <f>首页!$B$5+273.15</f>
        <v>1373.15</v>
      </c>
      <c r="F722" s="6">
        <f t="shared" si="99"/>
        <v>95</v>
      </c>
      <c r="G722" s="6">
        <f t="shared" si="100"/>
        <v>340.65</v>
      </c>
      <c r="H722" s="6">
        <f t="shared" si="101"/>
        <v>1.9926207055139041E-5</v>
      </c>
      <c r="I722" s="7">
        <f t="shared" si="102"/>
        <v>1158916576932337.8</v>
      </c>
      <c r="J722" s="6">
        <f t="shared" si="103"/>
        <v>1.0226038455893147</v>
      </c>
      <c r="K722" s="7">
        <f>J722*H722*首页!$B$12/P722</f>
        <v>0.69532757496605813</v>
      </c>
      <c r="L722" s="6">
        <f>首页!$B$9*0.0000000567*((C722^4-D722^4)/(C722-D722))</f>
        <v>7.7687338005019564</v>
      </c>
      <c r="M722" s="6">
        <f>IF(首页!$B$13="自然对流",IF(首页!$B$14="立式圆筒",首页!$B$10,PI()*B722/2),PI()*B722/2)</f>
        <v>55.2</v>
      </c>
      <c r="N722" s="7">
        <f>IF(首页!$B$13="强制对流",首页!$B$11*M722/H722,0)</f>
        <v>0</v>
      </c>
      <c r="O722" s="6">
        <f>IF(首页!$B$13="自然对流",IF(首页!$B$14="立式圆筒",(0.825+0.3063*I722^(1/6))^2+0.87*(M722/B722),(0.752+0.303*I722^(1/6))^2),0.3+SQRT((0.592*N722^0.5)^2+(0.0262*N722^0.8/(1-0.5/N722^0.1))^2))</f>
        <v>10050.110977838374</v>
      </c>
      <c r="P722" s="6">
        <f t="shared" si="104"/>
        <v>2.9510194925512497E-2</v>
      </c>
      <c r="Q722" s="6">
        <f t="shared" si="105"/>
        <v>5.3728393836783228</v>
      </c>
      <c r="R722" s="6">
        <f t="shared" si="106"/>
        <v>13.141573184180279</v>
      </c>
      <c r="S722" s="6">
        <f>B722*LN(B722/首页!$B$4)</f>
        <v>3.9799428547781788</v>
      </c>
      <c r="T722" s="6">
        <f>2*首页!$B$8*(E722-C722)/(R722*(C722-D722))</f>
        <v>7.1008081122294411E-2</v>
      </c>
      <c r="U722" t="str">
        <f>IF(首页!$B$13="自然对流","按自然对流公式", "按强制对流公式")</f>
        <v>按自然对流公式</v>
      </c>
      <c r="V722" s="6">
        <f t="shared" si="107"/>
        <v>3.9089347736558842</v>
      </c>
    </row>
    <row r="723" spans="1:22" x14ac:dyDescent="0.15">
      <c r="A723">
        <v>718</v>
      </c>
      <c r="B723" s="6">
        <f>首页!$B$4+2*A723/1000</f>
        <v>1.556</v>
      </c>
      <c r="C723" s="6">
        <f>首页!$B$7+273.15</f>
        <v>388.15</v>
      </c>
      <c r="D723" s="6">
        <f>首页!$B$6+273.15</f>
        <v>293.14999999999998</v>
      </c>
      <c r="E723" s="6">
        <f>首页!$B$5+273.15</f>
        <v>1373.15</v>
      </c>
      <c r="F723" s="6">
        <f t="shared" si="99"/>
        <v>95</v>
      </c>
      <c r="G723" s="6">
        <f t="shared" si="100"/>
        <v>340.65</v>
      </c>
      <c r="H723" s="6">
        <f t="shared" si="101"/>
        <v>1.9926207055139041E-5</v>
      </c>
      <c r="I723" s="7">
        <f t="shared" si="102"/>
        <v>1158916576932337.8</v>
      </c>
      <c r="J723" s="6">
        <f t="shared" si="103"/>
        <v>1.0226038455893147</v>
      </c>
      <c r="K723" s="7">
        <f>J723*H723*首页!$B$12/P723</f>
        <v>0.69532757496605813</v>
      </c>
      <c r="L723" s="6">
        <f>首页!$B$9*0.0000000567*((C723^4-D723^4)/(C723-D723))</f>
        <v>7.7687338005019564</v>
      </c>
      <c r="M723" s="6">
        <f>IF(首页!$B$13="自然对流",IF(首页!$B$14="立式圆筒",首页!$B$10,PI()*B723/2),PI()*B723/2)</f>
        <v>55.2</v>
      </c>
      <c r="N723" s="7">
        <f>IF(首页!$B$13="强制对流",首页!$B$11*M723/H723,0)</f>
        <v>0</v>
      </c>
      <c r="O723" s="6">
        <f>IF(首页!$B$13="自然对流",IF(首页!$B$14="立式圆筒",(0.825+0.3063*I723^(1/6))^2+0.87*(M723/B723),(0.752+0.303*I723^(1/6))^2),0.3+SQRT((0.592*N723^0.5)^2+(0.0262*N723^0.8/(1-0.5/N723^0.1))^2))</f>
        <v>10050.071256148267</v>
      </c>
      <c r="P723" s="6">
        <f t="shared" si="104"/>
        <v>2.9510194925512497E-2</v>
      </c>
      <c r="Q723" s="6">
        <f t="shared" si="105"/>
        <v>5.3728181482649555</v>
      </c>
      <c r="R723" s="6">
        <f t="shared" si="106"/>
        <v>13.141551948766912</v>
      </c>
      <c r="S723" s="6">
        <f>B723*LN(B723/首页!$B$4)</f>
        <v>3.9870663328039888</v>
      </c>
      <c r="T723" s="6">
        <f>2*首页!$B$8*(E723-C723)/(R723*(C723-D723))</f>
        <v>7.1008195864142337E-2</v>
      </c>
      <c r="U723" t="str">
        <f>IF(首页!$B$13="自然对流","按自然对流公式", "按强制对流公式")</f>
        <v>按自然对流公式</v>
      </c>
      <c r="V723" s="6">
        <f t="shared" si="107"/>
        <v>3.9160581369398466</v>
      </c>
    </row>
    <row r="724" spans="1:22" x14ac:dyDescent="0.15">
      <c r="A724">
        <v>719</v>
      </c>
      <c r="B724" s="6">
        <f>首页!$B$4+2*A724/1000</f>
        <v>1.5579999999999998</v>
      </c>
      <c r="C724" s="6">
        <f>首页!$B$7+273.15</f>
        <v>388.15</v>
      </c>
      <c r="D724" s="6">
        <f>首页!$B$6+273.15</f>
        <v>293.14999999999998</v>
      </c>
      <c r="E724" s="6">
        <f>首页!$B$5+273.15</f>
        <v>1373.15</v>
      </c>
      <c r="F724" s="6">
        <f t="shared" si="99"/>
        <v>95</v>
      </c>
      <c r="G724" s="6">
        <f t="shared" si="100"/>
        <v>340.65</v>
      </c>
      <c r="H724" s="6">
        <f t="shared" si="101"/>
        <v>1.9926207055139041E-5</v>
      </c>
      <c r="I724" s="7">
        <f t="shared" si="102"/>
        <v>1158916576932337.8</v>
      </c>
      <c r="J724" s="6">
        <f t="shared" si="103"/>
        <v>1.0226038455893147</v>
      </c>
      <c r="K724" s="7">
        <f>J724*H724*首页!$B$12/P724</f>
        <v>0.69532757496605813</v>
      </c>
      <c r="L724" s="6">
        <f>首页!$B$9*0.0000000567*((C724^4-D724^4)/(C724-D724))</f>
        <v>7.7687338005019564</v>
      </c>
      <c r="M724" s="6">
        <f>IF(首页!$B$13="自然对流",IF(首页!$B$14="立式圆筒",首页!$B$10,PI()*B724/2),PI()*B724/2)</f>
        <v>55.2</v>
      </c>
      <c r="N724" s="7">
        <f>IF(首页!$B$13="强制对流",首页!$B$11*M724/H724,0)</f>
        <v>0</v>
      </c>
      <c r="O724" s="6">
        <f>IF(首页!$B$13="自然对流",IF(首页!$B$14="立式圆筒",(0.825+0.3063*I724^(1/6))^2+0.87*(M724/B724),(0.752+0.303*I724^(1/6))^2),0.3+SQRT((0.592*N724^0.5)^2+(0.0262*N724^0.8/(1-0.5/N724^0.1))^2))</f>
        <v>10050.031636439393</v>
      </c>
      <c r="P724" s="6">
        <f t="shared" si="104"/>
        <v>2.9510194925512497E-2</v>
      </c>
      <c r="Q724" s="6">
        <f t="shared" si="105"/>
        <v>5.3727969673712641</v>
      </c>
      <c r="R724" s="6">
        <f t="shared" si="106"/>
        <v>13.14153076787322</v>
      </c>
      <c r="S724" s="6">
        <f>B724*LN(B724/首页!$B$4)</f>
        <v>3.9941923815245923</v>
      </c>
      <c r="T724" s="6">
        <f>2*首页!$B$8*(E724-C724)/(R724*(C724-D724))</f>
        <v>7.1008310311772085E-2</v>
      </c>
      <c r="U724" t="str">
        <f>IF(首页!$B$13="自然对流","按自然对流公式", "按强制对流公式")</f>
        <v>按自然对流公式</v>
      </c>
      <c r="V724" s="6">
        <f t="shared" si="107"/>
        <v>3.9231840712128201</v>
      </c>
    </row>
    <row r="725" spans="1:22" x14ac:dyDescent="0.15">
      <c r="A725">
        <v>720</v>
      </c>
      <c r="B725" s="6">
        <f>首页!$B$4+2*A725/1000</f>
        <v>1.56</v>
      </c>
      <c r="C725" s="6">
        <f>首页!$B$7+273.15</f>
        <v>388.15</v>
      </c>
      <c r="D725" s="6">
        <f>首页!$B$6+273.15</f>
        <v>293.14999999999998</v>
      </c>
      <c r="E725" s="6">
        <f>首页!$B$5+273.15</f>
        <v>1373.15</v>
      </c>
      <c r="F725" s="6">
        <f t="shared" si="99"/>
        <v>95</v>
      </c>
      <c r="G725" s="6">
        <f t="shared" si="100"/>
        <v>340.65</v>
      </c>
      <c r="H725" s="6">
        <f t="shared" si="101"/>
        <v>1.9926207055139041E-5</v>
      </c>
      <c r="I725" s="7">
        <f t="shared" si="102"/>
        <v>1158916576932337.8</v>
      </c>
      <c r="J725" s="6">
        <f t="shared" si="103"/>
        <v>1.0226038455893147</v>
      </c>
      <c r="K725" s="7">
        <f>J725*H725*首页!$B$12/P725</f>
        <v>0.69532757496605813</v>
      </c>
      <c r="L725" s="6">
        <f>首页!$B$9*0.0000000567*((C725^4-D725^4)/(C725-D725))</f>
        <v>7.7687338005019564</v>
      </c>
      <c r="M725" s="6">
        <f>IF(首页!$B$13="自然对流",IF(首页!$B$14="立式圆筒",首页!$B$10,PI()*B725/2),PI()*B725/2)</f>
        <v>55.2</v>
      </c>
      <c r="N725" s="7">
        <f>IF(首页!$B$13="强制对流",首页!$B$11*M725/H725,0)</f>
        <v>0</v>
      </c>
      <c r="O725" s="6">
        <f>IF(首页!$B$13="自然对流",IF(首页!$B$14="立式圆筒",(0.825+0.3063*I725^(1/6))^2+0.87*(M725/B725),(0.752+0.303*I725^(1/6))^2),0.3+SQRT((0.592*N725^0.5)^2+(0.0262*N725^0.8/(1-0.5/N725^0.1))^2))</f>
        <v>10049.992118319515</v>
      </c>
      <c r="P725" s="6">
        <f t="shared" si="104"/>
        <v>2.9510194925512497E-2</v>
      </c>
      <c r="Q725" s="6">
        <f t="shared" si="105"/>
        <v>5.3727758407875568</v>
      </c>
      <c r="R725" s="6">
        <f t="shared" si="106"/>
        <v>13.141509641289513</v>
      </c>
      <c r="S725" s="6">
        <f>B725*LN(B725/首页!$B$4)</f>
        <v>4.001320997639997</v>
      </c>
      <c r="T725" s="6">
        <f>2*首页!$B$8*(E725-C725)/(R725*(C725-D725))</f>
        <v>7.1008424466313891E-2</v>
      </c>
      <c r="U725" t="str">
        <f>IF(首页!$B$13="自然对流","按自然对流公式", "按强制对流公式")</f>
        <v>按自然对流公式</v>
      </c>
      <c r="V725" s="6">
        <f t="shared" si="107"/>
        <v>3.930312573173683</v>
      </c>
    </row>
    <row r="726" spans="1:22" x14ac:dyDescent="0.15">
      <c r="A726">
        <v>721</v>
      </c>
      <c r="B726" s="6">
        <f>首页!$B$4+2*A726/1000</f>
        <v>1.5619999999999998</v>
      </c>
      <c r="C726" s="6">
        <f>首页!$B$7+273.15</f>
        <v>388.15</v>
      </c>
      <c r="D726" s="6">
        <f>首页!$B$6+273.15</f>
        <v>293.14999999999998</v>
      </c>
      <c r="E726" s="6">
        <f>首页!$B$5+273.15</f>
        <v>1373.15</v>
      </c>
      <c r="F726" s="6">
        <f t="shared" si="99"/>
        <v>95</v>
      </c>
      <c r="G726" s="6">
        <f t="shared" si="100"/>
        <v>340.65</v>
      </c>
      <c r="H726" s="6">
        <f t="shared" si="101"/>
        <v>1.9926207055139041E-5</v>
      </c>
      <c r="I726" s="7">
        <f t="shared" si="102"/>
        <v>1158916576932337.8</v>
      </c>
      <c r="J726" s="6">
        <f t="shared" si="103"/>
        <v>1.0226038455893147</v>
      </c>
      <c r="K726" s="7">
        <f>J726*H726*首页!$B$12/P726</f>
        <v>0.69532757496605813</v>
      </c>
      <c r="L726" s="6">
        <f>首页!$B$9*0.0000000567*((C726^4-D726^4)/(C726-D726))</f>
        <v>7.7687338005019564</v>
      </c>
      <c r="M726" s="6">
        <f>IF(首页!$B$13="自然对流",IF(首页!$B$14="立式圆筒",首页!$B$10,PI()*B726/2),PI()*B726/2)</f>
        <v>55.2</v>
      </c>
      <c r="N726" s="7">
        <f>IF(首页!$B$13="强制对流",首页!$B$11*M726/H726,0)</f>
        <v>0</v>
      </c>
      <c r="O726" s="6">
        <f>IF(首页!$B$13="自然对流",IF(首页!$B$14="立式圆筒",(0.825+0.3063*I726^(1/6))^2+0.87*(M726/B726),(0.752+0.303*I726^(1/6))^2),0.3+SQRT((0.592*N726^0.5)^2+(0.0262*N726^0.8/(1-0.5/N726^0.1))^2))</f>
        <v>10049.952701398408</v>
      </c>
      <c r="P726" s="6">
        <f t="shared" si="104"/>
        <v>2.9510194925512497E-2</v>
      </c>
      <c r="Q726" s="6">
        <f t="shared" si="105"/>
        <v>5.3727547683052155</v>
      </c>
      <c r="R726" s="6">
        <f t="shared" si="106"/>
        <v>13.141488568807173</v>
      </c>
      <c r="S726" s="6">
        <f>B726*LN(B726/首页!$B$4)</f>
        <v>4.0084521778586675</v>
      </c>
      <c r="T726" s="6">
        <f>2*首页!$B$8*(E726-C726)/(R726*(C726-D726))</f>
        <v>7.1008538328892146E-2</v>
      </c>
      <c r="U726" t="str">
        <f>IF(首页!$B$13="自然对流","按自然对流公式", "按强制对流公式")</f>
        <v>按自然对流公式</v>
      </c>
      <c r="V726" s="6">
        <f t="shared" si="107"/>
        <v>3.9374436395297754</v>
      </c>
    </row>
    <row r="727" spans="1:22" x14ac:dyDescent="0.15">
      <c r="A727">
        <v>722</v>
      </c>
      <c r="B727" s="6">
        <f>首页!$B$4+2*A727/1000</f>
        <v>1.5640000000000001</v>
      </c>
      <c r="C727" s="6">
        <f>首页!$B$7+273.15</f>
        <v>388.15</v>
      </c>
      <c r="D727" s="6">
        <f>首页!$B$6+273.15</f>
        <v>293.14999999999998</v>
      </c>
      <c r="E727" s="6">
        <f>首页!$B$5+273.15</f>
        <v>1373.15</v>
      </c>
      <c r="F727" s="6">
        <f t="shared" si="99"/>
        <v>95</v>
      </c>
      <c r="G727" s="6">
        <f t="shared" si="100"/>
        <v>340.65</v>
      </c>
      <c r="H727" s="6">
        <f t="shared" si="101"/>
        <v>1.9926207055139041E-5</v>
      </c>
      <c r="I727" s="7">
        <f t="shared" si="102"/>
        <v>1158916576932337.8</v>
      </c>
      <c r="J727" s="6">
        <f t="shared" si="103"/>
        <v>1.0226038455893147</v>
      </c>
      <c r="K727" s="7">
        <f>J727*H727*首页!$B$12/P727</f>
        <v>0.69532757496605813</v>
      </c>
      <c r="L727" s="6">
        <f>首页!$B$9*0.0000000567*((C727^4-D727^4)/(C727-D727))</f>
        <v>7.7687338005019564</v>
      </c>
      <c r="M727" s="6">
        <f>IF(首页!$B$13="自然对流",IF(首页!$B$14="立式圆筒",首页!$B$10,PI()*B727/2),PI()*B727/2)</f>
        <v>55.2</v>
      </c>
      <c r="N727" s="7">
        <f>IF(首页!$B$13="强制对流",首页!$B$11*M727/H727,0)</f>
        <v>0</v>
      </c>
      <c r="O727" s="6">
        <f>IF(首页!$B$13="自然对流",IF(首页!$B$14="立式圆筒",(0.825+0.3063*I727^(1/6))^2+0.87*(M727/B727),(0.752+0.303*I727^(1/6))^2),0.3+SQRT((0.592*N727^0.5)^2+(0.0262*N727^0.8/(1-0.5/N727^0.1))^2))</f>
        <v>10049.91338528784</v>
      </c>
      <c r="P727" s="6">
        <f t="shared" si="104"/>
        <v>2.9510194925512497E-2</v>
      </c>
      <c r="Q727" s="6">
        <f t="shared" si="105"/>
        <v>5.3727337497166907</v>
      </c>
      <c r="R727" s="6">
        <f t="shared" si="106"/>
        <v>13.141467550218646</v>
      </c>
      <c r="S727" s="6">
        <f>B727*LN(B727/首页!$B$4)</f>
        <v>4.0155859188975009</v>
      </c>
      <c r="T727" s="6">
        <f>2*首页!$B$8*(E727-C727)/(R727*(C727-D727))</f>
        <v>7.1008651900625538E-2</v>
      </c>
      <c r="U727" t="str">
        <f>IF(首页!$B$13="自然对流","按自然对流公式", "按强制对流公式")</f>
        <v>按自然对流公式</v>
      </c>
      <c r="V727" s="6">
        <f t="shared" si="107"/>
        <v>3.9445772669968755</v>
      </c>
    </row>
    <row r="728" spans="1:22" x14ac:dyDescent="0.15">
      <c r="A728">
        <v>723</v>
      </c>
      <c r="B728" s="6">
        <f>首页!$B$4+2*A728/1000</f>
        <v>1.5659999999999998</v>
      </c>
      <c r="C728" s="6">
        <f>首页!$B$7+273.15</f>
        <v>388.15</v>
      </c>
      <c r="D728" s="6">
        <f>首页!$B$6+273.15</f>
        <v>293.14999999999998</v>
      </c>
      <c r="E728" s="6">
        <f>首页!$B$5+273.15</f>
        <v>1373.15</v>
      </c>
      <c r="F728" s="6">
        <f t="shared" si="99"/>
        <v>95</v>
      </c>
      <c r="G728" s="6">
        <f t="shared" si="100"/>
        <v>340.65</v>
      </c>
      <c r="H728" s="6">
        <f t="shared" si="101"/>
        <v>1.9926207055139041E-5</v>
      </c>
      <c r="I728" s="7">
        <f t="shared" si="102"/>
        <v>1158916576932337.8</v>
      </c>
      <c r="J728" s="6">
        <f t="shared" si="103"/>
        <v>1.0226038455893147</v>
      </c>
      <c r="K728" s="7">
        <f>J728*H728*首页!$B$12/P728</f>
        <v>0.69532757496605813</v>
      </c>
      <c r="L728" s="6">
        <f>首页!$B$9*0.0000000567*((C728^4-D728^4)/(C728-D728))</f>
        <v>7.7687338005019564</v>
      </c>
      <c r="M728" s="6">
        <f>IF(首页!$B$13="自然对流",IF(首页!$B$14="立式圆筒",首页!$B$10,PI()*B728/2),PI()*B728/2)</f>
        <v>55.2</v>
      </c>
      <c r="N728" s="7">
        <f>IF(首页!$B$13="强制对流",首页!$B$11*M728/H728,0)</f>
        <v>0</v>
      </c>
      <c r="O728" s="6">
        <f>IF(首页!$B$13="自然对流",IF(首页!$B$14="立式圆筒",(0.825+0.3063*I728^(1/6))^2+0.87*(M728/B728),(0.752+0.303*I728^(1/6))^2),0.3+SQRT((0.592*N728^0.5)^2+(0.0262*N728^0.8/(1-0.5/N728^0.1))^2))</f>
        <v>10049.874169601566</v>
      </c>
      <c r="P728" s="6">
        <f t="shared" si="104"/>
        <v>2.9510194925512497E-2</v>
      </c>
      <c r="Q728" s="6">
        <f t="shared" si="105"/>
        <v>5.3727127848154934</v>
      </c>
      <c r="R728" s="6">
        <f t="shared" si="106"/>
        <v>13.14144658531745</v>
      </c>
      <c r="S728" s="6">
        <f>B728*LN(B728/首页!$B$4)</f>
        <v>4.0227222174817872</v>
      </c>
      <c r="T728" s="6">
        <f>2*首页!$B$8*(E728-C728)/(R728*(C728-D728))</f>
        <v>7.1008765182626984E-2</v>
      </c>
      <c r="U728" t="str">
        <f>IF(首页!$B$13="自然对流","按自然对流公式", "按强制对流公式")</f>
        <v>按自然对流公式</v>
      </c>
      <c r="V728" s="6">
        <f t="shared" si="107"/>
        <v>3.9517134522991602</v>
      </c>
    </row>
    <row r="729" spans="1:22" x14ac:dyDescent="0.15">
      <c r="A729">
        <v>724</v>
      </c>
      <c r="B729" s="6">
        <f>首页!$B$4+2*A729/1000</f>
        <v>1.5680000000000001</v>
      </c>
      <c r="C729" s="6">
        <f>首页!$B$7+273.15</f>
        <v>388.15</v>
      </c>
      <c r="D729" s="6">
        <f>首页!$B$6+273.15</f>
        <v>293.14999999999998</v>
      </c>
      <c r="E729" s="6">
        <f>首页!$B$5+273.15</f>
        <v>1373.15</v>
      </c>
      <c r="F729" s="6">
        <f t="shared" si="99"/>
        <v>95</v>
      </c>
      <c r="G729" s="6">
        <f t="shared" si="100"/>
        <v>340.65</v>
      </c>
      <c r="H729" s="6">
        <f t="shared" si="101"/>
        <v>1.9926207055139041E-5</v>
      </c>
      <c r="I729" s="7">
        <f t="shared" si="102"/>
        <v>1158916576932337.8</v>
      </c>
      <c r="J729" s="6">
        <f t="shared" si="103"/>
        <v>1.0226038455893147</v>
      </c>
      <c r="K729" s="7">
        <f>J729*H729*首页!$B$12/P729</f>
        <v>0.69532757496605813</v>
      </c>
      <c r="L729" s="6">
        <f>首页!$B$9*0.0000000567*((C729^4-D729^4)/(C729-D729))</f>
        <v>7.7687338005019564</v>
      </c>
      <c r="M729" s="6">
        <f>IF(首页!$B$13="自然对流",IF(首页!$B$14="立式圆筒",首页!$B$10,PI()*B729/2),PI()*B729/2)</f>
        <v>55.2</v>
      </c>
      <c r="N729" s="7">
        <f>IF(首页!$B$13="强制对流",首页!$B$11*M729/H729,0)</f>
        <v>0</v>
      </c>
      <c r="O729" s="6">
        <f>IF(首页!$B$13="自然对流",IF(首页!$B$14="立式圆筒",(0.825+0.3063*I729^(1/6))^2+0.87*(M729/B729),(0.752+0.303*I729^(1/6))^2),0.3+SQRT((0.592*N729^0.5)^2+(0.0262*N729^0.8/(1-0.5/N729^0.1))^2))</f>
        <v>10049.835053955308</v>
      </c>
      <c r="P729" s="6">
        <f t="shared" si="104"/>
        <v>2.9510194925512497E-2</v>
      </c>
      <c r="Q729" s="6">
        <f t="shared" si="105"/>
        <v>5.372691873396187</v>
      </c>
      <c r="R729" s="6">
        <f t="shared" si="106"/>
        <v>13.141425673898144</v>
      </c>
      <c r="S729" s="6">
        <f>B729*LN(B729/首页!$B$4)</f>
        <v>4.029861070345186</v>
      </c>
      <c r="T729" s="6">
        <f>2*首页!$B$8*(E729-C729)/(R729*(C729-D729))</f>
        <v>7.100887817600382E-2</v>
      </c>
      <c r="U729" t="str">
        <f>IF(首页!$B$13="自然对流","按自然对流公式", "按强制对流公式")</f>
        <v>按自然对流公式</v>
      </c>
      <c r="V729" s="6">
        <f t="shared" si="107"/>
        <v>3.9588521921691822</v>
      </c>
    </row>
    <row r="730" spans="1:22" x14ac:dyDescent="0.15">
      <c r="A730">
        <v>725</v>
      </c>
      <c r="B730" s="6">
        <f>首页!$B$4+2*A730/1000</f>
        <v>1.5699999999999998</v>
      </c>
      <c r="C730" s="6">
        <f>首页!$B$7+273.15</f>
        <v>388.15</v>
      </c>
      <c r="D730" s="6">
        <f>首页!$B$6+273.15</f>
        <v>293.14999999999998</v>
      </c>
      <c r="E730" s="6">
        <f>首页!$B$5+273.15</f>
        <v>1373.15</v>
      </c>
      <c r="F730" s="6">
        <f t="shared" si="99"/>
        <v>95</v>
      </c>
      <c r="G730" s="6">
        <f t="shared" si="100"/>
        <v>340.65</v>
      </c>
      <c r="H730" s="6">
        <f t="shared" si="101"/>
        <v>1.9926207055139041E-5</v>
      </c>
      <c r="I730" s="7">
        <f t="shared" si="102"/>
        <v>1158916576932337.8</v>
      </c>
      <c r="J730" s="6">
        <f t="shared" si="103"/>
        <v>1.0226038455893147</v>
      </c>
      <c r="K730" s="7">
        <f>J730*H730*首页!$B$12/P730</f>
        <v>0.69532757496605813</v>
      </c>
      <c r="L730" s="6">
        <f>首页!$B$9*0.0000000567*((C730^4-D730^4)/(C730-D730))</f>
        <v>7.7687338005019564</v>
      </c>
      <c r="M730" s="6">
        <f>IF(首页!$B$13="自然对流",IF(首页!$B$14="立式圆筒",首页!$B$10,PI()*B730/2),PI()*B730/2)</f>
        <v>55.2</v>
      </c>
      <c r="N730" s="7">
        <f>IF(首页!$B$13="强制对流",首页!$B$11*M730/H730,0)</f>
        <v>0</v>
      </c>
      <c r="O730" s="6">
        <f>IF(首页!$B$13="自然对流",IF(首页!$B$14="立式圆筒",(0.825+0.3063*I730^(1/6))^2+0.87*(M730/B730),(0.752+0.303*I730^(1/6))^2),0.3+SQRT((0.592*N730^0.5)^2+(0.0262*N730^0.8/(1-0.5/N730^0.1))^2))</f>
        <v>10049.796037966747</v>
      </c>
      <c r="P730" s="6">
        <f t="shared" si="104"/>
        <v>2.9510194925512497E-2</v>
      </c>
      <c r="Q730" s="6">
        <f t="shared" si="105"/>
        <v>5.3726710152543822</v>
      </c>
      <c r="R730" s="6">
        <f t="shared" si="106"/>
        <v>13.141404815756339</v>
      </c>
      <c r="S730" s="6">
        <f>B730*LN(B730/首页!$B$4)</f>
        <v>4.0370024742296824</v>
      </c>
      <c r="T730" s="6">
        <f>2*首页!$B$8*(E730-C730)/(R730*(C730-D730))</f>
        <v>7.100899088185765E-2</v>
      </c>
      <c r="U730" t="str">
        <f>IF(首页!$B$13="自然对流","按自然对流公式", "按强制对流公式")</f>
        <v>按自然对流公式</v>
      </c>
      <c r="V730" s="6">
        <f t="shared" si="107"/>
        <v>3.9659934833478245</v>
      </c>
    </row>
    <row r="731" spans="1:22" x14ac:dyDescent="0.15">
      <c r="A731">
        <v>726</v>
      </c>
      <c r="B731" s="6">
        <f>首页!$B$4+2*A731/1000</f>
        <v>1.5720000000000001</v>
      </c>
      <c r="C731" s="6">
        <f>首页!$B$7+273.15</f>
        <v>388.15</v>
      </c>
      <c r="D731" s="6">
        <f>首页!$B$6+273.15</f>
        <v>293.14999999999998</v>
      </c>
      <c r="E731" s="6">
        <f>首页!$B$5+273.15</f>
        <v>1373.15</v>
      </c>
      <c r="F731" s="6">
        <f t="shared" si="99"/>
        <v>95</v>
      </c>
      <c r="G731" s="6">
        <f t="shared" si="100"/>
        <v>340.65</v>
      </c>
      <c r="H731" s="6">
        <f t="shared" si="101"/>
        <v>1.9926207055139041E-5</v>
      </c>
      <c r="I731" s="7">
        <f t="shared" si="102"/>
        <v>1158916576932337.8</v>
      </c>
      <c r="J731" s="6">
        <f t="shared" si="103"/>
        <v>1.0226038455893147</v>
      </c>
      <c r="K731" s="7">
        <f>J731*H731*首页!$B$12/P731</f>
        <v>0.69532757496605813</v>
      </c>
      <c r="L731" s="6">
        <f>首页!$B$9*0.0000000567*((C731^4-D731^4)/(C731-D731))</f>
        <v>7.7687338005019564</v>
      </c>
      <c r="M731" s="6">
        <f>IF(首页!$B$13="自然对流",IF(首页!$B$14="立式圆筒",首页!$B$10,PI()*B731/2),PI()*B731/2)</f>
        <v>55.2</v>
      </c>
      <c r="N731" s="7">
        <f>IF(首页!$B$13="强制对流",首页!$B$11*M731/H731,0)</f>
        <v>0</v>
      </c>
      <c r="O731" s="6">
        <f>IF(首页!$B$13="自然对流",IF(首页!$B$14="立式圆筒",(0.825+0.3063*I731^(1/6))^2+0.87*(M731/B731),(0.752+0.303*I731^(1/6))^2),0.3+SQRT((0.592*N731^0.5)^2+(0.0262*N731^0.8/(1-0.5/N731^0.1))^2))</f>
        <v>10049.75712125551</v>
      </c>
      <c r="P731" s="6">
        <f t="shared" si="104"/>
        <v>2.9510194925512497E-2</v>
      </c>
      <c r="Q731" s="6">
        <f t="shared" si="105"/>
        <v>5.3726502101867295</v>
      </c>
      <c r="R731" s="6">
        <f t="shared" si="106"/>
        <v>13.141384010688686</v>
      </c>
      <c r="S731" s="6">
        <f>B731*LN(B731/首页!$B$4)</f>
        <v>4.0441464258855708</v>
      </c>
      <c r="T731" s="6">
        <f>2*首页!$B$8*(E731-C731)/(R731*(C731-D731))</f>
        <v>7.1009103301284571E-2</v>
      </c>
      <c r="U731" t="str">
        <f>IF(首页!$B$13="自然对流","按自然对流公式", "按强制对流公式")</f>
        <v>按自然对流公式</v>
      </c>
      <c r="V731" s="6">
        <f t="shared" si="107"/>
        <v>3.9731373225842863</v>
      </c>
    </row>
    <row r="732" spans="1:22" x14ac:dyDescent="0.15">
      <c r="A732">
        <v>727</v>
      </c>
      <c r="B732" s="6">
        <f>首页!$B$4+2*A732/1000</f>
        <v>1.5739999999999998</v>
      </c>
      <c r="C732" s="6">
        <f>首页!$B$7+273.15</f>
        <v>388.15</v>
      </c>
      <c r="D732" s="6">
        <f>首页!$B$6+273.15</f>
        <v>293.14999999999998</v>
      </c>
      <c r="E732" s="6">
        <f>首页!$B$5+273.15</f>
        <v>1373.15</v>
      </c>
      <c r="F732" s="6">
        <f t="shared" si="99"/>
        <v>95</v>
      </c>
      <c r="G732" s="6">
        <f t="shared" si="100"/>
        <v>340.65</v>
      </c>
      <c r="H732" s="6">
        <f t="shared" si="101"/>
        <v>1.9926207055139041E-5</v>
      </c>
      <c r="I732" s="7">
        <f t="shared" si="102"/>
        <v>1158916576932337.8</v>
      </c>
      <c r="J732" s="6">
        <f t="shared" si="103"/>
        <v>1.0226038455893147</v>
      </c>
      <c r="K732" s="7">
        <f>J732*H732*首页!$B$12/P732</f>
        <v>0.69532757496605813</v>
      </c>
      <c r="L732" s="6">
        <f>首页!$B$9*0.0000000567*((C732^4-D732^4)/(C732-D732))</f>
        <v>7.7687338005019564</v>
      </c>
      <c r="M732" s="6">
        <f>IF(首页!$B$13="自然对流",IF(首页!$B$14="立式圆筒",首页!$B$10,PI()*B732/2),PI()*B732/2)</f>
        <v>55.2</v>
      </c>
      <c r="N732" s="7">
        <f>IF(首页!$B$13="强制对流",首页!$B$11*M732/H732,0)</f>
        <v>0</v>
      </c>
      <c r="O732" s="6">
        <f>IF(首页!$B$13="自然对流",IF(首页!$B$14="立式圆筒",(0.825+0.3063*I732^(1/6))^2+0.87*(M732/B732),(0.752+0.303*I732^(1/6))^2),0.3+SQRT((0.592*N732^0.5)^2+(0.0262*N732^0.8/(1-0.5/N732^0.1))^2))</f>
        <v>10049.718303443158</v>
      </c>
      <c r="P732" s="6">
        <f t="shared" si="104"/>
        <v>2.9510194925512497E-2</v>
      </c>
      <c r="Q732" s="6">
        <f t="shared" si="105"/>
        <v>5.3726294579909117</v>
      </c>
      <c r="R732" s="6">
        <f t="shared" si="106"/>
        <v>13.141363258492868</v>
      </c>
      <c r="S732" s="6">
        <f>B732*LN(B732/首页!$B$4)</f>
        <v>4.0512929220714051</v>
      </c>
      <c r="T732" s="6">
        <f>2*首页!$B$8*(E732-C732)/(R732*(C732-D732))</f>
        <v>7.1009215435375042E-2</v>
      </c>
      <c r="U732" t="str">
        <f>IF(首页!$B$13="自然对流","按自然对流公式", "按强制对流公式")</f>
        <v>按自然对流公式</v>
      </c>
      <c r="V732" s="6">
        <f t="shared" si="107"/>
        <v>3.9802837066360301</v>
      </c>
    </row>
    <row r="733" spans="1:22" x14ac:dyDescent="0.15">
      <c r="A733">
        <v>728</v>
      </c>
      <c r="B733" s="6">
        <f>首页!$B$4+2*A733/1000</f>
        <v>1.5760000000000001</v>
      </c>
      <c r="C733" s="6">
        <f>首页!$B$7+273.15</f>
        <v>388.15</v>
      </c>
      <c r="D733" s="6">
        <f>首页!$B$6+273.15</f>
        <v>293.14999999999998</v>
      </c>
      <c r="E733" s="6">
        <f>首页!$B$5+273.15</f>
        <v>1373.15</v>
      </c>
      <c r="F733" s="6">
        <f t="shared" si="99"/>
        <v>95</v>
      </c>
      <c r="G733" s="6">
        <f t="shared" si="100"/>
        <v>340.65</v>
      </c>
      <c r="H733" s="6">
        <f t="shared" si="101"/>
        <v>1.9926207055139041E-5</v>
      </c>
      <c r="I733" s="7">
        <f t="shared" si="102"/>
        <v>1158916576932337.8</v>
      </c>
      <c r="J733" s="6">
        <f t="shared" si="103"/>
        <v>1.0226038455893147</v>
      </c>
      <c r="K733" s="7">
        <f>J733*H733*首页!$B$12/P733</f>
        <v>0.69532757496605813</v>
      </c>
      <c r="L733" s="6">
        <f>首页!$B$9*0.0000000567*((C733^4-D733^4)/(C733-D733))</f>
        <v>7.7687338005019564</v>
      </c>
      <c r="M733" s="6">
        <f>IF(首页!$B$13="自然对流",IF(首页!$B$14="立式圆筒",首页!$B$10,PI()*B733/2),PI()*B733/2)</f>
        <v>55.2</v>
      </c>
      <c r="N733" s="7">
        <f>IF(首页!$B$13="强制对流",首页!$B$11*M733/H733,0)</f>
        <v>0</v>
      </c>
      <c r="O733" s="6">
        <f>IF(首页!$B$13="自然对流",IF(首页!$B$14="立式圆筒",(0.825+0.3063*I733^(1/6))^2+0.87*(M733/B733),(0.752+0.303*I733^(1/6))^2),0.3+SQRT((0.592*N733^0.5)^2+(0.0262*N733^0.8/(1-0.5/N733^0.1))^2))</f>
        <v>10049.679584153175</v>
      </c>
      <c r="P733" s="6">
        <f t="shared" si="104"/>
        <v>2.9510194925512497E-2</v>
      </c>
      <c r="Q733" s="6">
        <f t="shared" si="105"/>
        <v>5.3726087584656446</v>
      </c>
      <c r="R733" s="6">
        <f t="shared" si="106"/>
        <v>13.141342558967601</v>
      </c>
      <c r="S733" s="6">
        <f>B733*LN(B733/首页!$B$4)</f>
        <v>4.0584419595539867</v>
      </c>
      <c r="T733" s="6">
        <f>2*首页!$B$8*(E733-C733)/(R733*(C733-D733))</f>
        <v>7.1009327285214016E-2</v>
      </c>
      <c r="U733" t="str">
        <f>IF(首页!$B$13="自然对流","按自然对流公式", "按强制对流公式")</f>
        <v>按自然对流公式</v>
      </c>
      <c r="V733" s="6">
        <f t="shared" si="107"/>
        <v>3.9874326322687725</v>
      </c>
    </row>
    <row r="734" spans="1:22" x14ac:dyDescent="0.15">
      <c r="A734">
        <v>729</v>
      </c>
      <c r="B734" s="6">
        <f>首页!$B$4+2*A734/1000</f>
        <v>1.5779999999999998</v>
      </c>
      <c r="C734" s="6">
        <f>首页!$B$7+273.15</f>
        <v>388.15</v>
      </c>
      <c r="D734" s="6">
        <f>首页!$B$6+273.15</f>
        <v>293.14999999999998</v>
      </c>
      <c r="E734" s="6">
        <f>首页!$B$5+273.15</f>
        <v>1373.15</v>
      </c>
      <c r="F734" s="6">
        <f t="shared" si="99"/>
        <v>95</v>
      </c>
      <c r="G734" s="6">
        <f t="shared" si="100"/>
        <v>340.65</v>
      </c>
      <c r="H734" s="6">
        <f t="shared" si="101"/>
        <v>1.9926207055139041E-5</v>
      </c>
      <c r="I734" s="7">
        <f t="shared" si="102"/>
        <v>1158916576932337.8</v>
      </c>
      <c r="J734" s="6">
        <f t="shared" si="103"/>
        <v>1.0226038455893147</v>
      </c>
      <c r="K734" s="7">
        <f>J734*H734*首页!$B$12/P734</f>
        <v>0.69532757496605813</v>
      </c>
      <c r="L734" s="6">
        <f>首页!$B$9*0.0000000567*((C734^4-D734^4)/(C734-D734))</f>
        <v>7.7687338005019564</v>
      </c>
      <c r="M734" s="6">
        <f>IF(首页!$B$13="自然对流",IF(首页!$B$14="立式圆筒",首页!$B$10,PI()*B734/2),PI()*B734/2)</f>
        <v>55.2</v>
      </c>
      <c r="N734" s="7">
        <f>IF(首页!$B$13="强制对流",首页!$B$11*M734/H734,0)</f>
        <v>0</v>
      </c>
      <c r="O734" s="6">
        <f>IF(首页!$B$13="自然对流",IF(首页!$B$14="立式圆筒",(0.825+0.3063*I734^(1/6))^2+0.87*(M734/B734),(0.752+0.303*I734^(1/6))^2),0.3+SQRT((0.592*N734^0.5)^2+(0.0262*N734^0.8/(1-0.5/N734^0.1))^2))</f>
        <v>10049.640963010945</v>
      </c>
      <c r="P734" s="6">
        <f t="shared" si="104"/>
        <v>2.9510194925512497E-2</v>
      </c>
      <c r="Q734" s="6">
        <f t="shared" si="105"/>
        <v>5.3725881114106535</v>
      </c>
      <c r="R734" s="6">
        <f t="shared" si="106"/>
        <v>13.141321911912609</v>
      </c>
      <c r="S734" s="6">
        <f>B734*LN(B734/首页!$B$4)</f>
        <v>4.0655935351083139</v>
      </c>
      <c r="T734" s="6">
        <f>2*首页!$B$8*(E734-C734)/(R734*(C734-D734))</f>
        <v>7.100943885188099E-2</v>
      </c>
      <c r="U734" t="str">
        <f>IF(首页!$B$13="自然对流","按自然对流公式", "按强制对流公式")</f>
        <v>按自然对流公式</v>
      </c>
      <c r="V734" s="6">
        <f t="shared" si="107"/>
        <v>3.9945840962564327</v>
      </c>
    </row>
    <row r="735" spans="1:22" x14ac:dyDescent="0.15">
      <c r="A735">
        <v>730</v>
      </c>
      <c r="B735" s="6">
        <f>首页!$B$4+2*A735/1000</f>
        <v>1.58</v>
      </c>
      <c r="C735" s="6">
        <f>首页!$B$7+273.15</f>
        <v>388.15</v>
      </c>
      <c r="D735" s="6">
        <f>首页!$B$6+273.15</f>
        <v>293.14999999999998</v>
      </c>
      <c r="E735" s="6">
        <f>首页!$B$5+273.15</f>
        <v>1373.15</v>
      </c>
      <c r="F735" s="6">
        <f t="shared" si="99"/>
        <v>95</v>
      </c>
      <c r="G735" s="6">
        <f t="shared" si="100"/>
        <v>340.65</v>
      </c>
      <c r="H735" s="6">
        <f t="shared" si="101"/>
        <v>1.9926207055139041E-5</v>
      </c>
      <c r="I735" s="7">
        <f t="shared" si="102"/>
        <v>1158916576932337.8</v>
      </c>
      <c r="J735" s="6">
        <f t="shared" si="103"/>
        <v>1.0226038455893147</v>
      </c>
      <c r="K735" s="7">
        <f>J735*H735*首页!$B$12/P735</f>
        <v>0.69532757496605813</v>
      </c>
      <c r="L735" s="6">
        <f>首页!$B$9*0.0000000567*((C735^4-D735^4)/(C735-D735))</f>
        <v>7.7687338005019564</v>
      </c>
      <c r="M735" s="6">
        <f>IF(首页!$B$13="自然对流",IF(首页!$B$14="立式圆筒",首页!$B$10,PI()*B735/2),PI()*B735/2)</f>
        <v>55.2</v>
      </c>
      <c r="N735" s="7">
        <f>IF(首页!$B$13="强制对流",首页!$B$11*M735/H735,0)</f>
        <v>0</v>
      </c>
      <c r="O735" s="6">
        <f>IF(首页!$B$13="自然对流",IF(首页!$B$14="立式圆筒",(0.825+0.3063*I735^(1/6))^2+0.87*(M735/B735),(0.752+0.303*I735^(1/6))^2),0.3+SQRT((0.592*N735^0.5)^2+(0.0262*N735^0.8/(1-0.5/N735^0.1))^2))</f>
        <v>10049.602439643761</v>
      </c>
      <c r="P735" s="6">
        <f t="shared" si="104"/>
        <v>2.9510194925512497E-2</v>
      </c>
      <c r="Q735" s="6">
        <f t="shared" si="105"/>
        <v>5.37256751662669</v>
      </c>
      <c r="R735" s="6">
        <f t="shared" si="106"/>
        <v>13.141301317128647</v>
      </c>
      <c r="S735" s="6">
        <f>B735*LN(B735/首页!$B$4)</f>
        <v>4.0727476455175671</v>
      </c>
      <c r="T735" s="6">
        <f>2*首页!$B$8*(E735-C735)/(R735*(C735-D735))</f>
        <v>7.1009550136449939E-2</v>
      </c>
      <c r="U735" t="str">
        <f>IF(首页!$B$13="自然对流","按自然对流公式", "按强制对流公式")</f>
        <v>按自然对流公式</v>
      </c>
      <c r="V735" s="6">
        <f t="shared" si="107"/>
        <v>4.0017380953811168</v>
      </c>
    </row>
    <row r="736" spans="1:22" x14ac:dyDescent="0.15">
      <c r="A736">
        <v>731</v>
      </c>
      <c r="B736" s="6">
        <f>首页!$B$4+2*A736/1000</f>
        <v>1.5819999999999999</v>
      </c>
      <c r="C736" s="6">
        <f>首页!$B$7+273.15</f>
        <v>388.15</v>
      </c>
      <c r="D736" s="6">
        <f>首页!$B$6+273.15</f>
        <v>293.14999999999998</v>
      </c>
      <c r="E736" s="6">
        <f>首页!$B$5+273.15</f>
        <v>1373.15</v>
      </c>
      <c r="F736" s="6">
        <f t="shared" si="99"/>
        <v>95</v>
      </c>
      <c r="G736" s="6">
        <f t="shared" si="100"/>
        <v>340.65</v>
      </c>
      <c r="H736" s="6">
        <f t="shared" si="101"/>
        <v>1.9926207055139041E-5</v>
      </c>
      <c r="I736" s="7">
        <f t="shared" si="102"/>
        <v>1158916576932337.8</v>
      </c>
      <c r="J736" s="6">
        <f t="shared" si="103"/>
        <v>1.0226038455893147</v>
      </c>
      <c r="K736" s="7">
        <f>J736*H736*首页!$B$12/P736</f>
        <v>0.69532757496605813</v>
      </c>
      <c r="L736" s="6">
        <f>首页!$B$9*0.0000000567*((C736^4-D736^4)/(C736-D736))</f>
        <v>7.7687338005019564</v>
      </c>
      <c r="M736" s="6">
        <f>IF(首页!$B$13="自然对流",IF(首页!$B$14="立式圆筒",首页!$B$10,PI()*B736/2),PI()*B736/2)</f>
        <v>55.2</v>
      </c>
      <c r="N736" s="7">
        <f>IF(首页!$B$13="强制对流",首页!$B$11*M736/H736,0)</f>
        <v>0</v>
      </c>
      <c r="O736" s="6">
        <f>IF(首页!$B$13="自然对流",IF(首页!$B$14="立式圆筒",(0.825+0.3063*I736^(1/6))^2+0.87*(M736/B736),(0.752+0.303*I736^(1/6))^2),0.3+SQRT((0.592*N736^0.5)^2+(0.0262*N736^0.8/(1-0.5/N736^0.1))^2))</f>
        <v>10049.564013680791</v>
      </c>
      <c r="P736" s="6">
        <f t="shared" si="104"/>
        <v>2.9510194925512497E-2</v>
      </c>
      <c r="Q736" s="6">
        <f t="shared" si="105"/>
        <v>5.3725469739155045</v>
      </c>
      <c r="R736" s="6">
        <f t="shared" si="106"/>
        <v>13.14128077441746</v>
      </c>
      <c r="S736" s="6">
        <f>B736*LN(B736/首页!$B$4)</f>
        <v>4.079904287573064</v>
      </c>
      <c r="T736" s="6">
        <f>2*首页!$B$8*(E736-C736)/(R736*(C736-D736))</f>
        <v>7.1009661139989466E-2</v>
      </c>
      <c r="U736" t="str">
        <f>IF(首页!$B$13="自然对流","按自然对流公式", "按强制对流公式")</f>
        <v>按自然对流公式</v>
      </c>
      <c r="V736" s="6">
        <f t="shared" si="107"/>
        <v>4.0088946264330749</v>
      </c>
    </row>
    <row r="737" spans="1:22" x14ac:dyDescent="0.15">
      <c r="A737">
        <v>732</v>
      </c>
      <c r="B737" s="6">
        <f>首页!$B$4+2*A737/1000</f>
        <v>1.5840000000000001</v>
      </c>
      <c r="C737" s="6">
        <f>首页!$B$7+273.15</f>
        <v>388.15</v>
      </c>
      <c r="D737" s="6">
        <f>首页!$B$6+273.15</f>
        <v>293.14999999999998</v>
      </c>
      <c r="E737" s="6">
        <f>首页!$B$5+273.15</f>
        <v>1373.15</v>
      </c>
      <c r="F737" s="6">
        <f t="shared" si="99"/>
        <v>95</v>
      </c>
      <c r="G737" s="6">
        <f t="shared" si="100"/>
        <v>340.65</v>
      </c>
      <c r="H737" s="6">
        <f t="shared" si="101"/>
        <v>1.9926207055139041E-5</v>
      </c>
      <c r="I737" s="7">
        <f t="shared" si="102"/>
        <v>1158916576932337.8</v>
      </c>
      <c r="J737" s="6">
        <f t="shared" si="103"/>
        <v>1.0226038455893147</v>
      </c>
      <c r="K737" s="7">
        <f>J737*H737*首页!$B$12/P737</f>
        <v>0.69532757496605813</v>
      </c>
      <c r="L737" s="6">
        <f>首页!$B$9*0.0000000567*((C737^4-D737^4)/(C737-D737))</f>
        <v>7.7687338005019564</v>
      </c>
      <c r="M737" s="6">
        <f>IF(首页!$B$13="自然对流",IF(首页!$B$14="立式圆筒",首页!$B$10,PI()*B737/2),PI()*B737/2)</f>
        <v>55.2</v>
      </c>
      <c r="N737" s="7">
        <f>IF(首页!$B$13="强制对流",首页!$B$11*M737/H737,0)</f>
        <v>0</v>
      </c>
      <c r="O737" s="6">
        <f>IF(首页!$B$13="自然对流",IF(首页!$B$14="立式圆筒",(0.825+0.3063*I737^(1/6))^2+0.87*(M737/B737),(0.752+0.303*I737^(1/6))^2),0.3+SQRT((0.592*N737^0.5)^2+(0.0262*N737^0.8/(1-0.5/N737^0.1))^2))</f>
        <v>10049.525684753082</v>
      </c>
      <c r="P737" s="6">
        <f t="shared" si="104"/>
        <v>2.9510194925512497E-2</v>
      </c>
      <c r="Q737" s="6">
        <f t="shared" si="105"/>
        <v>5.3725264830798531</v>
      </c>
      <c r="R737" s="6">
        <f t="shared" si="106"/>
        <v>13.14126028358181</v>
      </c>
      <c r="S737" s="6">
        <f>B737*LN(B737/首页!$B$4)</f>
        <v>4.0870634580742431</v>
      </c>
      <c r="T737" s="6">
        <f>2*首页!$B$8*(E737-C737)/(R737*(C737-D737))</f>
        <v>7.1009771863562748E-2</v>
      </c>
      <c r="U737" t="str">
        <f>IF(首页!$B$13="自然对流","按自然对流公式", "按强制对流公式")</f>
        <v>按自然对流公式</v>
      </c>
      <c r="V737" s="6">
        <f t="shared" si="107"/>
        <v>4.0160536862106806</v>
      </c>
    </row>
    <row r="738" spans="1:22" x14ac:dyDescent="0.15">
      <c r="A738">
        <v>733</v>
      </c>
      <c r="B738" s="6">
        <f>首页!$B$4+2*A738/1000</f>
        <v>1.5859999999999999</v>
      </c>
      <c r="C738" s="6">
        <f>首页!$B$7+273.15</f>
        <v>388.15</v>
      </c>
      <c r="D738" s="6">
        <f>首页!$B$6+273.15</f>
        <v>293.14999999999998</v>
      </c>
      <c r="E738" s="6">
        <f>首页!$B$5+273.15</f>
        <v>1373.15</v>
      </c>
      <c r="F738" s="6">
        <f t="shared" si="99"/>
        <v>95</v>
      </c>
      <c r="G738" s="6">
        <f t="shared" si="100"/>
        <v>340.65</v>
      </c>
      <c r="H738" s="6">
        <f t="shared" si="101"/>
        <v>1.9926207055139041E-5</v>
      </c>
      <c r="I738" s="7">
        <f t="shared" si="102"/>
        <v>1158916576932337.8</v>
      </c>
      <c r="J738" s="6">
        <f t="shared" si="103"/>
        <v>1.0226038455893147</v>
      </c>
      <c r="K738" s="7">
        <f>J738*H738*首页!$B$12/P738</f>
        <v>0.69532757496605813</v>
      </c>
      <c r="L738" s="6">
        <f>首页!$B$9*0.0000000567*((C738^4-D738^4)/(C738-D738))</f>
        <v>7.7687338005019564</v>
      </c>
      <c r="M738" s="6">
        <f>IF(首页!$B$13="自然对流",IF(首页!$B$14="立式圆筒",首页!$B$10,PI()*B738/2),PI()*B738/2)</f>
        <v>55.2</v>
      </c>
      <c r="N738" s="7">
        <f>IF(首页!$B$13="强制对流",首页!$B$11*M738/H738,0)</f>
        <v>0</v>
      </c>
      <c r="O738" s="6">
        <f>IF(首页!$B$13="自然对流",IF(首页!$B$14="立式圆筒",(0.825+0.3063*I738^(1/6))^2+0.87*(M738/B738),(0.752+0.303*I738^(1/6))^2),0.3+SQRT((0.592*N738^0.5)^2+(0.0262*N738^0.8/(1-0.5/N738^0.1))^2))</f>
        <v>10049.487452493539</v>
      </c>
      <c r="P738" s="6">
        <f t="shared" si="104"/>
        <v>2.9510194925512497E-2</v>
      </c>
      <c r="Q738" s="6">
        <f t="shared" si="105"/>
        <v>5.372506043923484</v>
      </c>
      <c r="R738" s="6">
        <f t="shared" si="106"/>
        <v>13.14123984442544</v>
      </c>
      <c r="S738" s="6">
        <f>B738*LN(B738/首页!$B$4)</f>
        <v>4.0942251538286172</v>
      </c>
      <c r="T738" s="6">
        <f>2*首页!$B$8*(E738-C738)/(R738*(C738-D738))</f>
        <v>7.1009882308227634E-2</v>
      </c>
      <c r="U738" t="str">
        <f>IF(首页!$B$13="自然对流","按自然对流公式", "按强制对流公式")</f>
        <v>按自然对流公式</v>
      </c>
      <c r="V738" s="6">
        <f t="shared" si="107"/>
        <v>4.0232152715203897</v>
      </c>
    </row>
    <row r="739" spans="1:22" x14ac:dyDescent="0.15">
      <c r="A739">
        <v>734</v>
      </c>
      <c r="B739" s="6">
        <f>首页!$B$4+2*A739/1000</f>
        <v>1.5880000000000001</v>
      </c>
      <c r="C739" s="6">
        <f>首页!$B$7+273.15</f>
        <v>388.15</v>
      </c>
      <c r="D739" s="6">
        <f>首页!$B$6+273.15</f>
        <v>293.14999999999998</v>
      </c>
      <c r="E739" s="6">
        <f>首页!$B$5+273.15</f>
        <v>1373.15</v>
      </c>
      <c r="F739" s="6">
        <f t="shared" si="99"/>
        <v>95</v>
      </c>
      <c r="G739" s="6">
        <f t="shared" si="100"/>
        <v>340.65</v>
      </c>
      <c r="H739" s="6">
        <f t="shared" si="101"/>
        <v>1.9926207055139041E-5</v>
      </c>
      <c r="I739" s="7">
        <f t="shared" si="102"/>
        <v>1158916576932337.8</v>
      </c>
      <c r="J739" s="6">
        <f t="shared" si="103"/>
        <v>1.0226038455893147</v>
      </c>
      <c r="K739" s="7">
        <f>J739*H739*首页!$B$12/P739</f>
        <v>0.69532757496605813</v>
      </c>
      <c r="L739" s="6">
        <f>首页!$B$9*0.0000000567*((C739^4-D739^4)/(C739-D739))</f>
        <v>7.7687338005019564</v>
      </c>
      <c r="M739" s="6">
        <f>IF(首页!$B$13="自然对流",IF(首页!$B$14="立式圆筒",首页!$B$10,PI()*B739/2),PI()*B739/2)</f>
        <v>55.2</v>
      </c>
      <c r="N739" s="7">
        <f>IF(首页!$B$13="强制对流",首页!$B$11*M739/H739,0)</f>
        <v>0</v>
      </c>
      <c r="O739" s="6">
        <f>IF(首页!$B$13="自然对流",IF(首页!$B$14="立式圆筒",(0.825+0.3063*I739^(1/6))^2+0.87*(M739/B739),(0.752+0.303*I739^(1/6))^2),0.3+SQRT((0.592*N739^0.5)^2+(0.0262*N739^0.8/(1-0.5/N739^0.1))^2))</f>
        <v>10049.449316536915</v>
      </c>
      <c r="P739" s="6">
        <f t="shared" si="104"/>
        <v>2.9510194925512497E-2</v>
      </c>
      <c r="Q739" s="6">
        <f t="shared" si="105"/>
        <v>5.3724856562511354</v>
      </c>
      <c r="R739" s="6">
        <f t="shared" si="106"/>
        <v>13.141219456753092</v>
      </c>
      <c r="S739" s="6">
        <f>B739*LN(B739/首页!$B$4)</f>
        <v>4.1013893716517567</v>
      </c>
      <c r="T739" s="6">
        <f>2*首页!$B$8*(E739-C739)/(R739*(C739-D739))</f>
        <v>7.1009992475036643E-2</v>
      </c>
      <c r="U739" t="str">
        <f>IF(首页!$B$13="自然对流","按自然对流公式", "按强制对流公式")</f>
        <v>按自然对流公式</v>
      </c>
      <c r="V739" s="6">
        <f t="shared" si="107"/>
        <v>4.0303793791767202</v>
      </c>
    </row>
    <row r="740" spans="1:22" x14ac:dyDescent="0.15">
      <c r="A740">
        <v>735</v>
      </c>
      <c r="B740" s="6">
        <f>首页!$B$4+2*A740/1000</f>
        <v>1.5899999999999999</v>
      </c>
      <c r="C740" s="6">
        <f>首页!$B$7+273.15</f>
        <v>388.15</v>
      </c>
      <c r="D740" s="6">
        <f>首页!$B$6+273.15</f>
        <v>293.14999999999998</v>
      </c>
      <c r="E740" s="6">
        <f>首页!$B$5+273.15</f>
        <v>1373.15</v>
      </c>
      <c r="F740" s="6">
        <f t="shared" si="99"/>
        <v>95</v>
      </c>
      <c r="G740" s="6">
        <f t="shared" si="100"/>
        <v>340.65</v>
      </c>
      <c r="H740" s="6">
        <f t="shared" si="101"/>
        <v>1.9926207055139041E-5</v>
      </c>
      <c r="I740" s="7">
        <f t="shared" si="102"/>
        <v>1158916576932337.8</v>
      </c>
      <c r="J740" s="6">
        <f t="shared" si="103"/>
        <v>1.0226038455893147</v>
      </c>
      <c r="K740" s="7">
        <f>J740*H740*首页!$B$12/P740</f>
        <v>0.69532757496605813</v>
      </c>
      <c r="L740" s="6">
        <f>首页!$B$9*0.0000000567*((C740^4-D740^4)/(C740-D740))</f>
        <v>7.7687338005019564</v>
      </c>
      <c r="M740" s="6">
        <f>IF(首页!$B$13="自然对流",IF(首页!$B$14="立式圆筒",首页!$B$10,PI()*B740/2),PI()*B740/2)</f>
        <v>55.2</v>
      </c>
      <c r="N740" s="7">
        <f>IF(首页!$B$13="强制对流",首页!$B$11*M740/H740,0)</f>
        <v>0</v>
      </c>
      <c r="O740" s="6">
        <f>IF(首页!$B$13="自然对流",IF(首页!$B$14="立式圆筒",(0.825+0.3063*I740^(1/6))^2+0.87*(M740/B740),(0.752+0.303*I740^(1/6))^2),0.3+SQRT((0.592*N740^0.5)^2+(0.0262*N740^0.8/(1-0.5/N740^0.1))^2))</f>
        <v>10049.411276519806</v>
      </c>
      <c r="P740" s="6">
        <f t="shared" si="104"/>
        <v>2.9510194925512497E-2</v>
      </c>
      <c r="Q740" s="6">
        <f t="shared" si="105"/>
        <v>5.372465319868529</v>
      </c>
      <c r="R740" s="6">
        <f t="shared" si="106"/>
        <v>13.141199120370485</v>
      </c>
      <c r="S740" s="6">
        <f>B740*LN(B740/首页!$B$4)</f>
        <v>4.1085561083672468</v>
      </c>
      <c r="T740" s="6">
        <f>2*首页!$B$8*(E740-C740)/(R740*(C740-D740))</f>
        <v>7.1010102365036978E-2</v>
      </c>
      <c r="U740" t="str">
        <f>IF(首页!$B$13="自然对流","按自然对流公式", "按强制对流公式")</f>
        <v>按自然对流公式</v>
      </c>
      <c r="V740" s="6">
        <f t="shared" si="107"/>
        <v>4.0375460060022101</v>
      </c>
    </row>
    <row r="741" spans="1:22" x14ac:dyDescent="0.15">
      <c r="A741">
        <v>736</v>
      </c>
      <c r="B741" s="6">
        <f>首页!$B$4+2*A741/1000</f>
        <v>1.5920000000000001</v>
      </c>
      <c r="C741" s="6">
        <f>首页!$B$7+273.15</f>
        <v>388.15</v>
      </c>
      <c r="D741" s="6">
        <f>首页!$B$6+273.15</f>
        <v>293.14999999999998</v>
      </c>
      <c r="E741" s="6">
        <f>首页!$B$5+273.15</f>
        <v>1373.15</v>
      </c>
      <c r="F741" s="6">
        <f t="shared" si="99"/>
        <v>95</v>
      </c>
      <c r="G741" s="6">
        <f t="shared" si="100"/>
        <v>340.65</v>
      </c>
      <c r="H741" s="6">
        <f t="shared" si="101"/>
        <v>1.9926207055139041E-5</v>
      </c>
      <c r="I741" s="7">
        <f t="shared" si="102"/>
        <v>1158916576932337.8</v>
      </c>
      <c r="J741" s="6">
        <f t="shared" si="103"/>
        <v>1.0226038455893147</v>
      </c>
      <c r="K741" s="7">
        <f>J741*H741*首页!$B$12/P741</f>
        <v>0.69532757496605813</v>
      </c>
      <c r="L741" s="6">
        <f>首页!$B$9*0.0000000567*((C741^4-D741^4)/(C741-D741))</f>
        <v>7.7687338005019564</v>
      </c>
      <c r="M741" s="6">
        <f>IF(首页!$B$13="自然对流",IF(首页!$B$14="立式圆筒",首页!$B$10,PI()*B741/2),PI()*B741/2)</f>
        <v>55.2</v>
      </c>
      <c r="N741" s="7">
        <f>IF(首页!$B$13="强制对流",首页!$B$11*M741/H741,0)</f>
        <v>0</v>
      </c>
      <c r="O741" s="6">
        <f>IF(首页!$B$13="自然对流",IF(首页!$B$14="立式圆筒",(0.825+0.3063*I741^(1/6))^2+0.87*(M741/B741),(0.752+0.303*I741^(1/6))^2),0.3+SQRT((0.592*N741^0.5)^2+(0.0262*N741^0.8/(1-0.5/N741^0.1))^2))</f>
        <v>10049.373332080628</v>
      </c>
      <c r="P741" s="6">
        <f t="shared" si="104"/>
        <v>2.9510194925512497E-2</v>
      </c>
      <c r="Q741" s="6">
        <f t="shared" si="105"/>
        <v>5.3724450345823609</v>
      </c>
      <c r="R741" s="6">
        <f t="shared" si="106"/>
        <v>13.141178835084318</v>
      </c>
      <c r="S741" s="6">
        <f>B741*LN(B741/首页!$B$4)</f>
        <v>4.1157253608066737</v>
      </c>
      <c r="T741" s="6">
        <f>2*首页!$B$8*(E741-C741)/(R741*(C741-D741))</f>
        <v>7.1010211979270627E-2</v>
      </c>
      <c r="U741" t="str">
        <f>IF(首页!$B$13="自然对流","按自然对流公式", "按强制对流公式")</f>
        <v>按自然对流公式</v>
      </c>
      <c r="V741" s="6">
        <f t="shared" si="107"/>
        <v>4.0447151488274029</v>
      </c>
    </row>
    <row r="742" spans="1:22" x14ac:dyDescent="0.15">
      <c r="A742">
        <v>737</v>
      </c>
      <c r="B742" s="6">
        <f>首页!$B$4+2*A742/1000</f>
        <v>1.5939999999999999</v>
      </c>
      <c r="C742" s="6">
        <f>首页!$B$7+273.15</f>
        <v>388.15</v>
      </c>
      <c r="D742" s="6">
        <f>首页!$B$6+273.15</f>
        <v>293.14999999999998</v>
      </c>
      <c r="E742" s="6">
        <f>首页!$B$5+273.15</f>
        <v>1373.15</v>
      </c>
      <c r="F742" s="6">
        <f t="shared" si="99"/>
        <v>95</v>
      </c>
      <c r="G742" s="6">
        <f t="shared" si="100"/>
        <v>340.65</v>
      </c>
      <c r="H742" s="6">
        <f t="shared" si="101"/>
        <v>1.9926207055139041E-5</v>
      </c>
      <c r="I742" s="7">
        <f t="shared" si="102"/>
        <v>1158916576932337.8</v>
      </c>
      <c r="J742" s="6">
        <f t="shared" si="103"/>
        <v>1.0226038455893147</v>
      </c>
      <c r="K742" s="7">
        <f>J742*H742*首页!$B$12/P742</f>
        <v>0.69532757496605813</v>
      </c>
      <c r="L742" s="6">
        <f>首页!$B$9*0.0000000567*((C742^4-D742^4)/(C742-D742))</f>
        <v>7.7687338005019564</v>
      </c>
      <c r="M742" s="6">
        <f>IF(首页!$B$13="自然对流",IF(首页!$B$14="立式圆筒",首页!$B$10,PI()*B742/2),PI()*B742/2)</f>
        <v>55.2</v>
      </c>
      <c r="N742" s="7">
        <f>IF(首页!$B$13="强制对流",首页!$B$11*M742/H742,0)</f>
        <v>0</v>
      </c>
      <c r="O742" s="6">
        <f>IF(首页!$B$13="自然对流",IF(首页!$B$14="立式圆筒",(0.825+0.3063*I742^(1/6))^2+0.87*(M742/B742),(0.752+0.303*I742^(1/6))^2),0.3+SQRT((0.592*N742^0.5)^2+(0.0262*N742^0.8/(1-0.5/N742^0.1))^2))</f>
        <v>10049.335482859618</v>
      </c>
      <c r="P742" s="6">
        <f t="shared" si="104"/>
        <v>2.9510194925512497E-2</v>
      </c>
      <c r="Q742" s="6">
        <f t="shared" si="105"/>
        <v>5.3724248002002994</v>
      </c>
      <c r="R742" s="6">
        <f t="shared" si="106"/>
        <v>13.141158600702255</v>
      </c>
      <c r="S742" s="6">
        <f>B742*LN(B742/首页!$B$4)</f>
        <v>4.1228971258095743</v>
      </c>
      <c r="T742" s="6">
        <f>2*首页!$B$8*(E742-C742)/(R742*(C742-D742))</f>
        <v>7.1010321318774342E-2</v>
      </c>
      <c r="U742" t="str">
        <f>IF(首页!$B$13="自然对流","按自然对流公式", "按强制对流公式")</f>
        <v>按自然对流公式</v>
      </c>
      <c r="V742" s="6">
        <f t="shared" si="107"/>
        <v>4.0518868044907999</v>
      </c>
    </row>
    <row r="743" spans="1:22" x14ac:dyDescent="0.15">
      <c r="A743">
        <v>738</v>
      </c>
      <c r="B743" s="6">
        <f>首页!$B$4+2*A743/1000</f>
        <v>1.5960000000000001</v>
      </c>
      <c r="C743" s="6">
        <f>首页!$B$7+273.15</f>
        <v>388.15</v>
      </c>
      <c r="D743" s="6">
        <f>首页!$B$6+273.15</f>
        <v>293.14999999999998</v>
      </c>
      <c r="E743" s="6">
        <f>首页!$B$5+273.15</f>
        <v>1373.15</v>
      </c>
      <c r="F743" s="6">
        <f t="shared" si="99"/>
        <v>95</v>
      </c>
      <c r="G743" s="6">
        <f t="shared" si="100"/>
        <v>340.65</v>
      </c>
      <c r="H743" s="6">
        <f t="shared" si="101"/>
        <v>1.9926207055139041E-5</v>
      </c>
      <c r="I743" s="7">
        <f t="shared" si="102"/>
        <v>1158916576932337.8</v>
      </c>
      <c r="J743" s="6">
        <f t="shared" si="103"/>
        <v>1.0226038455893147</v>
      </c>
      <c r="K743" s="7">
        <f>J743*H743*首页!$B$12/P743</f>
        <v>0.69532757496605813</v>
      </c>
      <c r="L743" s="6">
        <f>首页!$B$9*0.0000000567*((C743^4-D743^4)/(C743-D743))</f>
        <v>7.7687338005019564</v>
      </c>
      <c r="M743" s="6">
        <f>IF(首页!$B$13="自然对流",IF(首页!$B$14="立式圆筒",首页!$B$10,PI()*B743/2),PI()*B743/2)</f>
        <v>55.2</v>
      </c>
      <c r="N743" s="7">
        <f>IF(首页!$B$13="强制对流",首页!$B$11*M743/H743,0)</f>
        <v>0</v>
      </c>
      <c r="O743" s="6">
        <f>IF(首页!$B$13="自然对流",IF(首页!$B$14="立式圆筒",(0.825+0.3063*I743^(1/6))^2+0.87*(M743/B743),(0.752+0.303*I743^(1/6))^2),0.3+SQRT((0.592*N743^0.5)^2+(0.0262*N743^0.8/(1-0.5/N743^0.1))^2))</f>
        <v>10049.29772849881</v>
      </c>
      <c r="P743" s="6">
        <f t="shared" si="104"/>
        <v>2.9510194925512497E-2</v>
      </c>
      <c r="Q743" s="6">
        <f t="shared" si="105"/>
        <v>5.3724046165309751</v>
      </c>
      <c r="R743" s="6">
        <f t="shared" si="106"/>
        <v>13.141138417032931</v>
      </c>
      <c r="S743" s="6">
        <f>B743*LN(B743/首页!$B$4)</f>
        <v>4.1300714002234225</v>
      </c>
      <c r="T743" s="6">
        <f>2*首页!$B$8*(E743-C743)/(R743*(C743-D743))</f>
        <v>7.1010430384579659E-2</v>
      </c>
      <c r="U743" t="str">
        <f>IF(首页!$B$13="自然对流","按自然对流公式", "按强制对流公式")</f>
        <v>按自然对流公式</v>
      </c>
      <c r="V743" s="6">
        <f t="shared" si="107"/>
        <v>4.0590609698388427</v>
      </c>
    </row>
    <row r="744" spans="1:22" x14ac:dyDescent="0.15">
      <c r="A744">
        <v>739</v>
      </c>
      <c r="B744" s="6">
        <f>首页!$B$4+2*A744/1000</f>
        <v>1.5979999999999999</v>
      </c>
      <c r="C744" s="6">
        <f>首页!$B$7+273.15</f>
        <v>388.15</v>
      </c>
      <c r="D744" s="6">
        <f>首页!$B$6+273.15</f>
        <v>293.14999999999998</v>
      </c>
      <c r="E744" s="6">
        <f>首页!$B$5+273.15</f>
        <v>1373.15</v>
      </c>
      <c r="F744" s="6">
        <f t="shared" si="99"/>
        <v>95</v>
      </c>
      <c r="G744" s="6">
        <f t="shared" si="100"/>
        <v>340.65</v>
      </c>
      <c r="H744" s="6">
        <f t="shared" si="101"/>
        <v>1.9926207055139041E-5</v>
      </c>
      <c r="I744" s="7">
        <f t="shared" si="102"/>
        <v>1158916576932337.8</v>
      </c>
      <c r="J744" s="6">
        <f t="shared" si="103"/>
        <v>1.0226038455893147</v>
      </c>
      <c r="K744" s="7">
        <f>J744*H744*首页!$B$12/P744</f>
        <v>0.69532757496605813</v>
      </c>
      <c r="L744" s="6">
        <f>首页!$B$9*0.0000000567*((C744^4-D744^4)/(C744-D744))</f>
        <v>7.7687338005019564</v>
      </c>
      <c r="M744" s="6">
        <f>IF(首页!$B$13="自然对流",IF(首页!$B$14="立式圆筒",首页!$B$10,PI()*B744/2),PI()*B744/2)</f>
        <v>55.2</v>
      </c>
      <c r="N744" s="7">
        <f>IF(首页!$B$13="强制对流",首页!$B$11*M744/H744,0)</f>
        <v>0</v>
      </c>
      <c r="O744" s="6">
        <f>IF(首页!$B$13="自然对流",IF(首页!$B$14="立式圆筒",(0.825+0.3063*I744^(1/6))^2+0.87*(M744/B744),(0.752+0.303*I744^(1/6))^2),0.3+SQRT((0.592*N744^0.5)^2+(0.0262*N744^0.8/(1-0.5/N744^0.1))^2))</f>
        <v>10049.260068642034</v>
      </c>
      <c r="P744" s="6">
        <f t="shared" si="104"/>
        <v>2.9510194925512497E-2</v>
      </c>
      <c r="Q744" s="6">
        <f t="shared" si="105"/>
        <v>5.3723844833839767</v>
      </c>
      <c r="R744" s="6">
        <f t="shared" si="106"/>
        <v>13.141118283885934</v>
      </c>
      <c r="S744" s="6">
        <f>B744*LN(B744/首页!$B$4)</f>
        <v>4.1372481809035904</v>
      </c>
      <c r="T744" s="6">
        <f>2*首页!$B$8*(E744-C744)/(R744*(C744-D744))</f>
        <v>7.1010539177712953E-2</v>
      </c>
      <c r="U744" t="str">
        <f>IF(首页!$B$13="自然对流","按自然对流公式", "按强制对流公式")</f>
        <v>按自然对流公式</v>
      </c>
      <c r="V744" s="6">
        <f t="shared" si="107"/>
        <v>4.066237641725877</v>
      </c>
    </row>
    <row r="745" spans="1:22" x14ac:dyDescent="0.15">
      <c r="A745">
        <v>740</v>
      </c>
      <c r="B745" s="6">
        <f>首页!$B$4+2*A745/1000</f>
        <v>1.6</v>
      </c>
      <c r="C745" s="6">
        <f>首页!$B$7+273.15</f>
        <v>388.15</v>
      </c>
      <c r="D745" s="6">
        <f>首页!$B$6+273.15</f>
        <v>293.14999999999998</v>
      </c>
      <c r="E745" s="6">
        <f>首页!$B$5+273.15</f>
        <v>1373.15</v>
      </c>
      <c r="F745" s="6">
        <f t="shared" si="99"/>
        <v>95</v>
      </c>
      <c r="G745" s="6">
        <f t="shared" si="100"/>
        <v>340.65</v>
      </c>
      <c r="H745" s="6">
        <f t="shared" si="101"/>
        <v>1.9926207055139041E-5</v>
      </c>
      <c r="I745" s="7">
        <f t="shared" si="102"/>
        <v>1158916576932337.8</v>
      </c>
      <c r="J745" s="6">
        <f t="shared" si="103"/>
        <v>1.0226038455893147</v>
      </c>
      <c r="K745" s="7">
        <f>J745*H745*首页!$B$12/P745</f>
        <v>0.69532757496605813</v>
      </c>
      <c r="L745" s="6">
        <f>首页!$B$9*0.0000000567*((C745^4-D745^4)/(C745-D745))</f>
        <v>7.7687338005019564</v>
      </c>
      <c r="M745" s="6">
        <f>IF(首页!$B$13="自然对流",IF(首页!$B$14="立式圆筒",首页!$B$10,PI()*B745/2),PI()*B745/2)</f>
        <v>55.2</v>
      </c>
      <c r="N745" s="7">
        <f>IF(首页!$B$13="强制对流",首页!$B$11*M745/H745,0)</f>
        <v>0</v>
      </c>
      <c r="O745" s="6">
        <f>IF(首页!$B$13="自然对流",IF(首页!$B$14="立式圆筒",(0.825+0.3063*I745^(1/6))^2+0.87*(M745/B745),(0.752+0.303*I745^(1/6))^2),0.3+SQRT((0.592*N745^0.5)^2+(0.0262*N745^0.8/(1-0.5/N745^0.1))^2))</f>
        <v>10049.222502934899</v>
      </c>
      <c r="P745" s="6">
        <f t="shared" si="104"/>
        <v>2.9510194925512497E-2</v>
      </c>
      <c r="Q745" s="6">
        <f t="shared" si="105"/>
        <v>5.372364400569845</v>
      </c>
      <c r="R745" s="6">
        <f t="shared" si="106"/>
        <v>13.141098201071802</v>
      </c>
      <c r="S745" s="6">
        <f>B745*LN(B745/首页!$B$4)</f>
        <v>4.1444274647133232</v>
      </c>
      <c r="T745" s="6">
        <f>2*首页!$B$8*(E745-C745)/(R745*(C745-D745))</f>
        <v>7.1010647699195545E-2</v>
      </c>
      <c r="U745" t="str">
        <f>IF(首页!$B$13="自然对流","按自然对流公式", "按强制对流公式")</f>
        <v>按自然对流公式</v>
      </c>
      <c r="V745" s="6">
        <f t="shared" si="107"/>
        <v>4.0734168170141274</v>
      </c>
    </row>
    <row r="746" spans="1:22" x14ac:dyDescent="0.15">
      <c r="A746">
        <v>741</v>
      </c>
      <c r="B746" s="6">
        <f>首页!$B$4+2*A746/1000</f>
        <v>1.6019999999999999</v>
      </c>
      <c r="C746" s="6">
        <f>首页!$B$7+273.15</f>
        <v>388.15</v>
      </c>
      <c r="D746" s="6">
        <f>首页!$B$6+273.15</f>
        <v>293.14999999999998</v>
      </c>
      <c r="E746" s="6">
        <f>首页!$B$5+273.15</f>
        <v>1373.15</v>
      </c>
      <c r="F746" s="6">
        <f t="shared" si="99"/>
        <v>95</v>
      </c>
      <c r="G746" s="6">
        <f t="shared" si="100"/>
        <v>340.65</v>
      </c>
      <c r="H746" s="6">
        <f t="shared" si="101"/>
        <v>1.9926207055139041E-5</v>
      </c>
      <c r="I746" s="7">
        <f t="shared" si="102"/>
        <v>1158916576932337.8</v>
      </c>
      <c r="J746" s="6">
        <f t="shared" si="103"/>
        <v>1.0226038455893147</v>
      </c>
      <c r="K746" s="7">
        <f>J746*H746*首页!$B$12/P746</f>
        <v>0.69532757496605813</v>
      </c>
      <c r="L746" s="6">
        <f>首页!$B$9*0.0000000567*((C746^4-D746^4)/(C746-D746))</f>
        <v>7.7687338005019564</v>
      </c>
      <c r="M746" s="6">
        <f>IF(首页!$B$13="自然对流",IF(首页!$B$14="立式圆筒",首页!$B$10,PI()*B746/2),PI()*B746/2)</f>
        <v>55.2</v>
      </c>
      <c r="N746" s="7">
        <f>IF(首页!$B$13="强制对流",首页!$B$11*M746/H746,0)</f>
        <v>0</v>
      </c>
      <c r="O746" s="6">
        <f>IF(首页!$B$13="自然对流",IF(首页!$B$14="立式圆筒",(0.825+0.3063*I746^(1/6))^2+0.87*(M746/B746),(0.752+0.303*I746^(1/6))^2),0.3+SQRT((0.592*N746^0.5)^2+(0.0262*N746^0.8/(1-0.5/N746^0.1))^2))</f>
        <v>10049.185031024788</v>
      </c>
      <c r="P746" s="6">
        <f t="shared" si="104"/>
        <v>2.9510194925512497E-2</v>
      </c>
      <c r="Q746" s="6">
        <f t="shared" si="105"/>
        <v>5.3723443679000686</v>
      </c>
      <c r="R746" s="6">
        <f t="shared" si="106"/>
        <v>13.141078168402025</v>
      </c>
      <c r="S746" s="6">
        <f>B746*LN(B746/首页!$B$4)</f>
        <v>4.1516092485237053</v>
      </c>
      <c r="T746" s="6">
        <f>2*首页!$B$8*(E746-C746)/(R746*(C746-D746))</f>
        <v>7.1010755950043594E-2</v>
      </c>
      <c r="U746" t="str">
        <f>IF(首页!$B$13="自然对流","按自然对流公式", "按强制对流公式")</f>
        <v>按自然对流公式</v>
      </c>
      <c r="V746" s="6">
        <f t="shared" si="107"/>
        <v>4.080598492573662</v>
      </c>
    </row>
    <row r="747" spans="1:22" x14ac:dyDescent="0.15">
      <c r="A747">
        <v>742</v>
      </c>
      <c r="B747" s="6">
        <f>首页!$B$4+2*A747/1000</f>
        <v>1.6040000000000001</v>
      </c>
      <c r="C747" s="6">
        <f>首页!$B$7+273.15</f>
        <v>388.15</v>
      </c>
      <c r="D747" s="6">
        <f>首页!$B$6+273.15</f>
        <v>293.14999999999998</v>
      </c>
      <c r="E747" s="6">
        <f>首页!$B$5+273.15</f>
        <v>1373.15</v>
      </c>
      <c r="F747" s="6">
        <f t="shared" si="99"/>
        <v>95</v>
      </c>
      <c r="G747" s="6">
        <f t="shared" si="100"/>
        <v>340.65</v>
      </c>
      <c r="H747" s="6">
        <f t="shared" si="101"/>
        <v>1.9926207055139041E-5</v>
      </c>
      <c r="I747" s="7">
        <f t="shared" si="102"/>
        <v>1158916576932337.8</v>
      </c>
      <c r="J747" s="6">
        <f t="shared" si="103"/>
        <v>1.0226038455893147</v>
      </c>
      <c r="K747" s="7">
        <f>J747*H747*首页!$B$12/P747</f>
        <v>0.69532757496605813</v>
      </c>
      <c r="L747" s="6">
        <f>首页!$B$9*0.0000000567*((C747^4-D747^4)/(C747-D747))</f>
        <v>7.7687338005019564</v>
      </c>
      <c r="M747" s="6">
        <f>IF(首页!$B$13="自然对流",IF(首页!$B$14="立式圆筒",首页!$B$10,PI()*B747/2),PI()*B747/2)</f>
        <v>55.2</v>
      </c>
      <c r="N747" s="7">
        <f>IF(首页!$B$13="强制对流",首页!$B$11*M747/H747,0)</f>
        <v>0</v>
      </c>
      <c r="O747" s="6">
        <f>IF(首页!$B$13="自然对流",IF(首页!$B$14="立式圆筒",(0.825+0.3063*I747^(1/6))^2+0.87*(M747/B747),(0.752+0.303*I747^(1/6))^2),0.3+SQRT((0.592*N747^0.5)^2+(0.0262*N747^0.8/(1-0.5/N747^0.1))^2))</f>
        <v>10049.147652560834</v>
      </c>
      <c r="P747" s="6">
        <f t="shared" si="104"/>
        <v>2.9510194925512497E-2</v>
      </c>
      <c r="Q747" s="6">
        <f t="shared" si="105"/>
        <v>5.3723243851870741</v>
      </c>
      <c r="R747" s="6">
        <f t="shared" si="106"/>
        <v>13.14105818568903</v>
      </c>
      <c r="S747" s="6">
        <f>B747*LN(B747/首页!$B$4)</f>
        <v>4.1587935292136402</v>
      </c>
      <c r="T747" s="6">
        <f>2*首页!$B$8*(E747-C747)/(R747*(C747-D747))</f>
        <v>7.1010863931268223E-2</v>
      </c>
      <c r="U747" t="str">
        <f>IF(首页!$B$13="自然对流","按自然对流公式", "按强制对流公式")</f>
        <v>按自然对流公式</v>
      </c>
      <c r="V747" s="6">
        <f t="shared" si="107"/>
        <v>4.0877826652823721</v>
      </c>
    </row>
    <row r="748" spans="1:22" x14ac:dyDescent="0.15">
      <c r="A748">
        <v>743</v>
      </c>
      <c r="B748" s="6">
        <f>首页!$B$4+2*A748/1000</f>
        <v>1.6059999999999999</v>
      </c>
      <c r="C748" s="6">
        <f>首页!$B$7+273.15</f>
        <v>388.15</v>
      </c>
      <c r="D748" s="6">
        <f>首页!$B$6+273.15</f>
        <v>293.14999999999998</v>
      </c>
      <c r="E748" s="6">
        <f>首页!$B$5+273.15</f>
        <v>1373.15</v>
      </c>
      <c r="F748" s="6">
        <f t="shared" si="99"/>
        <v>95</v>
      </c>
      <c r="G748" s="6">
        <f t="shared" si="100"/>
        <v>340.65</v>
      </c>
      <c r="H748" s="6">
        <f t="shared" si="101"/>
        <v>1.9926207055139041E-5</v>
      </c>
      <c r="I748" s="7">
        <f t="shared" si="102"/>
        <v>1158916576932337.8</v>
      </c>
      <c r="J748" s="6">
        <f t="shared" si="103"/>
        <v>1.0226038455893147</v>
      </c>
      <c r="K748" s="7">
        <f>J748*H748*首页!$B$12/P748</f>
        <v>0.69532757496605813</v>
      </c>
      <c r="L748" s="6">
        <f>首页!$B$9*0.0000000567*((C748^4-D748^4)/(C748-D748))</f>
        <v>7.7687338005019564</v>
      </c>
      <c r="M748" s="6">
        <f>IF(首页!$B$13="自然对流",IF(首页!$B$14="立式圆筒",首页!$B$10,PI()*B748/2),PI()*B748/2)</f>
        <v>55.2</v>
      </c>
      <c r="N748" s="7">
        <f>IF(首页!$B$13="强制对流",首页!$B$11*M748/H748,0)</f>
        <v>0</v>
      </c>
      <c r="O748" s="6">
        <f>IF(首页!$B$13="自然对流",IF(首页!$B$14="立式圆筒",(0.825+0.3063*I748^(1/6))^2+0.87*(M748/B748),(0.752+0.303*I748^(1/6))^2),0.3+SQRT((0.592*N748^0.5)^2+(0.0262*N748^0.8/(1-0.5/N748^0.1))^2))</f>
        <v>10049.110367193929</v>
      </c>
      <c r="P748" s="6">
        <f t="shared" si="104"/>
        <v>2.9510194925512497E-2</v>
      </c>
      <c r="Q748" s="6">
        <f t="shared" si="105"/>
        <v>5.3723044522442258</v>
      </c>
      <c r="R748" s="6">
        <f t="shared" si="106"/>
        <v>13.141038252746181</v>
      </c>
      <c r="S748" s="6">
        <f>B748*LN(B748/首页!$B$4)</f>
        <v>4.1659803036698051</v>
      </c>
      <c r="T748" s="6">
        <f>2*首页!$B$8*(E748-C748)/(R748*(C748-D748))</f>
        <v>7.1010971643875487E-2</v>
      </c>
      <c r="U748" t="str">
        <f>IF(首页!$B$13="自然对流","按自然对流公式", "按强制对流公式")</f>
        <v>按自然对流公式</v>
      </c>
      <c r="V748" s="6">
        <f t="shared" si="107"/>
        <v>4.0949693320259293</v>
      </c>
    </row>
    <row r="749" spans="1:22" x14ac:dyDescent="0.15">
      <c r="A749">
        <v>744</v>
      </c>
      <c r="B749" s="6">
        <f>首页!$B$4+2*A749/1000</f>
        <v>1.6080000000000001</v>
      </c>
      <c r="C749" s="6">
        <f>首页!$B$7+273.15</f>
        <v>388.15</v>
      </c>
      <c r="D749" s="6">
        <f>首页!$B$6+273.15</f>
        <v>293.14999999999998</v>
      </c>
      <c r="E749" s="6">
        <f>首页!$B$5+273.15</f>
        <v>1373.15</v>
      </c>
      <c r="F749" s="6">
        <f t="shared" si="99"/>
        <v>95</v>
      </c>
      <c r="G749" s="6">
        <f t="shared" si="100"/>
        <v>340.65</v>
      </c>
      <c r="H749" s="6">
        <f t="shared" si="101"/>
        <v>1.9926207055139041E-5</v>
      </c>
      <c r="I749" s="7">
        <f t="shared" si="102"/>
        <v>1158916576932337.8</v>
      </c>
      <c r="J749" s="6">
        <f t="shared" si="103"/>
        <v>1.0226038455893147</v>
      </c>
      <c r="K749" s="7">
        <f>J749*H749*首页!$B$12/P749</f>
        <v>0.69532757496605813</v>
      </c>
      <c r="L749" s="6">
        <f>首页!$B$9*0.0000000567*((C749^4-D749^4)/(C749-D749))</f>
        <v>7.7687338005019564</v>
      </c>
      <c r="M749" s="6">
        <f>IF(首页!$B$13="自然对流",IF(首页!$B$14="立式圆筒",首页!$B$10,PI()*B749/2),PI()*B749/2)</f>
        <v>55.2</v>
      </c>
      <c r="N749" s="7">
        <f>IF(首页!$B$13="强制对流",首页!$B$11*M749/H749,0)</f>
        <v>0</v>
      </c>
      <c r="O749" s="6">
        <f>IF(首页!$B$13="自然对流",IF(首页!$B$14="立式圆筒",(0.825+0.3063*I749^(1/6))^2+0.87*(M749/B749),(0.752+0.303*I749^(1/6))^2),0.3+SQRT((0.592*N749^0.5)^2+(0.0262*N749^0.8/(1-0.5/N749^0.1))^2))</f>
        <v>10049.073174576692</v>
      </c>
      <c r="P749" s="6">
        <f t="shared" si="104"/>
        <v>2.9510194925512497E-2</v>
      </c>
      <c r="Q749" s="6">
        <f t="shared" si="105"/>
        <v>5.3722845688858127</v>
      </c>
      <c r="R749" s="6">
        <f t="shared" si="106"/>
        <v>13.141018369387769</v>
      </c>
      <c r="S749" s="6">
        <f>B749*LN(B749/首页!$B$4)</f>
        <v>4.1731695687866406</v>
      </c>
      <c r="T749" s="6">
        <f>2*首页!$B$8*(E749-C749)/(R749*(C749-D749))</f>
        <v>7.1011079088866488E-2</v>
      </c>
      <c r="U749" t="str">
        <f>IF(首页!$B$13="自然对流","按自然对流公式", "按强制对流公式")</f>
        <v>按自然对流公式</v>
      </c>
      <c r="V749" s="6">
        <f t="shared" si="107"/>
        <v>4.1021584896977741</v>
      </c>
    </row>
    <row r="750" spans="1:22" x14ac:dyDescent="0.15">
      <c r="A750">
        <v>745</v>
      </c>
      <c r="B750" s="6">
        <f>首页!$B$4+2*A750/1000</f>
        <v>1.6099999999999999</v>
      </c>
      <c r="C750" s="6">
        <f>首页!$B$7+273.15</f>
        <v>388.15</v>
      </c>
      <c r="D750" s="6">
        <f>首页!$B$6+273.15</f>
        <v>293.14999999999998</v>
      </c>
      <c r="E750" s="6">
        <f>首页!$B$5+273.15</f>
        <v>1373.15</v>
      </c>
      <c r="F750" s="6">
        <f t="shared" si="99"/>
        <v>95</v>
      </c>
      <c r="G750" s="6">
        <f t="shared" si="100"/>
        <v>340.65</v>
      </c>
      <c r="H750" s="6">
        <f t="shared" si="101"/>
        <v>1.9926207055139041E-5</v>
      </c>
      <c r="I750" s="7">
        <f t="shared" si="102"/>
        <v>1158916576932337.8</v>
      </c>
      <c r="J750" s="6">
        <f t="shared" si="103"/>
        <v>1.0226038455893147</v>
      </c>
      <c r="K750" s="7">
        <f>J750*H750*首页!$B$12/P750</f>
        <v>0.69532757496605813</v>
      </c>
      <c r="L750" s="6">
        <f>首页!$B$9*0.0000000567*((C750^4-D750^4)/(C750-D750))</f>
        <v>7.7687338005019564</v>
      </c>
      <c r="M750" s="6">
        <f>IF(首页!$B$13="自然对流",IF(首页!$B$14="立式圆筒",首页!$B$10,PI()*B750/2),PI()*B750/2)</f>
        <v>55.2</v>
      </c>
      <c r="N750" s="7">
        <f>IF(首页!$B$13="强制对流",首页!$B$11*M750/H750,0)</f>
        <v>0</v>
      </c>
      <c r="O750" s="6">
        <f>IF(首页!$B$13="自然对流",IF(首页!$B$14="立式圆筒",(0.825+0.3063*I750^(1/6))^2+0.87*(M750/B750),(0.752+0.303*I750^(1/6))^2),0.3+SQRT((0.592*N750^0.5)^2+(0.0262*N750^0.8/(1-0.5/N750^0.1))^2))</f>
        <v>10049.036074363472</v>
      </c>
      <c r="P750" s="6">
        <f t="shared" si="104"/>
        <v>2.9510194925512497E-2</v>
      </c>
      <c r="Q750" s="6">
        <f t="shared" si="105"/>
        <v>5.3722647349270467</v>
      </c>
      <c r="R750" s="6">
        <f t="shared" si="106"/>
        <v>13.140998535429002</v>
      </c>
      <c r="S750" s="6">
        <f>B750*LN(B750/首页!$B$4)</f>
        <v>4.1803613214663047</v>
      </c>
      <c r="T750" s="6">
        <f>2*首页!$B$8*(E750-C750)/(R750*(C750-D750))</f>
        <v>7.1011186267237361E-2</v>
      </c>
      <c r="U750" t="str">
        <f>IF(首页!$B$13="自然对流","按自然对流公式", "按强制对流公式")</f>
        <v>按自然对流公式</v>
      </c>
      <c r="V750" s="6">
        <f t="shared" si="107"/>
        <v>4.1093501351990671</v>
      </c>
    </row>
    <row r="751" spans="1:22" x14ac:dyDescent="0.15">
      <c r="A751">
        <v>746</v>
      </c>
      <c r="B751" s="6">
        <f>首页!$B$4+2*A751/1000</f>
        <v>1.6120000000000001</v>
      </c>
      <c r="C751" s="6">
        <f>首页!$B$7+273.15</f>
        <v>388.15</v>
      </c>
      <c r="D751" s="6">
        <f>首页!$B$6+273.15</f>
        <v>293.14999999999998</v>
      </c>
      <c r="E751" s="6">
        <f>首页!$B$5+273.15</f>
        <v>1373.15</v>
      </c>
      <c r="F751" s="6">
        <f t="shared" si="99"/>
        <v>95</v>
      </c>
      <c r="G751" s="6">
        <f t="shared" si="100"/>
        <v>340.65</v>
      </c>
      <c r="H751" s="6">
        <f t="shared" si="101"/>
        <v>1.9926207055139041E-5</v>
      </c>
      <c r="I751" s="7">
        <f t="shared" si="102"/>
        <v>1158916576932337.8</v>
      </c>
      <c r="J751" s="6">
        <f t="shared" si="103"/>
        <v>1.0226038455893147</v>
      </c>
      <c r="K751" s="7">
        <f>J751*H751*首页!$B$12/P751</f>
        <v>0.69532757496605813</v>
      </c>
      <c r="L751" s="6">
        <f>首页!$B$9*0.0000000567*((C751^4-D751^4)/(C751-D751))</f>
        <v>7.7687338005019564</v>
      </c>
      <c r="M751" s="6">
        <f>IF(首页!$B$13="自然对流",IF(首页!$B$14="立式圆筒",首页!$B$10,PI()*B751/2),PI()*B751/2)</f>
        <v>55.2</v>
      </c>
      <c r="N751" s="7">
        <f>IF(首页!$B$13="强制对流",首页!$B$11*M751/H751,0)</f>
        <v>0</v>
      </c>
      <c r="O751" s="6">
        <f>IF(首页!$B$13="自然对流",IF(首页!$B$14="立式圆筒",(0.825+0.3063*I751^(1/6))^2+0.87*(M751/B751),(0.752+0.303*I751^(1/6))^2),0.3+SQRT((0.592*N751^0.5)^2+(0.0262*N751^0.8/(1-0.5/N751^0.1))^2))</f>
        <v>10048.999066210334</v>
      </c>
      <c r="P751" s="6">
        <f t="shared" si="104"/>
        <v>2.9510194925512497E-2</v>
      </c>
      <c r="Q751" s="6">
        <f t="shared" si="105"/>
        <v>5.3722449501840579</v>
      </c>
      <c r="R751" s="6">
        <f t="shared" si="106"/>
        <v>13.140978750686013</v>
      </c>
      <c r="S751" s="6">
        <f>B751*LN(B751/首页!$B$4)</f>
        <v>4.1875555586186586</v>
      </c>
      <c r="T751" s="6">
        <f>2*首页!$B$8*(E751-C751)/(R751*(C751-D751))</f>
        <v>7.1011293179979271E-2</v>
      </c>
      <c r="U751" t="str">
        <f>IF(首页!$B$13="自然对流","按自然对流公式", "按强制对流公式")</f>
        <v>按自然对流公式</v>
      </c>
      <c r="V751" s="6">
        <f t="shared" si="107"/>
        <v>4.1165442654386792</v>
      </c>
    </row>
    <row r="752" spans="1:22" x14ac:dyDescent="0.15">
      <c r="A752">
        <v>747</v>
      </c>
      <c r="B752" s="6">
        <f>首页!$B$4+2*A752/1000</f>
        <v>1.6139999999999999</v>
      </c>
      <c r="C752" s="6">
        <f>首页!$B$7+273.15</f>
        <v>388.15</v>
      </c>
      <c r="D752" s="6">
        <f>首页!$B$6+273.15</f>
        <v>293.14999999999998</v>
      </c>
      <c r="E752" s="6">
        <f>首页!$B$5+273.15</f>
        <v>1373.15</v>
      </c>
      <c r="F752" s="6">
        <f t="shared" si="99"/>
        <v>95</v>
      </c>
      <c r="G752" s="6">
        <f t="shared" si="100"/>
        <v>340.65</v>
      </c>
      <c r="H752" s="6">
        <f t="shared" si="101"/>
        <v>1.9926207055139041E-5</v>
      </c>
      <c r="I752" s="7">
        <f t="shared" si="102"/>
        <v>1158916576932337.8</v>
      </c>
      <c r="J752" s="6">
        <f t="shared" si="103"/>
        <v>1.0226038455893147</v>
      </c>
      <c r="K752" s="7">
        <f>J752*H752*首页!$B$12/P752</f>
        <v>0.69532757496605813</v>
      </c>
      <c r="L752" s="6">
        <f>首页!$B$9*0.0000000567*((C752^4-D752^4)/(C752-D752))</f>
        <v>7.7687338005019564</v>
      </c>
      <c r="M752" s="6">
        <f>IF(首页!$B$13="自然对流",IF(首页!$B$14="立式圆筒",首页!$B$10,PI()*B752/2),PI()*B752/2)</f>
        <v>55.2</v>
      </c>
      <c r="N752" s="7">
        <f>IF(首页!$B$13="强制对流",首页!$B$11*M752/H752,0)</f>
        <v>0</v>
      </c>
      <c r="O752" s="6">
        <f>IF(首页!$B$13="自然对流",IF(首页!$B$14="立式圆筒",(0.825+0.3063*I752^(1/6))^2+0.87*(M752/B752),(0.752+0.303*I752^(1/6))^2),0.3+SQRT((0.592*N752^0.5)^2+(0.0262*N752^0.8/(1-0.5/N752^0.1))^2))</f>
        <v>10048.962149775049</v>
      </c>
      <c r="P752" s="6">
        <f t="shared" si="104"/>
        <v>2.9510194925512497E-2</v>
      </c>
      <c r="Q752" s="6">
        <f t="shared" si="105"/>
        <v>5.3722252144738905</v>
      </c>
      <c r="R752" s="6">
        <f t="shared" si="106"/>
        <v>13.140959014975847</v>
      </c>
      <c r="S752" s="6">
        <f>B752*LN(B752/首页!$B$4)</f>
        <v>4.1947522771612267</v>
      </c>
      <c r="T752" s="6">
        <f>2*首页!$B$8*(E752-C752)/(R752*(C752-D752))</f>
        <v>7.1011399828078484E-2</v>
      </c>
      <c r="U752" t="str">
        <f>IF(首页!$B$13="自然对流","按自然对流公式", "按强制对流公式")</f>
        <v>按自然对流公式</v>
      </c>
      <c r="V752" s="6">
        <f t="shared" si="107"/>
        <v>4.1237408773331481</v>
      </c>
    </row>
    <row r="753" spans="1:22" x14ac:dyDescent="0.15">
      <c r="A753">
        <v>748</v>
      </c>
      <c r="B753" s="6">
        <f>首页!$B$4+2*A753/1000</f>
        <v>1.6160000000000001</v>
      </c>
      <c r="C753" s="6">
        <f>首页!$B$7+273.15</f>
        <v>388.15</v>
      </c>
      <c r="D753" s="6">
        <f>首页!$B$6+273.15</f>
        <v>293.14999999999998</v>
      </c>
      <c r="E753" s="6">
        <f>首页!$B$5+273.15</f>
        <v>1373.15</v>
      </c>
      <c r="F753" s="6">
        <f t="shared" si="99"/>
        <v>95</v>
      </c>
      <c r="G753" s="6">
        <f t="shared" si="100"/>
        <v>340.65</v>
      </c>
      <c r="H753" s="6">
        <f t="shared" si="101"/>
        <v>1.9926207055139041E-5</v>
      </c>
      <c r="I753" s="7">
        <f t="shared" si="102"/>
        <v>1158916576932337.8</v>
      </c>
      <c r="J753" s="6">
        <f t="shared" si="103"/>
        <v>1.0226038455893147</v>
      </c>
      <c r="K753" s="7">
        <f>J753*H753*首页!$B$12/P753</f>
        <v>0.69532757496605813</v>
      </c>
      <c r="L753" s="6">
        <f>首页!$B$9*0.0000000567*((C753^4-D753^4)/(C753-D753))</f>
        <v>7.7687338005019564</v>
      </c>
      <c r="M753" s="6">
        <f>IF(首页!$B$13="自然对流",IF(首页!$B$14="立式圆筒",首页!$B$10,PI()*B753/2),PI()*B753/2)</f>
        <v>55.2</v>
      </c>
      <c r="N753" s="7">
        <f>IF(首页!$B$13="强制对流",首页!$B$11*M753/H753,0)</f>
        <v>0</v>
      </c>
      <c r="O753" s="6">
        <f>IF(首页!$B$13="自然对流",IF(首页!$B$14="立式圆筒",(0.825+0.3063*I753^(1/6))^2+0.87*(M753/B753),(0.752+0.303*I753^(1/6))^2),0.3+SQRT((0.592*N753^0.5)^2+(0.0262*N753^0.8/(1-0.5/N753^0.1))^2))</f>
        <v>10048.925324717078</v>
      </c>
      <c r="P753" s="6">
        <f t="shared" si="104"/>
        <v>2.9510194925512497E-2</v>
      </c>
      <c r="Q753" s="6">
        <f t="shared" si="105"/>
        <v>5.3722055276144909</v>
      </c>
      <c r="R753" s="6">
        <f t="shared" si="106"/>
        <v>13.140939328116447</v>
      </c>
      <c r="S753" s="6">
        <f>B753*LN(B753/首页!$B$4)</f>
        <v>4.2019514740191761</v>
      </c>
      <c r="T753" s="6">
        <f>2*首页!$B$8*(E753-C753)/(R753*(C753-D753))</f>
        <v>7.1011506212516395E-2</v>
      </c>
      <c r="U753" t="str">
        <f>IF(首页!$B$13="自然对流","按自然对流公式", "按强制对流公式")</f>
        <v>按自然对流公式</v>
      </c>
      <c r="V753" s="6">
        <f t="shared" si="107"/>
        <v>4.1309399678066594</v>
      </c>
    </row>
    <row r="754" spans="1:22" x14ac:dyDescent="0.15">
      <c r="A754">
        <v>749</v>
      </c>
      <c r="B754" s="6">
        <f>首页!$B$4+2*A754/1000</f>
        <v>1.6179999999999999</v>
      </c>
      <c r="C754" s="6">
        <f>首页!$B$7+273.15</f>
        <v>388.15</v>
      </c>
      <c r="D754" s="6">
        <f>首页!$B$6+273.15</f>
        <v>293.14999999999998</v>
      </c>
      <c r="E754" s="6">
        <f>首页!$B$5+273.15</f>
        <v>1373.15</v>
      </c>
      <c r="F754" s="6">
        <f t="shared" si="99"/>
        <v>95</v>
      </c>
      <c r="G754" s="6">
        <f t="shared" si="100"/>
        <v>340.65</v>
      </c>
      <c r="H754" s="6">
        <f t="shared" si="101"/>
        <v>1.9926207055139041E-5</v>
      </c>
      <c r="I754" s="7">
        <f t="shared" si="102"/>
        <v>1158916576932337.8</v>
      </c>
      <c r="J754" s="6">
        <f t="shared" si="103"/>
        <v>1.0226038455893147</v>
      </c>
      <c r="K754" s="7">
        <f>J754*H754*首页!$B$12/P754</f>
        <v>0.69532757496605813</v>
      </c>
      <c r="L754" s="6">
        <f>首页!$B$9*0.0000000567*((C754^4-D754^4)/(C754-D754))</f>
        <v>7.7687338005019564</v>
      </c>
      <c r="M754" s="6">
        <f>IF(首页!$B$13="自然对流",IF(首页!$B$14="立式圆筒",首页!$B$10,PI()*B754/2),PI()*B754/2)</f>
        <v>55.2</v>
      </c>
      <c r="N754" s="7">
        <f>IF(首页!$B$13="强制对流",首页!$B$11*M754/H754,0)</f>
        <v>0</v>
      </c>
      <c r="O754" s="6">
        <f>IF(首页!$B$13="自然对流",IF(首页!$B$14="立式圆筒",(0.825+0.3063*I754^(1/6))^2+0.87*(M754/B754),(0.752+0.303*I754^(1/6))^2),0.3+SQRT((0.592*N754^0.5)^2+(0.0262*N754^0.8/(1-0.5/N754^0.1))^2))</f>
        <v>10048.88859069757</v>
      </c>
      <c r="P754" s="6">
        <f t="shared" si="104"/>
        <v>2.9510194925512497E-2</v>
      </c>
      <c r="Q754" s="6">
        <f t="shared" si="105"/>
        <v>5.3721858894247081</v>
      </c>
      <c r="R754" s="6">
        <f t="shared" si="106"/>
        <v>13.140919689926665</v>
      </c>
      <c r="S754" s="6">
        <f>B754*LN(B754/首页!$B$4)</f>
        <v>4.2091531461252805</v>
      </c>
      <c r="T754" s="6">
        <f>2*首页!$B$8*(E754-C754)/(R754*(C754-D754))</f>
        <v>7.1011612334269558E-2</v>
      </c>
      <c r="U754" t="str">
        <f>IF(首页!$B$13="自然对流","按自然对流公式", "按强制对流公式")</f>
        <v>按自然对流公式</v>
      </c>
      <c r="V754" s="6">
        <f t="shared" si="107"/>
        <v>4.1381415337910106</v>
      </c>
    </row>
    <row r="755" spans="1:22" x14ac:dyDescent="0.15">
      <c r="A755">
        <v>750</v>
      </c>
      <c r="B755" s="6">
        <f>首页!$B$4+2*A755/1000</f>
        <v>1.62</v>
      </c>
      <c r="C755" s="6">
        <f>首页!$B$7+273.15</f>
        <v>388.15</v>
      </c>
      <c r="D755" s="6">
        <f>首页!$B$6+273.15</f>
        <v>293.14999999999998</v>
      </c>
      <c r="E755" s="6">
        <f>首页!$B$5+273.15</f>
        <v>1373.15</v>
      </c>
      <c r="F755" s="6">
        <f t="shared" si="99"/>
        <v>95</v>
      </c>
      <c r="G755" s="6">
        <f t="shared" si="100"/>
        <v>340.65</v>
      </c>
      <c r="H755" s="6">
        <f t="shared" si="101"/>
        <v>1.9926207055139041E-5</v>
      </c>
      <c r="I755" s="7">
        <f t="shared" si="102"/>
        <v>1158916576932337.8</v>
      </c>
      <c r="J755" s="6">
        <f t="shared" si="103"/>
        <v>1.0226038455893147</v>
      </c>
      <c r="K755" s="7">
        <f>J755*H755*首页!$B$12/P755</f>
        <v>0.69532757496605813</v>
      </c>
      <c r="L755" s="6">
        <f>首页!$B$9*0.0000000567*((C755^4-D755^4)/(C755-D755))</f>
        <v>7.7687338005019564</v>
      </c>
      <c r="M755" s="6">
        <f>IF(首页!$B$13="自然对流",IF(首页!$B$14="立式圆筒",首页!$B$10,PI()*B755/2),PI()*B755/2)</f>
        <v>55.2</v>
      </c>
      <c r="N755" s="7">
        <f>IF(首页!$B$13="强制对流",首页!$B$11*M755/H755,0)</f>
        <v>0</v>
      </c>
      <c r="O755" s="6">
        <f>IF(首页!$B$13="自然对流",IF(首页!$B$14="立式圆筒",(0.825+0.3063*I755^(1/6))^2+0.87*(M755/B755),(0.752+0.303*I755^(1/6))^2),0.3+SQRT((0.592*N755^0.5)^2+(0.0262*N755^0.8/(1-0.5/N755^0.1))^2))</f>
        <v>10048.851947379344</v>
      </c>
      <c r="P755" s="6">
        <f t="shared" si="104"/>
        <v>2.9510194925512497E-2</v>
      </c>
      <c r="Q755" s="6">
        <f t="shared" si="105"/>
        <v>5.3721662997242801</v>
      </c>
      <c r="R755" s="6">
        <f t="shared" si="106"/>
        <v>13.140900100226236</v>
      </c>
      <c r="S755" s="6">
        <f>B755*LN(B755/首页!$B$4)</f>
        <v>4.2163572904199018</v>
      </c>
      <c r="T755" s="6">
        <f>2*首页!$B$8*(E755-C755)/(R755*(C755-D755))</f>
        <v>7.101171819430975E-2</v>
      </c>
      <c r="U755" t="str">
        <f>IF(首页!$B$13="自然对流","按自然对流公式", "按强制对流公式")</f>
        <v>按自然对流公式</v>
      </c>
      <c r="V755" s="6">
        <f t="shared" si="107"/>
        <v>4.1453455722255921</v>
      </c>
    </row>
    <row r="756" spans="1:22" x14ac:dyDescent="0.15">
      <c r="A756">
        <v>751</v>
      </c>
      <c r="B756" s="6">
        <f>首页!$B$4+2*A756/1000</f>
        <v>1.6219999999999999</v>
      </c>
      <c r="C756" s="6">
        <f>首页!$B$7+273.15</f>
        <v>388.15</v>
      </c>
      <c r="D756" s="6">
        <f>首页!$B$6+273.15</f>
        <v>293.14999999999998</v>
      </c>
      <c r="E756" s="6">
        <f>首页!$B$5+273.15</f>
        <v>1373.15</v>
      </c>
      <c r="F756" s="6">
        <f t="shared" si="99"/>
        <v>95</v>
      </c>
      <c r="G756" s="6">
        <f t="shared" si="100"/>
        <v>340.65</v>
      </c>
      <c r="H756" s="6">
        <f t="shared" si="101"/>
        <v>1.9926207055139041E-5</v>
      </c>
      <c r="I756" s="7">
        <f t="shared" si="102"/>
        <v>1158916576932337.8</v>
      </c>
      <c r="J756" s="6">
        <f t="shared" si="103"/>
        <v>1.0226038455893147</v>
      </c>
      <c r="K756" s="7">
        <f>J756*H756*首页!$B$12/P756</f>
        <v>0.69532757496605813</v>
      </c>
      <c r="L756" s="6">
        <f>首页!$B$9*0.0000000567*((C756^4-D756^4)/(C756-D756))</f>
        <v>7.7687338005019564</v>
      </c>
      <c r="M756" s="6">
        <f>IF(首页!$B$13="自然对流",IF(首页!$B$14="立式圆筒",首页!$B$10,PI()*B756/2),PI()*B756/2)</f>
        <v>55.2</v>
      </c>
      <c r="N756" s="7">
        <f>IF(首页!$B$13="强制对流",首页!$B$11*M756/H756,0)</f>
        <v>0</v>
      </c>
      <c r="O756" s="6">
        <f>IF(首页!$B$13="自然对流",IF(首页!$B$14="立式圆筒",(0.825+0.3063*I756^(1/6))^2+0.87*(M756/B756),(0.752+0.303*I756^(1/6))^2),0.3+SQRT((0.592*N756^0.5)^2+(0.0262*N756^0.8/(1-0.5/N756^0.1))^2))</f>
        <v>10048.815394426885</v>
      </c>
      <c r="P756" s="6">
        <f t="shared" si="104"/>
        <v>2.9510194925512497E-2</v>
      </c>
      <c r="Q756" s="6">
        <f t="shared" si="105"/>
        <v>5.3721467583338427</v>
      </c>
      <c r="R756" s="6">
        <f t="shared" si="106"/>
        <v>13.1408805588358</v>
      </c>
      <c r="S756" s="6">
        <f>B756*LN(B756/首页!$B$4)</f>
        <v>4.2235639038509518</v>
      </c>
      <c r="T756" s="6">
        <f>2*首页!$B$8*(E756-C756)/(R756*(C756-D756))</f>
        <v>7.1011823793603837E-2</v>
      </c>
      <c r="U756" t="str">
        <f>IF(首页!$B$13="自然对流","按自然对流公式", "按强制对流公式")</f>
        <v>按自然对流公式</v>
      </c>
      <c r="V756" s="6">
        <f t="shared" si="107"/>
        <v>4.1525520800573483</v>
      </c>
    </row>
    <row r="757" spans="1:22" x14ac:dyDescent="0.15">
      <c r="A757">
        <v>752</v>
      </c>
      <c r="B757" s="6">
        <f>首页!$B$4+2*A757/1000</f>
        <v>1.6240000000000001</v>
      </c>
      <c r="C757" s="6">
        <f>首页!$B$7+273.15</f>
        <v>388.15</v>
      </c>
      <c r="D757" s="6">
        <f>首页!$B$6+273.15</f>
        <v>293.14999999999998</v>
      </c>
      <c r="E757" s="6">
        <f>首页!$B$5+273.15</f>
        <v>1373.15</v>
      </c>
      <c r="F757" s="6">
        <f t="shared" si="99"/>
        <v>95</v>
      </c>
      <c r="G757" s="6">
        <f t="shared" si="100"/>
        <v>340.65</v>
      </c>
      <c r="H757" s="6">
        <f t="shared" si="101"/>
        <v>1.9926207055139041E-5</v>
      </c>
      <c r="I757" s="7">
        <f t="shared" si="102"/>
        <v>1158916576932337.8</v>
      </c>
      <c r="J757" s="6">
        <f t="shared" si="103"/>
        <v>1.0226038455893147</v>
      </c>
      <c r="K757" s="7">
        <f>J757*H757*首页!$B$12/P757</f>
        <v>0.69532757496605813</v>
      </c>
      <c r="L757" s="6">
        <f>首页!$B$9*0.0000000567*((C757^4-D757^4)/(C757-D757))</f>
        <v>7.7687338005019564</v>
      </c>
      <c r="M757" s="6">
        <f>IF(首页!$B$13="自然对流",IF(首页!$B$14="立式圆筒",首页!$B$10,PI()*B757/2),PI()*B757/2)</f>
        <v>55.2</v>
      </c>
      <c r="N757" s="7">
        <f>IF(首页!$B$13="强制对流",首页!$B$11*M757/H757,0)</f>
        <v>0</v>
      </c>
      <c r="O757" s="6">
        <f>IF(首页!$B$13="自然对流",IF(首页!$B$14="立式圆筒",(0.825+0.3063*I757^(1/6))^2+0.87*(M757/B757),(0.752+0.303*I757^(1/6))^2),0.3+SQRT((0.592*N757^0.5)^2+(0.0262*N757^0.8/(1-0.5/N757^0.1))^2))</f>
        <v>10048.778931506329</v>
      </c>
      <c r="P757" s="6">
        <f t="shared" si="104"/>
        <v>2.9510194925512497E-2</v>
      </c>
      <c r="Q757" s="6">
        <f t="shared" si="105"/>
        <v>5.3721272650749086</v>
      </c>
      <c r="R757" s="6">
        <f t="shared" si="106"/>
        <v>13.140861065576864</v>
      </c>
      <c r="S757" s="6">
        <f>B757*LN(B757/首页!$B$4)</f>
        <v>4.2307729833738739</v>
      </c>
      <c r="T757" s="6">
        <f>2*首页!$B$8*(E757-C757)/(R757*(C757-D757))</f>
        <v>7.1011929133114077E-2</v>
      </c>
      <c r="U757" t="str">
        <f>IF(首页!$B$13="自然对流","按自然对流公式", "按强制对流公式")</f>
        <v>按自然对流公式</v>
      </c>
      <c r="V757" s="6">
        <f t="shared" si="107"/>
        <v>4.1597610542407599</v>
      </c>
    </row>
    <row r="758" spans="1:22" x14ac:dyDescent="0.15">
      <c r="A758">
        <v>753</v>
      </c>
      <c r="B758" s="6">
        <f>首页!$B$4+2*A758/1000</f>
        <v>1.6259999999999999</v>
      </c>
      <c r="C758" s="6">
        <f>首页!$B$7+273.15</f>
        <v>388.15</v>
      </c>
      <c r="D758" s="6">
        <f>首页!$B$6+273.15</f>
        <v>293.14999999999998</v>
      </c>
      <c r="E758" s="6">
        <f>首页!$B$5+273.15</f>
        <v>1373.15</v>
      </c>
      <c r="F758" s="6">
        <f t="shared" si="99"/>
        <v>95</v>
      </c>
      <c r="G758" s="6">
        <f t="shared" si="100"/>
        <v>340.65</v>
      </c>
      <c r="H758" s="6">
        <f t="shared" si="101"/>
        <v>1.9926207055139041E-5</v>
      </c>
      <c r="I758" s="7">
        <f t="shared" si="102"/>
        <v>1158916576932337.8</v>
      </c>
      <c r="J758" s="6">
        <f t="shared" si="103"/>
        <v>1.0226038455893147</v>
      </c>
      <c r="K758" s="7">
        <f>J758*H758*首页!$B$12/P758</f>
        <v>0.69532757496605813</v>
      </c>
      <c r="L758" s="6">
        <f>首页!$B$9*0.0000000567*((C758^4-D758^4)/(C758-D758))</f>
        <v>7.7687338005019564</v>
      </c>
      <c r="M758" s="6">
        <f>IF(首页!$B$13="自然对流",IF(首页!$B$14="立式圆筒",首页!$B$10,PI()*B758/2),PI()*B758/2)</f>
        <v>55.2</v>
      </c>
      <c r="N758" s="7">
        <f>IF(首页!$B$13="强制对流",首页!$B$11*M758/H758,0)</f>
        <v>0</v>
      </c>
      <c r="O758" s="6">
        <f>IF(首页!$B$13="自然对流",IF(首页!$B$14="立式圆筒",(0.825+0.3063*I758^(1/6))^2+0.87*(M758/B758),(0.752+0.303*I758^(1/6))^2),0.3+SQRT((0.592*N758^0.5)^2+(0.0262*N758^0.8/(1-0.5/N758^0.1))^2))</f>
        <v>10048.742558285454</v>
      </c>
      <c r="P758" s="6">
        <f t="shared" si="104"/>
        <v>2.9510194925512497E-2</v>
      </c>
      <c r="Q758" s="6">
        <f t="shared" si="105"/>
        <v>5.3721078197698704</v>
      </c>
      <c r="R758" s="6">
        <f t="shared" si="106"/>
        <v>13.140841620271827</v>
      </c>
      <c r="S758" s="6">
        <f>B758*LN(B758/首页!$B$4)</f>
        <v>4.237984525951604</v>
      </c>
      <c r="T758" s="6">
        <f>2*首页!$B$8*(E758-C758)/(R758*(C758-D758))</f>
        <v>7.101203421379787E-2</v>
      </c>
      <c r="U758" t="str">
        <f>IF(首页!$B$13="自然对流","按自然对流公式", "按强制对流公式")</f>
        <v>按自然对流公式</v>
      </c>
      <c r="V758" s="6">
        <f t="shared" si="107"/>
        <v>4.1669724917378064</v>
      </c>
    </row>
    <row r="759" spans="1:22" x14ac:dyDescent="0.15">
      <c r="A759">
        <v>754</v>
      </c>
      <c r="B759" s="6">
        <f>首页!$B$4+2*A759/1000</f>
        <v>1.6280000000000001</v>
      </c>
      <c r="C759" s="6">
        <f>首页!$B$7+273.15</f>
        <v>388.15</v>
      </c>
      <c r="D759" s="6">
        <f>首页!$B$6+273.15</f>
        <v>293.14999999999998</v>
      </c>
      <c r="E759" s="6">
        <f>首页!$B$5+273.15</f>
        <v>1373.15</v>
      </c>
      <c r="F759" s="6">
        <f t="shared" si="99"/>
        <v>95</v>
      </c>
      <c r="G759" s="6">
        <f t="shared" si="100"/>
        <v>340.65</v>
      </c>
      <c r="H759" s="6">
        <f t="shared" si="101"/>
        <v>1.9926207055139041E-5</v>
      </c>
      <c r="I759" s="7">
        <f t="shared" si="102"/>
        <v>1158916576932337.8</v>
      </c>
      <c r="J759" s="6">
        <f t="shared" si="103"/>
        <v>1.0226038455893147</v>
      </c>
      <c r="K759" s="7">
        <f>J759*H759*首页!$B$12/P759</f>
        <v>0.69532757496605813</v>
      </c>
      <c r="L759" s="6">
        <f>首页!$B$9*0.0000000567*((C759^4-D759^4)/(C759-D759))</f>
        <v>7.7687338005019564</v>
      </c>
      <c r="M759" s="6">
        <f>IF(首页!$B$13="自然对流",IF(首页!$B$14="立式圆筒",首页!$B$10,PI()*B759/2),PI()*B759/2)</f>
        <v>55.2</v>
      </c>
      <c r="N759" s="7">
        <f>IF(首页!$B$13="强制对流",首页!$B$11*M759/H759,0)</f>
        <v>0</v>
      </c>
      <c r="O759" s="6">
        <f>IF(首页!$B$13="自然对流",IF(首页!$B$14="立式圆筒",(0.825+0.3063*I759^(1/6))^2+0.87*(M759/B759),(0.752+0.303*I759^(1/6))^2),0.3+SQRT((0.592*N759^0.5)^2+(0.0262*N759^0.8/(1-0.5/N759^0.1))^2))</f>
        <v>10048.706274433671</v>
      </c>
      <c r="P759" s="6">
        <f t="shared" si="104"/>
        <v>2.9510194925512497E-2</v>
      </c>
      <c r="Q759" s="6">
        <f t="shared" si="105"/>
        <v>5.372088422241994</v>
      </c>
      <c r="R759" s="6">
        <f t="shared" si="106"/>
        <v>13.14082222274395</v>
      </c>
      <c r="S759" s="6">
        <f>B759*LN(B759/首页!$B$4)</f>
        <v>4.2451985285545559</v>
      </c>
      <c r="T759" s="6">
        <f>2*首页!$B$8*(E759-C759)/(R759*(C759-D759))</f>
        <v>7.1012139036608052E-2</v>
      </c>
      <c r="U759" t="str">
        <f>IF(首页!$B$13="自然对流","按自然对流公式", "按强制对流公式")</f>
        <v>按自然对流公式</v>
      </c>
      <c r="V759" s="6">
        <f t="shared" si="107"/>
        <v>4.1741863895179483</v>
      </c>
    </row>
    <row r="760" spans="1:22" x14ac:dyDescent="0.15">
      <c r="A760">
        <v>755</v>
      </c>
      <c r="B760" s="6">
        <f>首页!$B$4+2*A760/1000</f>
        <v>1.63</v>
      </c>
      <c r="C760" s="6">
        <f>首页!$B$7+273.15</f>
        <v>388.15</v>
      </c>
      <c r="D760" s="6">
        <f>首页!$B$6+273.15</f>
        <v>293.14999999999998</v>
      </c>
      <c r="E760" s="6">
        <f>首页!$B$5+273.15</f>
        <v>1373.15</v>
      </c>
      <c r="F760" s="6">
        <f t="shared" si="99"/>
        <v>95</v>
      </c>
      <c r="G760" s="6">
        <f t="shared" si="100"/>
        <v>340.65</v>
      </c>
      <c r="H760" s="6">
        <f t="shared" si="101"/>
        <v>1.9926207055139041E-5</v>
      </c>
      <c r="I760" s="7">
        <f t="shared" si="102"/>
        <v>1158916576932337.8</v>
      </c>
      <c r="J760" s="6">
        <f t="shared" si="103"/>
        <v>1.0226038455893147</v>
      </c>
      <c r="K760" s="7">
        <f>J760*H760*首页!$B$12/P760</f>
        <v>0.69532757496605813</v>
      </c>
      <c r="L760" s="6">
        <f>首页!$B$9*0.0000000567*((C760^4-D760^4)/(C760-D760))</f>
        <v>7.7687338005019564</v>
      </c>
      <c r="M760" s="6">
        <f>IF(首页!$B$13="自然对流",IF(首页!$B$14="立式圆筒",首页!$B$10,PI()*B760/2),PI()*B760/2)</f>
        <v>55.2</v>
      </c>
      <c r="N760" s="7">
        <f>IF(首页!$B$13="强制对流",首页!$B$11*M760/H760,0)</f>
        <v>0</v>
      </c>
      <c r="O760" s="6">
        <f>IF(首页!$B$13="自然对流",IF(首页!$B$14="立式圆筒",(0.825+0.3063*I760^(1/6))^2+0.87*(M760/B760),(0.752+0.303*I760^(1/6))^2),0.3+SQRT((0.592*N760^0.5)^2+(0.0262*N760^0.8/(1-0.5/N760^0.1))^2))</f>
        <v>10048.670079622016</v>
      </c>
      <c r="P760" s="6">
        <f t="shared" si="104"/>
        <v>2.9510194925512497E-2</v>
      </c>
      <c r="Q760" s="6">
        <f t="shared" si="105"/>
        <v>5.3720690723154139</v>
      </c>
      <c r="R760" s="6">
        <f t="shared" si="106"/>
        <v>13.140802872817371</v>
      </c>
      <c r="S760" s="6">
        <f>B760*LN(B760/首页!$B$4)</f>
        <v>4.2524149881605817</v>
      </c>
      <c r="T760" s="6">
        <f>2*首页!$B$8*(E760-C760)/(R760*(C760-D760))</f>
        <v>7.1012243602492628E-2</v>
      </c>
      <c r="U760" t="str">
        <f>IF(首页!$B$13="自然对流","按自然对流公式", "按强制对流公式")</f>
        <v>按自然对流公式</v>
      </c>
      <c r="V760" s="6">
        <f t="shared" si="107"/>
        <v>4.1814027445580892</v>
      </c>
    </row>
    <row r="761" spans="1:22" x14ac:dyDescent="0.15">
      <c r="A761">
        <v>756</v>
      </c>
      <c r="B761" s="6">
        <f>首页!$B$4+2*A761/1000</f>
        <v>1.6320000000000001</v>
      </c>
      <c r="C761" s="6">
        <f>首页!$B$7+273.15</f>
        <v>388.15</v>
      </c>
      <c r="D761" s="6">
        <f>首页!$B$6+273.15</f>
        <v>293.14999999999998</v>
      </c>
      <c r="E761" s="6">
        <f>首页!$B$5+273.15</f>
        <v>1373.15</v>
      </c>
      <c r="F761" s="6">
        <f t="shared" si="99"/>
        <v>95</v>
      </c>
      <c r="G761" s="6">
        <f t="shared" si="100"/>
        <v>340.65</v>
      </c>
      <c r="H761" s="6">
        <f t="shared" si="101"/>
        <v>1.9926207055139041E-5</v>
      </c>
      <c r="I761" s="7">
        <f t="shared" si="102"/>
        <v>1158916576932337.8</v>
      </c>
      <c r="J761" s="6">
        <f t="shared" si="103"/>
        <v>1.0226038455893147</v>
      </c>
      <c r="K761" s="7">
        <f>J761*H761*首页!$B$12/P761</f>
        <v>0.69532757496605813</v>
      </c>
      <c r="L761" s="6">
        <f>首页!$B$9*0.0000000567*((C761^4-D761^4)/(C761-D761))</f>
        <v>7.7687338005019564</v>
      </c>
      <c r="M761" s="6">
        <f>IF(首页!$B$13="自然对流",IF(首页!$B$14="立式圆筒",首页!$B$10,PI()*B761/2),PI()*B761/2)</f>
        <v>55.2</v>
      </c>
      <c r="N761" s="7">
        <f>IF(首页!$B$13="强制对流",首页!$B$11*M761/H761,0)</f>
        <v>0</v>
      </c>
      <c r="O761" s="6">
        <f>IF(首页!$B$13="自然对流",IF(首页!$B$14="立式圆筒",(0.825+0.3063*I761^(1/6))^2+0.87*(M761/B761),(0.752+0.303*I761^(1/6))^2),0.3+SQRT((0.592*N761^0.5)^2+(0.0262*N761^0.8/(1-0.5/N761^0.1))^2))</f>
        <v>10048.633973523136</v>
      </c>
      <c r="P761" s="6">
        <f t="shared" si="104"/>
        <v>2.9510194925512497E-2</v>
      </c>
      <c r="Q761" s="6">
        <f t="shared" si="105"/>
        <v>5.3720497698151251</v>
      </c>
      <c r="R761" s="6">
        <f t="shared" si="106"/>
        <v>13.140783570317081</v>
      </c>
      <c r="S761" s="6">
        <f>B761*LN(B761/首页!$B$4)</f>
        <v>4.2596339017549552</v>
      </c>
      <c r="T761" s="6">
        <f>2*首页!$B$8*(E761-C761)/(R761*(C761-D761))</f>
        <v>7.1012347912395121E-2</v>
      </c>
      <c r="U761" t="str">
        <f>IF(首页!$B$13="自然对流","按自然对流公式", "按强制对流公式")</f>
        <v>按自然对流公式</v>
      </c>
      <c r="V761" s="6">
        <f t="shared" si="107"/>
        <v>4.1886215538425597</v>
      </c>
    </row>
    <row r="762" spans="1:22" x14ac:dyDescent="0.15">
      <c r="A762">
        <v>757</v>
      </c>
      <c r="B762" s="6">
        <f>首页!$B$4+2*A762/1000</f>
        <v>1.6339999999999999</v>
      </c>
      <c r="C762" s="6">
        <f>首页!$B$7+273.15</f>
        <v>388.15</v>
      </c>
      <c r="D762" s="6">
        <f>首页!$B$6+273.15</f>
        <v>293.14999999999998</v>
      </c>
      <c r="E762" s="6">
        <f>首页!$B$5+273.15</f>
        <v>1373.15</v>
      </c>
      <c r="F762" s="6">
        <f t="shared" si="99"/>
        <v>95</v>
      </c>
      <c r="G762" s="6">
        <f t="shared" si="100"/>
        <v>340.65</v>
      </c>
      <c r="H762" s="6">
        <f t="shared" si="101"/>
        <v>1.9926207055139041E-5</v>
      </c>
      <c r="I762" s="7">
        <f t="shared" si="102"/>
        <v>1158916576932337.8</v>
      </c>
      <c r="J762" s="6">
        <f t="shared" si="103"/>
        <v>1.0226038455893147</v>
      </c>
      <c r="K762" s="7">
        <f>J762*H762*首页!$B$12/P762</f>
        <v>0.69532757496605813</v>
      </c>
      <c r="L762" s="6">
        <f>首页!$B$9*0.0000000567*((C762^4-D762^4)/(C762-D762))</f>
        <v>7.7687338005019564</v>
      </c>
      <c r="M762" s="6">
        <f>IF(首页!$B$13="自然对流",IF(首页!$B$14="立式圆筒",首页!$B$10,PI()*B762/2),PI()*B762/2)</f>
        <v>55.2</v>
      </c>
      <c r="N762" s="7">
        <f>IF(首页!$B$13="强制对流",首页!$B$11*M762/H762,0)</f>
        <v>0</v>
      </c>
      <c r="O762" s="6">
        <f>IF(首页!$B$13="自然对流",IF(首页!$B$14="立式圆筒",(0.825+0.3063*I762^(1/6))^2+0.87*(M762/B762),(0.752+0.303*I762^(1/6))^2),0.3+SQRT((0.592*N762^0.5)^2+(0.0262*N762^0.8/(1-0.5/N762^0.1))^2))</f>
        <v>10048.597955811278</v>
      </c>
      <c r="P762" s="6">
        <f t="shared" si="104"/>
        <v>2.9510194925512497E-2</v>
      </c>
      <c r="Q762" s="6">
        <f t="shared" si="105"/>
        <v>5.372030514566978</v>
      </c>
      <c r="R762" s="6">
        <f t="shared" si="106"/>
        <v>13.140764315068935</v>
      </c>
      <c r="S762" s="6">
        <f>B762*LN(B762/首页!$B$4)</f>
        <v>4.2668552663303316</v>
      </c>
      <c r="T762" s="6">
        <f>2*首页!$B$8*(E762-C762)/(R762*(C762-D762))</f>
        <v>7.1012451967254309E-2</v>
      </c>
      <c r="U762" t="str">
        <f>IF(首页!$B$13="自然对流","按自然对流公式", "按强制对流公式")</f>
        <v>按自然对流公式</v>
      </c>
      <c r="V762" s="6">
        <f t="shared" si="107"/>
        <v>4.1958428143630773</v>
      </c>
    </row>
    <row r="763" spans="1:22" x14ac:dyDescent="0.15">
      <c r="A763">
        <v>758</v>
      </c>
      <c r="B763" s="6">
        <f>首页!$B$4+2*A763/1000</f>
        <v>1.6360000000000001</v>
      </c>
      <c r="C763" s="6">
        <f>首页!$B$7+273.15</f>
        <v>388.15</v>
      </c>
      <c r="D763" s="6">
        <f>首页!$B$6+273.15</f>
        <v>293.14999999999998</v>
      </c>
      <c r="E763" s="6">
        <f>首页!$B$5+273.15</f>
        <v>1373.15</v>
      </c>
      <c r="F763" s="6">
        <f t="shared" si="99"/>
        <v>95</v>
      </c>
      <c r="G763" s="6">
        <f t="shared" si="100"/>
        <v>340.65</v>
      </c>
      <c r="H763" s="6">
        <f t="shared" si="101"/>
        <v>1.9926207055139041E-5</v>
      </c>
      <c r="I763" s="7">
        <f t="shared" si="102"/>
        <v>1158916576932337.8</v>
      </c>
      <c r="J763" s="6">
        <f t="shared" si="103"/>
        <v>1.0226038455893147</v>
      </c>
      <c r="K763" s="7">
        <f>J763*H763*首页!$B$12/P763</f>
        <v>0.69532757496605813</v>
      </c>
      <c r="L763" s="6">
        <f>首页!$B$9*0.0000000567*((C763^4-D763^4)/(C763-D763))</f>
        <v>7.7687338005019564</v>
      </c>
      <c r="M763" s="6">
        <f>IF(首页!$B$13="自然对流",IF(首页!$B$14="立式圆筒",首页!$B$10,PI()*B763/2),PI()*B763/2)</f>
        <v>55.2</v>
      </c>
      <c r="N763" s="7">
        <f>IF(首页!$B$13="强制对流",首页!$B$11*M763/H763,0)</f>
        <v>0</v>
      </c>
      <c r="O763" s="6">
        <f>IF(首页!$B$13="自然对流",IF(首页!$B$14="立式圆筒",(0.825+0.3063*I763^(1/6))^2+0.87*(M763/B763),(0.752+0.303*I763^(1/6))^2),0.3+SQRT((0.592*N763^0.5)^2+(0.0262*N763^0.8/(1-0.5/N763^0.1))^2))</f>
        <v>10048.562026162284</v>
      </c>
      <c r="P763" s="6">
        <f t="shared" si="104"/>
        <v>2.9510194925512497E-2</v>
      </c>
      <c r="Q763" s="6">
        <f t="shared" si="105"/>
        <v>5.3720113063976775</v>
      </c>
      <c r="R763" s="6">
        <f t="shared" si="106"/>
        <v>13.140745106899633</v>
      </c>
      <c r="S763" s="6">
        <f>B763*LN(B763/首页!$B$4)</f>
        <v>4.2740790788867375</v>
      </c>
      <c r="T763" s="6">
        <f>2*首页!$B$8*(E763-C763)/(R763*(C763-D763))</f>
        <v>7.1012555768004471E-2</v>
      </c>
      <c r="U763" t="str">
        <f>IF(首页!$B$13="自然对流","按自然对流公式", "按强制对流公式")</f>
        <v>按自然对流公式</v>
      </c>
      <c r="V763" s="6">
        <f t="shared" si="107"/>
        <v>4.203066523118733</v>
      </c>
    </row>
    <row r="764" spans="1:22" x14ac:dyDescent="0.15">
      <c r="A764">
        <v>759</v>
      </c>
      <c r="B764" s="6">
        <f>首页!$B$4+2*A764/1000</f>
        <v>1.6379999999999999</v>
      </c>
      <c r="C764" s="6">
        <f>首页!$B$7+273.15</f>
        <v>388.15</v>
      </c>
      <c r="D764" s="6">
        <f>首页!$B$6+273.15</f>
        <v>293.14999999999998</v>
      </c>
      <c r="E764" s="6">
        <f>首页!$B$5+273.15</f>
        <v>1373.15</v>
      </c>
      <c r="F764" s="6">
        <f t="shared" si="99"/>
        <v>95</v>
      </c>
      <c r="G764" s="6">
        <f t="shared" si="100"/>
        <v>340.65</v>
      </c>
      <c r="H764" s="6">
        <f t="shared" si="101"/>
        <v>1.9926207055139041E-5</v>
      </c>
      <c r="I764" s="7">
        <f t="shared" si="102"/>
        <v>1158916576932337.8</v>
      </c>
      <c r="J764" s="6">
        <f t="shared" si="103"/>
        <v>1.0226038455893147</v>
      </c>
      <c r="K764" s="7">
        <f>J764*H764*首页!$B$12/P764</f>
        <v>0.69532757496605813</v>
      </c>
      <c r="L764" s="6">
        <f>首页!$B$9*0.0000000567*((C764^4-D764^4)/(C764-D764))</f>
        <v>7.7687338005019564</v>
      </c>
      <c r="M764" s="6">
        <f>IF(首页!$B$13="自然对流",IF(首页!$B$14="立式圆筒",首页!$B$10,PI()*B764/2),PI()*B764/2)</f>
        <v>55.2</v>
      </c>
      <c r="N764" s="7">
        <f>IF(首页!$B$13="强制对流",首页!$B$11*M764/H764,0)</f>
        <v>0</v>
      </c>
      <c r="O764" s="6">
        <f>IF(首页!$B$13="自然对流",IF(首页!$B$14="立式圆筒",(0.825+0.3063*I764^(1/6))^2+0.87*(M764/B764),(0.752+0.303*I764^(1/6))^2),0.3+SQRT((0.592*N764^0.5)^2+(0.0262*N764^0.8/(1-0.5/N764^0.1))^2))</f>
        <v>10048.526184253582</v>
      </c>
      <c r="P764" s="6">
        <f t="shared" si="104"/>
        <v>2.9510194925512497E-2</v>
      </c>
      <c r="Q764" s="6">
        <f t="shared" si="105"/>
        <v>5.3719921451347732</v>
      </c>
      <c r="R764" s="6">
        <f t="shared" si="106"/>
        <v>13.14072594563673</v>
      </c>
      <c r="S764" s="6">
        <f>B764*LN(B764/首页!$B$4)</f>
        <v>4.2813053364315268</v>
      </c>
      <c r="T764" s="6">
        <f>2*首页!$B$8*(E764-C764)/(R764*(C764-D764))</f>
        <v>7.1012659315575294E-2</v>
      </c>
      <c r="U764" t="str">
        <f>IF(首页!$B$13="自然对流","按自然对流公式", "按强制对流公式")</f>
        <v>按自然对流公式</v>
      </c>
      <c r="V764" s="6">
        <f t="shared" si="107"/>
        <v>4.2102926771159517</v>
      </c>
    </row>
    <row r="765" spans="1:22" x14ac:dyDescent="0.15">
      <c r="A765">
        <v>760</v>
      </c>
      <c r="B765" s="6">
        <f>首页!$B$4+2*A765/1000</f>
        <v>1.6400000000000001</v>
      </c>
      <c r="C765" s="6">
        <f>首页!$B$7+273.15</f>
        <v>388.15</v>
      </c>
      <c r="D765" s="6">
        <f>首页!$B$6+273.15</f>
        <v>293.14999999999998</v>
      </c>
      <c r="E765" s="6">
        <f>首页!$B$5+273.15</f>
        <v>1373.15</v>
      </c>
      <c r="F765" s="6">
        <f t="shared" si="99"/>
        <v>95</v>
      </c>
      <c r="G765" s="6">
        <f t="shared" si="100"/>
        <v>340.65</v>
      </c>
      <c r="H765" s="6">
        <f t="shared" si="101"/>
        <v>1.9926207055139041E-5</v>
      </c>
      <c r="I765" s="7">
        <f t="shared" si="102"/>
        <v>1158916576932337.8</v>
      </c>
      <c r="J765" s="6">
        <f t="shared" si="103"/>
        <v>1.0226038455893147</v>
      </c>
      <c r="K765" s="7">
        <f>J765*H765*首页!$B$12/P765</f>
        <v>0.69532757496605813</v>
      </c>
      <c r="L765" s="6">
        <f>首页!$B$9*0.0000000567*((C765^4-D765^4)/(C765-D765))</f>
        <v>7.7687338005019564</v>
      </c>
      <c r="M765" s="6">
        <f>IF(首页!$B$13="自然对流",IF(首页!$B$14="立式圆筒",首页!$B$10,PI()*B765/2),PI()*B765/2)</f>
        <v>55.2</v>
      </c>
      <c r="N765" s="7">
        <f>IF(首页!$B$13="强制对流",首页!$B$11*M765/H765,0)</f>
        <v>0</v>
      </c>
      <c r="O765" s="6">
        <f>IF(首页!$B$13="自然对流",IF(首页!$B$14="立式圆筒",(0.825+0.3063*I765^(1/6))^2+0.87*(M765/B765),(0.752+0.303*I765^(1/6))^2),0.3+SQRT((0.592*N765^0.5)^2+(0.0262*N765^0.8/(1-0.5/N765^0.1))^2))</f>
        <v>10048.490429764168</v>
      </c>
      <c r="P765" s="6">
        <f t="shared" si="104"/>
        <v>2.9510194925512497E-2</v>
      </c>
      <c r="Q765" s="6">
        <f t="shared" si="105"/>
        <v>5.3719730306066564</v>
      </c>
      <c r="R765" s="6">
        <f t="shared" si="106"/>
        <v>13.140706831108613</v>
      </c>
      <c r="S765" s="6">
        <f>B765*LN(B765/首页!$B$4)</f>
        <v>4.2885340359793656</v>
      </c>
      <c r="T765" s="6">
        <f>2*首页!$B$8*(E765-C765)/(R765*(C765-D765))</f>
        <v>7.1012762610891955E-2</v>
      </c>
      <c r="U765" t="str">
        <f>IF(首页!$B$13="自然对流","按自然对流公式", "按强制对流公式")</f>
        <v>按自然对流公式</v>
      </c>
      <c r="V765" s="6">
        <f t="shared" si="107"/>
        <v>4.2175212733684733</v>
      </c>
    </row>
    <row r="766" spans="1:22" x14ac:dyDescent="0.15">
      <c r="A766">
        <v>761</v>
      </c>
      <c r="B766" s="6">
        <f>首页!$B$4+2*A766/1000</f>
        <v>1.6419999999999999</v>
      </c>
      <c r="C766" s="6">
        <f>首页!$B$7+273.15</f>
        <v>388.15</v>
      </c>
      <c r="D766" s="6">
        <f>首页!$B$6+273.15</f>
        <v>293.14999999999998</v>
      </c>
      <c r="E766" s="6">
        <f>首页!$B$5+273.15</f>
        <v>1373.15</v>
      </c>
      <c r="F766" s="6">
        <f t="shared" si="99"/>
        <v>95</v>
      </c>
      <c r="G766" s="6">
        <f t="shared" si="100"/>
        <v>340.65</v>
      </c>
      <c r="H766" s="6">
        <f t="shared" si="101"/>
        <v>1.9926207055139041E-5</v>
      </c>
      <c r="I766" s="7">
        <f t="shared" si="102"/>
        <v>1158916576932337.8</v>
      </c>
      <c r="J766" s="6">
        <f t="shared" si="103"/>
        <v>1.0226038455893147</v>
      </c>
      <c r="K766" s="7">
        <f>J766*H766*首页!$B$12/P766</f>
        <v>0.69532757496605813</v>
      </c>
      <c r="L766" s="6">
        <f>首页!$B$9*0.0000000567*((C766^4-D766^4)/(C766-D766))</f>
        <v>7.7687338005019564</v>
      </c>
      <c r="M766" s="6">
        <f>IF(首页!$B$13="自然对流",IF(首页!$B$14="立式圆筒",首页!$B$10,PI()*B766/2),PI()*B766/2)</f>
        <v>55.2</v>
      </c>
      <c r="N766" s="7">
        <f>IF(首页!$B$13="强制对流",首页!$B$11*M766/H766,0)</f>
        <v>0</v>
      </c>
      <c r="O766" s="6">
        <f>IF(首页!$B$13="自然对流",IF(首页!$B$14="立式圆筒",(0.825+0.3063*I766^(1/6))^2+0.87*(M766/B766),(0.752+0.303*I766^(1/6))^2),0.3+SQRT((0.592*N766^0.5)^2+(0.0262*N766^0.8/(1-0.5/N766^0.1))^2))</f>
        <v>10048.454762374608</v>
      </c>
      <c r="P766" s="6">
        <f t="shared" si="104"/>
        <v>2.9510194925512497E-2</v>
      </c>
      <c r="Q766" s="6">
        <f t="shared" si="105"/>
        <v>5.3719539626425545</v>
      </c>
      <c r="R766" s="6">
        <f t="shared" si="106"/>
        <v>13.140687763144511</v>
      </c>
      <c r="S766" s="6">
        <f>B766*LN(B766/首页!$B$4)</f>
        <v>4.295765174552197</v>
      </c>
      <c r="T766" s="6">
        <f>2*首页!$B$8*(E766-C766)/(R766*(C766-D766))</f>
        <v>7.1012865654875079E-2</v>
      </c>
      <c r="U766" t="str">
        <f>IF(首页!$B$13="自然对流","按自然对流公式", "按强制对流公式")</f>
        <v>按自然对流公式</v>
      </c>
      <c r="V766" s="6">
        <f t="shared" si="107"/>
        <v>4.2247523088973216</v>
      </c>
    </row>
    <row r="767" spans="1:22" x14ac:dyDescent="0.15">
      <c r="A767">
        <v>762</v>
      </c>
      <c r="B767" s="6">
        <f>首页!$B$4+2*A767/1000</f>
        <v>1.6440000000000001</v>
      </c>
      <c r="C767" s="6">
        <f>首页!$B$7+273.15</f>
        <v>388.15</v>
      </c>
      <c r="D767" s="6">
        <f>首页!$B$6+273.15</f>
        <v>293.14999999999998</v>
      </c>
      <c r="E767" s="6">
        <f>首页!$B$5+273.15</f>
        <v>1373.15</v>
      </c>
      <c r="F767" s="6">
        <f t="shared" si="99"/>
        <v>95</v>
      </c>
      <c r="G767" s="6">
        <f t="shared" si="100"/>
        <v>340.65</v>
      </c>
      <c r="H767" s="6">
        <f t="shared" si="101"/>
        <v>1.9926207055139041E-5</v>
      </c>
      <c r="I767" s="7">
        <f t="shared" si="102"/>
        <v>1158916576932337.8</v>
      </c>
      <c r="J767" s="6">
        <f t="shared" si="103"/>
        <v>1.0226038455893147</v>
      </c>
      <c r="K767" s="7">
        <f>J767*H767*首页!$B$12/P767</f>
        <v>0.69532757496605813</v>
      </c>
      <c r="L767" s="6">
        <f>首页!$B$9*0.0000000567*((C767^4-D767^4)/(C767-D767))</f>
        <v>7.7687338005019564</v>
      </c>
      <c r="M767" s="6">
        <f>IF(首页!$B$13="自然对流",IF(首页!$B$14="立式圆筒",首页!$B$10,PI()*B767/2),PI()*B767/2)</f>
        <v>55.2</v>
      </c>
      <c r="N767" s="7">
        <f>IF(首页!$B$13="强制对流",首页!$B$11*M767/H767,0)</f>
        <v>0</v>
      </c>
      <c r="O767" s="6">
        <f>IF(首页!$B$13="自然对流",IF(首页!$B$14="立式圆筒",(0.825+0.3063*I767^(1/6))^2+0.87*(M767/B767),(0.752+0.303*I767^(1/6))^2),0.3+SQRT((0.592*N767^0.5)^2+(0.0262*N767^0.8/(1-0.5/N767^0.1))^2))</f>
        <v>10048.419181767016</v>
      </c>
      <c r="P767" s="6">
        <f t="shared" si="104"/>
        <v>2.9510194925512497E-2</v>
      </c>
      <c r="Q767" s="6">
        <f t="shared" si="105"/>
        <v>5.3719349410725252</v>
      </c>
      <c r="R767" s="6">
        <f t="shared" si="106"/>
        <v>13.140668741574482</v>
      </c>
      <c r="S767" s="6">
        <f>B767*LN(B767/首页!$B$4)</f>
        <v>4.3029987491792268</v>
      </c>
      <c r="T767" s="6">
        <f>2*首页!$B$8*(E767-C767)/(R767*(C767-D767))</f>
        <v>7.1012968448440891E-2</v>
      </c>
      <c r="U767" t="str">
        <f>IF(首页!$B$13="自然对流","按自然对流公式", "按强制对流公式")</f>
        <v>按自然对流公式</v>
      </c>
      <c r="V767" s="6">
        <f t="shared" si="107"/>
        <v>4.2319857807307857</v>
      </c>
    </row>
    <row r="768" spans="1:22" x14ac:dyDescent="0.15">
      <c r="A768">
        <v>763</v>
      </c>
      <c r="B768" s="6">
        <f>首页!$B$4+2*A768/1000</f>
        <v>1.6459999999999999</v>
      </c>
      <c r="C768" s="6">
        <f>首页!$B$7+273.15</f>
        <v>388.15</v>
      </c>
      <c r="D768" s="6">
        <f>首页!$B$6+273.15</f>
        <v>293.14999999999998</v>
      </c>
      <c r="E768" s="6">
        <f>首页!$B$5+273.15</f>
        <v>1373.15</v>
      </c>
      <c r="F768" s="6">
        <f t="shared" si="99"/>
        <v>95</v>
      </c>
      <c r="G768" s="6">
        <f t="shared" si="100"/>
        <v>340.65</v>
      </c>
      <c r="H768" s="6">
        <f t="shared" si="101"/>
        <v>1.9926207055139041E-5</v>
      </c>
      <c r="I768" s="7">
        <f t="shared" si="102"/>
        <v>1158916576932337.8</v>
      </c>
      <c r="J768" s="6">
        <f t="shared" si="103"/>
        <v>1.0226038455893147</v>
      </c>
      <c r="K768" s="7">
        <f>J768*H768*首页!$B$12/P768</f>
        <v>0.69532757496605813</v>
      </c>
      <c r="L768" s="6">
        <f>首页!$B$9*0.0000000567*((C768^4-D768^4)/(C768-D768))</f>
        <v>7.7687338005019564</v>
      </c>
      <c r="M768" s="6">
        <f>IF(首页!$B$13="自然对流",IF(首页!$B$14="立式圆筒",首页!$B$10,PI()*B768/2),PI()*B768/2)</f>
        <v>55.2</v>
      </c>
      <c r="N768" s="7">
        <f>IF(首页!$B$13="强制对流",首页!$B$11*M768/H768,0)</f>
        <v>0</v>
      </c>
      <c r="O768" s="6">
        <f>IF(首页!$B$13="自然对流",IF(首页!$B$14="立式圆筒",(0.825+0.3063*I768^(1/6))^2+0.87*(M768/B768),(0.752+0.303*I768^(1/6))^2),0.3+SQRT((0.592*N768^0.5)^2+(0.0262*N768^0.8/(1-0.5/N768^0.1))^2))</f>
        <v>10048.383687625057</v>
      </c>
      <c r="P768" s="6">
        <f t="shared" si="104"/>
        <v>2.9510194925512497E-2</v>
      </c>
      <c r="Q768" s="6">
        <f t="shared" si="105"/>
        <v>5.3719159657274549</v>
      </c>
      <c r="R768" s="6">
        <f t="shared" si="106"/>
        <v>13.140649766229412</v>
      </c>
      <c r="S768" s="6">
        <f>B768*LN(B768/首页!$B$4)</f>
        <v>4.3102347568968788</v>
      </c>
      <c r="T768" s="6">
        <f>2*首页!$B$8*(E768-C768)/(R768*(C768-D768))</f>
        <v>7.1013070992501093E-2</v>
      </c>
      <c r="U768" t="str">
        <f>IF(首页!$B$13="自然对流","按自然对流公式", "按强制对流公式")</f>
        <v>按自然对流公式</v>
      </c>
      <c r="V768" s="6">
        <f t="shared" si="107"/>
        <v>4.2392216859043774</v>
      </c>
    </row>
    <row r="769" spans="1:22" x14ac:dyDescent="0.15">
      <c r="A769">
        <v>764</v>
      </c>
      <c r="B769" s="6">
        <f>首页!$B$4+2*A769/1000</f>
        <v>1.6480000000000001</v>
      </c>
      <c r="C769" s="6">
        <f>首页!$B$7+273.15</f>
        <v>388.15</v>
      </c>
      <c r="D769" s="6">
        <f>首页!$B$6+273.15</f>
        <v>293.14999999999998</v>
      </c>
      <c r="E769" s="6">
        <f>首页!$B$5+273.15</f>
        <v>1373.15</v>
      </c>
      <c r="F769" s="6">
        <f t="shared" si="99"/>
        <v>95</v>
      </c>
      <c r="G769" s="6">
        <f t="shared" si="100"/>
        <v>340.65</v>
      </c>
      <c r="H769" s="6">
        <f t="shared" si="101"/>
        <v>1.9926207055139041E-5</v>
      </c>
      <c r="I769" s="7">
        <f t="shared" si="102"/>
        <v>1158916576932337.8</v>
      </c>
      <c r="J769" s="6">
        <f t="shared" si="103"/>
        <v>1.0226038455893147</v>
      </c>
      <c r="K769" s="7">
        <f>J769*H769*首页!$B$12/P769</f>
        <v>0.69532757496605813</v>
      </c>
      <c r="L769" s="6">
        <f>首页!$B$9*0.0000000567*((C769^4-D769^4)/(C769-D769))</f>
        <v>7.7687338005019564</v>
      </c>
      <c r="M769" s="6">
        <f>IF(首页!$B$13="自然对流",IF(首页!$B$14="立式圆筒",首页!$B$10,PI()*B769/2),PI()*B769/2)</f>
        <v>55.2</v>
      </c>
      <c r="N769" s="7">
        <f>IF(首页!$B$13="强制对流",首页!$B$11*M769/H769,0)</f>
        <v>0</v>
      </c>
      <c r="O769" s="6">
        <f>IF(首页!$B$13="自然对流",IF(首页!$B$14="立式圆筒",(0.825+0.3063*I769^(1/6))^2+0.87*(M769/B769),(0.752+0.303*I769^(1/6))^2),0.3+SQRT((0.592*N769^0.5)^2+(0.0262*N769^0.8/(1-0.5/N769^0.1))^2))</f>
        <v>10048.348279633929</v>
      </c>
      <c r="P769" s="6">
        <f t="shared" si="104"/>
        <v>2.9510194925512497E-2</v>
      </c>
      <c r="Q769" s="6">
        <f t="shared" si="105"/>
        <v>5.3718970364390461</v>
      </c>
      <c r="R769" s="6">
        <f t="shared" si="106"/>
        <v>13.140630836941003</v>
      </c>
      <c r="S769" s="6">
        <f>B769*LN(B769/首页!$B$4)</f>
        <v>4.3174731947487883</v>
      </c>
      <c r="T769" s="6">
        <f>2*首页!$B$8*(E769-C769)/(R769*(C769-D769))</f>
        <v>7.1013173287963041E-2</v>
      </c>
      <c r="U769" t="str">
        <f>IF(首页!$B$13="自然对流","按自然对流公式", "按强制对流公式")</f>
        <v>按自然对流公式</v>
      </c>
      <c r="V769" s="6">
        <f t="shared" si="107"/>
        <v>4.246460021460825</v>
      </c>
    </row>
    <row r="770" spans="1:22" x14ac:dyDescent="0.15">
      <c r="A770">
        <v>765</v>
      </c>
      <c r="B770" s="6">
        <f>首页!$B$4+2*A770/1000</f>
        <v>1.65</v>
      </c>
      <c r="C770" s="6">
        <f>首页!$B$7+273.15</f>
        <v>388.15</v>
      </c>
      <c r="D770" s="6">
        <f>首页!$B$6+273.15</f>
        <v>293.14999999999998</v>
      </c>
      <c r="E770" s="6">
        <f>首页!$B$5+273.15</f>
        <v>1373.15</v>
      </c>
      <c r="F770" s="6">
        <f t="shared" si="99"/>
        <v>95</v>
      </c>
      <c r="G770" s="6">
        <f t="shared" si="100"/>
        <v>340.65</v>
      </c>
      <c r="H770" s="6">
        <f t="shared" si="101"/>
        <v>1.9926207055139041E-5</v>
      </c>
      <c r="I770" s="7">
        <f t="shared" si="102"/>
        <v>1158916576932337.8</v>
      </c>
      <c r="J770" s="6">
        <f t="shared" si="103"/>
        <v>1.0226038455893147</v>
      </c>
      <c r="K770" s="7">
        <f>J770*H770*首页!$B$12/P770</f>
        <v>0.69532757496605813</v>
      </c>
      <c r="L770" s="6">
        <f>首页!$B$9*0.0000000567*((C770^4-D770^4)/(C770-D770))</f>
        <v>7.7687338005019564</v>
      </c>
      <c r="M770" s="6">
        <f>IF(首页!$B$13="自然对流",IF(首页!$B$14="立式圆筒",首页!$B$10,PI()*B770/2),PI()*B770/2)</f>
        <v>55.2</v>
      </c>
      <c r="N770" s="7">
        <f>IF(首页!$B$13="强制对流",首页!$B$11*M770/H770,0)</f>
        <v>0</v>
      </c>
      <c r="O770" s="6">
        <f>IF(首页!$B$13="自然对流",IF(首页!$B$14="立式圆筒",(0.825+0.3063*I770^(1/6))^2+0.87*(M770/B770),(0.752+0.303*I770^(1/6))^2),0.3+SQRT((0.592*N770^0.5)^2+(0.0262*N770^0.8/(1-0.5/N770^0.1))^2))</f>
        <v>10048.312957480355</v>
      </c>
      <c r="P770" s="6">
        <f t="shared" si="104"/>
        <v>2.9510194925512497E-2</v>
      </c>
      <c r="Q770" s="6">
        <f t="shared" si="105"/>
        <v>5.3718781530398232</v>
      </c>
      <c r="R770" s="6">
        <f t="shared" si="106"/>
        <v>13.140611953541779</v>
      </c>
      <c r="S770" s="6">
        <f>B770*LN(B770/首页!$B$4)</f>
        <v>4.324714059785757</v>
      </c>
      <c r="T770" s="6">
        <f>2*首页!$B$8*(E770-C770)/(R770*(C770-D770))</f>
        <v>7.1013275335729611E-2</v>
      </c>
      <c r="U770" t="str">
        <f>IF(首页!$B$13="自然对流","按自然对流公式", "按强制对流公式")</f>
        <v>按自然对流公式</v>
      </c>
      <c r="V770" s="6">
        <f t="shared" si="107"/>
        <v>4.253700784450027</v>
      </c>
    </row>
    <row r="771" spans="1:22" x14ac:dyDescent="0.15">
      <c r="A771">
        <v>766</v>
      </c>
      <c r="B771" s="6">
        <f>首页!$B$4+2*A771/1000</f>
        <v>1.6520000000000001</v>
      </c>
      <c r="C771" s="6">
        <f>首页!$B$7+273.15</f>
        <v>388.15</v>
      </c>
      <c r="D771" s="6">
        <f>首页!$B$6+273.15</f>
        <v>293.14999999999998</v>
      </c>
      <c r="E771" s="6">
        <f>首页!$B$5+273.15</f>
        <v>1373.15</v>
      </c>
      <c r="F771" s="6">
        <f t="shared" si="99"/>
        <v>95</v>
      </c>
      <c r="G771" s="6">
        <f t="shared" si="100"/>
        <v>340.65</v>
      </c>
      <c r="H771" s="6">
        <f t="shared" si="101"/>
        <v>1.9926207055139041E-5</v>
      </c>
      <c r="I771" s="7">
        <f t="shared" si="102"/>
        <v>1158916576932337.8</v>
      </c>
      <c r="J771" s="6">
        <f t="shared" si="103"/>
        <v>1.0226038455893147</v>
      </c>
      <c r="K771" s="7">
        <f>J771*H771*首页!$B$12/P771</f>
        <v>0.69532757496605813</v>
      </c>
      <c r="L771" s="6">
        <f>首页!$B$9*0.0000000567*((C771^4-D771^4)/(C771-D771))</f>
        <v>7.7687338005019564</v>
      </c>
      <c r="M771" s="6">
        <f>IF(首页!$B$13="自然对流",IF(首页!$B$14="立式圆筒",首页!$B$10,PI()*B771/2),PI()*B771/2)</f>
        <v>55.2</v>
      </c>
      <c r="N771" s="7">
        <f>IF(首页!$B$13="强制对流",首页!$B$11*M771/H771,0)</f>
        <v>0</v>
      </c>
      <c r="O771" s="6">
        <f>IF(首页!$B$13="自然对流",IF(首页!$B$14="立式圆筒",(0.825+0.3063*I771^(1/6))^2+0.87*(M771/B771),(0.752+0.303*I771^(1/6))^2),0.3+SQRT((0.592*N771^0.5)^2+(0.0262*N771^0.8/(1-0.5/N771^0.1))^2))</f>
        <v>10048.277720852575</v>
      </c>
      <c r="P771" s="6">
        <f t="shared" si="104"/>
        <v>2.9510194925512497E-2</v>
      </c>
      <c r="Q771" s="6">
        <f t="shared" si="105"/>
        <v>5.3718593153631149</v>
      </c>
      <c r="R771" s="6">
        <f t="shared" si="106"/>
        <v>13.140593115865071</v>
      </c>
      <c r="S771" s="6">
        <f>B771*LN(B771/首页!$B$4)</f>
        <v>4.3319573490657453</v>
      </c>
      <c r="T771" s="6">
        <f>2*首页!$B$8*(E771-C771)/(R771*(C771-D771))</f>
        <v>7.101337713669939E-2</v>
      </c>
      <c r="U771" t="str">
        <f>IF(首页!$B$13="自然对流","按自然对流公式", "按强制对流公式")</f>
        <v>按自然对流公式</v>
      </c>
      <c r="V771" s="6">
        <f t="shared" si="107"/>
        <v>4.2609439719290458</v>
      </c>
    </row>
    <row r="772" spans="1:22" x14ac:dyDescent="0.15">
      <c r="A772">
        <v>767</v>
      </c>
      <c r="B772" s="6">
        <f>首页!$B$4+2*A772/1000</f>
        <v>1.6539999999999999</v>
      </c>
      <c r="C772" s="6">
        <f>首页!$B$7+273.15</f>
        <v>388.15</v>
      </c>
      <c r="D772" s="6">
        <f>首页!$B$6+273.15</f>
        <v>293.14999999999998</v>
      </c>
      <c r="E772" s="6">
        <f>首页!$B$5+273.15</f>
        <v>1373.15</v>
      </c>
      <c r="F772" s="6">
        <f t="shared" si="99"/>
        <v>95</v>
      </c>
      <c r="G772" s="6">
        <f t="shared" si="100"/>
        <v>340.65</v>
      </c>
      <c r="H772" s="6">
        <f t="shared" si="101"/>
        <v>1.9926207055139041E-5</v>
      </c>
      <c r="I772" s="7">
        <f t="shared" si="102"/>
        <v>1158916576932337.8</v>
      </c>
      <c r="J772" s="6">
        <f t="shared" si="103"/>
        <v>1.0226038455893147</v>
      </c>
      <c r="K772" s="7">
        <f>J772*H772*首页!$B$12/P772</f>
        <v>0.69532757496605813</v>
      </c>
      <c r="L772" s="6">
        <f>首页!$B$9*0.0000000567*((C772^4-D772^4)/(C772-D772))</f>
        <v>7.7687338005019564</v>
      </c>
      <c r="M772" s="6">
        <f>IF(首页!$B$13="自然对流",IF(首页!$B$14="立式圆筒",首页!$B$10,PI()*B772/2),PI()*B772/2)</f>
        <v>55.2</v>
      </c>
      <c r="N772" s="7">
        <f>IF(首页!$B$13="强制对流",首页!$B$11*M772/H772,0)</f>
        <v>0</v>
      </c>
      <c r="O772" s="6">
        <f>IF(首页!$B$13="自然对流",IF(首页!$B$14="立式圆筒",(0.825+0.3063*I772^(1/6))^2+0.87*(M772/B772),(0.752+0.303*I772^(1/6))^2),0.3+SQRT((0.592*N772^0.5)^2+(0.0262*N772^0.8/(1-0.5/N772^0.1))^2))</f>
        <v>10048.242569440341</v>
      </c>
      <c r="P772" s="6">
        <f t="shared" si="104"/>
        <v>2.9510194925512497E-2</v>
      </c>
      <c r="Q772" s="6">
        <f t="shared" si="105"/>
        <v>5.371840523243061</v>
      </c>
      <c r="R772" s="6">
        <f t="shared" si="106"/>
        <v>13.140574323745017</v>
      </c>
      <c r="S772" s="6">
        <f>B772*LN(B772/首页!$B$4)</f>
        <v>4.3392030596538307</v>
      </c>
      <c r="T772" s="6">
        <f>2*首页!$B$8*(E772-C772)/(R772*(C772-D772))</f>
        <v>7.1013478691766607E-2</v>
      </c>
      <c r="U772" t="str">
        <f>IF(首页!$B$13="自然对流","按自然对流公式", "按强制对流公式")</f>
        <v>按自然对流公式</v>
      </c>
      <c r="V772" s="6">
        <f t="shared" si="107"/>
        <v>4.2681895809620638</v>
      </c>
    </row>
    <row r="773" spans="1:22" x14ac:dyDescent="0.15">
      <c r="A773">
        <v>768</v>
      </c>
      <c r="B773" s="6">
        <f>首页!$B$4+2*A773/1000</f>
        <v>1.6560000000000001</v>
      </c>
      <c r="C773" s="6">
        <f>首页!$B$7+273.15</f>
        <v>388.15</v>
      </c>
      <c r="D773" s="6">
        <f>首页!$B$6+273.15</f>
        <v>293.14999999999998</v>
      </c>
      <c r="E773" s="6">
        <f>首页!$B$5+273.15</f>
        <v>1373.15</v>
      </c>
      <c r="F773" s="6">
        <f t="shared" ref="F773:F836" si="108">C773-D773</f>
        <v>95</v>
      </c>
      <c r="G773" s="6">
        <f t="shared" ref="G773:G836" si="109">(C773+D773)/2</f>
        <v>340.65</v>
      </c>
      <c r="H773" s="6">
        <f t="shared" ref="H773:H836" si="110">0.0000000042113*G773^2.5/(112+G773)</f>
        <v>1.9926207055139041E-5</v>
      </c>
      <c r="I773" s="7">
        <f t="shared" ref="I773:I836" si="111">9.81*M773^3*F773/(H773^2*G773)</f>
        <v>1158916576932337.8</v>
      </c>
      <c r="J773" s="6">
        <f t="shared" ref="J773:J836" si="112">348.35/G773</f>
        <v>1.0226038455893147</v>
      </c>
      <c r="K773" s="7">
        <f>J773*H773*首页!$B$12/P773</f>
        <v>0.69532757496605813</v>
      </c>
      <c r="L773" s="6">
        <f>首页!$B$9*0.0000000567*((C773^4-D773^4)/(C773-D773))</f>
        <v>7.7687338005019564</v>
      </c>
      <c r="M773" s="6">
        <f>IF(首页!$B$13="自然对流",IF(首页!$B$14="立式圆筒",首页!$B$10,PI()*B773/2),PI()*B773/2)</f>
        <v>55.2</v>
      </c>
      <c r="N773" s="7">
        <f>IF(首页!$B$13="强制对流",首页!$B$11*M773/H773,0)</f>
        <v>0</v>
      </c>
      <c r="O773" s="6">
        <f>IF(首页!$B$13="自然对流",IF(首页!$B$14="立式圆筒",(0.825+0.3063*I773^(1/6))^2+0.87*(M773/B773),(0.752+0.303*I773^(1/6))^2),0.3+SQRT((0.592*N773^0.5)^2+(0.0262*N773^0.8/(1-0.5/N773^0.1))^2))</f>
        <v>10048.2075029349</v>
      </c>
      <c r="P773" s="6">
        <f t="shared" ref="P773:P836" si="113">0.0243+0.000078421*(G773-273)-0.000000020755*(G773-273)^2</f>
        <v>2.9510194925512497E-2</v>
      </c>
      <c r="Q773" s="6">
        <f t="shared" ref="Q773:Q836" si="114">O773*P773/M773</f>
        <v>5.3718217765146026</v>
      </c>
      <c r="R773" s="6">
        <f t="shared" ref="R773:R836" si="115">L773+Q773</f>
        <v>13.14055557701656</v>
      </c>
      <c r="S773" s="6">
        <f>B773*LN(B773/首页!$B$4)</f>
        <v>4.3464511886221917</v>
      </c>
      <c r="T773" s="6">
        <f>2*首页!$B$8*(E773-C773)/(R773*(C773-D773))</f>
        <v>7.1013580001821119E-2</v>
      </c>
      <c r="U773" t="str">
        <f>IF(首页!$B$13="自然对流","按自然对流公式", "按强制对流公式")</f>
        <v>按自然对流公式</v>
      </c>
      <c r="V773" s="6">
        <f t="shared" ref="V773:V836" si="116">ABS(S773-T773)</f>
        <v>4.2754376086203703</v>
      </c>
    </row>
    <row r="774" spans="1:22" x14ac:dyDescent="0.15">
      <c r="A774">
        <v>769</v>
      </c>
      <c r="B774" s="6">
        <f>首页!$B$4+2*A774/1000</f>
        <v>1.6579999999999999</v>
      </c>
      <c r="C774" s="6">
        <f>首页!$B$7+273.15</f>
        <v>388.15</v>
      </c>
      <c r="D774" s="6">
        <f>首页!$B$6+273.15</f>
        <v>293.14999999999998</v>
      </c>
      <c r="E774" s="6">
        <f>首页!$B$5+273.15</f>
        <v>1373.15</v>
      </c>
      <c r="F774" s="6">
        <f t="shared" si="108"/>
        <v>95</v>
      </c>
      <c r="G774" s="6">
        <f t="shared" si="109"/>
        <v>340.65</v>
      </c>
      <c r="H774" s="6">
        <f t="shared" si="110"/>
        <v>1.9926207055139041E-5</v>
      </c>
      <c r="I774" s="7">
        <f t="shared" si="111"/>
        <v>1158916576932337.8</v>
      </c>
      <c r="J774" s="6">
        <f t="shared" si="112"/>
        <v>1.0226038455893147</v>
      </c>
      <c r="K774" s="7">
        <f>J774*H774*首页!$B$12/P774</f>
        <v>0.69532757496605813</v>
      </c>
      <c r="L774" s="6">
        <f>首页!$B$9*0.0000000567*((C774^4-D774^4)/(C774-D774))</f>
        <v>7.7687338005019564</v>
      </c>
      <c r="M774" s="6">
        <f>IF(首页!$B$13="自然对流",IF(首页!$B$14="立式圆筒",首页!$B$10,PI()*B774/2),PI()*B774/2)</f>
        <v>55.2</v>
      </c>
      <c r="N774" s="7">
        <f>IF(首页!$B$13="强制对流",首页!$B$11*M774/H774,0)</f>
        <v>0</v>
      </c>
      <c r="O774" s="6">
        <f>IF(首页!$B$13="自然对流",IF(首页!$B$14="立式圆筒",(0.825+0.3063*I774^(1/6))^2+0.87*(M774/B774),(0.752+0.303*I774^(1/6))^2),0.3+SQRT((0.592*N774^0.5)^2+(0.0262*N774^0.8/(1-0.5/N774^0.1))^2))</f>
        <v>10048.17252102899</v>
      </c>
      <c r="P774" s="6">
        <f t="shared" si="113"/>
        <v>2.9510194925512497E-2</v>
      </c>
      <c r="Q774" s="6">
        <f t="shared" si="114"/>
        <v>5.3718030750134744</v>
      </c>
      <c r="R774" s="6">
        <f t="shared" si="115"/>
        <v>13.14053687551543</v>
      </c>
      <c r="S774" s="6">
        <f>B774*LN(B774/首页!$B$4)</f>
        <v>4.3537017330500758</v>
      </c>
      <c r="T774" s="6">
        <f>2*首页!$B$8*(E774-C774)/(R774*(C774-D774))</f>
        <v>7.101368106774858E-2</v>
      </c>
      <c r="U774" t="str">
        <f>IF(首页!$B$13="自然对流","按自然对流公式", "按强制对流公式")</f>
        <v>按自然对流公式</v>
      </c>
      <c r="V774" s="6">
        <f t="shared" si="116"/>
        <v>4.2826880519823272</v>
      </c>
    </row>
    <row r="775" spans="1:22" x14ac:dyDescent="0.15">
      <c r="A775">
        <v>770</v>
      </c>
      <c r="B775" s="6">
        <f>首页!$B$4+2*A775/1000</f>
        <v>1.6600000000000001</v>
      </c>
      <c r="C775" s="6">
        <f>首页!$B$7+273.15</f>
        <v>388.15</v>
      </c>
      <c r="D775" s="6">
        <f>首页!$B$6+273.15</f>
        <v>293.14999999999998</v>
      </c>
      <c r="E775" s="6">
        <f>首页!$B$5+273.15</f>
        <v>1373.15</v>
      </c>
      <c r="F775" s="6">
        <f t="shared" si="108"/>
        <v>95</v>
      </c>
      <c r="G775" s="6">
        <f t="shared" si="109"/>
        <v>340.65</v>
      </c>
      <c r="H775" s="6">
        <f t="shared" si="110"/>
        <v>1.9926207055139041E-5</v>
      </c>
      <c r="I775" s="7">
        <f t="shared" si="111"/>
        <v>1158916576932337.8</v>
      </c>
      <c r="J775" s="6">
        <f t="shared" si="112"/>
        <v>1.0226038455893147</v>
      </c>
      <c r="K775" s="7">
        <f>J775*H775*首页!$B$12/P775</f>
        <v>0.69532757496605813</v>
      </c>
      <c r="L775" s="6">
        <f>首页!$B$9*0.0000000567*((C775^4-D775^4)/(C775-D775))</f>
        <v>7.7687338005019564</v>
      </c>
      <c r="M775" s="6">
        <f>IF(首页!$B$13="自然对流",IF(首页!$B$14="立式圆筒",首页!$B$10,PI()*B775/2),PI()*B775/2)</f>
        <v>55.2</v>
      </c>
      <c r="N775" s="7">
        <f>IF(首页!$B$13="强制对流",首页!$B$11*M775/H775,0)</f>
        <v>0</v>
      </c>
      <c r="O775" s="6">
        <f>IF(首页!$B$13="自然对流",IF(首页!$B$14="立式圆筒",(0.825+0.3063*I775^(1/6))^2+0.87*(M775/B775),(0.752+0.303*I775^(1/6))^2),0.3+SQRT((0.592*N775^0.5)^2+(0.0262*N775^0.8/(1-0.5/N775^0.1))^2))</f>
        <v>10048.137623416827</v>
      </c>
      <c r="P775" s="6">
        <f t="shared" si="113"/>
        <v>2.9510194925512497E-2</v>
      </c>
      <c r="Q775" s="6">
        <f t="shared" si="114"/>
        <v>5.3717844185762038</v>
      </c>
      <c r="R775" s="6">
        <f t="shared" si="115"/>
        <v>13.14051821907816</v>
      </c>
      <c r="S775" s="6">
        <f>B775*LN(B775/首页!$B$4)</f>
        <v>4.3609546900237826</v>
      </c>
      <c r="T775" s="6">
        <f>2*首页!$B$8*(E775-C775)/(R775*(C775-D775))</f>
        <v>7.1013781890430311E-2</v>
      </c>
      <c r="U775" t="str">
        <f>IF(首页!$B$13="自然对流","按自然对流公式", "按强制对流公式")</f>
        <v>按自然对流公式</v>
      </c>
      <c r="V775" s="6">
        <f t="shared" si="116"/>
        <v>4.2899409081333522</v>
      </c>
    </row>
    <row r="776" spans="1:22" x14ac:dyDescent="0.15">
      <c r="A776">
        <v>771</v>
      </c>
      <c r="B776" s="6">
        <f>首页!$B$4+2*A776/1000</f>
        <v>1.6619999999999999</v>
      </c>
      <c r="C776" s="6">
        <f>首页!$B$7+273.15</f>
        <v>388.15</v>
      </c>
      <c r="D776" s="6">
        <f>首页!$B$6+273.15</f>
        <v>293.14999999999998</v>
      </c>
      <c r="E776" s="6">
        <f>首页!$B$5+273.15</f>
        <v>1373.15</v>
      </c>
      <c r="F776" s="6">
        <f t="shared" si="108"/>
        <v>95</v>
      </c>
      <c r="G776" s="6">
        <f t="shared" si="109"/>
        <v>340.65</v>
      </c>
      <c r="H776" s="6">
        <f t="shared" si="110"/>
        <v>1.9926207055139041E-5</v>
      </c>
      <c r="I776" s="7">
        <f t="shared" si="111"/>
        <v>1158916576932337.8</v>
      </c>
      <c r="J776" s="6">
        <f t="shared" si="112"/>
        <v>1.0226038455893147</v>
      </c>
      <c r="K776" s="7">
        <f>J776*H776*首页!$B$12/P776</f>
        <v>0.69532757496605813</v>
      </c>
      <c r="L776" s="6">
        <f>首页!$B$9*0.0000000567*((C776^4-D776^4)/(C776-D776))</f>
        <v>7.7687338005019564</v>
      </c>
      <c r="M776" s="6">
        <f>IF(首页!$B$13="自然对流",IF(首页!$B$14="立式圆筒",首页!$B$10,PI()*B776/2),PI()*B776/2)</f>
        <v>55.2</v>
      </c>
      <c r="N776" s="7">
        <f>IF(首页!$B$13="强制对流",首页!$B$11*M776/H776,0)</f>
        <v>0</v>
      </c>
      <c r="O776" s="6">
        <f>IF(首页!$B$13="自然对流",IF(首页!$B$14="立式圆筒",(0.825+0.3063*I776^(1/6))^2+0.87*(M776/B776),(0.752+0.303*I776^(1/6))^2),0.3+SQRT((0.592*N776^0.5)^2+(0.0262*N776^0.8/(1-0.5/N776^0.1))^2))</f>
        <v>10048.102809794105</v>
      </c>
      <c r="P776" s="6">
        <f t="shared" si="113"/>
        <v>2.9510194925512497E-2</v>
      </c>
      <c r="Q776" s="6">
        <f t="shared" si="114"/>
        <v>5.3717658070401058</v>
      </c>
      <c r="R776" s="6">
        <f t="shared" si="115"/>
        <v>13.140499607542061</v>
      </c>
      <c r="S776" s="6">
        <f>B776*LN(B776/首页!$B$4)</f>
        <v>4.3682100566366238</v>
      </c>
      <c r="T776" s="6">
        <f>2*首页!$B$8*(E776-C776)/(R776*(C776-D776))</f>
        <v>7.1013882470743431E-2</v>
      </c>
      <c r="U776" t="str">
        <f>IF(首页!$B$13="自然对流","按自然对流公式", "按强制对流公式")</f>
        <v>按自然对流公式</v>
      </c>
      <c r="V776" s="6">
        <f t="shared" si="116"/>
        <v>4.2971961741658804</v>
      </c>
    </row>
    <row r="777" spans="1:22" x14ac:dyDescent="0.15">
      <c r="A777">
        <v>772</v>
      </c>
      <c r="B777" s="6">
        <f>首页!$B$4+2*A777/1000</f>
        <v>1.6640000000000001</v>
      </c>
      <c r="C777" s="6">
        <f>首页!$B$7+273.15</f>
        <v>388.15</v>
      </c>
      <c r="D777" s="6">
        <f>首页!$B$6+273.15</f>
        <v>293.14999999999998</v>
      </c>
      <c r="E777" s="6">
        <f>首页!$B$5+273.15</f>
        <v>1373.15</v>
      </c>
      <c r="F777" s="6">
        <f t="shared" si="108"/>
        <v>95</v>
      </c>
      <c r="G777" s="6">
        <f t="shared" si="109"/>
        <v>340.65</v>
      </c>
      <c r="H777" s="6">
        <f t="shared" si="110"/>
        <v>1.9926207055139041E-5</v>
      </c>
      <c r="I777" s="7">
        <f t="shared" si="111"/>
        <v>1158916576932337.8</v>
      </c>
      <c r="J777" s="6">
        <f t="shared" si="112"/>
        <v>1.0226038455893147</v>
      </c>
      <c r="K777" s="7">
        <f>J777*H777*首页!$B$12/P777</f>
        <v>0.69532757496605813</v>
      </c>
      <c r="L777" s="6">
        <f>首页!$B$9*0.0000000567*((C777^4-D777^4)/(C777-D777))</f>
        <v>7.7687338005019564</v>
      </c>
      <c r="M777" s="6">
        <f>IF(首页!$B$13="自然对流",IF(首页!$B$14="立式圆筒",首页!$B$10,PI()*B777/2),PI()*B777/2)</f>
        <v>55.2</v>
      </c>
      <c r="N777" s="7">
        <f>IF(首页!$B$13="强制对流",首页!$B$11*M777/H777,0)</f>
        <v>0</v>
      </c>
      <c r="O777" s="6">
        <f>IF(首页!$B$13="自然对流",IF(首页!$B$14="立式圆筒",(0.825+0.3063*I777^(1/6))^2+0.87*(M777/B777),(0.752+0.303*I777^(1/6))^2),0.3+SQRT((0.592*N777^0.5)^2+(0.0262*N777^0.8/(1-0.5/N777^0.1))^2))</f>
        <v>10048.068079857976</v>
      </c>
      <c r="P777" s="6">
        <f t="shared" si="113"/>
        <v>2.9510194925512497E-2</v>
      </c>
      <c r="Q777" s="6">
        <f t="shared" si="114"/>
        <v>5.3717472402432778</v>
      </c>
      <c r="R777" s="6">
        <f t="shared" si="115"/>
        <v>13.140481040745234</v>
      </c>
      <c r="S777" s="6">
        <f>B777*LN(B777/首页!$B$4)</f>
        <v>4.3754678299889163</v>
      </c>
      <c r="T777" s="6">
        <f>2*首页!$B$8*(E777-C777)/(R777*(C777-D777))</f>
        <v>7.1013982809560838E-2</v>
      </c>
      <c r="U777" t="str">
        <f>IF(首页!$B$13="自然对流","按自然对流公式", "按强制对流公式")</f>
        <v>按自然对流公式</v>
      </c>
      <c r="V777" s="6">
        <f t="shared" si="116"/>
        <v>4.3044538471793556</v>
      </c>
    </row>
    <row r="778" spans="1:22" x14ac:dyDescent="0.15">
      <c r="A778">
        <v>773</v>
      </c>
      <c r="B778" s="6">
        <f>首页!$B$4+2*A778/1000</f>
        <v>1.6659999999999999</v>
      </c>
      <c r="C778" s="6">
        <f>首页!$B$7+273.15</f>
        <v>388.15</v>
      </c>
      <c r="D778" s="6">
        <f>首页!$B$6+273.15</f>
        <v>293.14999999999998</v>
      </c>
      <c r="E778" s="6">
        <f>首页!$B$5+273.15</f>
        <v>1373.15</v>
      </c>
      <c r="F778" s="6">
        <f t="shared" si="108"/>
        <v>95</v>
      </c>
      <c r="G778" s="6">
        <f t="shared" si="109"/>
        <v>340.65</v>
      </c>
      <c r="H778" s="6">
        <f t="shared" si="110"/>
        <v>1.9926207055139041E-5</v>
      </c>
      <c r="I778" s="7">
        <f t="shared" si="111"/>
        <v>1158916576932337.8</v>
      </c>
      <c r="J778" s="6">
        <f t="shared" si="112"/>
        <v>1.0226038455893147</v>
      </c>
      <c r="K778" s="7">
        <f>J778*H778*首页!$B$12/P778</f>
        <v>0.69532757496605813</v>
      </c>
      <c r="L778" s="6">
        <f>首页!$B$9*0.0000000567*((C778^4-D778^4)/(C778-D778))</f>
        <v>7.7687338005019564</v>
      </c>
      <c r="M778" s="6">
        <f>IF(首页!$B$13="自然对流",IF(首页!$B$14="立式圆筒",首页!$B$10,PI()*B778/2),PI()*B778/2)</f>
        <v>55.2</v>
      </c>
      <c r="N778" s="7">
        <f>IF(首页!$B$13="强制对流",首页!$B$11*M778/H778,0)</f>
        <v>0</v>
      </c>
      <c r="O778" s="6">
        <f>IF(首页!$B$13="自然对流",IF(首页!$B$14="立式圆筒",(0.825+0.3063*I778^(1/6))^2+0.87*(M778/B778),(0.752+0.303*I778^(1/6))^2),0.3+SQRT((0.592*N778^0.5)^2+(0.0262*N778^0.8/(1-0.5/N778^0.1))^2))</f>
        <v>10048.03343330705</v>
      </c>
      <c r="P778" s="6">
        <f t="shared" si="113"/>
        <v>2.9510194925512497E-2</v>
      </c>
      <c r="Q778" s="6">
        <f t="shared" si="114"/>
        <v>5.3717287180245945</v>
      </c>
      <c r="R778" s="6">
        <f t="shared" si="115"/>
        <v>13.140462518526551</v>
      </c>
      <c r="S778" s="6">
        <f>B778*LN(B778/首页!$B$4)</f>
        <v>4.3827280071879393</v>
      </c>
      <c r="T778" s="6">
        <f>2*首页!$B$8*(E778-C778)/(R778*(C778-D778))</f>
        <v>7.1014082907751241E-2</v>
      </c>
      <c r="U778" t="str">
        <f>IF(首页!$B$13="自然对流","按自然对流公式", "按强制对流公式")</f>
        <v>按自然对流公式</v>
      </c>
      <c r="V778" s="6">
        <f t="shared" si="116"/>
        <v>4.3117139242801876</v>
      </c>
    </row>
    <row r="779" spans="1:22" x14ac:dyDescent="0.15">
      <c r="A779">
        <v>774</v>
      </c>
      <c r="B779" s="6">
        <f>首页!$B$4+2*A779/1000</f>
        <v>1.6680000000000001</v>
      </c>
      <c r="C779" s="6">
        <f>首页!$B$7+273.15</f>
        <v>388.15</v>
      </c>
      <c r="D779" s="6">
        <f>首页!$B$6+273.15</f>
        <v>293.14999999999998</v>
      </c>
      <c r="E779" s="6">
        <f>首页!$B$5+273.15</f>
        <v>1373.15</v>
      </c>
      <c r="F779" s="6">
        <f t="shared" si="108"/>
        <v>95</v>
      </c>
      <c r="G779" s="6">
        <f t="shared" si="109"/>
        <v>340.65</v>
      </c>
      <c r="H779" s="6">
        <f t="shared" si="110"/>
        <v>1.9926207055139041E-5</v>
      </c>
      <c r="I779" s="7">
        <f t="shared" si="111"/>
        <v>1158916576932337.8</v>
      </c>
      <c r="J779" s="6">
        <f t="shared" si="112"/>
        <v>1.0226038455893147</v>
      </c>
      <c r="K779" s="7">
        <f>J779*H779*首页!$B$12/P779</f>
        <v>0.69532757496605813</v>
      </c>
      <c r="L779" s="6">
        <f>首页!$B$9*0.0000000567*((C779^4-D779^4)/(C779-D779))</f>
        <v>7.7687338005019564</v>
      </c>
      <c r="M779" s="6">
        <f>IF(首页!$B$13="自然对流",IF(首页!$B$14="立式圆筒",首页!$B$10,PI()*B779/2),PI()*B779/2)</f>
        <v>55.2</v>
      </c>
      <c r="N779" s="7">
        <f>IF(首页!$B$13="强制对流",首页!$B$11*M779/H779,0)</f>
        <v>0</v>
      </c>
      <c r="O779" s="6">
        <f>IF(首页!$B$13="自然对流",IF(首页!$B$14="立式圆筒",(0.825+0.3063*I779^(1/6))^2+0.87*(M779/B779),(0.752+0.303*I779^(1/6))^2),0.3+SQRT((0.592*N779^0.5)^2+(0.0262*N779^0.8/(1-0.5/N779^0.1))^2))</f>
        <v>10047.998869841374</v>
      </c>
      <c r="P779" s="6">
        <f t="shared" si="113"/>
        <v>2.9510194925512497E-2</v>
      </c>
      <c r="Q779" s="6">
        <f t="shared" si="114"/>
        <v>5.3717102402236998</v>
      </c>
      <c r="R779" s="6">
        <f t="shared" si="115"/>
        <v>13.140444040725656</v>
      </c>
      <c r="S779" s="6">
        <f>B779*LN(B779/首页!$B$4)</f>
        <v>4.3899905853479257</v>
      </c>
      <c r="T779" s="6">
        <f>2*首页!$B$8*(E779-C779)/(R779*(C779-D779))</f>
        <v>7.1014182766179212E-2</v>
      </c>
      <c r="U779" t="str">
        <f>IF(首页!$B$13="自然对流","按自然对流公式", "按强制对流公式")</f>
        <v>按自然对流公式</v>
      </c>
      <c r="V779" s="6">
        <f t="shared" si="116"/>
        <v>4.3189764025817468</v>
      </c>
    </row>
    <row r="780" spans="1:22" x14ac:dyDescent="0.15">
      <c r="A780">
        <v>775</v>
      </c>
      <c r="B780" s="6">
        <f>首页!$B$4+2*A780/1000</f>
        <v>1.67</v>
      </c>
      <c r="C780" s="6">
        <f>首页!$B$7+273.15</f>
        <v>388.15</v>
      </c>
      <c r="D780" s="6">
        <f>首页!$B$6+273.15</f>
        <v>293.14999999999998</v>
      </c>
      <c r="E780" s="6">
        <f>首页!$B$5+273.15</f>
        <v>1373.15</v>
      </c>
      <c r="F780" s="6">
        <f t="shared" si="108"/>
        <v>95</v>
      </c>
      <c r="G780" s="6">
        <f t="shared" si="109"/>
        <v>340.65</v>
      </c>
      <c r="H780" s="6">
        <f t="shared" si="110"/>
        <v>1.9926207055139041E-5</v>
      </c>
      <c r="I780" s="7">
        <f t="shared" si="111"/>
        <v>1158916576932337.8</v>
      </c>
      <c r="J780" s="6">
        <f t="shared" si="112"/>
        <v>1.0226038455893147</v>
      </c>
      <c r="K780" s="7">
        <f>J780*H780*首页!$B$12/P780</f>
        <v>0.69532757496605813</v>
      </c>
      <c r="L780" s="6">
        <f>首页!$B$9*0.0000000567*((C780^4-D780^4)/(C780-D780))</f>
        <v>7.7687338005019564</v>
      </c>
      <c r="M780" s="6">
        <f>IF(首页!$B$13="自然对流",IF(首页!$B$14="立式圆筒",首页!$B$10,PI()*B780/2),PI()*B780/2)</f>
        <v>55.2</v>
      </c>
      <c r="N780" s="7">
        <f>IF(首页!$B$13="强制对流",首页!$B$11*M780/H780,0)</f>
        <v>0</v>
      </c>
      <c r="O780" s="6">
        <f>IF(首页!$B$13="自然对流",IF(首页!$B$14="立式圆筒",(0.825+0.3063*I780^(1/6))^2+0.87*(M780/B780),(0.752+0.303*I780^(1/6))^2),0.3+SQRT((0.592*N780^0.5)^2+(0.0262*N780^0.8/(1-0.5/N780^0.1))^2))</f>
        <v>10047.964389162446</v>
      </c>
      <c r="P780" s="6">
        <f t="shared" si="113"/>
        <v>2.9510194925512497E-2</v>
      </c>
      <c r="Q780" s="6">
        <f t="shared" si="114"/>
        <v>5.3716918066810111</v>
      </c>
      <c r="R780" s="6">
        <f t="shared" si="115"/>
        <v>13.140425607182967</v>
      </c>
      <c r="S780" s="6">
        <f>B780*LN(B780/首页!$B$4)</f>
        <v>4.3972555615900202</v>
      </c>
      <c r="T780" s="6">
        <f>2*首页!$B$8*(E780-C780)/(R780*(C780-D780))</f>
        <v>7.1014282385705133E-2</v>
      </c>
      <c r="U780" t="str">
        <f>IF(首页!$B$13="自然对流","按自然对流公式", "按强制对流公式")</f>
        <v>按自然对流公式</v>
      </c>
      <c r="V780" s="6">
        <f t="shared" si="116"/>
        <v>4.3262412792043152</v>
      </c>
    </row>
    <row r="781" spans="1:22" x14ac:dyDescent="0.15">
      <c r="A781">
        <v>776</v>
      </c>
      <c r="B781" s="6">
        <f>首页!$B$4+2*A781/1000</f>
        <v>1.6720000000000002</v>
      </c>
      <c r="C781" s="6">
        <f>首页!$B$7+273.15</f>
        <v>388.15</v>
      </c>
      <c r="D781" s="6">
        <f>首页!$B$6+273.15</f>
        <v>293.14999999999998</v>
      </c>
      <c r="E781" s="6">
        <f>首页!$B$5+273.15</f>
        <v>1373.15</v>
      </c>
      <c r="F781" s="6">
        <f t="shared" si="108"/>
        <v>95</v>
      </c>
      <c r="G781" s="6">
        <f t="shared" si="109"/>
        <v>340.65</v>
      </c>
      <c r="H781" s="6">
        <f t="shared" si="110"/>
        <v>1.9926207055139041E-5</v>
      </c>
      <c r="I781" s="7">
        <f t="shared" si="111"/>
        <v>1158916576932337.8</v>
      </c>
      <c r="J781" s="6">
        <f t="shared" si="112"/>
        <v>1.0226038455893147</v>
      </c>
      <c r="K781" s="7">
        <f>J781*H781*首页!$B$12/P781</f>
        <v>0.69532757496605813</v>
      </c>
      <c r="L781" s="6">
        <f>首页!$B$9*0.0000000567*((C781^4-D781^4)/(C781-D781))</f>
        <v>7.7687338005019564</v>
      </c>
      <c r="M781" s="6">
        <f>IF(首页!$B$13="自然对流",IF(首页!$B$14="立式圆筒",首页!$B$10,PI()*B781/2),PI()*B781/2)</f>
        <v>55.2</v>
      </c>
      <c r="N781" s="7">
        <f>IF(首页!$B$13="强制对流",首页!$B$11*M781/H781,0)</f>
        <v>0</v>
      </c>
      <c r="O781" s="6">
        <f>IF(首页!$B$13="自然对流",IF(首页!$B$14="立式圆筒",(0.825+0.3063*I781^(1/6))^2+0.87*(M781/B781),(0.752+0.303*I781^(1/6))^2),0.3+SQRT((0.592*N781^0.5)^2+(0.0262*N781^0.8/(1-0.5/N781^0.1))^2))</f>
        <v>10047.929990973178</v>
      </c>
      <c r="P781" s="6">
        <f t="shared" si="113"/>
        <v>2.9510194925512497E-2</v>
      </c>
      <c r="Q781" s="6">
        <f t="shared" si="114"/>
        <v>5.3716734172377079</v>
      </c>
      <c r="R781" s="6">
        <f t="shared" si="115"/>
        <v>13.140407217739664</v>
      </c>
      <c r="S781" s="6">
        <f>B781*LN(B781/首页!$B$4)</f>
        <v>4.4045229330422693</v>
      </c>
      <c r="T781" s="6">
        <f>2*首页!$B$8*(E781-C781)/(R781*(C781-D781))</f>
        <v>7.1014381767185331E-2</v>
      </c>
      <c r="U781" t="str">
        <f>IF(首页!$B$13="自然对流","按自然对流公式", "按强制对流公式")</f>
        <v>按自然对流公式</v>
      </c>
      <c r="V781" s="6">
        <f t="shared" si="116"/>
        <v>4.3335085512750844</v>
      </c>
    </row>
    <row r="782" spans="1:22" x14ac:dyDescent="0.15">
      <c r="A782">
        <v>777</v>
      </c>
      <c r="B782" s="6">
        <f>首页!$B$4+2*A782/1000</f>
        <v>1.6739999999999999</v>
      </c>
      <c r="C782" s="6">
        <f>首页!$B$7+273.15</f>
        <v>388.15</v>
      </c>
      <c r="D782" s="6">
        <f>首页!$B$6+273.15</f>
        <v>293.14999999999998</v>
      </c>
      <c r="E782" s="6">
        <f>首页!$B$5+273.15</f>
        <v>1373.15</v>
      </c>
      <c r="F782" s="6">
        <f t="shared" si="108"/>
        <v>95</v>
      </c>
      <c r="G782" s="6">
        <f t="shared" si="109"/>
        <v>340.65</v>
      </c>
      <c r="H782" s="6">
        <f t="shared" si="110"/>
        <v>1.9926207055139041E-5</v>
      </c>
      <c r="I782" s="7">
        <f t="shared" si="111"/>
        <v>1158916576932337.8</v>
      </c>
      <c r="J782" s="6">
        <f t="shared" si="112"/>
        <v>1.0226038455893147</v>
      </c>
      <c r="K782" s="7">
        <f>J782*H782*首页!$B$12/P782</f>
        <v>0.69532757496605813</v>
      </c>
      <c r="L782" s="6">
        <f>首页!$B$9*0.0000000567*((C782^4-D782^4)/(C782-D782))</f>
        <v>7.7687338005019564</v>
      </c>
      <c r="M782" s="6">
        <f>IF(首页!$B$13="自然对流",IF(首页!$B$14="立式圆筒",首页!$B$10,PI()*B782/2),PI()*B782/2)</f>
        <v>55.2</v>
      </c>
      <c r="N782" s="7">
        <f>IF(首页!$B$13="强制对流",首页!$B$11*M782/H782,0)</f>
        <v>0</v>
      </c>
      <c r="O782" s="6">
        <f>IF(首页!$B$13="自然对流",IF(首页!$B$14="立式圆筒",(0.825+0.3063*I782^(1/6))^2+0.87*(M782/B782),(0.752+0.303*I782^(1/6))^2),0.3+SQRT((0.592*N782^0.5)^2+(0.0262*N782^0.8/(1-0.5/N782^0.1))^2))</f>
        <v>10047.89567497791</v>
      </c>
      <c r="P782" s="6">
        <f t="shared" si="113"/>
        <v>2.9510194925512497E-2</v>
      </c>
      <c r="Q782" s="6">
        <f t="shared" si="114"/>
        <v>5.3716550717357263</v>
      </c>
      <c r="R782" s="6">
        <f t="shared" si="115"/>
        <v>13.140388872237683</v>
      </c>
      <c r="S782" s="6">
        <f>B782*LN(B782/首页!$B$4)</f>
        <v>4.4117926968395844</v>
      </c>
      <c r="T782" s="6">
        <f>2*首页!$B$8*(E782-C782)/(R782*(C782-D782))</f>
        <v>7.1014480911472014E-2</v>
      </c>
      <c r="U782" t="str">
        <f>IF(首页!$B$13="自然对流","按自然对流公式", "按强制对流公式")</f>
        <v>按自然对流公式</v>
      </c>
      <c r="V782" s="6">
        <f t="shared" si="116"/>
        <v>4.3407782159281121</v>
      </c>
    </row>
    <row r="783" spans="1:22" x14ac:dyDescent="0.15">
      <c r="A783">
        <v>778</v>
      </c>
      <c r="B783" s="6">
        <f>首页!$B$4+2*A783/1000</f>
        <v>1.6760000000000002</v>
      </c>
      <c r="C783" s="6">
        <f>首页!$B$7+273.15</f>
        <v>388.15</v>
      </c>
      <c r="D783" s="6">
        <f>首页!$B$6+273.15</f>
        <v>293.14999999999998</v>
      </c>
      <c r="E783" s="6">
        <f>首页!$B$5+273.15</f>
        <v>1373.15</v>
      </c>
      <c r="F783" s="6">
        <f t="shared" si="108"/>
        <v>95</v>
      </c>
      <c r="G783" s="6">
        <f t="shared" si="109"/>
        <v>340.65</v>
      </c>
      <c r="H783" s="6">
        <f t="shared" si="110"/>
        <v>1.9926207055139041E-5</v>
      </c>
      <c r="I783" s="7">
        <f t="shared" si="111"/>
        <v>1158916576932337.8</v>
      </c>
      <c r="J783" s="6">
        <f t="shared" si="112"/>
        <v>1.0226038455893147</v>
      </c>
      <c r="K783" s="7">
        <f>J783*H783*首页!$B$12/P783</f>
        <v>0.69532757496605813</v>
      </c>
      <c r="L783" s="6">
        <f>首页!$B$9*0.0000000567*((C783^4-D783^4)/(C783-D783))</f>
        <v>7.7687338005019564</v>
      </c>
      <c r="M783" s="6">
        <f>IF(首页!$B$13="自然对流",IF(首页!$B$14="立式圆筒",首页!$B$10,PI()*B783/2),PI()*B783/2)</f>
        <v>55.2</v>
      </c>
      <c r="N783" s="7">
        <f>IF(首页!$B$13="强制对流",首页!$B$11*M783/H783,0)</f>
        <v>0</v>
      </c>
      <c r="O783" s="6">
        <f>IF(首页!$B$13="自然对流",IF(首页!$B$14="立式圆筒",(0.825+0.3063*I783^(1/6))^2+0.87*(M783/B783),(0.752+0.303*I783^(1/6))^2),0.3+SQRT((0.592*N783^0.5)^2+(0.0262*N783^0.8/(1-0.5/N783^0.1))^2))</f>
        <v>10047.861440882394</v>
      </c>
      <c r="P783" s="6">
        <f t="shared" si="113"/>
        <v>2.9510194925512497E-2</v>
      </c>
      <c r="Q783" s="6">
        <f t="shared" si="114"/>
        <v>5.3716367700177585</v>
      </c>
      <c r="R783" s="6">
        <f t="shared" si="115"/>
        <v>13.140370570519714</v>
      </c>
      <c r="S783" s="6">
        <f>B783*LN(B783/首页!$B$4)</f>
        <v>4.4190648501237311</v>
      </c>
      <c r="T783" s="6">
        <f>2*首页!$B$8*(E783-C783)/(R783*(C783-D783))</f>
        <v>7.1014579819413337E-2</v>
      </c>
      <c r="U783" t="str">
        <f>IF(首页!$B$13="自然对流","按自然对流公式", "按强制对流公式")</f>
        <v>按自然对流公式</v>
      </c>
      <c r="V783" s="6">
        <f t="shared" si="116"/>
        <v>4.3480502703043173</v>
      </c>
    </row>
    <row r="784" spans="1:22" x14ac:dyDescent="0.15">
      <c r="A784">
        <v>779</v>
      </c>
      <c r="B784" s="6">
        <f>首页!$B$4+2*A784/1000</f>
        <v>1.6779999999999999</v>
      </c>
      <c r="C784" s="6">
        <f>首页!$B$7+273.15</f>
        <v>388.15</v>
      </c>
      <c r="D784" s="6">
        <f>首页!$B$6+273.15</f>
        <v>293.14999999999998</v>
      </c>
      <c r="E784" s="6">
        <f>首页!$B$5+273.15</f>
        <v>1373.15</v>
      </c>
      <c r="F784" s="6">
        <f t="shared" si="108"/>
        <v>95</v>
      </c>
      <c r="G784" s="6">
        <f t="shared" si="109"/>
        <v>340.65</v>
      </c>
      <c r="H784" s="6">
        <f t="shared" si="110"/>
        <v>1.9926207055139041E-5</v>
      </c>
      <c r="I784" s="7">
        <f t="shared" si="111"/>
        <v>1158916576932337.8</v>
      </c>
      <c r="J784" s="6">
        <f t="shared" si="112"/>
        <v>1.0226038455893147</v>
      </c>
      <c r="K784" s="7">
        <f>J784*H784*首页!$B$12/P784</f>
        <v>0.69532757496605813</v>
      </c>
      <c r="L784" s="6">
        <f>首页!$B$9*0.0000000567*((C784^4-D784^4)/(C784-D784))</f>
        <v>7.7687338005019564</v>
      </c>
      <c r="M784" s="6">
        <f>IF(首页!$B$13="自然对流",IF(首页!$B$14="立式圆筒",首页!$B$10,PI()*B784/2),PI()*B784/2)</f>
        <v>55.2</v>
      </c>
      <c r="N784" s="7">
        <f>IF(首页!$B$13="强制对流",首页!$B$11*M784/H784,0)</f>
        <v>0</v>
      </c>
      <c r="O784" s="6">
        <f>IF(首页!$B$13="自然对流",IF(首页!$B$14="立式圆筒",(0.825+0.3063*I784^(1/6))^2+0.87*(M784/B784),(0.752+0.303*I784^(1/6))^2),0.3+SQRT((0.592*N784^0.5)^2+(0.0262*N784^0.8/(1-0.5/N784^0.1))^2))</f>
        <v>10047.827288393779</v>
      </c>
      <c r="P784" s="6">
        <f t="shared" si="113"/>
        <v>2.9510194925512497E-2</v>
      </c>
      <c r="Q784" s="6">
        <f t="shared" si="114"/>
        <v>5.3716185119272479</v>
      </c>
      <c r="R784" s="6">
        <f t="shared" si="115"/>
        <v>13.140352312429204</v>
      </c>
      <c r="S784" s="6">
        <f>B784*LN(B784/首页!$B$4)</f>
        <v>4.426339390043287</v>
      </c>
      <c r="T784" s="6">
        <f>2*首页!$B$8*(E784-C784)/(R784*(C784-D784))</f>
        <v>7.1014678491853389E-2</v>
      </c>
      <c r="U784" t="str">
        <f>IF(首页!$B$13="自然对流","按自然对流公式", "按强制对流公式")</f>
        <v>按自然对流公式</v>
      </c>
      <c r="V784" s="6">
        <f t="shared" si="116"/>
        <v>4.3553247115514333</v>
      </c>
    </row>
    <row r="785" spans="1:22" x14ac:dyDescent="0.15">
      <c r="A785">
        <v>780</v>
      </c>
      <c r="B785" s="6">
        <f>首页!$B$4+2*A785/1000</f>
        <v>1.6800000000000002</v>
      </c>
      <c r="C785" s="6">
        <f>首页!$B$7+273.15</f>
        <v>388.15</v>
      </c>
      <c r="D785" s="6">
        <f>首页!$B$6+273.15</f>
        <v>293.14999999999998</v>
      </c>
      <c r="E785" s="6">
        <f>首页!$B$5+273.15</f>
        <v>1373.15</v>
      </c>
      <c r="F785" s="6">
        <f t="shared" si="108"/>
        <v>95</v>
      </c>
      <c r="G785" s="6">
        <f t="shared" si="109"/>
        <v>340.65</v>
      </c>
      <c r="H785" s="6">
        <f t="shared" si="110"/>
        <v>1.9926207055139041E-5</v>
      </c>
      <c r="I785" s="7">
        <f t="shared" si="111"/>
        <v>1158916576932337.8</v>
      </c>
      <c r="J785" s="6">
        <f t="shared" si="112"/>
        <v>1.0226038455893147</v>
      </c>
      <c r="K785" s="7">
        <f>J785*H785*首页!$B$12/P785</f>
        <v>0.69532757496605813</v>
      </c>
      <c r="L785" s="6">
        <f>首页!$B$9*0.0000000567*((C785^4-D785^4)/(C785-D785))</f>
        <v>7.7687338005019564</v>
      </c>
      <c r="M785" s="6">
        <f>IF(首页!$B$13="自然对流",IF(首页!$B$14="立式圆筒",首页!$B$10,PI()*B785/2),PI()*B785/2)</f>
        <v>55.2</v>
      </c>
      <c r="N785" s="7">
        <f>IF(首页!$B$13="强制对流",首页!$B$11*M785/H785,0)</f>
        <v>0</v>
      </c>
      <c r="O785" s="6">
        <f>IF(首页!$B$13="自然对流",IF(首页!$B$14="立式圆筒",(0.825+0.3063*I785^(1/6))^2+0.87*(M785/B785),(0.752+0.303*I785^(1/6))^2),0.3+SQRT((0.592*N785^0.5)^2+(0.0262*N785^0.8/(1-0.5/N785^0.1))^2))</f>
        <v>10047.793217220615</v>
      </c>
      <c r="P785" s="6">
        <f t="shared" si="113"/>
        <v>2.9510194925512497E-2</v>
      </c>
      <c r="Q785" s="6">
        <f t="shared" si="114"/>
        <v>5.3716002973083814</v>
      </c>
      <c r="R785" s="6">
        <f t="shared" si="115"/>
        <v>13.140334097810339</v>
      </c>
      <c r="S785" s="6">
        <f>B785*LN(B785/首页!$B$4)</f>
        <v>4.4336163137536353</v>
      </c>
      <c r="T785" s="6">
        <f>2*首页!$B$8*(E785-C785)/(R785*(C785-D785))</f>
        <v>7.1014776929632289E-2</v>
      </c>
      <c r="U785" t="str">
        <f>IF(首页!$B$13="自然对流","按自然对流公式", "按强制对流公式")</f>
        <v>按自然对流公式</v>
      </c>
      <c r="V785" s="6">
        <f t="shared" si="116"/>
        <v>4.3626015368240028</v>
      </c>
    </row>
    <row r="786" spans="1:22" x14ac:dyDescent="0.15">
      <c r="A786">
        <v>781</v>
      </c>
      <c r="B786" s="6">
        <f>首页!$B$4+2*A786/1000</f>
        <v>1.6819999999999999</v>
      </c>
      <c r="C786" s="6">
        <f>首页!$B$7+273.15</f>
        <v>388.15</v>
      </c>
      <c r="D786" s="6">
        <f>首页!$B$6+273.15</f>
        <v>293.14999999999998</v>
      </c>
      <c r="E786" s="6">
        <f>首页!$B$5+273.15</f>
        <v>1373.15</v>
      </c>
      <c r="F786" s="6">
        <f t="shared" si="108"/>
        <v>95</v>
      </c>
      <c r="G786" s="6">
        <f t="shared" si="109"/>
        <v>340.65</v>
      </c>
      <c r="H786" s="6">
        <f t="shared" si="110"/>
        <v>1.9926207055139041E-5</v>
      </c>
      <c r="I786" s="7">
        <f t="shared" si="111"/>
        <v>1158916576932337.8</v>
      </c>
      <c r="J786" s="6">
        <f t="shared" si="112"/>
        <v>1.0226038455893147</v>
      </c>
      <c r="K786" s="7">
        <f>J786*H786*首页!$B$12/P786</f>
        <v>0.69532757496605813</v>
      </c>
      <c r="L786" s="6">
        <f>首页!$B$9*0.0000000567*((C786^4-D786^4)/(C786-D786))</f>
        <v>7.7687338005019564</v>
      </c>
      <c r="M786" s="6">
        <f>IF(首页!$B$13="自然对流",IF(首页!$B$14="立式圆筒",首页!$B$10,PI()*B786/2),PI()*B786/2)</f>
        <v>55.2</v>
      </c>
      <c r="N786" s="7">
        <f>IF(首页!$B$13="强制对流",首页!$B$11*M786/H786,0)</f>
        <v>0</v>
      </c>
      <c r="O786" s="6">
        <f>IF(首页!$B$13="自然对流",IF(首页!$B$14="立式圆筒",(0.825+0.3063*I786^(1/6))^2+0.87*(M786/B786),(0.752+0.303*I786^(1/6))^2),0.3+SQRT((0.592*N786^0.5)^2+(0.0262*N786^0.8/(1-0.5/N786^0.1))^2))</f>
        <v>10047.759227072831</v>
      </c>
      <c r="P786" s="6">
        <f t="shared" si="113"/>
        <v>2.9510194925512497E-2</v>
      </c>
      <c r="Q786" s="6">
        <f t="shared" si="114"/>
        <v>5.3715821260060865</v>
      </c>
      <c r="R786" s="6">
        <f t="shared" si="115"/>
        <v>13.140315926508043</v>
      </c>
      <c r="S786" s="6">
        <f>B786*LN(B786/首页!$B$4)</f>
        <v>4.440895618416925</v>
      </c>
      <c r="T786" s="6">
        <f>2*首页!$B$8*(E786-C786)/(R786*(C786-D786))</f>
        <v>7.1014875133586161E-2</v>
      </c>
      <c r="U786" t="str">
        <f>IF(首页!$B$13="自然对流","按自然对流公式", "按强制对流公式")</f>
        <v>按自然对流公式</v>
      </c>
      <c r="V786" s="6">
        <f t="shared" si="116"/>
        <v>4.3698807432833391</v>
      </c>
    </row>
    <row r="787" spans="1:22" x14ac:dyDescent="0.15">
      <c r="A787">
        <v>782</v>
      </c>
      <c r="B787" s="6">
        <f>首页!$B$4+2*A787/1000</f>
        <v>1.6840000000000002</v>
      </c>
      <c r="C787" s="6">
        <f>首页!$B$7+273.15</f>
        <v>388.15</v>
      </c>
      <c r="D787" s="6">
        <f>首页!$B$6+273.15</f>
        <v>293.14999999999998</v>
      </c>
      <c r="E787" s="6">
        <f>首页!$B$5+273.15</f>
        <v>1373.15</v>
      </c>
      <c r="F787" s="6">
        <f t="shared" si="108"/>
        <v>95</v>
      </c>
      <c r="G787" s="6">
        <f t="shared" si="109"/>
        <v>340.65</v>
      </c>
      <c r="H787" s="6">
        <f t="shared" si="110"/>
        <v>1.9926207055139041E-5</v>
      </c>
      <c r="I787" s="7">
        <f t="shared" si="111"/>
        <v>1158916576932337.8</v>
      </c>
      <c r="J787" s="6">
        <f t="shared" si="112"/>
        <v>1.0226038455893147</v>
      </c>
      <c r="K787" s="7">
        <f>J787*H787*首页!$B$12/P787</f>
        <v>0.69532757496605813</v>
      </c>
      <c r="L787" s="6">
        <f>首页!$B$9*0.0000000567*((C787^4-D787^4)/(C787-D787))</f>
        <v>7.7687338005019564</v>
      </c>
      <c r="M787" s="6">
        <f>IF(首页!$B$13="自然对流",IF(首页!$B$14="立式圆筒",首页!$B$10,PI()*B787/2),PI()*B787/2)</f>
        <v>55.2</v>
      </c>
      <c r="N787" s="7">
        <f>IF(首页!$B$13="强制对流",首页!$B$11*M787/H787,0)</f>
        <v>0</v>
      </c>
      <c r="O787" s="6">
        <f>IF(首页!$B$13="自然对流",IF(首页!$B$14="立式圆筒",(0.825+0.3063*I787^(1/6))^2+0.87*(M787/B787),(0.752+0.303*I787^(1/6))^2),0.3+SQRT((0.592*N787^0.5)^2+(0.0262*N787^0.8/(1-0.5/N787^0.1))^2))</f>
        <v>10047.725317661741</v>
      </c>
      <c r="P787" s="6">
        <f t="shared" si="113"/>
        <v>2.9510194925512497E-2</v>
      </c>
      <c r="Q787" s="6">
        <f t="shared" si="114"/>
        <v>5.3715639978660308</v>
      </c>
      <c r="R787" s="6">
        <f t="shared" si="115"/>
        <v>13.140297798367987</v>
      </c>
      <c r="S787" s="6">
        <f>B787*LN(B787/首页!$B$4)</f>
        <v>4.4481773012020609</v>
      </c>
      <c r="T787" s="6">
        <f>2*首页!$B$8*(E787-C787)/(R787*(C787-D787))</f>
        <v>7.1014973104547116E-2</v>
      </c>
      <c r="U787" t="str">
        <f>IF(首页!$B$13="自然对流","按自然对流公式", "按强制对流公式")</f>
        <v>按自然对流公式</v>
      </c>
      <c r="V787" s="6">
        <f t="shared" si="116"/>
        <v>4.3771623280975138</v>
      </c>
    </row>
    <row r="788" spans="1:22" x14ac:dyDescent="0.15">
      <c r="A788">
        <v>783</v>
      </c>
      <c r="B788" s="6">
        <f>首页!$B$4+2*A788/1000</f>
        <v>1.6859999999999999</v>
      </c>
      <c r="C788" s="6">
        <f>首页!$B$7+273.15</f>
        <v>388.15</v>
      </c>
      <c r="D788" s="6">
        <f>首页!$B$6+273.15</f>
        <v>293.14999999999998</v>
      </c>
      <c r="E788" s="6">
        <f>首页!$B$5+273.15</f>
        <v>1373.15</v>
      </c>
      <c r="F788" s="6">
        <f t="shared" si="108"/>
        <v>95</v>
      </c>
      <c r="G788" s="6">
        <f t="shared" si="109"/>
        <v>340.65</v>
      </c>
      <c r="H788" s="6">
        <f t="shared" si="110"/>
        <v>1.9926207055139041E-5</v>
      </c>
      <c r="I788" s="7">
        <f t="shared" si="111"/>
        <v>1158916576932337.8</v>
      </c>
      <c r="J788" s="6">
        <f t="shared" si="112"/>
        <v>1.0226038455893147</v>
      </c>
      <c r="K788" s="7">
        <f>J788*H788*首页!$B$12/P788</f>
        <v>0.69532757496605813</v>
      </c>
      <c r="L788" s="6">
        <f>首页!$B$9*0.0000000567*((C788^4-D788^4)/(C788-D788))</f>
        <v>7.7687338005019564</v>
      </c>
      <c r="M788" s="6">
        <f>IF(首页!$B$13="自然对流",IF(首页!$B$14="立式圆筒",首页!$B$10,PI()*B788/2),PI()*B788/2)</f>
        <v>55.2</v>
      </c>
      <c r="N788" s="7">
        <f>IF(首页!$B$13="强制对流",首页!$B$11*M788/H788,0)</f>
        <v>0</v>
      </c>
      <c r="O788" s="6">
        <f>IF(首页!$B$13="自然对流",IF(首页!$B$14="立式圆筒",(0.825+0.3063*I788^(1/6))^2+0.87*(M788/B788),(0.752+0.303*I788^(1/6))^2),0.3+SQRT((0.592*N788^0.5)^2+(0.0262*N788^0.8/(1-0.5/N788^0.1))^2))</f>
        <v>10047.691488700024</v>
      </c>
      <c r="P788" s="6">
        <f t="shared" si="113"/>
        <v>2.9510194925512497E-2</v>
      </c>
      <c r="Q788" s="6">
        <f t="shared" si="114"/>
        <v>5.3715459127346117</v>
      </c>
      <c r="R788" s="6">
        <f t="shared" si="115"/>
        <v>13.140279713236568</v>
      </c>
      <c r="S788" s="6">
        <f>B788*LN(B788/首页!$B$4)</f>
        <v>4.4554613592846666</v>
      </c>
      <c r="T788" s="6">
        <f>2*首页!$B$8*(E788-C788)/(R788*(C788-D788))</f>
        <v>7.1015070843343339E-2</v>
      </c>
      <c r="U788" t="str">
        <f>IF(首页!$B$13="自然对流","按自然对流公式", "按强制对流公式")</f>
        <v>按自然对流公式</v>
      </c>
      <c r="V788" s="6">
        <f t="shared" si="116"/>
        <v>4.3844462884413229</v>
      </c>
    </row>
    <row r="789" spans="1:22" x14ac:dyDescent="0.15">
      <c r="A789">
        <v>784</v>
      </c>
      <c r="B789" s="6">
        <f>首页!$B$4+2*A789/1000</f>
        <v>1.6880000000000002</v>
      </c>
      <c r="C789" s="6">
        <f>首页!$B$7+273.15</f>
        <v>388.15</v>
      </c>
      <c r="D789" s="6">
        <f>首页!$B$6+273.15</f>
        <v>293.14999999999998</v>
      </c>
      <c r="E789" s="6">
        <f>首页!$B$5+273.15</f>
        <v>1373.15</v>
      </c>
      <c r="F789" s="6">
        <f t="shared" si="108"/>
        <v>95</v>
      </c>
      <c r="G789" s="6">
        <f t="shared" si="109"/>
        <v>340.65</v>
      </c>
      <c r="H789" s="6">
        <f t="shared" si="110"/>
        <v>1.9926207055139041E-5</v>
      </c>
      <c r="I789" s="7">
        <f t="shared" si="111"/>
        <v>1158916576932337.8</v>
      </c>
      <c r="J789" s="6">
        <f t="shared" si="112"/>
        <v>1.0226038455893147</v>
      </c>
      <c r="K789" s="7">
        <f>J789*H789*首页!$B$12/P789</f>
        <v>0.69532757496605813</v>
      </c>
      <c r="L789" s="6">
        <f>首页!$B$9*0.0000000567*((C789^4-D789^4)/(C789-D789))</f>
        <v>7.7687338005019564</v>
      </c>
      <c r="M789" s="6">
        <f>IF(首页!$B$13="自然对流",IF(首页!$B$14="立式圆筒",首页!$B$10,PI()*B789/2),PI()*B789/2)</f>
        <v>55.2</v>
      </c>
      <c r="N789" s="7">
        <f>IF(首页!$B$13="强制对流",首页!$B$11*M789/H789,0)</f>
        <v>0</v>
      </c>
      <c r="O789" s="6">
        <f>IF(首页!$B$13="自然对流",IF(首页!$B$14="立式圆筒",(0.825+0.3063*I789^(1/6))^2+0.87*(M789/B789),(0.752+0.303*I789^(1/6))^2),0.3+SQRT((0.592*N789^0.5)^2+(0.0262*N789^0.8/(1-0.5/N789^0.1))^2))</f>
        <v>10047.657739901724</v>
      </c>
      <c r="P789" s="6">
        <f t="shared" si="113"/>
        <v>2.9510194925512497E-2</v>
      </c>
      <c r="Q789" s="6">
        <f t="shared" si="114"/>
        <v>5.3715278704589533</v>
      </c>
      <c r="R789" s="6">
        <f t="shared" si="115"/>
        <v>13.140261670960911</v>
      </c>
      <c r="S789" s="6">
        <f>B789*LN(B789/首页!$B$4)</f>
        <v>4.4627477898470707</v>
      </c>
      <c r="T789" s="6">
        <f>2*首页!$B$8*(E789-C789)/(R789*(C789-D789))</f>
        <v>7.1015168350799129E-2</v>
      </c>
      <c r="U789" t="str">
        <f>IF(首页!$B$13="自然对流","按自然对流公式", "按强制对流公式")</f>
        <v>按自然对流公式</v>
      </c>
      <c r="V789" s="6">
        <f t="shared" si="116"/>
        <v>4.3917326214962715</v>
      </c>
    </row>
    <row r="790" spans="1:22" x14ac:dyDescent="0.15">
      <c r="A790">
        <v>785</v>
      </c>
      <c r="B790" s="6">
        <f>首页!$B$4+2*A790/1000</f>
        <v>1.69</v>
      </c>
      <c r="C790" s="6">
        <f>首页!$B$7+273.15</f>
        <v>388.15</v>
      </c>
      <c r="D790" s="6">
        <f>首页!$B$6+273.15</f>
        <v>293.14999999999998</v>
      </c>
      <c r="E790" s="6">
        <f>首页!$B$5+273.15</f>
        <v>1373.15</v>
      </c>
      <c r="F790" s="6">
        <f t="shared" si="108"/>
        <v>95</v>
      </c>
      <c r="G790" s="6">
        <f t="shared" si="109"/>
        <v>340.65</v>
      </c>
      <c r="H790" s="6">
        <f t="shared" si="110"/>
        <v>1.9926207055139041E-5</v>
      </c>
      <c r="I790" s="7">
        <f t="shared" si="111"/>
        <v>1158916576932337.8</v>
      </c>
      <c r="J790" s="6">
        <f t="shared" si="112"/>
        <v>1.0226038455893147</v>
      </c>
      <c r="K790" s="7">
        <f>J790*H790*首页!$B$12/P790</f>
        <v>0.69532757496605813</v>
      </c>
      <c r="L790" s="6">
        <f>首页!$B$9*0.0000000567*((C790^4-D790^4)/(C790-D790))</f>
        <v>7.7687338005019564</v>
      </c>
      <c r="M790" s="6">
        <f>IF(首页!$B$13="自然对流",IF(首页!$B$14="立式圆筒",首页!$B$10,PI()*B790/2),PI()*B790/2)</f>
        <v>55.2</v>
      </c>
      <c r="N790" s="7">
        <f>IF(首页!$B$13="强制对流",首页!$B$11*M790/H790,0)</f>
        <v>0</v>
      </c>
      <c r="O790" s="6">
        <f>IF(首页!$B$13="自然对流",IF(首页!$B$14="立式圆筒",(0.825+0.3063*I790^(1/6))^2+0.87*(M790/B790),(0.752+0.303*I790^(1/6))^2),0.3+SQRT((0.592*N790^0.5)^2+(0.0262*N790^0.8/(1-0.5/N790^0.1))^2))</f>
        <v>10047.624070982238</v>
      </c>
      <c r="P790" s="6">
        <f t="shared" si="113"/>
        <v>2.9510194925512497E-2</v>
      </c>
      <c r="Q790" s="6">
        <f t="shared" si="114"/>
        <v>5.3715098708869062</v>
      </c>
      <c r="R790" s="6">
        <f t="shared" si="115"/>
        <v>13.140243671388863</v>
      </c>
      <c r="S790" s="6">
        <f>B790*LN(B790/首页!$B$4)</f>
        <v>4.4700365900782737</v>
      </c>
      <c r="T790" s="6">
        <f>2*首页!$B$8*(E790-C790)/(R790*(C790-D790))</f>
        <v>7.1015265627734872E-2</v>
      </c>
      <c r="U790" t="str">
        <f>IF(首页!$B$13="自然对流","按自然对流公式", "按强制对流公式")</f>
        <v>按自然对流公式</v>
      </c>
      <c r="V790" s="6">
        <f t="shared" si="116"/>
        <v>4.3990213244505387</v>
      </c>
    </row>
    <row r="791" spans="1:22" x14ac:dyDescent="0.15">
      <c r="A791">
        <v>786</v>
      </c>
      <c r="B791" s="6">
        <f>首页!$B$4+2*A791/1000</f>
        <v>1.6920000000000002</v>
      </c>
      <c r="C791" s="6">
        <f>首页!$B$7+273.15</f>
        <v>388.15</v>
      </c>
      <c r="D791" s="6">
        <f>首页!$B$6+273.15</f>
        <v>293.14999999999998</v>
      </c>
      <c r="E791" s="6">
        <f>首页!$B$5+273.15</f>
        <v>1373.15</v>
      </c>
      <c r="F791" s="6">
        <f t="shared" si="108"/>
        <v>95</v>
      </c>
      <c r="G791" s="6">
        <f t="shared" si="109"/>
        <v>340.65</v>
      </c>
      <c r="H791" s="6">
        <f t="shared" si="110"/>
        <v>1.9926207055139041E-5</v>
      </c>
      <c r="I791" s="7">
        <f t="shared" si="111"/>
        <v>1158916576932337.8</v>
      </c>
      <c r="J791" s="6">
        <f t="shared" si="112"/>
        <v>1.0226038455893147</v>
      </c>
      <c r="K791" s="7">
        <f>J791*H791*首页!$B$12/P791</f>
        <v>0.69532757496605813</v>
      </c>
      <c r="L791" s="6">
        <f>首页!$B$9*0.0000000567*((C791^4-D791^4)/(C791-D791))</f>
        <v>7.7687338005019564</v>
      </c>
      <c r="M791" s="6">
        <f>IF(首页!$B$13="自然对流",IF(首页!$B$14="立式圆筒",首页!$B$10,PI()*B791/2),PI()*B791/2)</f>
        <v>55.2</v>
      </c>
      <c r="N791" s="7">
        <f>IF(首页!$B$13="强制对流",首页!$B$11*M791/H791,0)</f>
        <v>0</v>
      </c>
      <c r="O791" s="6">
        <f>IF(首页!$B$13="自然对流",IF(首页!$B$14="立式圆筒",(0.825+0.3063*I791^(1/6))^2+0.87*(M791/B791),(0.752+0.303*I791^(1/6))^2),0.3+SQRT((0.592*N791^0.5)^2+(0.0262*N791^0.8/(1-0.5/N791^0.1))^2))</f>
        <v>10047.590481658304</v>
      </c>
      <c r="P791" s="6">
        <f t="shared" si="113"/>
        <v>2.9510194925512497E-2</v>
      </c>
      <c r="Q791" s="6">
        <f t="shared" si="114"/>
        <v>5.3714919138670387</v>
      </c>
      <c r="R791" s="6">
        <f t="shared" si="115"/>
        <v>13.140225714368995</v>
      </c>
      <c r="S791" s="6">
        <f>B791*LN(B791/首页!$B$4)</f>
        <v>4.4773277571739358</v>
      </c>
      <c r="T791" s="6">
        <f>2*首页!$B$8*(E791-C791)/(R791*(C791-D791))</f>
        <v>7.1015362674967053E-2</v>
      </c>
      <c r="U791" t="str">
        <f>IF(首页!$B$13="自然对流","按自然对流公式", "按强制对流公式")</f>
        <v>按自然对流公式</v>
      </c>
      <c r="V791" s="6">
        <f t="shared" si="116"/>
        <v>4.4063123944989684</v>
      </c>
    </row>
    <row r="792" spans="1:22" x14ac:dyDescent="0.15">
      <c r="A792">
        <v>787</v>
      </c>
      <c r="B792" s="6">
        <f>首页!$B$4+2*A792/1000</f>
        <v>1.694</v>
      </c>
      <c r="C792" s="6">
        <f>首页!$B$7+273.15</f>
        <v>388.15</v>
      </c>
      <c r="D792" s="6">
        <f>首页!$B$6+273.15</f>
        <v>293.14999999999998</v>
      </c>
      <c r="E792" s="6">
        <f>首页!$B$5+273.15</f>
        <v>1373.15</v>
      </c>
      <c r="F792" s="6">
        <f t="shared" si="108"/>
        <v>95</v>
      </c>
      <c r="G792" s="6">
        <f t="shared" si="109"/>
        <v>340.65</v>
      </c>
      <c r="H792" s="6">
        <f t="shared" si="110"/>
        <v>1.9926207055139041E-5</v>
      </c>
      <c r="I792" s="7">
        <f t="shared" si="111"/>
        <v>1158916576932337.8</v>
      </c>
      <c r="J792" s="6">
        <f t="shared" si="112"/>
        <v>1.0226038455893147</v>
      </c>
      <c r="K792" s="7">
        <f>J792*H792*首页!$B$12/P792</f>
        <v>0.69532757496605813</v>
      </c>
      <c r="L792" s="6">
        <f>首页!$B$9*0.0000000567*((C792^4-D792^4)/(C792-D792))</f>
        <v>7.7687338005019564</v>
      </c>
      <c r="M792" s="6">
        <f>IF(首页!$B$13="自然对流",IF(首页!$B$14="立式圆筒",首页!$B$10,PI()*B792/2),PI()*B792/2)</f>
        <v>55.2</v>
      </c>
      <c r="N792" s="7">
        <f>IF(首页!$B$13="强制对流",首页!$B$11*M792/H792,0)</f>
        <v>0</v>
      </c>
      <c r="O792" s="6">
        <f>IF(首页!$B$13="自然对流",IF(首页!$B$14="立式圆筒",(0.825+0.3063*I792^(1/6))^2+0.87*(M792/B792),(0.752+0.303*I792^(1/6))^2),0.3+SQRT((0.592*N792^0.5)^2+(0.0262*N792^0.8/(1-0.5/N792^0.1))^2))</f>
        <v>10047.556971648004</v>
      </c>
      <c r="P792" s="6">
        <f t="shared" si="113"/>
        <v>2.9510194925512497E-2</v>
      </c>
      <c r="Q792" s="6">
        <f t="shared" si="114"/>
        <v>5.3714739992486349</v>
      </c>
      <c r="R792" s="6">
        <f t="shared" si="115"/>
        <v>13.140207799750591</v>
      </c>
      <c r="S792" s="6">
        <f>B792*LN(B792/首页!$B$4)</f>
        <v>4.4846212883363421</v>
      </c>
      <c r="T792" s="6">
        <f>2*首页!$B$8*(E792-C792)/(R792*(C792-D792))</f>
        <v>7.1015459493308328E-2</v>
      </c>
      <c r="U792" t="str">
        <f>IF(首页!$B$13="自然对流","按自然对流公式", "按强制对流公式")</f>
        <v>按自然对流公式</v>
      </c>
      <c r="V792" s="6">
        <f t="shared" si="116"/>
        <v>4.4136058288430338</v>
      </c>
    </row>
    <row r="793" spans="1:22" x14ac:dyDescent="0.15">
      <c r="A793">
        <v>788</v>
      </c>
      <c r="B793" s="6">
        <f>首页!$B$4+2*A793/1000</f>
        <v>1.6960000000000002</v>
      </c>
      <c r="C793" s="6">
        <f>首页!$B$7+273.15</f>
        <v>388.15</v>
      </c>
      <c r="D793" s="6">
        <f>首页!$B$6+273.15</f>
        <v>293.14999999999998</v>
      </c>
      <c r="E793" s="6">
        <f>首页!$B$5+273.15</f>
        <v>1373.15</v>
      </c>
      <c r="F793" s="6">
        <f t="shared" si="108"/>
        <v>95</v>
      </c>
      <c r="G793" s="6">
        <f t="shared" si="109"/>
        <v>340.65</v>
      </c>
      <c r="H793" s="6">
        <f t="shared" si="110"/>
        <v>1.9926207055139041E-5</v>
      </c>
      <c r="I793" s="7">
        <f t="shared" si="111"/>
        <v>1158916576932337.8</v>
      </c>
      <c r="J793" s="6">
        <f t="shared" si="112"/>
        <v>1.0226038455893147</v>
      </c>
      <c r="K793" s="7">
        <f>J793*H793*首页!$B$12/P793</f>
        <v>0.69532757496605813</v>
      </c>
      <c r="L793" s="6">
        <f>首页!$B$9*0.0000000567*((C793^4-D793^4)/(C793-D793))</f>
        <v>7.7687338005019564</v>
      </c>
      <c r="M793" s="6">
        <f>IF(首页!$B$13="自然对流",IF(首页!$B$14="立式圆筒",首页!$B$10,PI()*B793/2),PI()*B793/2)</f>
        <v>55.2</v>
      </c>
      <c r="N793" s="7">
        <f>IF(首页!$B$13="强制对流",首页!$B$11*M793/H793,0)</f>
        <v>0</v>
      </c>
      <c r="O793" s="6">
        <f>IF(首页!$B$13="自然对流",IF(首页!$B$14="立式圆筒",(0.825+0.3063*I793^(1/6))^2+0.87*(M793/B793),(0.752+0.303*I793^(1/6))^2),0.3+SQRT((0.592*N793^0.5)^2+(0.0262*N793^0.8/(1-0.5/N793^0.1))^2))</f>
        <v>10047.523540670749</v>
      </c>
      <c r="P793" s="6">
        <f t="shared" si="113"/>
        <v>2.9510194925512497E-2</v>
      </c>
      <c r="Q793" s="6">
        <f t="shared" si="114"/>
        <v>5.3714561268816903</v>
      </c>
      <c r="R793" s="6">
        <f t="shared" si="115"/>
        <v>13.140189927383647</v>
      </c>
      <c r="S793" s="6">
        <f>B793*LN(B793/首页!$B$4)</f>
        <v>4.4919171807743856</v>
      </c>
      <c r="T793" s="6">
        <f>2*首页!$B$8*(E793-C793)/(R793*(C793-D793))</f>
        <v>7.1015556083567508E-2</v>
      </c>
      <c r="U793" t="str">
        <f>IF(首页!$B$13="自然对流","按自然对流公式", "按强制对流公式")</f>
        <v>按自然对流公式</v>
      </c>
      <c r="V793" s="6">
        <f t="shared" si="116"/>
        <v>4.4209016246908179</v>
      </c>
    </row>
    <row r="794" spans="1:22" x14ac:dyDescent="0.15">
      <c r="A794">
        <v>789</v>
      </c>
      <c r="B794" s="6">
        <f>首页!$B$4+2*A794/1000</f>
        <v>1.698</v>
      </c>
      <c r="C794" s="6">
        <f>首页!$B$7+273.15</f>
        <v>388.15</v>
      </c>
      <c r="D794" s="6">
        <f>首页!$B$6+273.15</f>
        <v>293.14999999999998</v>
      </c>
      <c r="E794" s="6">
        <f>首页!$B$5+273.15</f>
        <v>1373.15</v>
      </c>
      <c r="F794" s="6">
        <f t="shared" si="108"/>
        <v>95</v>
      </c>
      <c r="G794" s="6">
        <f t="shared" si="109"/>
        <v>340.65</v>
      </c>
      <c r="H794" s="6">
        <f t="shared" si="110"/>
        <v>1.9926207055139041E-5</v>
      </c>
      <c r="I794" s="7">
        <f t="shared" si="111"/>
        <v>1158916576932337.8</v>
      </c>
      <c r="J794" s="6">
        <f t="shared" si="112"/>
        <v>1.0226038455893147</v>
      </c>
      <c r="K794" s="7">
        <f>J794*H794*首页!$B$12/P794</f>
        <v>0.69532757496605813</v>
      </c>
      <c r="L794" s="6">
        <f>首页!$B$9*0.0000000567*((C794^4-D794^4)/(C794-D794))</f>
        <v>7.7687338005019564</v>
      </c>
      <c r="M794" s="6">
        <f>IF(首页!$B$13="自然对流",IF(首页!$B$14="立式圆筒",首页!$B$10,PI()*B794/2),PI()*B794/2)</f>
        <v>55.2</v>
      </c>
      <c r="N794" s="7">
        <f>IF(首页!$B$13="强制对流",首页!$B$11*M794/H794,0)</f>
        <v>0</v>
      </c>
      <c r="O794" s="6">
        <f>IF(首页!$B$13="自然对流",IF(首页!$B$14="立式圆筒",(0.825+0.3063*I794^(1/6))^2+0.87*(M794/B794),(0.752+0.303*I794^(1/6))^2),0.3+SQRT((0.592*N794^0.5)^2+(0.0262*N794^0.8/(1-0.5/N794^0.1))^2))</f>
        <v>10047.490188447267</v>
      </c>
      <c r="P794" s="6">
        <f t="shared" si="113"/>
        <v>2.9510194925512497E-2</v>
      </c>
      <c r="Q794" s="6">
        <f t="shared" si="114"/>
        <v>5.3714382966169048</v>
      </c>
      <c r="R794" s="6">
        <f t="shared" si="115"/>
        <v>13.14017209711886</v>
      </c>
      <c r="S794" s="6">
        <f>B794*LN(B794/首页!$B$4)</f>
        <v>4.4992154317035409</v>
      </c>
      <c r="T794" s="6">
        <f>2*首页!$B$8*(E794-C794)/(R794*(C794-D794))</f>
        <v>7.1015652446549629E-2</v>
      </c>
      <c r="U794" t="str">
        <f>IF(首页!$B$13="自然对流","按自然对流公式", "按强制对流公式")</f>
        <v>按自然对流公式</v>
      </c>
      <c r="V794" s="6">
        <f t="shared" si="116"/>
        <v>4.4281997792569916</v>
      </c>
    </row>
    <row r="795" spans="1:22" x14ac:dyDescent="0.15">
      <c r="A795">
        <v>790</v>
      </c>
      <c r="B795" s="6">
        <f>首页!$B$4+2*A795/1000</f>
        <v>1.7000000000000002</v>
      </c>
      <c r="C795" s="6">
        <f>首页!$B$7+273.15</f>
        <v>388.15</v>
      </c>
      <c r="D795" s="6">
        <f>首页!$B$6+273.15</f>
        <v>293.14999999999998</v>
      </c>
      <c r="E795" s="6">
        <f>首页!$B$5+273.15</f>
        <v>1373.15</v>
      </c>
      <c r="F795" s="6">
        <f t="shared" si="108"/>
        <v>95</v>
      </c>
      <c r="G795" s="6">
        <f t="shared" si="109"/>
        <v>340.65</v>
      </c>
      <c r="H795" s="6">
        <f t="shared" si="110"/>
        <v>1.9926207055139041E-5</v>
      </c>
      <c r="I795" s="7">
        <f t="shared" si="111"/>
        <v>1158916576932337.8</v>
      </c>
      <c r="J795" s="6">
        <f t="shared" si="112"/>
        <v>1.0226038455893147</v>
      </c>
      <c r="K795" s="7">
        <f>J795*H795*首页!$B$12/P795</f>
        <v>0.69532757496605813</v>
      </c>
      <c r="L795" s="6">
        <f>首页!$B$9*0.0000000567*((C795^4-D795^4)/(C795-D795))</f>
        <v>7.7687338005019564</v>
      </c>
      <c r="M795" s="6">
        <f>IF(首页!$B$13="自然对流",IF(首页!$B$14="立式圆筒",首页!$B$10,PI()*B795/2),PI()*B795/2)</f>
        <v>55.2</v>
      </c>
      <c r="N795" s="7">
        <f>IF(首页!$B$13="强制对流",首页!$B$11*M795/H795,0)</f>
        <v>0</v>
      </c>
      <c r="O795" s="6">
        <f>IF(首页!$B$13="自然对流",IF(首页!$B$14="立式圆筒",(0.825+0.3063*I795^(1/6))^2+0.87*(M795/B795),(0.752+0.303*I795^(1/6))^2),0.3+SQRT((0.592*N795^0.5)^2+(0.0262*N795^0.8/(1-0.5/N795^0.1))^2))</f>
        <v>10047.456914699605</v>
      </c>
      <c r="P795" s="6">
        <f t="shared" si="113"/>
        <v>2.9510194925512497E-2</v>
      </c>
      <c r="Q795" s="6">
        <f t="shared" si="114"/>
        <v>5.3714205083056834</v>
      </c>
      <c r="R795" s="6">
        <f t="shared" si="115"/>
        <v>13.14015430880764</v>
      </c>
      <c r="S795" s="6">
        <f>B795*LN(B795/首页!$B$4)</f>
        <v>4.5065160383458451</v>
      </c>
      <c r="T795" s="6">
        <f>2*首页!$B$8*(E795-C795)/(R795*(C795-D795))</f>
        <v>7.1015748583055913E-2</v>
      </c>
      <c r="U795" t="str">
        <f>IF(首页!$B$13="自然对流","按自然对流公式", "按强制对流公式")</f>
        <v>按自然对流公式</v>
      </c>
      <c r="V795" s="6">
        <f t="shared" si="116"/>
        <v>4.4355002897627891</v>
      </c>
    </row>
    <row r="796" spans="1:22" x14ac:dyDescent="0.15">
      <c r="A796">
        <v>791</v>
      </c>
      <c r="B796" s="6">
        <f>首页!$B$4+2*A796/1000</f>
        <v>1.702</v>
      </c>
      <c r="C796" s="6">
        <f>首页!$B$7+273.15</f>
        <v>388.15</v>
      </c>
      <c r="D796" s="6">
        <f>首页!$B$6+273.15</f>
        <v>293.14999999999998</v>
      </c>
      <c r="E796" s="6">
        <f>首页!$B$5+273.15</f>
        <v>1373.15</v>
      </c>
      <c r="F796" s="6">
        <f t="shared" si="108"/>
        <v>95</v>
      </c>
      <c r="G796" s="6">
        <f t="shared" si="109"/>
        <v>340.65</v>
      </c>
      <c r="H796" s="6">
        <f t="shared" si="110"/>
        <v>1.9926207055139041E-5</v>
      </c>
      <c r="I796" s="7">
        <f t="shared" si="111"/>
        <v>1158916576932337.8</v>
      </c>
      <c r="J796" s="6">
        <f t="shared" si="112"/>
        <v>1.0226038455893147</v>
      </c>
      <c r="K796" s="7">
        <f>J796*H796*首页!$B$12/P796</f>
        <v>0.69532757496605813</v>
      </c>
      <c r="L796" s="6">
        <f>首页!$B$9*0.0000000567*((C796^4-D796^4)/(C796-D796))</f>
        <v>7.7687338005019564</v>
      </c>
      <c r="M796" s="6">
        <f>IF(首页!$B$13="自然对流",IF(首页!$B$14="立式圆筒",首页!$B$10,PI()*B796/2),PI()*B796/2)</f>
        <v>55.2</v>
      </c>
      <c r="N796" s="7">
        <f>IF(首页!$B$13="强制对流",首页!$B$11*M796/H796,0)</f>
        <v>0</v>
      </c>
      <c r="O796" s="6">
        <f>IF(首页!$B$13="自然对流",IF(首页!$B$14="立式圆筒",(0.825+0.3063*I796^(1/6))^2+0.87*(M796/B796),(0.752+0.303*I796^(1/6))^2),0.3+SQRT((0.592*N796^0.5)^2+(0.0262*N796^0.8/(1-0.5/N796^0.1))^2))</f>
        <v>10047.423719151117</v>
      </c>
      <c r="P796" s="6">
        <f t="shared" si="113"/>
        <v>2.9510194925512497E-2</v>
      </c>
      <c r="Q796" s="6">
        <f t="shared" si="114"/>
        <v>5.3714027618001294</v>
      </c>
      <c r="R796" s="6">
        <f t="shared" si="115"/>
        <v>13.140136562302086</v>
      </c>
      <c r="S796" s="6">
        <f>B796*LN(B796/首页!$B$4)</f>
        <v>4.5138189979298673</v>
      </c>
      <c r="T796" s="6">
        <f>2*首页!$B$8*(E796-C796)/(R796*(C796-D796))</f>
        <v>7.1015844493883831E-2</v>
      </c>
      <c r="U796" t="str">
        <f>IF(首页!$B$13="自然对流","按自然对流公式", "按强制对流公式")</f>
        <v>按自然对流公式</v>
      </c>
      <c r="V796" s="6">
        <f t="shared" si="116"/>
        <v>4.4428031534359835</v>
      </c>
    </row>
    <row r="797" spans="1:22" x14ac:dyDescent="0.15">
      <c r="A797">
        <v>792</v>
      </c>
      <c r="B797" s="6">
        <f>首页!$B$4+2*A797/1000</f>
        <v>1.7040000000000002</v>
      </c>
      <c r="C797" s="6">
        <f>首页!$B$7+273.15</f>
        <v>388.15</v>
      </c>
      <c r="D797" s="6">
        <f>首页!$B$6+273.15</f>
        <v>293.14999999999998</v>
      </c>
      <c r="E797" s="6">
        <f>首页!$B$5+273.15</f>
        <v>1373.15</v>
      </c>
      <c r="F797" s="6">
        <f t="shared" si="108"/>
        <v>95</v>
      </c>
      <c r="G797" s="6">
        <f t="shared" si="109"/>
        <v>340.65</v>
      </c>
      <c r="H797" s="6">
        <f t="shared" si="110"/>
        <v>1.9926207055139041E-5</v>
      </c>
      <c r="I797" s="7">
        <f t="shared" si="111"/>
        <v>1158916576932337.8</v>
      </c>
      <c r="J797" s="6">
        <f t="shared" si="112"/>
        <v>1.0226038455893147</v>
      </c>
      <c r="K797" s="7">
        <f>J797*H797*首页!$B$12/P797</f>
        <v>0.69532757496605813</v>
      </c>
      <c r="L797" s="6">
        <f>首页!$B$9*0.0000000567*((C797^4-D797^4)/(C797-D797))</f>
        <v>7.7687338005019564</v>
      </c>
      <c r="M797" s="6">
        <f>IF(首页!$B$13="自然对流",IF(首页!$B$14="立式圆筒",首页!$B$10,PI()*B797/2),PI()*B797/2)</f>
        <v>55.2</v>
      </c>
      <c r="N797" s="7">
        <f>IF(首页!$B$13="强制对流",首页!$B$11*M797/H797,0)</f>
        <v>0</v>
      </c>
      <c r="O797" s="6">
        <f>IF(首页!$B$13="自然对流",IF(首页!$B$14="立式圆筒",(0.825+0.3063*I797^(1/6))^2+0.87*(M797/B797),(0.752+0.303*I797^(1/6))^2),0.3+SQRT((0.592*N797^0.5)^2+(0.0262*N797^0.8/(1-0.5/N797^0.1))^2))</f>
        <v>10047.390601526449</v>
      </c>
      <c r="P797" s="6">
        <f t="shared" si="113"/>
        <v>2.9510194925512497E-2</v>
      </c>
      <c r="Q797" s="6">
        <f t="shared" si="114"/>
        <v>5.3713850569530388</v>
      </c>
      <c r="R797" s="6">
        <f t="shared" si="115"/>
        <v>13.140118857454995</v>
      </c>
      <c r="S797" s="6">
        <f>B797*LN(B797/首页!$B$4)</f>
        <v>4.5211243076906955</v>
      </c>
      <c r="T797" s="6">
        <f>2*首页!$B$8*(E797-C797)/(R797*(C797-D797))</f>
        <v>7.1015940179827111E-2</v>
      </c>
      <c r="U797" t="str">
        <f>IF(首页!$B$13="自然对流","按自然对流公式", "按强制对流公式")</f>
        <v>按自然对流公式</v>
      </c>
      <c r="V797" s="6">
        <f t="shared" si="116"/>
        <v>4.4501083675108681</v>
      </c>
    </row>
    <row r="798" spans="1:22" x14ac:dyDescent="0.15">
      <c r="A798">
        <v>793</v>
      </c>
      <c r="B798" s="6">
        <f>首页!$B$4+2*A798/1000</f>
        <v>1.706</v>
      </c>
      <c r="C798" s="6">
        <f>首页!$B$7+273.15</f>
        <v>388.15</v>
      </c>
      <c r="D798" s="6">
        <f>首页!$B$6+273.15</f>
        <v>293.14999999999998</v>
      </c>
      <c r="E798" s="6">
        <f>首页!$B$5+273.15</f>
        <v>1373.15</v>
      </c>
      <c r="F798" s="6">
        <f t="shared" si="108"/>
        <v>95</v>
      </c>
      <c r="G798" s="6">
        <f t="shared" si="109"/>
        <v>340.65</v>
      </c>
      <c r="H798" s="6">
        <f t="shared" si="110"/>
        <v>1.9926207055139041E-5</v>
      </c>
      <c r="I798" s="7">
        <f t="shared" si="111"/>
        <v>1158916576932337.8</v>
      </c>
      <c r="J798" s="6">
        <f t="shared" si="112"/>
        <v>1.0226038455893147</v>
      </c>
      <c r="K798" s="7">
        <f>J798*H798*首页!$B$12/P798</f>
        <v>0.69532757496605813</v>
      </c>
      <c r="L798" s="6">
        <f>首页!$B$9*0.0000000567*((C798^4-D798^4)/(C798-D798))</f>
        <v>7.7687338005019564</v>
      </c>
      <c r="M798" s="6">
        <f>IF(首页!$B$13="自然对流",IF(首页!$B$14="立式圆筒",首页!$B$10,PI()*B798/2),PI()*B798/2)</f>
        <v>55.2</v>
      </c>
      <c r="N798" s="7">
        <f>IF(首页!$B$13="强制对流",首页!$B$11*M798/H798,0)</f>
        <v>0</v>
      </c>
      <c r="O798" s="6">
        <f>IF(首页!$B$13="自然对流",IF(首页!$B$14="立式圆筒",(0.825+0.3063*I798^(1/6))^2+0.87*(M798/B798),(0.752+0.303*I798^(1/6))^2),0.3+SQRT((0.592*N798^0.5)^2+(0.0262*N798^0.8/(1-0.5/N798^0.1))^2))</f>
        <v>10047.357561551547</v>
      </c>
      <c r="P798" s="6">
        <f t="shared" si="113"/>
        <v>2.9510194925512497E-2</v>
      </c>
      <c r="Q798" s="6">
        <f t="shared" si="114"/>
        <v>5.3713673936178994</v>
      </c>
      <c r="R798" s="6">
        <f t="shared" si="115"/>
        <v>13.140101194119856</v>
      </c>
      <c r="S798" s="6">
        <f>B798*LN(B798/首页!$B$4)</f>
        <v>4.5284319648699007</v>
      </c>
      <c r="T798" s="6">
        <f>2*首页!$B$8*(E798-C798)/(R798*(C798-D798))</f>
        <v>7.1016035641675773E-2</v>
      </c>
      <c r="U798" t="str">
        <f>IF(首页!$B$13="自然对流","按自然对流公式", "按强制对流公式")</f>
        <v>按自然对流公式</v>
      </c>
      <c r="V798" s="6">
        <f t="shared" si="116"/>
        <v>4.4574159292282252</v>
      </c>
    </row>
    <row r="799" spans="1:22" x14ac:dyDescent="0.15">
      <c r="A799">
        <v>794</v>
      </c>
      <c r="B799" s="6">
        <f>首页!$B$4+2*A799/1000</f>
        <v>1.7080000000000002</v>
      </c>
      <c r="C799" s="6">
        <f>首页!$B$7+273.15</f>
        <v>388.15</v>
      </c>
      <c r="D799" s="6">
        <f>首页!$B$6+273.15</f>
        <v>293.14999999999998</v>
      </c>
      <c r="E799" s="6">
        <f>首页!$B$5+273.15</f>
        <v>1373.15</v>
      </c>
      <c r="F799" s="6">
        <f t="shared" si="108"/>
        <v>95</v>
      </c>
      <c r="G799" s="6">
        <f t="shared" si="109"/>
        <v>340.65</v>
      </c>
      <c r="H799" s="6">
        <f t="shared" si="110"/>
        <v>1.9926207055139041E-5</v>
      </c>
      <c r="I799" s="7">
        <f t="shared" si="111"/>
        <v>1158916576932337.8</v>
      </c>
      <c r="J799" s="6">
        <f t="shared" si="112"/>
        <v>1.0226038455893147</v>
      </c>
      <c r="K799" s="7">
        <f>J799*H799*首页!$B$12/P799</f>
        <v>0.69532757496605813</v>
      </c>
      <c r="L799" s="6">
        <f>首页!$B$9*0.0000000567*((C799^4-D799^4)/(C799-D799))</f>
        <v>7.7687338005019564</v>
      </c>
      <c r="M799" s="6">
        <f>IF(首页!$B$13="自然对流",IF(首页!$B$14="立式圆筒",首页!$B$10,PI()*B799/2),PI()*B799/2)</f>
        <v>55.2</v>
      </c>
      <c r="N799" s="7">
        <f>IF(首页!$B$13="强制对流",首页!$B$11*M799/H799,0)</f>
        <v>0</v>
      </c>
      <c r="O799" s="6">
        <f>IF(首页!$B$13="自然对流",IF(首页!$B$14="立式圆筒",(0.825+0.3063*I799^(1/6))^2+0.87*(M799/B799),(0.752+0.303*I799^(1/6))^2),0.3+SQRT((0.592*N799^0.5)^2+(0.0262*N799^0.8/(1-0.5/N799^0.1))^2))</f>
        <v>10047.324598953635</v>
      </c>
      <c r="P799" s="6">
        <f t="shared" si="113"/>
        <v>2.9510194925512497E-2</v>
      </c>
      <c r="Q799" s="6">
        <f t="shared" si="114"/>
        <v>5.3713497716488847</v>
      </c>
      <c r="R799" s="6">
        <f t="shared" si="115"/>
        <v>13.140083572150841</v>
      </c>
      <c r="S799" s="6">
        <f>B799*LN(B799/首页!$B$4)</f>
        <v>4.5357419667155305</v>
      </c>
      <c r="T799" s="6">
        <f>2*首页!$B$8*(E799-C799)/(R799*(C799-D799))</f>
        <v>7.1016130880216147E-2</v>
      </c>
      <c r="U799" t="str">
        <f>IF(首页!$B$13="自然对流","按自然对流公式", "按强制对流公式")</f>
        <v>按自然对流公式</v>
      </c>
      <c r="V799" s="6">
        <f t="shared" si="116"/>
        <v>4.4647258358353143</v>
      </c>
    </row>
    <row r="800" spans="1:22" x14ac:dyDescent="0.15">
      <c r="A800">
        <v>795</v>
      </c>
      <c r="B800" s="6">
        <f>首页!$B$4+2*A800/1000</f>
        <v>1.71</v>
      </c>
      <c r="C800" s="6">
        <f>首页!$B$7+273.15</f>
        <v>388.15</v>
      </c>
      <c r="D800" s="6">
        <f>首页!$B$6+273.15</f>
        <v>293.14999999999998</v>
      </c>
      <c r="E800" s="6">
        <f>首页!$B$5+273.15</f>
        <v>1373.15</v>
      </c>
      <c r="F800" s="6">
        <f t="shared" si="108"/>
        <v>95</v>
      </c>
      <c r="G800" s="6">
        <f t="shared" si="109"/>
        <v>340.65</v>
      </c>
      <c r="H800" s="6">
        <f t="shared" si="110"/>
        <v>1.9926207055139041E-5</v>
      </c>
      <c r="I800" s="7">
        <f t="shared" si="111"/>
        <v>1158916576932337.8</v>
      </c>
      <c r="J800" s="6">
        <f t="shared" si="112"/>
        <v>1.0226038455893147</v>
      </c>
      <c r="K800" s="7">
        <f>J800*H800*首页!$B$12/P800</f>
        <v>0.69532757496605813</v>
      </c>
      <c r="L800" s="6">
        <f>首页!$B$9*0.0000000567*((C800^4-D800^4)/(C800-D800))</f>
        <v>7.7687338005019564</v>
      </c>
      <c r="M800" s="6">
        <f>IF(首页!$B$13="自然对流",IF(首页!$B$14="立式圆筒",首页!$B$10,PI()*B800/2),PI()*B800/2)</f>
        <v>55.2</v>
      </c>
      <c r="N800" s="7">
        <f>IF(首页!$B$13="强制对流",首页!$B$11*M800/H800,0)</f>
        <v>0</v>
      </c>
      <c r="O800" s="6">
        <f>IF(首页!$B$13="自然对流",IF(首页!$B$14="立式圆筒",(0.825+0.3063*I800^(1/6))^2+0.87*(M800/B800),(0.752+0.303*I800^(1/6))^2),0.3+SQRT((0.592*N800^0.5)^2+(0.0262*N800^0.8/(1-0.5/N800^0.1))^2))</f>
        <v>10047.291713461216</v>
      </c>
      <c r="P800" s="6">
        <f t="shared" si="113"/>
        <v>2.9510194925512497E-2</v>
      </c>
      <c r="Q800" s="6">
        <f t="shared" si="114"/>
        <v>5.3713321909008496</v>
      </c>
      <c r="R800" s="6">
        <f t="shared" si="115"/>
        <v>13.140065991402807</v>
      </c>
      <c r="S800" s="6">
        <f>B800*LN(B800/首页!$B$4)</f>
        <v>4.5430543104820673</v>
      </c>
      <c r="T800" s="6">
        <f>2*首页!$B$8*(E800-C800)/(R800*(C800-D800))</f>
        <v>7.1016225896230828E-2</v>
      </c>
      <c r="U800" t="str">
        <f>IF(首页!$B$13="自然对流","按自然对流公式", "按强制对流公式")</f>
        <v>按自然对流公式</v>
      </c>
      <c r="V800" s="6">
        <f t="shared" si="116"/>
        <v>4.4720380845858365</v>
      </c>
    </row>
    <row r="801" spans="1:22" x14ac:dyDescent="0.15">
      <c r="A801">
        <v>796</v>
      </c>
      <c r="B801" s="6">
        <f>首页!$B$4+2*A801/1000</f>
        <v>1.7120000000000002</v>
      </c>
      <c r="C801" s="6">
        <f>首页!$B$7+273.15</f>
        <v>388.15</v>
      </c>
      <c r="D801" s="6">
        <f>首页!$B$6+273.15</f>
        <v>293.14999999999998</v>
      </c>
      <c r="E801" s="6">
        <f>首页!$B$5+273.15</f>
        <v>1373.15</v>
      </c>
      <c r="F801" s="6">
        <f t="shared" si="108"/>
        <v>95</v>
      </c>
      <c r="G801" s="6">
        <f t="shared" si="109"/>
        <v>340.65</v>
      </c>
      <c r="H801" s="6">
        <f t="shared" si="110"/>
        <v>1.9926207055139041E-5</v>
      </c>
      <c r="I801" s="7">
        <f t="shared" si="111"/>
        <v>1158916576932337.8</v>
      </c>
      <c r="J801" s="6">
        <f t="shared" si="112"/>
        <v>1.0226038455893147</v>
      </c>
      <c r="K801" s="7">
        <f>J801*H801*首页!$B$12/P801</f>
        <v>0.69532757496605813</v>
      </c>
      <c r="L801" s="6">
        <f>首页!$B$9*0.0000000567*((C801^4-D801^4)/(C801-D801))</f>
        <v>7.7687338005019564</v>
      </c>
      <c r="M801" s="6">
        <f>IF(首页!$B$13="自然对流",IF(首页!$B$14="立式圆筒",首页!$B$10,PI()*B801/2),PI()*B801/2)</f>
        <v>55.2</v>
      </c>
      <c r="N801" s="7">
        <f>IF(首页!$B$13="强制对流",首页!$B$11*M801/H801,0)</f>
        <v>0</v>
      </c>
      <c r="O801" s="6">
        <f>IF(首页!$B$13="自然对流",IF(首页!$B$14="立式圆筒",(0.825+0.3063*I801^(1/6))^2+0.87*(M801/B801),(0.752+0.303*I801^(1/6))^2),0.3+SQRT((0.592*N801^0.5)^2+(0.0262*N801^0.8/(1-0.5/N801^0.1))^2))</f>
        <v>10047.258904804059</v>
      </c>
      <c r="P801" s="6">
        <f t="shared" si="113"/>
        <v>2.9510194925512497E-2</v>
      </c>
      <c r="Q801" s="6">
        <f t="shared" si="114"/>
        <v>5.3713146512293291</v>
      </c>
      <c r="R801" s="6">
        <f t="shared" si="115"/>
        <v>13.140048451731285</v>
      </c>
      <c r="S801" s="6">
        <f>B801*LN(B801/首页!$B$4)</f>
        <v>4.5503689934304266</v>
      </c>
      <c r="T801" s="6">
        <f>2*首页!$B$8*(E801-C801)/(R801*(C801-D801))</f>
        <v>7.1016320690498874E-2</v>
      </c>
      <c r="U801" t="str">
        <f>IF(首页!$B$13="自然对流","按自然对流公式", "按强制对流公式")</f>
        <v>按自然对流公式</v>
      </c>
      <c r="V801" s="6">
        <f t="shared" si="116"/>
        <v>4.4793526727399273</v>
      </c>
    </row>
    <row r="802" spans="1:22" x14ac:dyDescent="0.15">
      <c r="A802">
        <v>797</v>
      </c>
      <c r="B802" s="6">
        <f>首页!$B$4+2*A802/1000</f>
        <v>1.714</v>
      </c>
      <c r="C802" s="6">
        <f>首页!$B$7+273.15</f>
        <v>388.15</v>
      </c>
      <c r="D802" s="6">
        <f>首页!$B$6+273.15</f>
        <v>293.14999999999998</v>
      </c>
      <c r="E802" s="6">
        <f>首页!$B$5+273.15</f>
        <v>1373.15</v>
      </c>
      <c r="F802" s="6">
        <f t="shared" si="108"/>
        <v>95</v>
      </c>
      <c r="G802" s="6">
        <f t="shared" si="109"/>
        <v>340.65</v>
      </c>
      <c r="H802" s="6">
        <f t="shared" si="110"/>
        <v>1.9926207055139041E-5</v>
      </c>
      <c r="I802" s="7">
        <f t="shared" si="111"/>
        <v>1158916576932337.8</v>
      </c>
      <c r="J802" s="6">
        <f t="shared" si="112"/>
        <v>1.0226038455893147</v>
      </c>
      <c r="K802" s="7">
        <f>J802*H802*首页!$B$12/P802</f>
        <v>0.69532757496605813</v>
      </c>
      <c r="L802" s="6">
        <f>首页!$B$9*0.0000000567*((C802^4-D802^4)/(C802-D802))</f>
        <v>7.7687338005019564</v>
      </c>
      <c r="M802" s="6">
        <f>IF(首页!$B$13="自然对流",IF(首页!$B$14="立式圆筒",首页!$B$10,PI()*B802/2),PI()*B802/2)</f>
        <v>55.2</v>
      </c>
      <c r="N802" s="7">
        <f>IF(首页!$B$13="强制对流",首页!$B$11*M802/H802,0)</f>
        <v>0</v>
      </c>
      <c r="O802" s="6">
        <f>IF(首页!$B$13="自然对流",IF(首页!$B$14="立式圆筒",(0.825+0.3063*I802^(1/6))^2+0.87*(M802/B802),(0.752+0.303*I802^(1/6))^2),0.3+SQRT((0.592*N802^0.5)^2+(0.0262*N802^0.8/(1-0.5/N802^0.1))^2))</f>
        <v>10047.226172713195</v>
      </c>
      <c r="P802" s="6">
        <f t="shared" si="113"/>
        <v>2.9510194925512497E-2</v>
      </c>
      <c r="Q802" s="6">
        <f t="shared" si="114"/>
        <v>5.3712971524905297</v>
      </c>
      <c r="R802" s="6">
        <f t="shared" si="115"/>
        <v>13.140030952992486</v>
      </c>
      <c r="S802" s="6">
        <f>B802*LN(B802/首页!$B$4)</f>
        <v>4.5576860128279142</v>
      </c>
      <c r="T802" s="6">
        <f>2*首页!$B$8*(E802-C802)/(R802*(C802-D802))</f>
        <v>7.1016415263795596E-2</v>
      </c>
      <c r="U802" t="str">
        <f>IF(首页!$B$13="自然对流","按自然对流公式", "按强制对流公式")</f>
        <v>按自然对流公式</v>
      </c>
      <c r="V802" s="6">
        <f t="shared" si="116"/>
        <v>4.4866695975641182</v>
      </c>
    </row>
    <row r="803" spans="1:22" x14ac:dyDescent="0.15">
      <c r="A803">
        <v>798</v>
      </c>
      <c r="B803" s="6">
        <f>首页!$B$4+2*A803/1000</f>
        <v>1.7160000000000002</v>
      </c>
      <c r="C803" s="6">
        <f>首页!$B$7+273.15</f>
        <v>388.15</v>
      </c>
      <c r="D803" s="6">
        <f>首页!$B$6+273.15</f>
        <v>293.14999999999998</v>
      </c>
      <c r="E803" s="6">
        <f>首页!$B$5+273.15</f>
        <v>1373.15</v>
      </c>
      <c r="F803" s="6">
        <f t="shared" si="108"/>
        <v>95</v>
      </c>
      <c r="G803" s="6">
        <f t="shared" si="109"/>
        <v>340.65</v>
      </c>
      <c r="H803" s="6">
        <f t="shared" si="110"/>
        <v>1.9926207055139041E-5</v>
      </c>
      <c r="I803" s="7">
        <f t="shared" si="111"/>
        <v>1158916576932337.8</v>
      </c>
      <c r="J803" s="6">
        <f t="shared" si="112"/>
        <v>1.0226038455893147</v>
      </c>
      <c r="K803" s="7">
        <f>J803*H803*首页!$B$12/P803</f>
        <v>0.69532757496605813</v>
      </c>
      <c r="L803" s="6">
        <f>首页!$B$9*0.0000000567*((C803^4-D803^4)/(C803-D803))</f>
        <v>7.7687338005019564</v>
      </c>
      <c r="M803" s="6">
        <f>IF(首页!$B$13="自然对流",IF(首页!$B$14="立式圆筒",首页!$B$10,PI()*B803/2),PI()*B803/2)</f>
        <v>55.2</v>
      </c>
      <c r="N803" s="7">
        <f>IF(首页!$B$13="强制对流",首页!$B$11*M803/H803,0)</f>
        <v>0</v>
      </c>
      <c r="O803" s="6">
        <f>IF(首页!$B$13="自然对流",IF(首页!$B$14="立式圆筒",(0.825+0.3063*I803^(1/6))^2+0.87*(M803/B803),(0.752+0.303*I803^(1/6))^2),0.3+SQRT((0.592*N803^0.5)^2+(0.0262*N803^0.8/(1-0.5/N803^0.1))^2))</f>
        <v>10047.193516920914</v>
      </c>
      <c r="P803" s="6">
        <f t="shared" si="113"/>
        <v>2.9510194925512497E-2</v>
      </c>
      <c r="Q803" s="6">
        <f t="shared" si="114"/>
        <v>5.3712796945413324</v>
      </c>
      <c r="R803" s="6">
        <f t="shared" si="115"/>
        <v>13.140013495043288</v>
      </c>
      <c r="S803" s="6">
        <f>B803*LN(B803/首页!$B$4)</f>
        <v>4.5650053659482195</v>
      </c>
      <c r="T803" s="6">
        <f>2*首页!$B$8*(E803-C803)/(R803*(C803-D803))</f>
        <v>7.1016509616892751E-2</v>
      </c>
      <c r="U803" t="str">
        <f>IF(首页!$B$13="自然对流","按自然对流公式", "按强制对流公式")</f>
        <v>按自然对流公式</v>
      </c>
      <c r="V803" s="6">
        <f t="shared" si="116"/>
        <v>4.4939888563313266</v>
      </c>
    </row>
    <row r="804" spans="1:22" x14ac:dyDescent="0.15">
      <c r="A804">
        <v>799</v>
      </c>
      <c r="B804" s="6">
        <f>首页!$B$4+2*A804/1000</f>
        <v>1.718</v>
      </c>
      <c r="C804" s="6">
        <f>首页!$B$7+273.15</f>
        <v>388.15</v>
      </c>
      <c r="D804" s="6">
        <f>首页!$B$6+273.15</f>
        <v>293.14999999999998</v>
      </c>
      <c r="E804" s="6">
        <f>首页!$B$5+273.15</f>
        <v>1373.15</v>
      </c>
      <c r="F804" s="6">
        <f t="shared" si="108"/>
        <v>95</v>
      </c>
      <c r="G804" s="6">
        <f t="shared" si="109"/>
        <v>340.65</v>
      </c>
      <c r="H804" s="6">
        <f t="shared" si="110"/>
        <v>1.9926207055139041E-5</v>
      </c>
      <c r="I804" s="7">
        <f t="shared" si="111"/>
        <v>1158916576932337.8</v>
      </c>
      <c r="J804" s="6">
        <f t="shared" si="112"/>
        <v>1.0226038455893147</v>
      </c>
      <c r="K804" s="7">
        <f>J804*H804*首页!$B$12/P804</f>
        <v>0.69532757496605813</v>
      </c>
      <c r="L804" s="6">
        <f>首页!$B$9*0.0000000567*((C804^4-D804^4)/(C804-D804))</f>
        <v>7.7687338005019564</v>
      </c>
      <c r="M804" s="6">
        <f>IF(首页!$B$13="自然对流",IF(首页!$B$14="立式圆筒",首页!$B$10,PI()*B804/2),PI()*B804/2)</f>
        <v>55.2</v>
      </c>
      <c r="N804" s="7">
        <f>IF(首页!$B$13="强制对流",首页!$B$11*M804/H804,0)</f>
        <v>0</v>
      </c>
      <c r="O804" s="6">
        <f>IF(首页!$B$13="自然对流",IF(首页!$B$14="立式圆筒",(0.825+0.3063*I804^(1/6))^2+0.87*(M804/B804),(0.752+0.303*I804^(1/6))^2),0.3+SQRT((0.592*N804^0.5)^2+(0.0262*N804^0.8/(1-0.5/N804^0.1))^2))</f>
        <v>10047.160937160745</v>
      </c>
      <c r="P804" s="6">
        <f t="shared" si="113"/>
        <v>2.9510194925512497E-2</v>
      </c>
      <c r="Q804" s="6">
        <f t="shared" si="114"/>
        <v>5.371262277239282</v>
      </c>
      <c r="R804" s="6">
        <f t="shared" si="115"/>
        <v>13.139996077741237</v>
      </c>
      <c r="S804" s="6">
        <f>B804*LN(B804/首页!$B$4)</f>
        <v>4.5723270500713813</v>
      </c>
      <c r="T804" s="6">
        <f>2*首页!$B$8*(E804-C804)/(R804*(C804-D804))</f>
        <v>7.1016603750558488E-2</v>
      </c>
      <c r="U804" t="str">
        <f>IF(首页!$B$13="自然对流","按自然对流公式", "按强制对流公式")</f>
        <v>按自然对流公式</v>
      </c>
      <c r="V804" s="6">
        <f t="shared" si="116"/>
        <v>4.5013104463208231</v>
      </c>
    </row>
    <row r="805" spans="1:22" x14ac:dyDescent="0.15">
      <c r="A805">
        <v>800</v>
      </c>
      <c r="B805" s="6">
        <f>首页!$B$4+2*A805/1000</f>
        <v>1.7200000000000002</v>
      </c>
      <c r="C805" s="6">
        <f>首页!$B$7+273.15</f>
        <v>388.15</v>
      </c>
      <c r="D805" s="6">
        <f>首页!$B$6+273.15</f>
        <v>293.14999999999998</v>
      </c>
      <c r="E805" s="6">
        <f>首页!$B$5+273.15</f>
        <v>1373.15</v>
      </c>
      <c r="F805" s="6">
        <f t="shared" si="108"/>
        <v>95</v>
      </c>
      <c r="G805" s="6">
        <f t="shared" si="109"/>
        <v>340.65</v>
      </c>
      <c r="H805" s="6">
        <f t="shared" si="110"/>
        <v>1.9926207055139041E-5</v>
      </c>
      <c r="I805" s="7">
        <f t="shared" si="111"/>
        <v>1158916576932337.8</v>
      </c>
      <c r="J805" s="6">
        <f t="shared" si="112"/>
        <v>1.0226038455893147</v>
      </c>
      <c r="K805" s="7">
        <f>J805*H805*首页!$B$12/P805</f>
        <v>0.69532757496605813</v>
      </c>
      <c r="L805" s="6">
        <f>首页!$B$9*0.0000000567*((C805^4-D805^4)/(C805-D805))</f>
        <v>7.7687338005019564</v>
      </c>
      <c r="M805" s="6">
        <f>IF(首页!$B$13="自然对流",IF(首页!$B$14="立式圆筒",首页!$B$10,PI()*B805/2),PI()*B805/2)</f>
        <v>55.2</v>
      </c>
      <c r="N805" s="7">
        <f>IF(首页!$B$13="强制对流",首页!$B$11*M805/H805,0)</f>
        <v>0</v>
      </c>
      <c r="O805" s="6">
        <f>IF(首页!$B$13="自然对流",IF(首页!$B$14="立式圆筒",(0.825+0.3063*I805^(1/6))^2+0.87*(M805/B805),(0.752+0.303*I805^(1/6))^2),0.3+SQRT((0.592*N805^0.5)^2+(0.0262*N805^0.8/(1-0.5/N805^0.1))^2))</f>
        <v>10047.128433167458</v>
      </c>
      <c r="P805" s="6">
        <f t="shared" si="113"/>
        <v>2.9510194925512497E-2</v>
      </c>
      <c r="Q805" s="6">
        <f t="shared" si="114"/>
        <v>5.3712449004425835</v>
      </c>
      <c r="R805" s="6">
        <f t="shared" si="115"/>
        <v>13.139978700944539</v>
      </c>
      <c r="S805" s="6">
        <f>B805*LN(B805/首页!$B$4)</f>
        <v>4.5796510624837792</v>
      </c>
      <c r="T805" s="6">
        <f>2*首页!$B$8*(E805-C805)/(R805*(C805-D805))</f>
        <v>7.1016697665557418E-2</v>
      </c>
      <c r="U805" t="str">
        <f>IF(首页!$B$13="自然对流","按自然对流公式", "按强制对流公式")</f>
        <v>按自然对流公式</v>
      </c>
      <c r="V805" s="6">
        <f t="shared" si="116"/>
        <v>4.5086343648182217</v>
      </c>
    </row>
    <row r="806" spans="1:22" x14ac:dyDescent="0.15">
      <c r="A806">
        <v>801</v>
      </c>
      <c r="B806" s="6">
        <f>首页!$B$4+2*A806/1000</f>
        <v>1.722</v>
      </c>
      <c r="C806" s="6">
        <f>首页!$B$7+273.15</f>
        <v>388.15</v>
      </c>
      <c r="D806" s="6">
        <f>首页!$B$6+273.15</f>
        <v>293.14999999999998</v>
      </c>
      <c r="E806" s="6">
        <f>首页!$B$5+273.15</f>
        <v>1373.15</v>
      </c>
      <c r="F806" s="6">
        <f t="shared" si="108"/>
        <v>95</v>
      </c>
      <c r="G806" s="6">
        <f t="shared" si="109"/>
        <v>340.65</v>
      </c>
      <c r="H806" s="6">
        <f t="shared" si="110"/>
        <v>1.9926207055139041E-5</v>
      </c>
      <c r="I806" s="7">
        <f t="shared" si="111"/>
        <v>1158916576932337.8</v>
      </c>
      <c r="J806" s="6">
        <f t="shared" si="112"/>
        <v>1.0226038455893147</v>
      </c>
      <c r="K806" s="7">
        <f>J806*H806*首页!$B$12/P806</f>
        <v>0.69532757496605813</v>
      </c>
      <c r="L806" s="6">
        <f>首页!$B$9*0.0000000567*((C806^4-D806^4)/(C806-D806))</f>
        <v>7.7687338005019564</v>
      </c>
      <c r="M806" s="6">
        <f>IF(首页!$B$13="自然对流",IF(首页!$B$14="立式圆筒",首页!$B$10,PI()*B806/2),PI()*B806/2)</f>
        <v>55.2</v>
      </c>
      <c r="N806" s="7">
        <f>IF(首页!$B$13="强制对流",首页!$B$11*M806/H806,0)</f>
        <v>0</v>
      </c>
      <c r="O806" s="6">
        <f>IF(首页!$B$13="自然对流",IF(首页!$B$14="立式圆筒",(0.825+0.3063*I806^(1/6))^2+0.87*(M806/B806),(0.752+0.303*I806^(1/6))^2),0.3+SQRT((0.592*N806^0.5)^2+(0.0262*N806^0.8/(1-0.5/N806^0.1))^2))</f>
        <v>10047.09600467706</v>
      </c>
      <c r="P806" s="6">
        <f t="shared" si="113"/>
        <v>2.9510194925512497E-2</v>
      </c>
      <c r="Q806" s="6">
        <f t="shared" si="114"/>
        <v>5.3712275640101055</v>
      </c>
      <c r="R806" s="6">
        <f t="shared" si="115"/>
        <v>13.139961364512061</v>
      </c>
      <c r="S806" s="6">
        <f>B806*LN(B806/首页!$B$4)</f>
        <v>4.5869774004780952</v>
      </c>
      <c r="T806" s="6">
        <f>2*首页!$B$8*(E806-C806)/(R806*(C806-D806))</f>
        <v>7.1016791362650558E-2</v>
      </c>
      <c r="U806" t="str">
        <f>IF(首页!$B$13="自然对流","按自然对流公式", "按强制对流公式")</f>
        <v>按自然对流公式</v>
      </c>
      <c r="V806" s="6">
        <f t="shared" si="116"/>
        <v>4.5159606091154449</v>
      </c>
    </row>
    <row r="807" spans="1:22" x14ac:dyDescent="0.15">
      <c r="A807">
        <v>802</v>
      </c>
      <c r="B807" s="6">
        <f>首页!$B$4+2*A807/1000</f>
        <v>1.7240000000000002</v>
      </c>
      <c r="C807" s="6">
        <f>首页!$B$7+273.15</f>
        <v>388.15</v>
      </c>
      <c r="D807" s="6">
        <f>首页!$B$6+273.15</f>
        <v>293.14999999999998</v>
      </c>
      <c r="E807" s="6">
        <f>首页!$B$5+273.15</f>
        <v>1373.15</v>
      </c>
      <c r="F807" s="6">
        <f t="shared" si="108"/>
        <v>95</v>
      </c>
      <c r="G807" s="6">
        <f t="shared" si="109"/>
        <v>340.65</v>
      </c>
      <c r="H807" s="6">
        <f t="shared" si="110"/>
        <v>1.9926207055139041E-5</v>
      </c>
      <c r="I807" s="7">
        <f t="shared" si="111"/>
        <v>1158916576932337.8</v>
      </c>
      <c r="J807" s="6">
        <f t="shared" si="112"/>
        <v>1.0226038455893147</v>
      </c>
      <c r="K807" s="7">
        <f>J807*H807*首页!$B$12/P807</f>
        <v>0.69532757496605813</v>
      </c>
      <c r="L807" s="6">
        <f>首页!$B$9*0.0000000567*((C807^4-D807^4)/(C807-D807))</f>
        <v>7.7687338005019564</v>
      </c>
      <c r="M807" s="6">
        <f>IF(首页!$B$13="自然对流",IF(首页!$B$14="立式圆筒",首页!$B$10,PI()*B807/2),PI()*B807/2)</f>
        <v>55.2</v>
      </c>
      <c r="N807" s="7">
        <f>IF(首页!$B$13="强制对流",首页!$B$11*M807/H807,0)</f>
        <v>0</v>
      </c>
      <c r="O807" s="6">
        <f>IF(首页!$B$13="自然对流",IF(首页!$B$14="立式圆筒",(0.825+0.3063*I807^(1/6))^2+0.87*(M807/B807),(0.752+0.303*I807^(1/6))^2),0.3+SQRT((0.592*N807^0.5)^2+(0.0262*N807^0.8/(1-0.5/N807^0.1))^2))</f>
        <v>10047.063651426779</v>
      </c>
      <c r="P807" s="6">
        <f t="shared" si="113"/>
        <v>2.9510194925512497E-2</v>
      </c>
      <c r="Q807" s="6">
        <f t="shared" si="114"/>
        <v>5.3712102678013682</v>
      </c>
      <c r="R807" s="6">
        <f t="shared" si="115"/>
        <v>13.139944068303326</v>
      </c>
      <c r="S807" s="6">
        <f>B807*LN(B807/首页!$B$4)</f>
        <v>4.594306061353306</v>
      </c>
      <c r="T807" s="6">
        <f>2*首页!$B$8*(E807-C807)/(R807*(C807-D807))</f>
        <v>7.101688484259544E-2</v>
      </c>
      <c r="U807" t="str">
        <f>IF(首页!$B$13="自然对流","按自然对流公式", "按强制对流公式")</f>
        <v>按自然对流公式</v>
      </c>
      <c r="V807" s="6">
        <f t="shared" si="116"/>
        <v>4.5232891765107102</v>
      </c>
    </row>
    <row r="808" spans="1:22" x14ac:dyDescent="0.15">
      <c r="A808">
        <v>803</v>
      </c>
      <c r="B808" s="6">
        <f>首页!$B$4+2*A808/1000</f>
        <v>1.726</v>
      </c>
      <c r="C808" s="6">
        <f>首页!$B$7+273.15</f>
        <v>388.15</v>
      </c>
      <c r="D808" s="6">
        <f>首页!$B$6+273.15</f>
        <v>293.14999999999998</v>
      </c>
      <c r="E808" s="6">
        <f>首页!$B$5+273.15</f>
        <v>1373.15</v>
      </c>
      <c r="F808" s="6">
        <f t="shared" si="108"/>
        <v>95</v>
      </c>
      <c r="G808" s="6">
        <f t="shared" si="109"/>
        <v>340.65</v>
      </c>
      <c r="H808" s="6">
        <f t="shared" si="110"/>
        <v>1.9926207055139041E-5</v>
      </c>
      <c r="I808" s="7">
        <f t="shared" si="111"/>
        <v>1158916576932337.8</v>
      </c>
      <c r="J808" s="6">
        <f t="shared" si="112"/>
        <v>1.0226038455893147</v>
      </c>
      <c r="K808" s="7">
        <f>J808*H808*首页!$B$12/P808</f>
        <v>0.69532757496605813</v>
      </c>
      <c r="L808" s="6">
        <f>首页!$B$9*0.0000000567*((C808^4-D808^4)/(C808-D808))</f>
        <v>7.7687338005019564</v>
      </c>
      <c r="M808" s="6">
        <f>IF(首页!$B$13="自然对流",IF(首页!$B$14="立式圆筒",首页!$B$10,PI()*B808/2),PI()*B808/2)</f>
        <v>55.2</v>
      </c>
      <c r="N808" s="7">
        <f>IF(首页!$B$13="强制对流",首页!$B$11*M808/H808,0)</f>
        <v>0</v>
      </c>
      <c r="O808" s="6">
        <f>IF(首页!$B$13="自然对流",IF(首页!$B$14="立式圆筒",(0.825+0.3063*I808^(1/6))^2+0.87*(M808/B808),(0.752+0.303*I808^(1/6))^2),0.3+SQRT((0.592*N808^0.5)^2+(0.0262*N808^0.8/(1-0.5/N808^0.1))^2))</f>
        <v>10047.031373155061</v>
      </c>
      <c r="P808" s="6">
        <f t="shared" si="113"/>
        <v>2.9510194925512497E-2</v>
      </c>
      <c r="Q808" s="6">
        <f t="shared" si="114"/>
        <v>5.3711930116765467</v>
      </c>
      <c r="R808" s="6">
        <f t="shared" si="115"/>
        <v>13.139926812178503</v>
      </c>
      <c r="S808" s="6">
        <f>B808*LN(B808/首页!$B$4)</f>
        <v>4.6016370424146507</v>
      </c>
      <c r="T808" s="6">
        <f>2*首页!$B$8*(E808-C808)/(R808*(C808-D808))</f>
        <v>7.1016978106146045E-2</v>
      </c>
      <c r="U808" t="str">
        <f>IF(首页!$B$13="自然对流","按自然对流公式", "按强制对流公式")</f>
        <v>按自然对流公式</v>
      </c>
      <c r="V808" s="6">
        <f t="shared" si="116"/>
        <v>4.5306200643085042</v>
      </c>
    </row>
    <row r="809" spans="1:22" x14ac:dyDescent="0.15">
      <c r="A809">
        <v>804</v>
      </c>
      <c r="B809" s="6">
        <f>首页!$B$4+2*A809/1000</f>
        <v>1.7280000000000002</v>
      </c>
      <c r="C809" s="6">
        <f>首页!$B$7+273.15</f>
        <v>388.15</v>
      </c>
      <c r="D809" s="6">
        <f>首页!$B$6+273.15</f>
        <v>293.14999999999998</v>
      </c>
      <c r="E809" s="6">
        <f>首页!$B$5+273.15</f>
        <v>1373.15</v>
      </c>
      <c r="F809" s="6">
        <f t="shared" si="108"/>
        <v>95</v>
      </c>
      <c r="G809" s="6">
        <f t="shared" si="109"/>
        <v>340.65</v>
      </c>
      <c r="H809" s="6">
        <f t="shared" si="110"/>
        <v>1.9926207055139041E-5</v>
      </c>
      <c r="I809" s="7">
        <f t="shared" si="111"/>
        <v>1158916576932337.8</v>
      </c>
      <c r="J809" s="6">
        <f t="shared" si="112"/>
        <v>1.0226038455893147</v>
      </c>
      <c r="K809" s="7">
        <f>J809*H809*首页!$B$12/P809</f>
        <v>0.69532757496605813</v>
      </c>
      <c r="L809" s="6">
        <f>首页!$B$9*0.0000000567*((C809^4-D809^4)/(C809-D809))</f>
        <v>7.7687338005019564</v>
      </c>
      <c r="M809" s="6">
        <f>IF(首页!$B$13="自然对流",IF(首页!$B$14="立式圆筒",首页!$B$10,PI()*B809/2),PI()*B809/2)</f>
        <v>55.2</v>
      </c>
      <c r="N809" s="7">
        <f>IF(首页!$B$13="强制对流",首页!$B$11*M809/H809,0)</f>
        <v>0</v>
      </c>
      <c r="O809" s="6">
        <f>IF(首页!$B$13="自然对流",IF(首页!$B$14="立式圆筒",(0.825+0.3063*I809^(1/6))^2+0.87*(M809/B809),(0.752+0.303*I809^(1/6))^2),0.3+SQRT((0.592*N809^0.5)^2+(0.0262*N809^0.8/(1-0.5/N809^0.1))^2))</f>
        <v>10046.999169601566</v>
      </c>
      <c r="P809" s="6">
        <f t="shared" si="113"/>
        <v>2.9510194925512497E-2</v>
      </c>
      <c r="Q809" s="6">
        <f t="shared" si="114"/>
        <v>5.3711757954964563</v>
      </c>
      <c r="R809" s="6">
        <f t="shared" si="115"/>
        <v>13.139909595998413</v>
      </c>
      <c r="S809" s="6">
        <f>B809*LN(B809/首页!$B$4)</f>
        <v>4.6089703409736194</v>
      </c>
      <c r="T809" s="6">
        <f>2*首页!$B$8*(E809-C809)/(R809*(C809-D809))</f>
        <v>7.1017071154052924E-2</v>
      </c>
      <c r="U809" t="str">
        <f>IF(首页!$B$13="自然对流","按自然对流公式", "按强制对流公式")</f>
        <v>按自然对流公式</v>
      </c>
      <c r="V809" s="6">
        <f t="shared" si="116"/>
        <v>4.5379532698195666</v>
      </c>
    </row>
    <row r="810" spans="1:22" x14ac:dyDescent="0.15">
      <c r="A810">
        <v>805</v>
      </c>
      <c r="B810" s="6">
        <f>首页!$B$4+2*A810/1000</f>
        <v>1.73</v>
      </c>
      <c r="C810" s="6">
        <f>首页!$B$7+273.15</f>
        <v>388.15</v>
      </c>
      <c r="D810" s="6">
        <f>首页!$B$6+273.15</f>
        <v>293.14999999999998</v>
      </c>
      <c r="E810" s="6">
        <f>首页!$B$5+273.15</f>
        <v>1373.15</v>
      </c>
      <c r="F810" s="6">
        <f t="shared" si="108"/>
        <v>95</v>
      </c>
      <c r="G810" s="6">
        <f t="shared" si="109"/>
        <v>340.65</v>
      </c>
      <c r="H810" s="6">
        <f t="shared" si="110"/>
        <v>1.9926207055139041E-5</v>
      </c>
      <c r="I810" s="7">
        <f t="shared" si="111"/>
        <v>1158916576932337.8</v>
      </c>
      <c r="J810" s="6">
        <f t="shared" si="112"/>
        <v>1.0226038455893147</v>
      </c>
      <c r="K810" s="7">
        <f>J810*H810*首页!$B$12/P810</f>
        <v>0.69532757496605813</v>
      </c>
      <c r="L810" s="6">
        <f>首页!$B$9*0.0000000567*((C810^4-D810^4)/(C810-D810))</f>
        <v>7.7687338005019564</v>
      </c>
      <c r="M810" s="6">
        <f>IF(首页!$B$13="自然对流",IF(首页!$B$14="立式圆筒",首页!$B$10,PI()*B810/2),PI()*B810/2)</f>
        <v>55.2</v>
      </c>
      <c r="N810" s="7">
        <f>IF(首页!$B$13="强制对流",首页!$B$11*M810/H810,0)</f>
        <v>0</v>
      </c>
      <c r="O810" s="6">
        <f>IF(首页!$B$13="自然对流",IF(首页!$B$14="立式圆筒",(0.825+0.3063*I810^(1/6))^2+0.87*(M810/B810),(0.752+0.303*I810^(1/6))^2),0.3+SQRT((0.592*N810^0.5)^2+(0.0262*N810^0.8/(1-0.5/N810^0.1))^2))</f>
        <v>10046.967040507154</v>
      </c>
      <c r="P810" s="6">
        <f t="shared" si="113"/>
        <v>2.9510194925512497E-2</v>
      </c>
      <c r="Q810" s="6">
        <f t="shared" si="114"/>
        <v>5.3711586191225633</v>
      </c>
      <c r="R810" s="6">
        <f t="shared" si="115"/>
        <v>13.13989241962452</v>
      </c>
      <c r="S810" s="6">
        <f>B810*LN(B810/首页!$B$4)</f>
        <v>4.6163059543479177</v>
      </c>
      <c r="T810" s="6">
        <f>2*首页!$B$8*(E810-C810)/(R810*(C810-D810))</f>
        <v>7.101716398706312E-2</v>
      </c>
      <c r="U810" t="str">
        <f>IF(首页!$B$13="自然对流","按自然对流公式", "按强制对流公式")</f>
        <v>按自然对流公式</v>
      </c>
      <c r="V810" s="6">
        <f t="shared" si="116"/>
        <v>4.5452887903608543</v>
      </c>
    </row>
    <row r="811" spans="1:22" x14ac:dyDescent="0.15">
      <c r="A811">
        <v>806</v>
      </c>
      <c r="B811" s="6">
        <f>首页!$B$4+2*A811/1000</f>
        <v>1.7320000000000002</v>
      </c>
      <c r="C811" s="6">
        <f>首页!$B$7+273.15</f>
        <v>388.15</v>
      </c>
      <c r="D811" s="6">
        <f>首页!$B$6+273.15</f>
        <v>293.14999999999998</v>
      </c>
      <c r="E811" s="6">
        <f>首页!$B$5+273.15</f>
        <v>1373.15</v>
      </c>
      <c r="F811" s="6">
        <f t="shared" si="108"/>
        <v>95</v>
      </c>
      <c r="G811" s="6">
        <f t="shared" si="109"/>
        <v>340.65</v>
      </c>
      <c r="H811" s="6">
        <f t="shared" si="110"/>
        <v>1.9926207055139041E-5</v>
      </c>
      <c r="I811" s="7">
        <f t="shared" si="111"/>
        <v>1158916576932337.8</v>
      </c>
      <c r="J811" s="6">
        <f t="shared" si="112"/>
        <v>1.0226038455893147</v>
      </c>
      <c r="K811" s="7">
        <f>J811*H811*首页!$B$12/P811</f>
        <v>0.69532757496605813</v>
      </c>
      <c r="L811" s="6">
        <f>首页!$B$9*0.0000000567*((C811^4-D811^4)/(C811-D811))</f>
        <v>7.7687338005019564</v>
      </c>
      <c r="M811" s="6">
        <f>IF(首页!$B$13="自然对流",IF(首页!$B$14="立式圆筒",首页!$B$10,PI()*B811/2),PI()*B811/2)</f>
        <v>55.2</v>
      </c>
      <c r="N811" s="7">
        <f>IF(首页!$B$13="强制对流",首页!$B$11*M811/H811,0)</f>
        <v>0</v>
      </c>
      <c r="O811" s="6">
        <f>IF(首页!$B$13="自然对流",IF(首页!$B$14="立式圆筒",(0.825+0.3063*I811^(1/6))^2+0.87*(M811/B811),(0.752+0.303*I811^(1/6))^2),0.3+SQRT((0.592*N811^0.5)^2+(0.0262*N811^0.8/(1-0.5/N811^0.1))^2))</f>
        <v>10046.934985613883</v>
      </c>
      <c r="P811" s="6">
        <f t="shared" si="113"/>
        <v>2.9510194925512497E-2</v>
      </c>
      <c r="Q811" s="6">
        <f t="shared" si="114"/>
        <v>5.3711414824169701</v>
      </c>
      <c r="R811" s="6">
        <f t="shared" si="115"/>
        <v>13.139875282918926</v>
      </c>
      <c r="S811" s="6">
        <f>B811*LN(B811/首页!$B$4)</f>
        <v>4.6236438798614605</v>
      </c>
      <c r="T811" s="6">
        <f>2*首页!$B$8*(E811-C811)/(R811*(C811-D811))</f>
        <v>7.1017256605920245E-2</v>
      </c>
      <c r="U811" t="str">
        <f>IF(首页!$B$13="自然对流","按自然对流公式", "按强制对流公式")</f>
        <v>按自然对流公式</v>
      </c>
      <c r="V811" s="6">
        <f t="shared" si="116"/>
        <v>4.5526266232555406</v>
      </c>
    </row>
    <row r="812" spans="1:22" x14ac:dyDescent="0.15">
      <c r="A812">
        <v>807</v>
      </c>
      <c r="B812" s="6">
        <f>首页!$B$4+2*A812/1000</f>
        <v>1.734</v>
      </c>
      <c r="C812" s="6">
        <f>首页!$B$7+273.15</f>
        <v>388.15</v>
      </c>
      <c r="D812" s="6">
        <f>首页!$B$6+273.15</f>
        <v>293.14999999999998</v>
      </c>
      <c r="E812" s="6">
        <f>首页!$B$5+273.15</f>
        <v>1373.15</v>
      </c>
      <c r="F812" s="6">
        <f t="shared" si="108"/>
        <v>95</v>
      </c>
      <c r="G812" s="6">
        <f t="shared" si="109"/>
        <v>340.65</v>
      </c>
      <c r="H812" s="6">
        <f t="shared" si="110"/>
        <v>1.9926207055139041E-5</v>
      </c>
      <c r="I812" s="7">
        <f t="shared" si="111"/>
        <v>1158916576932337.8</v>
      </c>
      <c r="J812" s="6">
        <f t="shared" si="112"/>
        <v>1.0226038455893147</v>
      </c>
      <c r="K812" s="7">
        <f>J812*H812*首页!$B$12/P812</f>
        <v>0.69532757496605813</v>
      </c>
      <c r="L812" s="6">
        <f>首页!$B$9*0.0000000567*((C812^4-D812^4)/(C812-D812))</f>
        <v>7.7687338005019564</v>
      </c>
      <c r="M812" s="6">
        <f>IF(首页!$B$13="自然对流",IF(首页!$B$14="立式圆筒",首页!$B$10,PI()*B812/2),PI()*B812/2)</f>
        <v>55.2</v>
      </c>
      <c r="N812" s="7">
        <f>IF(首页!$B$13="强制对流",首页!$B$11*M812/H812,0)</f>
        <v>0</v>
      </c>
      <c r="O812" s="6">
        <f>IF(首页!$B$13="自然对流",IF(首页!$B$14="立式圆筒",(0.825+0.3063*I812^(1/6))^2+0.87*(M812/B812),(0.752+0.303*I812^(1/6))^2),0.3+SQRT((0.592*N812^0.5)^2+(0.0262*N812^0.8/(1-0.5/N812^0.1))^2))</f>
        <v>10046.903004665004</v>
      </c>
      <c r="P812" s="6">
        <f t="shared" si="113"/>
        <v>2.9510194925512497E-2</v>
      </c>
      <c r="Q812" s="6">
        <f t="shared" si="114"/>
        <v>5.3711243852424175</v>
      </c>
      <c r="R812" s="6">
        <f t="shared" si="115"/>
        <v>13.139858185744373</v>
      </c>
      <c r="S812" s="6">
        <f>B812*LN(B812/首页!$B$4)</f>
        <v>4.6309841148443365</v>
      </c>
      <c r="T812" s="6">
        <f>2*首页!$B$8*(E812-C812)/(R812*(C812-D812))</f>
        <v>7.1017349011364445E-2</v>
      </c>
      <c r="U812" t="str">
        <f>IF(首页!$B$13="自然对流","按自然对流公式", "按强制对流公式")</f>
        <v>按自然对流公式</v>
      </c>
      <c r="V812" s="6">
        <f t="shared" si="116"/>
        <v>4.5599667658329723</v>
      </c>
    </row>
    <row r="813" spans="1:22" x14ac:dyDescent="0.15">
      <c r="A813">
        <v>808</v>
      </c>
      <c r="B813" s="6">
        <f>首页!$B$4+2*A813/1000</f>
        <v>1.7360000000000002</v>
      </c>
      <c r="C813" s="6">
        <f>首页!$B$7+273.15</f>
        <v>388.15</v>
      </c>
      <c r="D813" s="6">
        <f>首页!$B$6+273.15</f>
        <v>293.14999999999998</v>
      </c>
      <c r="E813" s="6">
        <f>首页!$B$5+273.15</f>
        <v>1373.15</v>
      </c>
      <c r="F813" s="6">
        <f t="shared" si="108"/>
        <v>95</v>
      </c>
      <c r="G813" s="6">
        <f t="shared" si="109"/>
        <v>340.65</v>
      </c>
      <c r="H813" s="6">
        <f t="shared" si="110"/>
        <v>1.9926207055139041E-5</v>
      </c>
      <c r="I813" s="7">
        <f t="shared" si="111"/>
        <v>1158916576932337.8</v>
      </c>
      <c r="J813" s="6">
        <f t="shared" si="112"/>
        <v>1.0226038455893147</v>
      </c>
      <c r="K813" s="7">
        <f>J813*H813*首页!$B$12/P813</f>
        <v>0.69532757496605813</v>
      </c>
      <c r="L813" s="6">
        <f>首页!$B$9*0.0000000567*((C813^4-D813^4)/(C813-D813))</f>
        <v>7.7687338005019564</v>
      </c>
      <c r="M813" s="6">
        <f>IF(首页!$B$13="自然对流",IF(首页!$B$14="立式圆筒",首页!$B$10,PI()*B813/2),PI()*B813/2)</f>
        <v>55.2</v>
      </c>
      <c r="N813" s="7">
        <f>IF(首页!$B$13="强制对流",首页!$B$11*M813/H813,0)</f>
        <v>0</v>
      </c>
      <c r="O813" s="6">
        <f>IF(首页!$B$13="自然对流",IF(首页!$B$14="立式圆筒",(0.825+0.3063*I813^(1/6))^2+0.87*(M813/B813),(0.752+0.303*I813^(1/6))^2),0.3+SQRT((0.592*N813^0.5)^2+(0.0262*N813^0.8/(1-0.5/N813^0.1))^2))</f>
        <v>10046.871097404946</v>
      </c>
      <c r="P813" s="6">
        <f t="shared" si="113"/>
        <v>2.9510194925512497E-2</v>
      </c>
      <c r="Q813" s="6">
        <f t="shared" si="114"/>
        <v>5.3711073274622745</v>
      </c>
      <c r="R813" s="6">
        <f t="shared" si="115"/>
        <v>13.139841127964232</v>
      </c>
      <c r="S813" s="6">
        <f>B813*LN(B813/首页!$B$4)</f>
        <v>4.6383266566328016</v>
      </c>
      <c r="T813" s="6">
        <f>2*首页!$B$8*(E813-C813)/(R813*(C813-D813))</f>
        <v>7.1017441204132517E-2</v>
      </c>
      <c r="U813" t="str">
        <f>IF(首页!$B$13="自然对流","按自然对流公式", "按强制对流公式")</f>
        <v>按自然对流公式</v>
      </c>
      <c r="V813" s="6">
        <f t="shared" si="116"/>
        <v>4.5673092154286694</v>
      </c>
    </row>
    <row r="814" spans="1:22" x14ac:dyDescent="0.15">
      <c r="A814">
        <v>809</v>
      </c>
      <c r="B814" s="6">
        <f>首页!$B$4+2*A814/1000</f>
        <v>1.738</v>
      </c>
      <c r="C814" s="6">
        <f>首页!$B$7+273.15</f>
        <v>388.15</v>
      </c>
      <c r="D814" s="6">
        <f>首页!$B$6+273.15</f>
        <v>293.14999999999998</v>
      </c>
      <c r="E814" s="6">
        <f>首页!$B$5+273.15</f>
        <v>1373.15</v>
      </c>
      <c r="F814" s="6">
        <f t="shared" si="108"/>
        <v>95</v>
      </c>
      <c r="G814" s="6">
        <f t="shared" si="109"/>
        <v>340.65</v>
      </c>
      <c r="H814" s="6">
        <f t="shared" si="110"/>
        <v>1.9926207055139041E-5</v>
      </c>
      <c r="I814" s="7">
        <f t="shared" si="111"/>
        <v>1158916576932337.8</v>
      </c>
      <c r="J814" s="6">
        <f t="shared" si="112"/>
        <v>1.0226038455893147</v>
      </c>
      <c r="K814" s="7">
        <f>J814*H814*首页!$B$12/P814</f>
        <v>0.69532757496605813</v>
      </c>
      <c r="L814" s="6">
        <f>首页!$B$9*0.0000000567*((C814^4-D814^4)/(C814-D814))</f>
        <v>7.7687338005019564</v>
      </c>
      <c r="M814" s="6">
        <f>IF(首页!$B$13="自然对流",IF(首页!$B$14="立式圆筒",首页!$B$10,PI()*B814/2),PI()*B814/2)</f>
        <v>55.2</v>
      </c>
      <c r="N814" s="7">
        <f>IF(首页!$B$13="强制对流",首页!$B$11*M814/H814,0)</f>
        <v>0</v>
      </c>
      <c r="O814" s="6">
        <f>IF(首页!$B$13="自然对流",IF(首页!$B$14="立式圆筒",(0.825+0.3063*I814^(1/6))^2+0.87*(M814/B814),(0.752+0.303*I814^(1/6))^2),0.3+SQRT((0.592*N814^0.5)^2+(0.0262*N814^0.8/(1-0.5/N814^0.1))^2))</f>
        <v>10046.839263579319</v>
      </c>
      <c r="P814" s="6">
        <f t="shared" si="113"/>
        <v>2.9510194925512497E-2</v>
      </c>
      <c r="Q814" s="6">
        <f t="shared" si="114"/>
        <v>5.3710903089405448</v>
      </c>
      <c r="R814" s="6">
        <f t="shared" si="115"/>
        <v>13.1398241094425</v>
      </c>
      <c r="S814" s="6">
        <f>B814*LN(B814/首页!$B$4)</f>
        <v>4.6456715025692406</v>
      </c>
      <c r="T814" s="6">
        <f>2*首页!$B$8*(E814-C814)/(R814*(C814-D814))</f>
        <v>7.1017533184957862E-2</v>
      </c>
      <c r="U814" t="str">
        <f>IF(首页!$B$13="自然对流","按自然对流公式", "按强制对流公式")</f>
        <v>按自然对流公式</v>
      </c>
      <c r="V814" s="6">
        <f t="shared" si="116"/>
        <v>4.5746539693842827</v>
      </c>
    </row>
    <row r="815" spans="1:22" x14ac:dyDescent="0.15">
      <c r="A815">
        <v>810</v>
      </c>
      <c r="B815" s="6">
        <f>首页!$B$4+2*A815/1000</f>
        <v>1.7400000000000002</v>
      </c>
      <c r="C815" s="6">
        <f>首页!$B$7+273.15</f>
        <v>388.15</v>
      </c>
      <c r="D815" s="6">
        <f>首页!$B$6+273.15</f>
        <v>293.14999999999998</v>
      </c>
      <c r="E815" s="6">
        <f>首页!$B$5+273.15</f>
        <v>1373.15</v>
      </c>
      <c r="F815" s="6">
        <f t="shared" si="108"/>
        <v>95</v>
      </c>
      <c r="G815" s="6">
        <f t="shared" si="109"/>
        <v>340.65</v>
      </c>
      <c r="H815" s="6">
        <f t="shared" si="110"/>
        <v>1.9926207055139041E-5</v>
      </c>
      <c r="I815" s="7">
        <f t="shared" si="111"/>
        <v>1158916576932337.8</v>
      </c>
      <c r="J815" s="6">
        <f t="shared" si="112"/>
        <v>1.0226038455893147</v>
      </c>
      <c r="K815" s="7">
        <f>J815*H815*首页!$B$12/P815</f>
        <v>0.69532757496605813</v>
      </c>
      <c r="L815" s="6">
        <f>首页!$B$9*0.0000000567*((C815^4-D815^4)/(C815-D815))</f>
        <v>7.7687338005019564</v>
      </c>
      <c r="M815" s="6">
        <f>IF(首页!$B$13="自然对流",IF(首页!$B$14="立式圆筒",首页!$B$10,PI()*B815/2),PI()*B815/2)</f>
        <v>55.2</v>
      </c>
      <c r="N815" s="7">
        <f>IF(首页!$B$13="强制对流",首页!$B$11*M815/H815,0)</f>
        <v>0</v>
      </c>
      <c r="O815" s="6">
        <f>IF(首页!$B$13="自然对流",IF(首页!$B$14="立式圆筒",(0.825+0.3063*I815^(1/6))^2+0.87*(M815/B815),(0.752+0.303*I815^(1/6))^2),0.3+SQRT((0.592*N815^0.5)^2+(0.0262*N815^0.8/(1-0.5/N815^0.1))^2))</f>
        <v>10046.8075029349</v>
      </c>
      <c r="P815" s="6">
        <f t="shared" si="113"/>
        <v>2.9510194925512497E-2</v>
      </c>
      <c r="Q815" s="6">
        <f t="shared" si="114"/>
        <v>5.3710733295418542</v>
      </c>
      <c r="R815" s="6">
        <f t="shared" si="115"/>
        <v>13.13980713004381</v>
      </c>
      <c r="S815" s="6">
        <f>B815*LN(B815/首页!$B$4)</f>
        <v>4.6530186500021609</v>
      </c>
      <c r="T815" s="6">
        <f>2*首页!$B$8*(E815-C815)/(R815*(C815-D815))</f>
        <v>7.1017624954570466E-2</v>
      </c>
      <c r="U815" t="str">
        <f>IF(首页!$B$13="自然对流","按自然对流公式", "按强制对流公式")</f>
        <v>按自然对流公式</v>
      </c>
      <c r="V815" s="6">
        <f t="shared" si="116"/>
        <v>4.5820010250475907</v>
      </c>
    </row>
    <row r="816" spans="1:22" x14ac:dyDescent="0.15">
      <c r="A816">
        <v>811</v>
      </c>
      <c r="B816" s="6">
        <f>首页!$B$4+2*A816/1000</f>
        <v>1.742</v>
      </c>
      <c r="C816" s="6">
        <f>首页!$B$7+273.15</f>
        <v>388.15</v>
      </c>
      <c r="D816" s="6">
        <f>首页!$B$6+273.15</f>
        <v>293.14999999999998</v>
      </c>
      <c r="E816" s="6">
        <f>首页!$B$5+273.15</f>
        <v>1373.15</v>
      </c>
      <c r="F816" s="6">
        <f t="shared" si="108"/>
        <v>95</v>
      </c>
      <c r="G816" s="6">
        <f t="shared" si="109"/>
        <v>340.65</v>
      </c>
      <c r="H816" s="6">
        <f t="shared" si="110"/>
        <v>1.9926207055139041E-5</v>
      </c>
      <c r="I816" s="7">
        <f t="shared" si="111"/>
        <v>1158916576932337.8</v>
      </c>
      <c r="J816" s="6">
        <f t="shared" si="112"/>
        <v>1.0226038455893147</v>
      </c>
      <c r="K816" s="7">
        <f>J816*H816*首页!$B$12/P816</f>
        <v>0.69532757496605813</v>
      </c>
      <c r="L816" s="6">
        <f>首页!$B$9*0.0000000567*((C816^4-D816^4)/(C816-D816))</f>
        <v>7.7687338005019564</v>
      </c>
      <c r="M816" s="6">
        <f>IF(首页!$B$13="自然对流",IF(首页!$B$14="立式圆筒",首页!$B$10,PI()*B816/2),PI()*B816/2)</f>
        <v>55.2</v>
      </c>
      <c r="N816" s="7">
        <f>IF(首页!$B$13="强制对流",首页!$B$11*M816/H816,0)</f>
        <v>0</v>
      </c>
      <c r="O816" s="6">
        <f>IF(首页!$B$13="自然对流",IF(首页!$B$14="立式圆筒",(0.825+0.3063*I816^(1/6))^2+0.87*(M816/B816),(0.752+0.303*I816^(1/6))^2),0.3+SQRT((0.592*N816^0.5)^2+(0.0262*N816^0.8/(1-0.5/N816^0.1))^2))</f>
        <v>10046.775815219629</v>
      </c>
      <c r="P816" s="6">
        <f t="shared" si="113"/>
        <v>2.9510194925512497E-2</v>
      </c>
      <c r="Q816" s="6">
        <f t="shared" si="114"/>
        <v>5.3710563891314491</v>
      </c>
      <c r="R816" s="6">
        <f t="shared" si="115"/>
        <v>13.139790189633406</v>
      </c>
      <c r="S816" s="6">
        <f>B816*LN(B816/首页!$B$4)</f>
        <v>4.6603680962861604</v>
      </c>
      <c r="T816" s="6">
        <f>2*首页!$B$8*(E816-C816)/(R816*(C816-D816))</f>
        <v>7.1017716513696996E-2</v>
      </c>
      <c r="U816" t="str">
        <f>IF(首页!$B$13="自然对流","按自然对流公式", "按强制对流公式")</f>
        <v>按自然对流公式</v>
      </c>
      <c r="V816" s="6">
        <f t="shared" si="116"/>
        <v>4.5893503797724637</v>
      </c>
    </row>
    <row r="817" spans="1:22" x14ac:dyDescent="0.15">
      <c r="A817">
        <v>812</v>
      </c>
      <c r="B817" s="6">
        <f>首页!$B$4+2*A817/1000</f>
        <v>1.7440000000000002</v>
      </c>
      <c r="C817" s="6">
        <f>首页!$B$7+273.15</f>
        <v>388.15</v>
      </c>
      <c r="D817" s="6">
        <f>首页!$B$6+273.15</f>
        <v>293.14999999999998</v>
      </c>
      <c r="E817" s="6">
        <f>首页!$B$5+273.15</f>
        <v>1373.15</v>
      </c>
      <c r="F817" s="6">
        <f t="shared" si="108"/>
        <v>95</v>
      </c>
      <c r="G817" s="6">
        <f t="shared" si="109"/>
        <v>340.65</v>
      </c>
      <c r="H817" s="6">
        <f t="shared" si="110"/>
        <v>1.9926207055139041E-5</v>
      </c>
      <c r="I817" s="7">
        <f t="shared" si="111"/>
        <v>1158916576932337.8</v>
      </c>
      <c r="J817" s="6">
        <f t="shared" si="112"/>
        <v>1.0226038455893147</v>
      </c>
      <c r="K817" s="7">
        <f>J817*H817*首页!$B$12/P817</f>
        <v>0.69532757496605813</v>
      </c>
      <c r="L817" s="6">
        <f>首页!$B$9*0.0000000567*((C817^4-D817^4)/(C817-D817))</f>
        <v>7.7687338005019564</v>
      </c>
      <c r="M817" s="6">
        <f>IF(首页!$B$13="自然对流",IF(首页!$B$14="立式圆筒",首页!$B$10,PI()*B817/2),PI()*B817/2)</f>
        <v>55.2</v>
      </c>
      <c r="N817" s="7">
        <f>IF(首页!$B$13="强制对流",首页!$B$11*M817/H817,0)</f>
        <v>0</v>
      </c>
      <c r="O817" s="6">
        <f>IF(首页!$B$13="自然对流",IF(首页!$B$14="立式圆筒",(0.825+0.3063*I817^(1/6))^2+0.87*(M817/B817),(0.752+0.303*I817^(1/6))^2),0.3+SQRT((0.592*N817^0.5)^2+(0.0262*N817^0.8/(1-0.5/N817^0.1))^2))</f>
        <v>10046.744200182606</v>
      </c>
      <c r="P817" s="6">
        <f t="shared" si="113"/>
        <v>2.9510194925512497E-2</v>
      </c>
      <c r="Q817" s="6">
        <f t="shared" si="114"/>
        <v>5.3710394875751959</v>
      </c>
      <c r="R817" s="6">
        <f t="shared" si="115"/>
        <v>13.139773288077151</v>
      </c>
      <c r="S817" s="6">
        <f>B817*LN(B817/首页!$B$4)</f>
        <v>4.6677198387819177</v>
      </c>
      <c r="T817" s="6">
        <f>2*首页!$B$8*(E817-C817)/(R817*(C817-D817))</f>
        <v>7.1017807863060819E-2</v>
      </c>
      <c r="U817" t="str">
        <f>IF(首页!$B$13="自然对流","按自然对流公式", "按强制对流公式")</f>
        <v>按自然对流公式</v>
      </c>
      <c r="V817" s="6">
        <f t="shared" si="116"/>
        <v>4.5967020309188564</v>
      </c>
    </row>
    <row r="818" spans="1:22" x14ac:dyDescent="0.15">
      <c r="A818">
        <v>813</v>
      </c>
      <c r="B818" s="6">
        <f>首页!$B$4+2*A818/1000</f>
        <v>1.746</v>
      </c>
      <c r="C818" s="6">
        <f>首页!$B$7+273.15</f>
        <v>388.15</v>
      </c>
      <c r="D818" s="6">
        <f>首页!$B$6+273.15</f>
        <v>293.14999999999998</v>
      </c>
      <c r="E818" s="6">
        <f>首页!$B$5+273.15</f>
        <v>1373.15</v>
      </c>
      <c r="F818" s="6">
        <f t="shared" si="108"/>
        <v>95</v>
      </c>
      <c r="G818" s="6">
        <f t="shared" si="109"/>
        <v>340.65</v>
      </c>
      <c r="H818" s="6">
        <f t="shared" si="110"/>
        <v>1.9926207055139041E-5</v>
      </c>
      <c r="I818" s="7">
        <f t="shared" si="111"/>
        <v>1158916576932337.8</v>
      </c>
      <c r="J818" s="6">
        <f t="shared" si="112"/>
        <v>1.0226038455893147</v>
      </c>
      <c r="K818" s="7">
        <f>J818*H818*首页!$B$12/P818</f>
        <v>0.69532757496605813</v>
      </c>
      <c r="L818" s="6">
        <f>首页!$B$9*0.0000000567*((C818^4-D818^4)/(C818-D818))</f>
        <v>7.7687338005019564</v>
      </c>
      <c r="M818" s="6">
        <f>IF(首页!$B$13="自然对流",IF(首页!$B$14="立式圆筒",首页!$B$10,PI()*B818/2),PI()*B818/2)</f>
        <v>55.2</v>
      </c>
      <c r="N818" s="7">
        <f>IF(首页!$B$13="强制对流",首页!$B$11*M818/H818,0)</f>
        <v>0</v>
      </c>
      <c r="O818" s="6">
        <f>IF(首页!$B$13="自然对流",IF(首页!$B$14="立式圆筒",(0.825+0.3063*I818^(1/6))^2+0.87*(M818/B818),(0.752+0.303*I818^(1/6))^2),0.3+SQRT((0.592*N818^0.5)^2+(0.0262*N818^0.8/(1-0.5/N818^0.1))^2))</f>
        <v>10046.712657574075</v>
      </c>
      <c r="P818" s="6">
        <f t="shared" si="113"/>
        <v>2.9510194925512497E-2</v>
      </c>
      <c r="Q818" s="6">
        <f t="shared" si="114"/>
        <v>5.3710226247395765</v>
      </c>
      <c r="R818" s="6">
        <f t="shared" si="115"/>
        <v>13.139756425241533</v>
      </c>
      <c r="S818" s="6">
        <f>B818*LN(B818/首页!$B$4)</f>
        <v>4.6750738748561576</v>
      </c>
      <c r="T818" s="6">
        <f>2*首页!$B$8*(E818-C818)/(R818*(C818-D818))</f>
        <v>7.1017899003381943E-2</v>
      </c>
      <c r="U818" t="str">
        <f>IF(首页!$B$13="自然对流","按自然对流公式", "按强制对流公式")</f>
        <v>按自然对流公式</v>
      </c>
      <c r="V818" s="6">
        <f t="shared" si="116"/>
        <v>4.6040559758527753</v>
      </c>
    </row>
    <row r="819" spans="1:22" x14ac:dyDescent="0.15">
      <c r="A819">
        <v>814</v>
      </c>
      <c r="B819" s="6">
        <f>首页!$B$4+2*A819/1000</f>
        <v>1.7479999999999998</v>
      </c>
      <c r="C819" s="6">
        <f>首页!$B$7+273.15</f>
        <v>388.15</v>
      </c>
      <c r="D819" s="6">
        <f>首页!$B$6+273.15</f>
        <v>293.14999999999998</v>
      </c>
      <c r="E819" s="6">
        <f>首页!$B$5+273.15</f>
        <v>1373.15</v>
      </c>
      <c r="F819" s="6">
        <f t="shared" si="108"/>
        <v>95</v>
      </c>
      <c r="G819" s="6">
        <f t="shared" si="109"/>
        <v>340.65</v>
      </c>
      <c r="H819" s="6">
        <f t="shared" si="110"/>
        <v>1.9926207055139041E-5</v>
      </c>
      <c r="I819" s="7">
        <f t="shared" si="111"/>
        <v>1158916576932337.8</v>
      </c>
      <c r="J819" s="6">
        <f t="shared" si="112"/>
        <v>1.0226038455893147</v>
      </c>
      <c r="K819" s="7">
        <f>J819*H819*首页!$B$12/P819</f>
        <v>0.69532757496605813</v>
      </c>
      <c r="L819" s="6">
        <f>首页!$B$9*0.0000000567*((C819^4-D819^4)/(C819-D819))</f>
        <v>7.7687338005019564</v>
      </c>
      <c r="M819" s="6">
        <f>IF(首页!$B$13="自然对流",IF(首页!$B$14="立式圆筒",首页!$B$10,PI()*B819/2),PI()*B819/2)</f>
        <v>55.2</v>
      </c>
      <c r="N819" s="7">
        <f>IF(首页!$B$13="强制对流",首页!$B$11*M819/H819,0)</f>
        <v>0</v>
      </c>
      <c r="O819" s="6">
        <f>IF(首页!$B$13="自然对流",IF(首页!$B$14="立式圆筒",(0.825+0.3063*I819^(1/6))^2+0.87*(M819/B819),(0.752+0.303*I819^(1/6))^2),0.3+SQRT((0.592*N819^0.5)^2+(0.0262*N819^0.8/(1-0.5/N819^0.1))^2))</f>
        <v>10046.681187145427</v>
      </c>
      <c r="P819" s="6">
        <f t="shared" si="113"/>
        <v>2.9510194925512497E-2</v>
      </c>
      <c r="Q819" s="6">
        <f t="shared" si="114"/>
        <v>5.3710058004916821</v>
      </c>
      <c r="R819" s="6">
        <f t="shared" si="115"/>
        <v>13.139739600993639</v>
      </c>
      <c r="S819" s="6">
        <f>B819*LN(B819/首页!$B$4)</f>
        <v>4.6824302018816431</v>
      </c>
      <c r="T819" s="6">
        <f>2*首页!$B$8*(E819-C819)/(R819*(C819-D819))</f>
        <v>7.1017989935377099E-2</v>
      </c>
      <c r="U819" t="str">
        <f>IF(首页!$B$13="自然对流","按自然对流公式", "按强制对流公式")</f>
        <v>按自然对流公式</v>
      </c>
      <c r="V819" s="6">
        <f t="shared" si="116"/>
        <v>4.6114122119462664</v>
      </c>
    </row>
    <row r="820" spans="1:22" x14ac:dyDescent="0.15">
      <c r="A820">
        <v>815</v>
      </c>
      <c r="B820" s="6">
        <f>首页!$B$4+2*A820/1000</f>
        <v>1.75</v>
      </c>
      <c r="C820" s="6">
        <f>首页!$B$7+273.15</f>
        <v>388.15</v>
      </c>
      <c r="D820" s="6">
        <f>首页!$B$6+273.15</f>
        <v>293.14999999999998</v>
      </c>
      <c r="E820" s="6">
        <f>首页!$B$5+273.15</f>
        <v>1373.15</v>
      </c>
      <c r="F820" s="6">
        <f t="shared" si="108"/>
        <v>95</v>
      </c>
      <c r="G820" s="6">
        <f t="shared" si="109"/>
        <v>340.65</v>
      </c>
      <c r="H820" s="6">
        <f t="shared" si="110"/>
        <v>1.9926207055139041E-5</v>
      </c>
      <c r="I820" s="7">
        <f t="shared" si="111"/>
        <v>1158916576932337.8</v>
      </c>
      <c r="J820" s="6">
        <f t="shared" si="112"/>
        <v>1.0226038455893147</v>
      </c>
      <c r="K820" s="7">
        <f>J820*H820*首页!$B$12/P820</f>
        <v>0.69532757496605813</v>
      </c>
      <c r="L820" s="6">
        <f>首页!$B$9*0.0000000567*((C820^4-D820^4)/(C820-D820))</f>
        <v>7.7687338005019564</v>
      </c>
      <c r="M820" s="6">
        <f>IF(首页!$B$13="自然对流",IF(首页!$B$14="立式圆筒",首页!$B$10,PI()*B820/2),PI()*B820/2)</f>
        <v>55.2</v>
      </c>
      <c r="N820" s="7">
        <f>IF(首页!$B$13="强制对流",首页!$B$11*M820/H820,0)</f>
        <v>0</v>
      </c>
      <c r="O820" s="6">
        <f>IF(首页!$B$13="自然对流",IF(首页!$B$14="立式圆筒",(0.825+0.3063*I820^(1/6))^2+0.87*(M820/B820),(0.752+0.303*I820^(1/6))^2),0.3+SQRT((0.592*N820^0.5)^2+(0.0262*N820^0.8/(1-0.5/N820^0.1))^2))</f>
        <v>10046.649788649185</v>
      </c>
      <c r="P820" s="6">
        <f t="shared" si="113"/>
        <v>2.9510194925512497E-2</v>
      </c>
      <c r="Q820" s="6">
        <f t="shared" si="114"/>
        <v>5.3709890146992096</v>
      </c>
      <c r="R820" s="6">
        <f t="shared" si="115"/>
        <v>13.139722815201166</v>
      </c>
      <c r="S820" s="6">
        <f>B820*LN(B820/首页!$B$4)</f>
        <v>4.6897888172371491</v>
      </c>
      <c r="T820" s="6">
        <f>2*首页!$B$8*(E820-C820)/(R820*(C820-D820))</f>
        <v>7.1018080659759772E-2</v>
      </c>
      <c r="U820" t="str">
        <f>IF(首页!$B$13="自然对流","按自然对流公式", "按强制对流公式")</f>
        <v>按自然对流公式</v>
      </c>
      <c r="V820" s="6">
        <f t="shared" si="116"/>
        <v>4.6187707365773898</v>
      </c>
    </row>
    <row r="821" spans="1:22" x14ac:dyDescent="0.15">
      <c r="A821">
        <v>816</v>
      </c>
      <c r="B821" s="6">
        <f>首页!$B$4+2*A821/1000</f>
        <v>1.7519999999999998</v>
      </c>
      <c r="C821" s="6">
        <f>首页!$B$7+273.15</f>
        <v>388.15</v>
      </c>
      <c r="D821" s="6">
        <f>首页!$B$6+273.15</f>
        <v>293.14999999999998</v>
      </c>
      <c r="E821" s="6">
        <f>首页!$B$5+273.15</f>
        <v>1373.15</v>
      </c>
      <c r="F821" s="6">
        <f t="shared" si="108"/>
        <v>95</v>
      </c>
      <c r="G821" s="6">
        <f t="shared" si="109"/>
        <v>340.65</v>
      </c>
      <c r="H821" s="6">
        <f t="shared" si="110"/>
        <v>1.9926207055139041E-5</v>
      </c>
      <c r="I821" s="7">
        <f t="shared" si="111"/>
        <v>1158916576932337.8</v>
      </c>
      <c r="J821" s="6">
        <f t="shared" si="112"/>
        <v>1.0226038455893147</v>
      </c>
      <c r="K821" s="7">
        <f>J821*H821*首页!$B$12/P821</f>
        <v>0.69532757496605813</v>
      </c>
      <c r="L821" s="6">
        <f>首页!$B$9*0.0000000567*((C821^4-D821^4)/(C821-D821))</f>
        <v>7.7687338005019564</v>
      </c>
      <c r="M821" s="6">
        <f>IF(首页!$B$13="自然对流",IF(首页!$B$14="立式圆筒",首页!$B$10,PI()*B821/2),PI()*B821/2)</f>
        <v>55.2</v>
      </c>
      <c r="N821" s="7">
        <f>IF(首页!$B$13="强制对流",首页!$B$11*M821/H821,0)</f>
        <v>0</v>
      </c>
      <c r="O821" s="6">
        <f>IF(首页!$B$13="自然对流",IF(首页!$B$14="立式圆筒",(0.825+0.3063*I821^(1/6))^2+0.87*(M821/B821),(0.752+0.303*I821^(1/6))^2),0.3+SQRT((0.592*N821^0.5)^2+(0.0262*N821^0.8/(1-0.5/N821^0.1))^2))</f>
        <v>10046.618461839009</v>
      </c>
      <c r="P821" s="6">
        <f t="shared" si="113"/>
        <v>2.9510194925512497E-2</v>
      </c>
      <c r="Q821" s="6">
        <f t="shared" si="114"/>
        <v>5.3709722672304654</v>
      </c>
      <c r="R821" s="6">
        <f t="shared" si="115"/>
        <v>13.139706067732423</v>
      </c>
      <c r="S821" s="6">
        <f>B821*LN(B821/首页!$B$4)</f>
        <v>4.6971497183074362</v>
      </c>
      <c r="T821" s="6">
        <f>2*首页!$B$8*(E821-C821)/(R821*(C821-D821))</f>
        <v>7.1018171177240144E-2</v>
      </c>
      <c r="U821" t="str">
        <f>IF(首页!$B$13="自然对流","按自然对流公式", "按强制对流公式")</f>
        <v>按自然对流公式</v>
      </c>
      <c r="V821" s="6">
        <f t="shared" si="116"/>
        <v>4.6261315471301963</v>
      </c>
    </row>
    <row r="822" spans="1:22" x14ac:dyDescent="0.15">
      <c r="A822">
        <v>817</v>
      </c>
      <c r="B822" s="6">
        <f>首页!$B$4+2*A822/1000</f>
        <v>1.754</v>
      </c>
      <c r="C822" s="6">
        <f>首页!$B$7+273.15</f>
        <v>388.15</v>
      </c>
      <c r="D822" s="6">
        <f>首页!$B$6+273.15</f>
        <v>293.14999999999998</v>
      </c>
      <c r="E822" s="6">
        <f>首页!$B$5+273.15</f>
        <v>1373.15</v>
      </c>
      <c r="F822" s="6">
        <f t="shared" si="108"/>
        <v>95</v>
      </c>
      <c r="G822" s="6">
        <f t="shared" si="109"/>
        <v>340.65</v>
      </c>
      <c r="H822" s="6">
        <f t="shared" si="110"/>
        <v>1.9926207055139041E-5</v>
      </c>
      <c r="I822" s="7">
        <f t="shared" si="111"/>
        <v>1158916576932337.8</v>
      </c>
      <c r="J822" s="6">
        <f t="shared" si="112"/>
        <v>1.0226038455893147</v>
      </c>
      <c r="K822" s="7">
        <f>J822*H822*首页!$B$12/P822</f>
        <v>0.69532757496605813</v>
      </c>
      <c r="L822" s="6">
        <f>首页!$B$9*0.0000000567*((C822^4-D822^4)/(C822-D822))</f>
        <v>7.7687338005019564</v>
      </c>
      <c r="M822" s="6">
        <f>IF(首页!$B$13="自然对流",IF(首页!$B$14="立式圆筒",首页!$B$10,PI()*B822/2),PI()*B822/2)</f>
        <v>55.2</v>
      </c>
      <c r="N822" s="7">
        <f>IF(首页!$B$13="强制对流",首页!$B$11*M822/H822,0)</f>
        <v>0</v>
      </c>
      <c r="O822" s="6">
        <f>IF(首页!$B$13="自然对流",IF(首页!$B$14="立式圆筒",(0.825+0.3063*I822^(1/6))^2+0.87*(M822/B822),(0.752+0.303*I822^(1/6))^2),0.3+SQRT((0.592*N822^0.5)^2+(0.0262*N822^0.8/(1-0.5/N822^0.1))^2))</f>
        <v>10046.587206469678</v>
      </c>
      <c r="P822" s="6">
        <f t="shared" si="113"/>
        <v>2.9510194925512497E-2</v>
      </c>
      <c r="Q822" s="6">
        <f t="shared" si="114"/>
        <v>5.3709555579543524</v>
      </c>
      <c r="R822" s="6">
        <f t="shared" si="115"/>
        <v>13.139689358456309</v>
      </c>
      <c r="S822" s="6">
        <f>B822*LN(B822/首页!$B$4)</f>
        <v>4.7045129024832448</v>
      </c>
      <c r="T822" s="6">
        <f>2*首页!$B$8*(E822-C822)/(R822*(C822-D822))</f>
        <v>7.1018261488525206E-2</v>
      </c>
      <c r="U822" t="str">
        <f>IF(首页!$B$13="自然对流","按自然对流公式", "按强制对流公式")</f>
        <v>按自然对流公式</v>
      </c>
      <c r="V822" s="6">
        <f t="shared" si="116"/>
        <v>4.6334946409947193</v>
      </c>
    </row>
    <row r="823" spans="1:22" x14ac:dyDescent="0.15">
      <c r="A823">
        <v>818</v>
      </c>
      <c r="B823" s="6">
        <f>首页!$B$4+2*A823/1000</f>
        <v>1.7559999999999998</v>
      </c>
      <c r="C823" s="6">
        <f>首页!$B$7+273.15</f>
        <v>388.15</v>
      </c>
      <c r="D823" s="6">
        <f>首页!$B$6+273.15</f>
        <v>293.14999999999998</v>
      </c>
      <c r="E823" s="6">
        <f>首页!$B$5+273.15</f>
        <v>1373.15</v>
      </c>
      <c r="F823" s="6">
        <f t="shared" si="108"/>
        <v>95</v>
      </c>
      <c r="G823" s="6">
        <f t="shared" si="109"/>
        <v>340.65</v>
      </c>
      <c r="H823" s="6">
        <f t="shared" si="110"/>
        <v>1.9926207055139041E-5</v>
      </c>
      <c r="I823" s="7">
        <f t="shared" si="111"/>
        <v>1158916576932337.8</v>
      </c>
      <c r="J823" s="6">
        <f t="shared" si="112"/>
        <v>1.0226038455893147</v>
      </c>
      <c r="K823" s="7">
        <f>J823*H823*首页!$B$12/P823</f>
        <v>0.69532757496605813</v>
      </c>
      <c r="L823" s="6">
        <f>首页!$B$9*0.0000000567*((C823^4-D823^4)/(C823-D823))</f>
        <v>7.7687338005019564</v>
      </c>
      <c r="M823" s="6">
        <f>IF(首页!$B$13="自然对流",IF(首页!$B$14="立式圆筒",首页!$B$10,PI()*B823/2),PI()*B823/2)</f>
        <v>55.2</v>
      </c>
      <c r="N823" s="7">
        <f>IF(首页!$B$13="强制对流",首页!$B$11*M823/H823,0)</f>
        <v>0</v>
      </c>
      <c r="O823" s="6">
        <f>IF(首页!$B$13="自然对流",IF(首页!$B$14="立式圆筒",(0.825+0.3063*I823^(1/6))^2+0.87*(M823/B823),(0.752+0.303*I823^(1/6))^2),0.3+SQRT((0.592*N823^0.5)^2+(0.0262*N823^0.8/(1-0.5/N823^0.1))^2))</f>
        <v>10046.556022297087</v>
      </c>
      <c r="P823" s="6">
        <f t="shared" si="113"/>
        <v>2.9510194925512497E-2</v>
      </c>
      <c r="Q823" s="6">
        <f t="shared" si="114"/>
        <v>5.3709388867403716</v>
      </c>
      <c r="R823" s="6">
        <f t="shared" si="115"/>
        <v>13.139672687242328</v>
      </c>
      <c r="S823" s="6">
        <f>B823*LN(B823/首页!$B$4)</f>
        <v>4.7118783671612556</v>
      </c>
      <c r="T823" s="6">
        <f>2*首页!$B$8*(E823-C823)/(R823*(C823-D823))</f>
        <v>7.1018351594318713E-2</v>
      </c>
      <c r="U823" t="str">
        <f>IF(首页!$B$13="自然对流","按自然对流公式", "按强制对流公式")</f>
        <v>按自然对流公式</v>
      </c>
      <c r="V823" s="6">
        <f t="shared" si="116"/>
        <v>4.6408600155669371</v>
      </c>
    </row>
    <row r="824" spans="1:22" x14ac:dyDescent="0.15">
      <c r="A824">
        <v>819</v>
      </c>
      <c r="B824" s="6">
        <f>首页!$B$4+2*A824/1000</f>
        <v>1.758</v>
      </c>
      <c r="C824" s="6">
        <f>首页!$B$7+273.15</f>
        <v>388.15</v>
      </c>
      <c r="D824" s="6">
        <f>首页!$B$6+273.15</f>
        <v>293.14999999999998</v>
      </c>
      <c r="E824" s="6">
        <f>首页!$B$5+273.15</f>
        <v>1373.15</v>
      </c>
      <c r="F824" s="6">
        <f t="shared" si="108"/>
        <v>95</v>
      </c>
      <c r="G824" s="6">
        <f t="shared" si="109"/>
        <v>340.65</v>
      </c>
      <c r="H824" s="6">
        <f t="shared" si="110"/>
        <v>1.9926207055139041E-5</v>
      </c>
      <c r="I824" s="7">
        <f t="shared" si="111"/>
        <v>1158916576932337.8</v>
      </c>
      <c r="J824" s="6">
        <f t="shared" si="112"/>
        <v>1.0226038455893147</v>
      </c>
      <c r="K824" s="7">
        <f>J824*H824*首页!$B$12/P824</f>
        <v>0.69532757496605813</v>
      </c>
      <c r="L824" s="6">
        <f>首页!$B$9*0.0000000567*((C824^4-D824^4)/(C824-D824))</f>
        <v>7.7687338005019564</v>
      </c>
      <c r="M824" s="6">
        <f>IF(首页!$B$13="自然对流",IF(首页!$B$14="立式圆筒",首页!$B$10,PI()*B824/2),PI()*B824/2)</f>
        <v>55.2</v>
      </c>
      <c r="N824" s="7">
        <f>IF(首页!$B$13="强制对流",首页!$B$11*M824/H824,0)</f>
        <v>0</v>
      </c>
      <c r="O824" s="6">
        <f>IF(首页!$B$13="自然对流",IF(首页!$B$14="立式圆筒",(0.825+0.3063*I824^(1/6))^2+0.87*(M824/B824),(0.752+0.303*I824^(1/6))^2),0.3+SQRT((0.592*N824^0.5)^2+(0.0262*N824^0.8/(1-0.5/N824^0.1))^2))</f>
        <v>10046.524909078245</v>
      </c>
      <c r="P824" s="6">
        <f t="shared" si="113"/>
        <v>2.9510194925512497E-2</v>
      </c>
      <c r="Q824" s="6">
        <f t="shared" si="114"/>
        <v>5.3709222534586178</v>
      </c>
      <c r="R824" s="6">
        <f t="shared" si="115"/>
        <v>13.139656053960575</v>
      </c>
      <c r="S824" s="6">
        <f>B824*LN(B824/首页!$B$4)</f>
        <v>4.7192461097440885</v>
      </c>
      <c r="T824" s="6">
        <f>2*首页!$B$8*(E824-C824)/(R824*(C824-D824))</f>
        <v>7.1018441495321202E-2</v>
      </c>
      <c r="U824" t="str">
        <f>IF(首页!$B$13="自然对流","按自然对流公式", "按强制对流公式")</f>
        <v>按自然对流公式</v>
      </c>
      <c r="V824" s="6">
        <f t="shared" si="116"/>
        <v>4.6482276682487678</v>
      </c>
    </row>
    <row r="825" spans="1:22" x14ac:dyDescent="0.15">
      <c r="A825">
        <v>820</v>
      </c>
      <c r="B825" s="6">
        <f>首页!$B$4+2*A825/1000</f>
        <v>1.7599999999999998</v>
      </c>
      <c r="C825" s="6">
        <f>首页!$B$7+273.15</f>
        <v>388.15</v>
      </c>
      <c r="D825" s="6">
        <f>首页!$B$6+273.15</f>
        <v>293.14999999999998</v>
      </c>
      <c r="E825" s="6">
        <f>首页!$B$5+273.15</f>
        <v>1373.15</v>
      </c>
      <c r="F825" s="6">
        <f t="shared" si="108"/>
        <v>95</v>
      </c>
      <c r="G825" s="6">
        <f t="shared" si="109"/>
        <v>340.65</v>
      </c>
      <c r="H825" s="6">
        <f t="shared" si="110"/>
        <v>1.9926207055139041E-5</v>
      </c>
      <c r="I825" s="7">
        <f t="shared" si="111"/>
        <v>1158916576932337.8</v>
      </c>
      <c r="J825" s="6">
        <f t="shared" si="112"/>
        <v>1.0226038455893147</v>
      </c>
      <c r="K825" s="7">
        <f>J825*H825*首页!$B$12/P825</f>
        <v>0.69532757496605813</v>
      </c>
      <c r="L825" s="6">
        <f>首页!$B$9*0.0000000567*((C825^4-D825^4)/(C825-D825))</f>
        <v>7.7687338005019564</v>
      </c>
      <c r="M825" s="6">
        <f>IF(首页!$B$13="自然对流",IF(首页!$B$14="立式圆筒",首页!$B$10,PI()*B825/2),PI()*B825/2)</f>
        <v>55.2</v>
      </c>
      <c r="N825" s="7">
        <f>IF(首页!$B$13="强制对流",首页!$B$11*M825/H825,0)</f>
        <v>0</v>
      </c>
      <c r="O825" s="6">
        <f>IF(首页!$B$13="自然对流",IF(首页!$B$14="立式圆筒",(0.825+0.3063*I825^(1/6))^2+0.87*(M825/B825),(0.752+0.303*I825^(1/6))^2),0.3+SQRT((0.592*N825^0.5)^2+(0.0262*N825^0.8/(1-0.5/N825^0.1))^2))</f>
        <v>10046.493866571263</v>
      </c>
      <c r="P825" s="6">
        <f t="shared" si="113"/>
        <v>2.9510194925512497E-2</v>
      </c>
      <c r="Q825" s="6">
        <f t="shared" si="114"/>
        <v>5.3709056579797769</v>
      </c>
      <c r="R825" s="6">
        <f t="shared" si="115"/>
        <v>13.139639458481733</v>
      </c>
      <c r="S825" s="6">
        <f>B825*LN(B825/首页!$B$4)</f>
        <v>4.7266161276402663</v>
      </c>
      <c r="T825" s="6">
        <f>2*首页!$B$8*(E825-C825)/(R825*(C825-D825))</f>
        <v>7.1018531192230075E-2</v>
      </c>
      <c r="U825" t="str">
        <f>IF(首页!$B$13="自然对流","按自然对流公式", "按强制对流公式")</f>
        <v>按自然对流公式</v>
      </c>
      <c r="V825" s="6">
        <f t="shared" si="116"/>
        <v>4.6555975964480361</v>
      </c>
    </row>
    <row r="826" spans="1:22" x14ac:dyDescent="0.15">
      <c r="A826">
        <v>821</v>
      </c>
      <c r="B826" s="6">
        <f>首页!$B$4+2*A826/1000</f>
        <v>1.762</v>
      </c>
      <c r="C826" s="6">
        <f>首页!$B$7+273.15</f>
        <v>388.15</v>
      </c>
      <c r="D826" s="6">
        <f>首页!$B$6+273.15</f>
        <v>293.14999999999998</v>
      </c>
      <c r="E826" s="6">
        <f>首页!$B$5+273.15</f>
        <v>1373.15</v>
      </c>
      <c r="F826" s="6">
        <f t="shared" si="108"/>
        <v>95</v>
      </c>
      <c r="G826" s="6">
        <f t="shared" si="109"/>
        <v>340.65</v>
      </c>
      <c r="H826" s="6">
        <f t="shared" si="110"/>
        <v>1.9926207055139041E-5</v>
      </c>
      <c r="I826" s="7">
        <f t="shared" si="111"/>
        <v>1158916576932337.8</v>
      </c>
      <c r="J826" s="6">
        <f t="shared" si="112"/>
        <v>1.0226038455893147</v>
      </c>
      <c r="K826" s="7">
        <f>J826*H826*首页!$B$12/P826</f>
        <v>0.69532757496605813</v>
      </c>
      <c r="L826" s="6">
        <f>首页!$B$9*0.0000000567*((C826^4-D826^4)/(C826-D826))</f>
        <v>7.7687338005019564</v>
      </c>
      <c r="M826" s="6">
        <f>IF(首页!$B$13="自然对流",IF(首页!$B$14="立式圆筒",首页!$B$10,PI()*B826/2),PI()*B826/2)</f>
        <v>55.2</v>
      </c>
      <c r="N826" s="7">
        <f>IF(首页!$B$13="强制对流",首页!$B$11*M826/H826,0)</f>
        <v>0</v>
      </c>
      <c r="O826" s="6">
        <f>IF(首页!$B$13="自然对流",IF(首页!$B$14="立式圆筒",(0.825+0.3063*I826^(1/6))^2+0.87*(M826/B826),(0.752+0.303*I826^(1/6))^2),0.3+SQRT((0.592*N826^0.5)^2+(0.0262*N826^0.8/(1-0.5/N826^0.1))^2))</f>
        <v>10046.462894535354</v>
      </c>
      <c r="P826" s="6">
        <f t="shared" si="113"/>
        <v>2.9510194925512497E-2</v>
      </c>
      <c r="Q826" s="6">
        <f t="shared" si="114"/>
        <v>5.3708891001751233</v>
      </c>
      <c r="R826" s="6">
        <f t="shared" si="115"/>
        <v>13.139622900677079</v>
      </c>
      <c r="S826" s="6">
        <f>B826*LN(B826/首页!$B$4)</f>
        <v>4.7339884182642074</v>
      </c>
      <c r="T826" s="6">
        <f>2*首页!$B$8*(E826-C826)/(R826*(C826-D826))</f>
        <v>7.1018620685739539E-2</v>
      </c>
      <c r="U826" t="str">
        <f>IF(首页!$B$13="自然对流","按自然对流公式", "按强制对流公式")</f>
        <v>按自然对流公式</v>
      </c>
      <c r="V826" s="6">
        <f t="shared" si="116"/>
        <v>4.6629697975784676</v>
      </c>
    </row>
    <row r="827" spans="1:22" x14ac:dyDescent="0.15">
      <c r="A827">
        <v>822</v>
      </c>
      <c r="B827" s="6">
        <f>首页!$B$4+2*A827/1000</f>
        <v>1.7639999999999998</v>
      </c>
      <c r="C827" s="6">
        <f>首页!$B$7+273.15</f>
        <v>388.15</v>
      </c>
      <c r="D827" s="6">
        <f>首页!$B$6+273.15</f>
        <v>293.14999999999998</v>
      </c>
      <c r="E827" s="6">
        <f>首页!$B$5+273.15</f>
        <v>1373.15</v>
      </c>
      <c r="F827" s="6">
        <f t="shared" si="108"/>
        <v>95</v>
      </c>
      <c r="G827" s="6">
        <f t="shared" si="109"/>
        <v>340.65</v>
      </c>
      <c r="H827" s="6">
        <f t="shared" si="110"/>
        <v>1.9926207055139041E-5</v>
      </c>
      <c r="I827" s="7">
        <f t="shared" si="111"/>
        <v>1158916576932337.8</v>
      </c>
      <c r="J827" s="6">
        <f t="shared" si="112"/>
        <v>1.0226038455893147</v>
      </c>
      <c r="K827" s="7">
        <f>J827*H827*首页!$B$12/P827</f>
        <v>0.69532757496605813</v>
      </c>
      <c r="L827" s="6">
        <f>首页!$B$9*0.0000000567*((C827^4-D827^4)/(C827-D827))</f>
        <v>7.7687338005019564</v>
      </c>
      <c r="M827" s="6">
        <f>IF(首页!$B$13="自然对流",IF(首页!$B$14="立式圆筒",首页!$B$10,PI()*B827/2),PI()*B827/2)</f>
        <v>55.2</v>
      </c>
      <c r="N827" s="7">
        <f>IF(首页!$B$13="强制对流",首页!$B$11*M827/H827,0)</f>
        <v>0</v>
      </c>
      <c r="O827" s="6">
        <f>IF(首页!$B$13="自然对流",IF(首页!$B$14="立式圆筒",(0.825+0.3063*I827^(1/6))^2+0.87*(M827/B827),(0.752+0.303*I827^(1/6))^2),0.3+SQRT((0.592*N827^0.5)^2+(0.0262*N827^0.8/(1-0.5/N827^0.1))^2))</f>
        <v>10046.431992730819</v>
      </c>
      <c r="P827" s="6">
        <f t="shared" si="113"/>
        <v>2.9510194925512497E-2</v>
      </c>
      <c r="Q827" s="6">
        <f t="shared" si="114"/>
        <v>5.3708725799165107</v>
      </c>
      <c r="R827" s="6">
        <f t="shared" si="115"/>
        <v>13.139606380418467</v>
      </c>
      <c r="S827" s="6">
        <f>B827*LN(B827/首页!$B$4)</f>
        <v>4.741362979036194</v>
      </c>
      <c r="T827" s="6">
        <f>2*首页!$B$8*(E827-C827)/(R827*(C827-D827))</f>
        <v>7.1018709976540653E-2</v>
      </c>
      <c r="U827" t="str">
        <f>IF(首页!$B$13="自然对流","按自然对流公式", "按强制对流公式")</f>
        <v>按自然对流公式</v>
      </c>
      <c r="V827" s="6">
        <f t="shared" si="116"/>
        <v>4.6703442690596537</v>
      </c>
    </row>
    <row r="828" spans="1:22" x14ac:dyDescent="0.15">
      <c r="A828">
        <v>823</v>
      </c>
      <c r="B828" s="6">
        <f>首页!$B$4+2*A828/1000</f>
        <v>1.766</v>
      </c>
      <c r="C828" s="6">
        <f>首页!$B$7+273.15</f>
        <v>388.15</v>
      </c>
      <c r="D828" s="6">
        <f>首页!$B$6+273.15</f>
        <v>293.14999999999998</v>
      </c>
      <c r="E828" s="6">
        <f>首页!$B$5+273.15</f>
        <v>1373.15</v>
      </c>
      <c r="F828" s="6">
        <f t="shared" si="108"/>
        <v>95</v>
      </c>
      <c r="G828" s="6">
        <f t="shared" si="109"/>
        <v>340.65</v>
      </c>
      <c r="H828" s="6">
        <f t="shared" si="110"/>
        <v>1.9926207055139041E-5</v>
      </c>
      <c r="I828" s="7">
        <f t="shared" si="111"/>
        <v>1158916576932337.8</v>
      </c>
      <c r="J828" s="6">
        <f t="shared" si="112"/>
        <v>1.0226038455893147</v>
      </c>
      <c r="K828" s="7">
        <f>J828*H828*首页!$B$12/P828</f>
        <v>0.69532757496605813</v>
      </c>
      <c r="L828" s="6">
        <f>首页!$B$9*0.0000000567*((C828^4-D828^4)/(C828-D828))</f>
        <v>7.7687338005019564</v>
      </c>
      <c r="M828" s="6">
        <f>IF(首页!$B$13="自然对流",IF(首页!$B$14="立式圆筒",首页!$B$10,PI()*B828/2),PI()*B828/2)</f>
        <v>55.2</v>
      </c>
      <c r="N828" s="7">
        <f>IF(首页!$B$13="强制对流",首页!$B$11*M828/H828,0)</f>
        <v>0</v>
      </c>
      <c r="O828" s="6">
        <f>IF(首页!$B$13="自然对流",IF(首页!$B$14="立式圆筒",(0.825+0.3063*I828^(1/6))^2+0.87*(M828/B828),(0.752+0.303*I828^(1/6))^2),0.3+SQRT((0.592*N828^0.5)^2+(0.0262*N828^0.8/(1-0.5/N828^0.1))^2))</f>
        <v>10046.401160919046</v>
      </c>
      <c r="P828" s="6">
        <f t="shared" si="113"/>
        <v>2.9510194925512497E-2</v>
      </c>
      <c r="Q828" s="6">
        <f t="shared" si="114"/>
        <v>5.3708560970763779</v>
      </c>
      <c r="R828" s="6">
        <f t="shared" si="115"/>
        <v>13.139589897578334</v>
      </c>
      <c r="S828" s="6">
        <f>B828*LN(B828/首页!$B$4)</f>
        <v>4.7487398073823632</v>
      </c>
      <c r="T828" s="6">
        <f>2*首页!$B$8*(E828-C828)/(R828*(C828-D828))</f>
        <v>7.1018799065321353E-2</v>
      </c>
      <c r="U828" t="str">
        <f>IF(首页!$B$13="自然对流","按自然对流公式", "按强制对流公式")</f>
        <v>按自然对流公式</v>
      </c>
      <c r="V828" s="6">
        <f t="shared" si="116"/>
        <v>4.6777210083170422</v>
      </c>
    </row>
    <row r="829" spans="1:22" x14ac:dyDescent="0.15">
      <c r="A829">
        <v>824</v>
      </c>
      <c r="B829" s="6">
        <f>首页!$B$4+2*A829/1000</f>
        <v>1.7679999999999998</v>
      </c>
      <c r="C829" s="6">
        <f>首页!$B$7+273.15</f>
        <v>388.15</v>
      </c>
      <c r="D829" s="6">
        <f>首页!$B$6+273.15</f>
        <v>293.14999999999998</v>
      </c>
      <c r="E829" s="6">
        <f>首页!$B$5+273.15</f>
        <v>1373.15</v>
      </c>
      <c r="F829" s="6">
        <f t="shared" si="108"/>
        <v>95</v>
      </c>
      <c r="G829" s="6">
        <f t="shared" si="109"/>
        <v>340.65</v>
      </c>
      <c r="H829" s="6">
        <f t="shared" si="110"/>
        <v>1.9926207055139041E-5</v>
      </c>
      <c r="I829" s="7">
        <f t="shared" si="111"/>
        <v>1158916576932337.8</v>
      </c>
      <c r="J829" s="6">
        <f t="shared" si="112"/>
        <v>1.0226038455893147</v>
      </c>
      <c r="K829" s="7">
        <f>J829*H829*首页!$B$12/P829</f>
        <v>0.69532757496605813</v>
      </c>
      <c r="L829" s="6">
        <f>首页!$B$9*0.0000000567*((C829^4-D829^4)/(C829-D829))</f>
        <v>7.7687338005019564</v>
      </c>
      <c r="M829" s="6">
        <f>IF(首页!$B$13="自然对流",IF(首页!$B$14="立式圆筒",首页!$B$10,PI()*B829/2),PI()*B829/2)</f>
        <v>55.2</v>
      </c>
      <c r="N829" s="7">
        <f>IF(首页!$B$13="强制对流",首页!$B$11*M829/H829,0)</f>
        <v>0</v>
      </c>
      <c r="O829" s="6">
        <f>IF(首页!$B$13="自然对流",IF(首页!$B$14="立式圆筒",(0.825+0.3063*I829^(1/6))^2+0.87*(M829/B829),(0.752+0.303*I829^(1/6))^2),0.3+SQRT((0.592*N829^0.5)^2+(0.0262*N829^0.8/(1-0.5/N829^0.1))^2))</f>
        <v>10046.370398862502</v>
      </c>
      <c r="P829" s="6">
        <f t="shared" si="113"/>
        <v>2.9510194925512497E-2</v>
      </c>
      <c r="Q829" s="6">
        <f t="shared" si="114"/>
        <v>5.3708396515277386</v>
      </c>
      <c r="R829" s="6">
        <f t="shared" si="115"/>
        <v>13.139573452029694</v>
      </c>
      <c r="S829" s="6">
        <f>B829*LN(B829/首页!$B$4)</f>
        <v>4.7561189007346796</v>
      </c>
      <c r="T829" s="6">
        <f>2*首页!$B$8*(E829-C829)/(R829*(C829-D829))</f>
        <v>7.1018887952766493E-2</v>
      </c>
      <c r="U829" t="str">
        <f>IF(首页!$B$13="自然对流","按自然对流公式", "按强制对流公式")</f>
        <v>按自然对流公式</v>
      </c>
      <c r="V829" s="6">
        <f t="shared" si="116"/>
        <v>4.6851000127819127</v>
      </c>
    </row>
    <row r="830" spans="1:22" x14ac:dyDescent="0.15">
      <c r="A830">
        <v>825</v>
      </c>
      <c r="B830" s="6">
        <f>首页!$B$4+2*A830/1000</f>
        <v>1.77</v>
      </c>
      <c r="C830" s="6">
        <f>首页!$B$7+273.15</f>
        <v>388.15</v>
      </c>
      <c r="D830" s="6">
        <f>首页!$B$6+273.15</f>
        <v>293.14999999999998</v>
      </c>
      <c r="E830" s="6">
        <f>首页!$B$5+273.15</f>
        <v>1373.15</v>
      </c>
      <c r="F830" s="6">
        <f t="shared" si="108"/>
        <v>95</v>
      </c>
      <c r="G830" s="6">
        <f t="shared" si="109"/>
        <v>340.65</v>
      </c>
      <c r="H830" s="6">
        <f t="shared" si="110"/>
        <v>1.9926207055139041E-5</v>
      </c>
      <c r="I830" s="7">
        <f t="shared" si="111"/>
        <v>1158916576932337.8</v>
      </c>
      <c r="J830" s="6">
        <f t="shared" si="112"/>
        <v>1.0226038455893147</v>
      </c>
      <c r="K830" s="7">
        <f>J830*H830*首页!$B$12/P830</f>
        <v>0.69532757496605813</v>
      </c>
      <c r="L830" s="6">
        <f>首页!$B$9*0.0000000567*((C830^4-D830^4)/(C830-D830))</f>
        <v>7.7687338005019564</v>
      </c>
      <c r="M830" s="6">
        <f>IF(首页!$B$13="自然对流",IF(首页!$B$14="立式圆筒",首页!$B$10,PI()*B830/2),PI()*B830/2)</f>
        <v>55.2</v>
      </c>
      <c r="N830" s="7">
        <f>IF(首页!$B$13="强制对流",首页!$B$11*M830/H830,0)</f>
        <v>0</v>
      </c>
      <c r="O830" s="6">
        <f>IF(首页!$B$13="自然对流",IF(首页!$B$14="立式圆筒",(0.825+0.3063*I830^(1/6))^2+0.87*(M830/B830),(0.752+0.303*I830^(1/6))^2),0.3+SQRT((0.592*N830^0.5)^2+(0.0262*N830^0.8/(1-0.5/N830^0.1))^2))</f>
        <v>10046.33970632473</v>
      </c>
      <c r="P830" s="6">
        <f t="shared" si="113"/>
        <v>2.9510194925512497E-2</v>
      </c>
      <c r="Q830" s="6">
        <f t="shared" si="114"/>
        <v>5.37082324314418</v>
      </c>
      <c r="R830" s="6">
        <f t="shared" si="115"/>
        <v>13.139557043646136</v>
      </c>
      <c r="S830" s="6">
        <f>B830*LN(B830/首页!$B$4)</f>
        <v>4.763500256530917</v>
      </c>
      <c r="T830" s="6">
        <f>2*首页!$B$8*(E830-C830)/(R830*(C830-D830))</f>
        <v>7.1018976639557807E-2</v>
      </c>
      <c r="U830" t="str">
        <f>IF(首页!$B$13="自然对流","按自然对流公式", "按强制对流公式")</f>
        <v>按自然对流公式</v>
      </c>
      <c r="V830" s="6">
        <f t="shared" si="116"/>
        <v>4.6924812798913589</v>
      </c>
    </row>
    <row r="831" spans="1:22" x14ac:dyDescent="0.15">
      <c r="A831">
        <v>826</v>
      </c>
      <c r="B831" s="6">
        <f>首页!$B$4+2*A831/1000</f>
        <v>1.7719999999999998</v>
      </c>
      <c r="C831" s="6">
        <f>首页!$B$7+273.15</f>
        <v>388.15</v>
      </c>
      <c r="D831" s="6">
        <f>首页!$B$6+273.15</f>
        <v>293.14999999999998</v>
      </c>
      <c r="E831" s="6">
        <f>首页!$B$5+273.15</f>
        <v>1373.15</v>
      </c>
      <c r="F831" s="6">
        <f t="shared" si="108"/>
        <v>95</v>
      </c>
      <c r="G831" s="6">
        <f t="shared" si="109"/>
        <v>340.65</v>
      </c>
      <c r="H831" s="6">
        <f t="shared" si="110"/>
        <v>1.9926207055139041E-5</v>
      </c>
      <c r="I831" s="7">
        <f t="shared" si="111"/>
        <v>1158916576932337.8</v>
      </c>
      <c r="J831" s="6">
        <f t="shared" si="112"/>
        <v>1.0226038455893147</v>
      </c>
      <c r="K831" s="7">
        <f>J831*H831*首页!$B$12/P831</f>
        <v>0.69532757496605813</v>
      </c>
      <c r="L831" s="6">
        <f>首页!$B$9*0.0000000567*((C831^4-D831^4)/(C831-D831))</f>
        <v>7.7687338005019564</v>
      </c>
      <c r="M831" s="6">
        <f>IF(首页!$B$13="自然对流",IF(首页!$B$14="立式圆筒",首页!$B$10,PI()*B831/2),PI()*B831/2)</f>
        <v>55.2</v>
      </c>
      <c r="N831" s="7">
        <f>IF(首页!$B$13="强制对流",首页!$B$11*M831/H831,0)</f>
        <v>0</v>
      </c>
      <c r="O831" s="6">
        <f>IF(首页!$B$13="自然对流",IF(首页!$B$14="立式圆筒",(0.825+0.3063*I831^(1/6))^2+0.87*(M831/B831),(0.752+0.303*I831^(1/6))^2),0.3+SQRT((0.592*N831^0.5)^2+(0.0262*N831^0.8/(1-0.5/N831^0.1))^2))</f>
        <v>10046.30908307034</v>
      </c>
      <c r="P831" s="6">
        <f t="shared" si="113"/>
        <v>2.9510194925512497E-2</v>
      </c>
      <c r="Q831" s="6">
        <f t="shared" si="114"/>
        <v>5.3708068717998625</v>
      </c>
      <c r="R831" s="6">
        <f t="shared" si="115"/>
        <v>13.13954067230182</v>
      </c>
      <c r="S831" s="6">
        <f>B831*LN(B831/首页!$B$4)</f>
        <v>4.7708838722146405</v>
      </c>
      <c r="T831" s="6">
        <f>2*首页!$B$8*(E831-C831)/(R831*(C831-D831))</f>
        <v>7.1019065126373945E-2</v>
      </c>
      <c r="U831" t="str">
        <f>IF(首页!$B$13="自然对流","按自然对流公式", "按强制对流公式")</f>
        <v>按自然对流公式</v>
      </c>
      <c r="V831" s="6">
        <f t="shared" si="116"/>
        <v>4.6998648070882663</v>
      </c>
    </row>
    <row r="832" spans="1:22" x14ac:dyDescent="0.15">
      <c r="A832">
        <v>827</v>
      </c>
      <c r="B832" s="6">
        <f>首页!$B$4+2*A832/1000</f>
        <v>1.774</v>
      </c>
      <c r="C832" s="6">
        <f>首页!$B$7+273.15</f>
        <v>388.15</v>
      </c>
      <c r="D832" s="6">
        <f>首页!$B$6+273.15</f>
        <v>293.14999999999998</v>
      </c>
      <c r="E832" s="6">
        <f>首页!$B$5+273.15</f>
        <v>1373.15</v>
      </c>
      <c r="F832" s="6">
        <f t="shared" si="108"/>
        <v>95</v>
      </c>
      <c r="G832" s="6">
        <f t="shared" si="109"/>
        <v>340.65</v>
      </c>
      <c r="H832" s="6">
        <f t="shared" si="110"/>
        <v>1.9926207055139041E-5</v>
      </c>
      <c r="I832" s="7">
        <f t="shared" si="111"/>
        <v>1158916576932337.8</v>
      </c>
      <c r="J832" s="6">
        <f t="shared" si="112"/>
        <v>1.0226038455893147</v>
      </c>
      <c r="K832" s="7">
        <f>J832*H832*首页!$B$12/P832</f>
        <v>0.69532757496605813</v>
      </c>
      <c r="L832" s="6">
        <f>首页!$B$9*0.0000000567*((C832^4-D832^4)/(C832-D832))</f>
        <v>7.7687338005019564</v>
      </c>
      <c r="M832" s="6">
        <f>IF(首页!$B$13="自然对流",IF(首页!$B$14="立式圆筒",首页!$B$10,PI()*B832/2),PI()*B832/2)</f>
        <v>55.2</v>
      </c>
      <c r="N832" s="7">
        <f>IF(首页!$B$13="强制对流",首页!$B$11*M832/H832,0)</f>
        <v>0</v>
      </c>
      <c r="O832" s="6">
        <f>IF(首页!$B$13="自然对流",IF(首页!$B$14="立式圆筒",(0.825+0.3063*I832^(1/6))^2+0.87*(M832/B832),(0.752+0.303*I832^(1/6))^2),0.3+SQRT((0.592*N832^0.5)^2+(0.0262*N832^0.8/(1-0.5/N832^0.1))^2))</f>
        <v>10046.278528865001</v>
      </c>
      <c r="P832" s="6">
        <f t="shared" si="113"/>
        <v>2.9510194925512497E-2</v>
      </c>
      <c r="Q832" s="6">
        <f t="shared" si="114"/>
        <v>5.3707905373695128</v>
      </c>
      <c r="R832" s="6">
        <f t="shared" si="115"/>
        <v>13.139524337871469</v>
      </c>
      <c r="S832" s="6">
        <f>B832*LN(B832/首页!$B$4)</f>
        <v>4.7782697452351872</v>
      </c>
      <c r="T832" s="6">
        <f>2*首页!$B$8*(E832-C832)/(R832*(C832-D832))</f>
        <v>7.1019153413890521E-2</v>
      </c>
      <c r="U832" t="str">
        <f>IF(首页!$B$13="自然对流","按自然对流公式", "按强制对流公式")</f>
        <v>按自然对流公式</v>
      </c>
      <c r="V832" s="6">
        <f t="shared" si="116"/>
        <v>4.707250591821297</v>
      </c>
    </row>
    <row r="833" spans="1:22" x14ac:dyDescent="0.15">
      <c r="A833">
        <v>828</v>
      </c>
      <c r="B833" s="6">
        <f>首页!$B$4+2*A833/1000</f>
        <v>1.7759999999999998</v>
      </c>
      <c r="C833" s="6">
        <f>首页!$B$7+273.15</f>
        <v>388.15</v>
      </c>
      <c r="D833" s="6">
        <f>首页!$B$6+273.15</f>
        <v>293.14999999999998</v>
      </c>
      <c r="E833" s="6">
        <f>首页!$B$5+273.15</f>
        <v>1373.15</v>
      </c>
      <c r="F833" s="6">
        <f t="shared" si="108"/>
        <v>95</v>
      </c>
      <c r="G833" s="6">
        <f t="shared" si="109"/>
        <v>340.65</v>
      </c>
      <c r="H833" s="6">
        <f t="shared" si="110"/>
        <v>1.9926207055139041E-5</v>
      </c>
      <c r="I833" s="7">
        <f t="shared" si="111"/>
        <v>1158916576932337.8</v>
      </c>
      <c r="J833" s="6">
        <f t="shared" si="112"/>
        <v>1.0226038455893147</v>
      </c>
      <c r="K833" s="7">
        <f>J833*H833*首页!$B$12/P833</f>
        <v>0.69532757496605813</v>
      </c>
      <c r="L833" s="6">
        <f>首页!$B$9*0.0000000567*((C833^4-D833^4)/(C833-D833))</f>
        <v>7.7687338005019564</v>
      </c>
      <c r="M833" s="6">
        <f>IF(首页!$B$13="自然对流",IF(首页!$B$14="立式圆筒",首页!$B$10,PI()*B833/2),PI()*B833/2)</f>
        <v>55.2</v>
      </c>
      <c r="N833" s="7">
        <f>IF(首页!$B$13="强制对流",首页!$B$11*M833/H833,0)</f>
        <v>0</v>
      </c>
      <c r="O833" s="6">
        <f>IF(首页!$B$13="自然对流",IF(首页!$B$14="立式圆筒",(0.825+0.3063*I833^(1/6))^2+0.87*(M833/B833),(0.752+0.303*I833^(1/6))^2),0.3+SQRT((0.592*N833^0.5)^2+(0.0262*N833^0.8/(1-0.5/N833^0.1))^2))</f>
        <v>10046.24804347544</v>
      </c>
      <c r="P833" s="6">
        <f t="shared" si="113"/>
        <v>2.9510194925512497E-2</v>
      </c>
      <c r="Q833" s="6">
        <f t="shared" si="114"/>
        <v>5.3707742397284193</v>
      </c>
      <c r="R833" s="6">
        <f t="shared" si="115"/>
        <v>13.139508040230375</v>
      </c>
      <c r="S833" s="6">
        <f>B833*LN(B833/首页!$B$4)</f>
        <v>4.7856578730476427</v>
      </c>
      <c r="T833" s="6">
        <f>2*首页!$B$8*(E833-C833)/(R833*(C833-D833))</f>
        <v>7.101924150278012E-2</v>
      </c>
      <c r="U833" t="str">
        <f>IF(首页!$B$13="自然对流","按自然对流公式", "按强制对流公式")</f>
        <v>按自然对流公式</v>
      </c>
      <c r="V833" s="6">
        <f t="shared" si="116"/>
        <v>4.7146386315448625</v>
      </c>
    </row>
    <row r="834" spans="1:22" x14ac:dyDescent="0.15">
      <c r="A834">
        <v>829</v>
      </c>
      <c r="B834" s="6">
        <f>首页!$B$4+2*A834/1000</f>
        <v>1.778</v>
      </c>
      <c r="C834" s="6">
        <f>首页!$B$7+273.15</f>
        <v>388.15</v>
      </c>
      <c r="D834" s="6">
        <f>首页!$B$6+273.15</f>
        <v>293.14999999999998</v>
      </c>
      <c r="E834" s="6">
        <f>首页!$B$5+273.15</f>
        <v>1373.15</v>
      </c>
      <c r="F834" s="6">
        <f t="shared" si="108"/>
        <v>95</v>
      </c>
      <c r="G834" s="6">
        <f t="shared" si="109"/>
        <v>340.65</v>
      </c>
      <c r="H834" s="6">
        <f t="shared" si="110"/>
        <v>1.9926207055139041E-5</v>
      </c>
      <c r="I834" s="7">
        <f t="shared" si="111"/>
        <v>1158916576932337.8</v>
      </c>
      <c r="J834" s="6">
        <f t="shared" si="112"/>
        <v>1.0226038455893147</v>
      </c>
      <c r="K834" s="7">
        <f>J834*H834*首页!$B$12/P834</f>
        <v>0.69532757496605813</v>
      </c>
      <c r="L834" s="6">
        <f>首页!$B$9*0.0000000567*((C834^4-D834^4)/(C834-D834))</f>
        <v>7.7687338005019564</v>
      </c>
      <c r="M834" s="6">
        <f>IF(首页!$B$13="自然对流",IF(首页!$B$14="立式圆筒",首页!$B$10,PI()*B834/2),PI()*B834/2)</f>
        <v>55.2</v>
      </c>
      <c r="N834" s="7">
        <f>IF(首页!$B$13="强制对流",首页!$B$11*M834/H834,0)</f>
        <v>0</v>
      </c>
      <c r="O834" s="6">
        <f>IF(首页!$B$13="自然对流",IF(首页!$B$14="立式圆筒",(0.825+0.3063*I834^(1/6))^2+0.87*(M834/B834),(0.752+0.303*I834^(1/6))^2),0.3+SQRT((0.592*N834^0.5)^2+(0.0262*N834^0.8/(1-0.5/N834^0.1))^2))</f>
        <v>10046.217626669433</v>
      </c>
      <c r="P834" s="6">
        <f t="shared" si="113"/>
        <v>2.9510194925512497E-2</v>
      </c>
      <c r="Q834" s="6">
        <f t="shared" si="114"/>
        <v>5.3707579787524358</v>
      </c>
      <c r="R834" s="6">
        <f t="shared" si="115"/>
        <v>13.139491779254392</v>
      </c>
      <c r="S834" s="6">
        <f>B834*LN(B834/首页!$B$4)</f>
        <v>4.7930482531128273</v>
      </c>
      <c r="T834" s="6">
        <f>2*首页!$B$8*(E834-C834)/(R834*(C834-D834))</f>
        <v>7.1019329393712263E-2</v>
      </c>
      <c r="U834" t="str">
        <f>IF(首页!$B$13="自然对流","按自然对流公式", "按强制对流公式")</f>
        <v>按自然对流公式</v>
      </c>
      <c r="V834" s="6">
        <f t="shared" si="116"/>
        <v>4.7220289237191153</v>
      </c>
    </row>
    <row r="835" spans="1:22" x14ac:dyDescent="0.15">
      <c r="A835">
        <v>830</v>
      </c>
      <c r="B835" s="6">
        <f>首页!$B$4+2*A835/1000</f>
        <v>1.7799999999999998</v>
      </c>
      <c r="C835" s="6">
        <f>首页!$B$7+273.15</f>
        <v>388.15</v>
      </c>
      <c r="D835" s="6">
        <f>首页!$B$6+273.15</f>
        <v>293.14999999999998</v>
      </c>
      <c r="E835" s="6">
        <f>首页!$B$5+273.15</f>
        <v>1373.15</v>
      </c>
      <c r="F835" s="6">
        <f t="shared" si="108"/>
        <v>95</v>
      </c>
      <c r="G835" s="6">
        <f t="shared" si="109"/>
        <v>340.65</v>
      </c>
      <c r="H835" s="6">
        <f t="shared" si="110"/>
        <v>1.9926207055139041E-5</v>
      </c>
      <c r="I835" s="7">
        <f t="shared" si="111"/>
        <v>1158916576932337.8</v>
      </c>
      <c r="J835" s="6">
        <f t="shared" si="112"/>
        <v>1.0226038455893147</v>
      </c>
      <c r="K835" s="7">
        <f>J835*H835*首页!$B$12/P835</f>
        <v>0.69532757496605813</v>
      </c>
      <c r="L835" s="6">
        <f>首页!$B$9*0.0000000567*((C835^4-D835^4)/(C835-D835))</f>
        <v>7.7687338005019564</v>
      </c>
      <c r="M835" s="6">
        <f>IF(首页!$B$13="自然对流",IF(首页!$B$14="立式圆筒",首页!$B$10,PI()*B835/2),PI()*B835/2)</f>
        <v>55.2</v>
      </c>
      <c r="N835" s="7">
        <f>IF(首页!$B$13="强制对流",首页!$B$11*M835/H835,0)</f>
        <v>0</v>
      </c>
      <c r="O835" s="6">
        <f>IF(首页!$B$13="自然对流",IF(首页!$B$14="立式圆筒",(0.825+0.3063*I835^(1/6))^2+0.87*(M835/B835),(0.752+0.303*I835^(1/6))^2),0.3+SQRT((0.592*N835^0.5)^2+(0.0262*N835^0.8/(1-0.5/N835^0.1))^2))</f>
        <v>10046.187278215799</v>
      </c>
      <c r="P835" s="6">
        <f t="shared" si="113"/>
        <v>2.9510194925512497E-2</v>
      </c>
      <c r="Q835" s="6">
        <f t="shared" si="114"/>
        <v>5.3707417543179714</v>
      </c>
      <c r="R835" s="6">
        <f t="shared" si="115"/>
        <v>13.139475554819928</v>
      </c>
      <c r="S835" s="6">
        <f>B835*LN(B835/首页!$B$4)</f>
        <v>4.80044088289727</v>
      </c>
      <c r="T835" s="6">
        <f>2*首页!$B$8*(E835-C835)/(R835*(C835-D835))</f>
        <v>7.1019417087353515E-2</v>
      </c>
      <c r="U835" t="str">
        <f>IF(首页!$B$13="自然对流","按自然对流公式", "按强制对流公式")</f>
        <v>按自然对流公式</v>
      </c>
      <c r="V835" s="6">
        <f t="shared" si="116"/>
        <v>4.7294214658099163</v>
      </c>
    </row>
    <row r="836" spans="1:22" x14ac:dyDescent="0.15">
      <c r="A836">
        <v>831</v>
      </c>
      <c r="B836" s="6">
        <f>首页!$B$4+2*A836/1000</f>
        <v>1.782</v>
      </c>
      <c r="C836" s="6">
        <f>首页!$B$7+273.15</f>
        <v>388.15</v>
      </c>
      <c r="D836" s="6">
        <f>首页!$B$6+273.15</f>
        <v>293.14999999999998</v>
      </c>
      <c r="E836" s="6">
        <f>首页!$B$5+273.15</f>
        <v>1373.15</v>
      </c>
      <c r="F836" s="6">
        <f t="shared" si="108"/>
        <v>95</v>
      </c>
      <c r="G836" s="6">
        <f t="shared" si="109"/>
        <v>340.65</v>
      </c>
      <c r="H836" s="6">
        <f t="shared" si="110"/>
        <v>1.9926207055139041E-5</v>
      </c>
      <c r="I836" s="7">
        <f t="shared" si="111"/>
        <v>1158916576932337.8</v>
      </c>
      <c r="J836" s="6">
        <f t="shared" si="112"/>
        <v>1.0226038455893147</v>
      </c>
      <c r="K836" s="7">
        <f>J836*H836*首页!$B$12/P836</f>
        <v>0.69532757496605813</v>
      </c>
      <c r="L836" s="6">
        <f>首页!$B$9*0.0000000567*((C836^4-D836^4)/(C836-D836))</f>
        <v>7.7687338005019564</v>
      </c>
      <c r="M836" s="6">
        <f>IF(首页!$B$13="自然对流",IF(首页!$B$14="立式圆筒",首页!$B$10,PI()*B836/2),PI()*B836/2)</f>
        <v>55.2</v>
      </c>
      <c r="N836" s="7">
        <f>IF(首页!$B$13="强制对流",首页!$B$11*M836/H836,0)</f>
        <v>0</v>
      </c>
      <c r="O836" s="6">
        <f>IF(首页!$B$13="自然对流",IF(首页!$B$14="立式圆筒",(0.825+0.3063*I836^(1/6))^2+0.87*(M836/B836),(0.752+0.303*I836^(1/6))^2),0.3+SQRT((0.592*N836^0.5)^2+(0.0262*N836^0.8/(1-0.5/N836^0.1))^2))</f>
        <v>10046.156997884395</v>
      </c>
      <c r="P836" s="6">
        <f t="shared" si="113"/>
        <v>2.9510194925512497E-2</v>
      </c>
      <c r="Q836" s="6">
        <f t="shared" si="114"/>
        <v>5.3707255663019904</v>
      </c>
      <c r="R836" s="6">
        <f t="shared" si="115"/>
        <v>13.139459366803948</v>
      </c>
      <c r="S836" s="6">
        <f>B836*LN(B836/首页!$B$4)</f>
        <v>4.8078357598731998</v>
      </c>
      <c r="T836" s="6">
        <f>2*首页!$B$8*(E836-C836)/(R836*(C836-D836))</f>
        <v>7.1019504584367399E-2</v>
      </c>
      <c r="U836" t="str">
        <f>IF(首页!$B$13="自然对流","按自然对流公式", "按强制对流公式")</f>
        <v>按自然对流公式</v>
      </c>
      <c r="V836" s="6">
        <f t="shared" si="116"/>
        <v>4.736816255288832</v>
      </c>
    </row>
    <row r="837" spans="1:22" x14ac:dyDescent="0.15">
      <c r="A837">
        <v>832</v>
      </c>
      <c r="B837" s="6">
        <f>首页!$B$4+2*A837/1000</f>
        <v>1.7839999999999998</v>
      </c>
      <c r="C837" s="6">
        <f>首页!$B$7+273.15</f>
        <v>388.15</v>
      </c>
      <c r="D837" s="6">
        <f>首页!$B$6+273.15</f>
        <v>293.14999999999998</v>
      </c>
      <c r="E837" s="6">
        <f>首页!$B$5+273.15</f>
        <v>1373.15</v>
      </c>
      <c r="F837" s="6">
        <f t="shared" ref="F837:F900" si="117">C837-D837</f>
        <v>95</v>
      </c>
      <c r="G837" s="6">
        <f t="shared" ref="G837:G900" si="118">(C837+D837)/2</f>
        <v>340.65</v>
      </c>
      <c r="H837" s="6">
        <f t="shared" ref="H837:H900" si="119">0.0000000042113*G837^2.5/(112+G837)</f>
        <v>1.9926207055139041E-5</v>
      </c>
      <c r="I837" s="7">
        <f t="shared" ref="I837:I900" si="120">9.81*M837^3*F837/(H837^2*G837)</f>
        <v>1158916576932337.8</v>
      </c>
      <c r="J837" s="6">
        <f t="shared" ref="J837:J900" si="121">348.35/G837</f>
        <v>1.0226038455893147</v>
      </c>
      <c r="K837" s="7">
        <f>J837*H837*首页!$B$12/P837</f>
        <v>0.69532757496605813</v>
      </c>
      <c r="L837" s="6">
        <f>首页!$B$9*0.0000000567*((C837^4-D837^4)/(C837-D837))</f>
        <v>7.7687338005019564</v>
      </c>
      <c r="M837" s="6">
        <f>IF(首页!$B$13="自然对流",IF(首页!$B$14="立式圆筒",首页!$B$10,PI()*B837/2),PI()*B837/2)</f>
        <v>55.2</v>
      </c>
      <c r="N837" s="7">
        <f>IF(首页!$B$13="强制对流",首页!$B$11*M837/H837,0)</f>
        <v>0</v>
      </c>
      <c r="O837" s="6">
        <f>IF(首页!$B$13="自然对流",IF(首页!$B$14="立式圆筒",(0.825+0.3063*I837^(1/6))^2+0.87*(M837/B837),(0.752+0.303*I837^(1/6))^2),0.3+SQRT((0.592*N837^0.5)^2+(0.0262*N837^0.8/(1-0.5/N837^0.1))^2))</f>
        <v>10046.126785446111</v>
      </c>
      <c r="P837" s="6">
        <f t="shared" ref="P837:P900" si="122">0.0243+0.000078421*(G837-273)-0.000000020755*(G837-273)^2</f>
        <v>2.9510194925512497E-2</v>
      </c>
      <c r="Q837" s="6">
        <f t="shared" ref="Q837:Q900" si="123">O837*P837/M837</f>
        <v>5.3707094145820111</v>
      </c>
      <c r="R837" s="6">
        <f t="shared" ref="R837:R900" si="124">L837+Q837</f>
        <v>13.139443215083968</v>
      </c>
      <c r="S837" s="6">
        <f>B837*LN(B837/首页!$B$4)</f>
        <v>4.8152328815185088</v>
      </c>
      <c r="T837" s="6">
        <f>2*首页!$B$8*(E837-C837)/(R837*(C837-D837))</f>
        <v>7.1019591885414513E-2</v>
      </c>
      <c r="U837" t="str">
        <f>IF(首页!$B$13="自然对流","按自然对流公式", "按强制对流公式")</f>
        <v>按自然对流公式</v>
      </c>
      <c r="V837" s="6">
        <f t="shared" ref="V837:V900" si="125">ABS(S837-T837)</f>
        <v>4.7442132896330946</v>
      </c>
    </row>
    <row r="838" spans="1:22" x14ac:dyDescent="0.15">
      <c r="A838">
        <v>833</v>
      </c>
      <c r="B838" s="6">
        <f>首页!$B$4+2*A838/1000</f>
        <v>1.786</v>
      </c>
      <c r="C838" s="6">
        <f>首页!$B$7+273.15</f>
        <v>388.15</v>
      </c>
      <c r="D838" s="6">
        <f>首页!$B$6+273.15</f>
        <v>293.14999999999998</v>
      </c>
      <c r="E838" s="6">
        <f>首页!$B$5+273.15</f>
        <v>1373.15</v>
      </c>
      <c r="F838" s="6">
        <f t="shared" si="117"/>
        <v>95</v>
      </c>
      <c r="G838" s="6">
        <f t="shared" si="118"/>
        <v>340.65</v>
      </c>
      <c r="H838" s="6">
        <f t="shared" si="119"/>
        <v>1.9926207055139041E-5</v>
      </c>
      <c r="I838" s="7">
        <f t="shared" si="120"/>
        <v>1158916576932337.8</v>
      </c>
      <c r="J838" s="6">
        <f t="shared" si="121"/>
        <v>1.0226038455893147</v>
      </c>
      <c r="K838" s="7">
        <f>J838*H838*首页!$B$12/P838</f>
        <v>0.69532757496605813</v>
      </c>
      <c r="L838" s="6">
        <f>首页!$B$9*0.0000000567*((C838^4-D838^4)/(C838-D838))</f>
        <v>7.7687338005019564</v>
      </c>
      <c r="M838" s="6">
        <f>IF(首页!$B$13="自然对流",IF(首页!$B$14="立式圆筒",首页!$B$10,PI()*B838/2),PI()*B838/2)</f>
        <v>55.2</v>
      </c>
      <c r="N838" s="7">
        <f>IF(首页!$B$13="强制对流",首页!$B$11*M838/H838,0)</f>
        <v>0</v>
      </c>
      <c r="O838" s="6">
        <f>IF(首页!$B$13="自然对流",IF(首页!$B$14="立式圆筒",(0.825+0.3063*I838^(1/6))^2+0.87*(M838/B838),(0.752+0.303*I838^(1/6))^2),0.3+SQRT((0.592*N838^0.5)^2+(0.0262*N838^0.8/(1-0.5/N838^0.1))^2))</f>
        <v>10046.096640672862</v>
      </c>
      <c r="P838" s="6">
        <f t="shared" si="122"/>
        <v>2.9510194925512497E-2</v>
      </c>
      <c r="Q838" s="6">
        <f t="shared" si="123"/>
        <v>5.3706932990360947</v>
      </c>
      <c r="R838" s="6">
        <f t="shared" si="124"/>
        <v>13.13942709953805</v>
      </c>
      <c r="S838" s="6">
        <f>B838*LN(B838/首页!$B$4)</f>
        <v>4.8226322453167558</v>
      </c>
      <c r="T838" s="6">
        <f>2*首页!$B$8*(E838-C838)/(R838*(C838-D838))</f>
        <v>7.1019678991152482E-2</v>
      </c>
      <c r="U838" t="str">
        <f>IF(首页!$B$13="自然对流","按自然对流公式", "按强制对流公式")</f>
        <v>按自然对流公式</v>
      </c>
      <c r="V838" s="6">
        <f t="shared" si="125"/>
        <v>4.751612566325603</v>
      </c>
    </row>
    <row r="839" spans="1:22" x14ac:dyDescent="0.15">
      <c r="A839">
        <v>834</v>
      </c>
      <c r="B839" s="6">
        <f>首页!$B$4+2*A839/1000</f>
        <v>1.7879999999999998</v>
      </c>
      <c r="C839" s="6">
        <f>首页!$B$7+273.15</f>
        <v>388.15</v>
      </c>
      <c r="D839" s="6">
        <f>首页!$B$6+273.15</f>
        <v>293.14999999999998</v>
      </c>
      <c r="E839" s="6">
        <f>首页!$B$5+273.15</f>
        <v>1373.15</v>
      </c>
      <c r="F839" s="6">
        <f t="shared" si="117"/>
        <v>95</v>
      </c>
      <c r="G839" s="6">
        <f t="shared" si="118"/>
        <v>340.65</v>
      </c>
      <c r="H839" s="6">
        <f t="shared" si="119"/>
        <v>1.9926207055139041E-5</v>
      </c>
      <c r="I839" s="7">
        <f t="shared" si="120"/>
        <v>1158916576932337.8</v>
      </c>
      <c r="J839" s="6">
        <f t="shared" si="121"/>
        <v>1.0226038455893147</v>
      </c>
      <c r="K839" s="7">
        <f>J839*H839*首页!$B$12/P839</f>
        <v>0.69532757496605813</v>
      </c>
      <c r="L839" s="6">
        <f>首页!$B$9*0.0000000567*((C839^4-D839^4)/(C839-D839))</f>
        <v>7.7687338005019564</v>
      </c>
      <c r="M839" s="6">
        <f>IF(首页!$B$13="自然对流",IF(首页!$B$14="立式圆筒",首页!$B$10,PI()*B839/2),PI()*B839/2)</f>
        <v>55.2</v>
      </c>
      <c r="N839" s="7">
        <f>IF(首页!$B$13="强制对流",首页!$B$11*M839/H839,0)</f>
        <v>0</v>
      </c>
      <c r="O839" s="6">
        <f>IF(首页!$B$13="自然对流",IF(首页!$B$14="立式圆筒",(0.825+0.3063*I839^(1/6))^2+0.87*(M839/B839),(0.752+0.303*I839^(1/6))^2),0.3+SQRT((0.592*N839^0.5)^2+(0.0262*N839^0.8/(1-0.5/N839^0.1))^2))</f>
        <v>10046.066563337585</v>
      </c>
      <c r="P839" s="6">
        <f t="shared" si="122"/>
        <v>2.9510194925512497E-2</v>
      </c>
      <c r="Q839" s="6">
        <f t="shared" si="123"/>
        <v>5.3706772195428538</v>
      </c>
      <c r="R839" s="6">
        <f t="shared" si="124"/>
        <v>13.139411020044811</v>
      </c>
      <c r="S839" s="6">
        <f>B839*LN(B839/首页!$B$4)</f>
        <v>4.8300338487571262</v>
      </c>
      <c r="T839" s="6">
        <f>2*首页!$B$8*(E839-C839)/(R839*(C839-D839))</f>
        <v>7.1019765902235993E-2</v>
      </c>
      <c r="U839" t="str">
        <f>IF(首页!$B$13="自然对流","按自然对流公式", "按强制对流公式")</f>
        <v>按自然对流公式</v>
      </c>
      <c r="V839" s="6">
        <f t="shared" si="125"/>
        <v>4.7590140828548906</v>
      </c>
    </row>
    <row r="840" spans="1:22" x14ac:dyDescent="0.15">
      <c r="A840">
        <v>835</v>
      </c>
      <c r="B840" s="6">
        <f>首页!$B$4+2*A840/1000</f>
        <v>1.79</v>
      </c>
      <c r="C840" s="6">
        <f>首页!$B$7+273.15</f>
        <v>388.15</v>
      </c>
      <c r="D840" s="6">
        <f>首页!$B$6+273.15</f>
        <v>293.14999999999998</v>
      </c>
      <c r="E840" s="6">
        <f>首页!$B$5+273.15</f>
        <v>1373.15</v>
      </c>
      <c r="F840" s="6">
        <f t="shared" si="117"/>
        <v>95</v>
      </c>
      <c r="G840" s="6">
        <f t="shared" si="118"/>
        <v>340.65</v>
      </c>
      <c r="H840" s="6">
        <f t="shared" si="119"/>
        <v>1.9926207055139041E-5</v>
      </c>
      <c r="I840" s="7">
        <f t="shared" si="120"/>
        <v>1158916576932337.8</v>
      </c>
      <c r="J840" s="6">
        <f t="shared" si="121"/>
        <v>1.0226038455893147</v>
      </c>
      <c r="K840" s="7">
        <f>J840*H840*首页!$B$12/P840</f>
        <v>0.69532757496605813</v>
      </c>
      <c r="L840" s="6">
        <f>首页!$B$9*0.0000000567*((C840^4-D840^4)/(C840-D840))</f>
        <v>7.7687338005019564</v>
      </c>
      <c r="M840" s="6">
        <f>IF(首页!$B$13="自然对流",IF(首页!$B$14="立式圆筒",首页!$B$10,PI()*B840/2),PI()*B840/2)</f>
        <v>55.2</v>
      </c>
      <c r="N840" s="7">
        <f>IF(首页!$B$13="强制对流",首页!$B$11*M840/H840,0)</f>
        <v>0</v>
      </c>
      <c r="O840" s="6">
        <f>IF(首页!$B$13="自然对流",IF(首页!$B$14="立式圆筒",(0.825+0.3063*I840^(1/6))^2+0.87*(M840/B840),(0.752+0.303*I840^(1/6))^2),0.3+SQRT((0.592*N840^0.5)^2+(0.0262*N840^0.8/(1-0.5/N840^0.1))^2))</f>
        <v>10046.03655321423</v>
      </c>
      <c r="P840" s="6">
        <f t="shared" si="122"/>
        <v>2.9510194925512497E-2</v>
      </c>
      <c r="Q840" s="6">
        <f t="shared" si="123"/>
        <v>5.370661175981442</v>
      </c>
      <c r="R840" s="6">
        <f t="shared" si="124"/>
        <v>13.139394976483398</v>
      </c>
      <c r="S840" s="6">
        <f>B840*LN(B840/首页!$B$4)</f>
        <v>4.8374376893344309</v>
      </c>
      <c r="T840" s="6">
        <f>2*首页!$B$8*(E840-C840)/(R840*(C840-D840))</f>
        <v>7.1019852619316773E-2</v>
      </c>
      <c r="U840" t="str">
        <f>IF(首页!$B$13="自然对流","按自然对流公式", "按强制对流公式")</f>
        <v>按自然对流公式</v>
      </c>
      <c r="V840" s="6">
        <f t="shared" si="125"/>
        <v>4.7664178367151138</v>
      </c>
    </row>
    <row r="841" spans="1:22" x14ac:dyDescent="0.15">
      <c r="A841">
        <v>836</v>
      </c>
      <c r="B841" s="6">
        <f>首页!$B$4+2*A841/1000</f>
        <v>1.7919999999999998</v>
      </c>
      <c r="C841" s="6">
        <f>首页!$B$7+273.15</f>
        <v>388.15</v>
      </c>
      <c r="D841" s="6">
        <f>首页!$B$6+273.15</f>
        <v>293.14999999999998</v>
      </c>
      <c r="E841" s="6">
        <f>首页!$B$5+273.15</f>
        <v>1373.15</v>
      </c>
      <c r="F841" s="6">
        <f t="shared" si="117"/>
        <v>95</v>
      </c>
      <c r="G841" s="6">
        <f t="shared" si="118"/>
        <v>340.65</v>
      </c>
      <c r="H841" s="6">
        <f t="shared" si="119"/>
        <v>1.9926207055139041E-5</v>
      </c>
      <c r="I841" s="7">
        <f t="shared" si="120"/>
        <v>1158916576932337.8</v>
      </c>
      <c r="J841" s="6">
        <f t="shared" si="121"/>
        <v>1.0226038455893147</v>
      </c>
      <c r="K841" s="7">
        <f>J841*H841*首页!$B$12/P841</f>
        <v>0.69532757496605813</v>
      </c>
      <c r="L841" s="6">
        <f>首页!$B$9*0.0000000567*((C841^4-D841^4)/(C841-D841))</f>
        <v>7.7687338005019564</v>
      </c>
      <c r="M841" s="6">
        <f>IF(首页!$B$13="自然对流",IF(首页!$B$14="立式圆筒",首页!$B$10,PI()*B841/2),PI()*B841/2)</f>
        <v>55.2</v>
      </c>
      <c r="N841" s="7">
        <f>IF(首页!$B$13="强制对流",首页!$B$11*M841/H841,0)</f>
        <v>0</v>
      </c>
      <c r="O841" s="6">
        <f>IF(首页!$B$13="自然对流",IF(首页!$B$14="立式圆筒",(0.825+0.3063*I841^(1/6))^2+0.87*(M841/B841),(0.752+0.303*I841^(1/6))^2),0.3+SQRT((0.592*N841^0.5)^2+(0.0262*N841^0.8/(1-0.5/N841^0.1))^2))</f>
        <v>10046.006610077757</v>
      </c>
      <c r="P841" s="6">
        <f t="shared" si="122"/>
        <v>2.9510194925512497E-2</v>
      </c>
      <c r="Q841" s="6">
        <f t="shared" si="123"/>
        <v>5.370645168231551</v>
      </c>
      <c r="R841" s="6">
        <f t="shared" si="124"/>
        <v>13.139378968733507</v>
      </c>
      <c r="S841" s="6">
        <f>B841*LN(B841/首页!$B$4)</f>
        <v>4.8448437645490703</v>
      </c>
      <c r="T841" s="6">
        <f>2*首页!$B$8*(E841-C841)/(R841*(C841-D841))</f>
        <v>7.101993914304372E-2</v>
      </c>
      <c r="U841" t="str">
        <f>IF(首页!$B$13="自然对流","按自然对流公式", "按强制对流公式")</f>
        <v>按自然对流公式</v>
      </c>
      <c r="V841" s="6">
        <f t="shared" si="125"/>
        <v>4.7738238254060263</v>
      </c>
    </row>
    <row r="842" spans="1:22" x14ac:dyDescent="0.15">
      <c r="A842">
        <v>837</v>
      </c>
      <c r="B842" s="6">
        <f>首页!$B$4+2*A842/1000</f>
        <v>1.794</v>
      </c>
      <c r="C842" s="6">
        <f>首页!$B$7+273.15</f>
        <v>388.15</v>
      </c>
      <c r="D842" s="6">
        <f>首页!$B$6+273.15</f>
        <v>293.14999999999998</v>
      </c>
      <c r="E842" s="6">
        <f>首页!$B$5+273.15</f>
        <v>1373.15</v>
      </c>
      <c r="F842" s="6">
        <f t="shared" si="117"/>
        <v>95</v>
      </c>
      <c r="G842" s="6">
        <f t="shared" si="118"/>
        <v>340.65</v>
      </c>
      <c r="H842" s="6">
        <f t="shared" si="119"/>
        <v>1.9926207055139041E-5</v>
      </c>
      <c r="I842" s="7">
        <f t="shared" si="120"/>
        <v>1158916576932337.8</v>
      </c>
      <c r="J842" s="6">
        <f t="shared" si="121"/>
        <v>1.0226038455893147</v>
      </c>
      <c r="K842" s="7">
        <f>J842*H842*首页!$B$12/P842</f>
        <v>0.69532757496605813</v>
      </c>
      <c r="L842" s="6">
        <f>首页!$B$9*0.0000000567*((C842^4-D842^4)/(C842-D842))</f>
        <v>7.7687338005019564</v>
      </c>
      <c r="M842" s="6">
        <f>IF(首页!$B$13="自然对流",IF(首页!$B$14="立式圆筒",首页!$B$10,PI()*B842/2),PI()*B842/2)</f>
        <v>55.2</v>
      </c>
      <c r="N842" s="7">
        <f>IF(首页!$B$13="强制对流",首页!$B$11*M842/H842,0)</f>
        <v>0</v>
      </c>
      <c r="O842" s="6">
        <f>IF(首页!$B$13="自然对流",IF(首页!$B$14="立式圆筒",(0.825+0.3063*I842^(1/6))^2+0.87*(M842/B842),(0.752+0.303*I842^(1/6))^2),0.3+SQRT((0.592*N842^0.5)^2+(0.0262*N842^0.8/(1-0.5/N842^0.1))^2))</f>
        <v>10045.97673370413</v>
      </c>
      <c r="P842" s="6">
        <f t="shared" si="122"/>
        <v>2.9510194925512497E-2</v>
      </c>
      <c r="Q842" s="6">
        <f t="shared" si="123"/>
        <v>5.3706291961734101</v>
      </c>
      <c r="R842" s="6">
        <f t="shared" si="124"/>
        <v>13.139362996675366</v>
      </c>
      <c r="S842" s="6">
        <f>B842*LN(B842/首页!$B$4)</f>
        <v>4.8522520719070323</v>
      </c>
      <c r="T842" s="6">
        <f>2*首页!$B$8*(E842-C842)/(R842*(C842-D842))</f>
        <v>7.1020025474062762E-2</v>
      </c>
      <c r="U842" t="str">
        <f>IF(首页!$B$13="自然对流","按自然对流公式", "按强制对流公式")</f>
        <v>按自然对流公式</v>
      </c>
      <c r="V842" s="6">
        <f t="shared" si="125"/>
        <v>4.7812320464329696</v>
      </c>
    </row>
    <row r="843" spans="1:22" x14ac:dyDescent="0.15">
      <c r="A843">
        <v>838</v>
      </c>
      <c r="B843" s="6">
        <f>首页!$B$4+2*A843/1000</f>
        <v>1.7959999999999998</v>
      </c>
      <c r="C843" s="6">
        <f>首页!$B$7+273.15</f>
        <v>388.15</v>
      </c>
      <c r="D843" s="6">
        <f>首页!$B$6+273.15</f>
        <v>293.14999999999998</v>
      </c>
      <c r="E843" s="6">
        <f>首页!$B$5+273.15</f>
        <v>1373.15</v>
      </c>
      <c r="F843" s="6">
        <f t="shared" si="117"/>
        <v>95</v>
      </c>
      <c r="G843" s="6">
        <f t="shared" si="118"/>
        <v>340.65</v>
      </c>
      <c r="H843" s="6">
        <f t="shared" si="119"/>
        <v>1.9926207055139041E-5</v>
      </c>
      <c r="I843" s="7">
        <f t="shared" si="120"/>
        <v>1158916576932337.8</v>
      </c>
      <c r="J843" s="6">
        <f t="shared" si="121"/>
        <v>1.0226038455893147</v>
      </c>
      <c r="K843" s="7">
        <f>J843*H843*首页!$B$12/P843</f>
        <v>0.69532757496605813</v>
      </c>
      <c r="L843" s="6">
        <f>首页!$B$9*0.0000000567*((C843^4-D843^4)/(C843-D843))</f>
        <v>7.7687338005019564</v>
      </c>
      <c r="M843" s="6">
        <f>IF(首页!$B$13="自然对流",IF(首页!$B$14="立式圆筒",首页!$B$10,PI()*B843/2),PI()*B843/2)</f>
        <v>55.2</v>
      </c>
      <c r="N843" s="7">
        <f>IF(首页!$B$13="强制对流",首页!$B$11*M843/H843,0)</f>
        <v>0</v>
      </c>
      <c r="O843" s="6">
        <f>IF(首页!$B$13="自然对流",IF(首页!$B$14="立式圆筒",(0.825+0.3063*I843^(1/6))^2+0.87*(M843/B843),(0.752+0.303*I843^(1/6))^2),0.3+SQRT((0.592*N843^0.5)^2+(0.0262*N843^0.8/(1-0.5/N843^0.1))^2))</f>
        <v>10045.946923870311</v>
      </c>
      <c r="P843" s="6">
        <f t="shared" si="122"/>
        <v>2.9510194925512497E-2</v>
      </c>
      <c r="Q843" s="6">
        <f t="shared" si="123"/>
        <v>5.3706132596877811</v>
      </c>
      <c r="R843" s="6">
        <f t="shared" si="124"/>
        <v>13.139347060189738</v>
      </c>
      <c r="S843" s="6">
        <f>B843*LN(B843/首页!$B$4)</f>
        <v>4.8596626089198569</v>
      </c>
      <c r="T843" s="6">
        <f>2*首页!$B$8*(E843-C843)/(R843*(C843-D843))</f>
        <v>7.1020111613017023E-2</v>
      </c>
      <c r="U843" t="str">
        <f>IF(首页!$B$13="自然对流","按自然对流公式", "按强制对流公式")</f>
        <v>按自然对流公式</v>
      </c>
      <c r="V843" s="6">
        <f t="shared" si="125"/>
        <v>4.7886424973068396</v>
      </c>
    </row>
    <row r="844" spans="1:22" x14ac:dyDescent="0.15">
      <c r="A844">
        <v>839</v>
      </c>
      <c r="B844" s="6">
        <f>首页!$B$4+2*A844/1000</f>
        <v>1.798</v>
      </c>
      <c r="C844" s="6">
        <f>首页!$B$7+273.15</f>
        <v>388.15</v>
      </c>
      <c r="D844" s="6">
        <f>首页!$B$6+273.15</f>
        <v>293.14999999999998</v>
      </c>
      <c r="E844" s="6">
        <f>首页!$B$5+273.15</f>
        <v>1373.15</v>
      </c>
      <c r="F844" s="6">
        <f t="shared" si="117"/>
        <v>95</v>
      </c>
      <c r="G844" s="6">
        <f t="shared" si="118"/>
        <v>340.65</v>
      </c>
      <c r="H844" s="6">
        <f t="shared" si="119"/>
        <v>1.9926207055139041E-5</v>
      </c>
      <c r="I844" s="7">
        <f t="shared" si="120"/>
        <v>1158916576932337.8</v>
      </c>
      <c r="J844" s="6">
        <f t="shared" si="121"/>
        <v>1.0226038455893147</v>
      </c>
      <c r="K844" s="7">
        <f>J844*H844*首页!$B$12/P844</f>
        <v>0.69532757496605813</v>
      </c>
      <c r="L844" s="6">
        <f>首页!$B$9*0.0000000567*((C844^4-D844^4)/(C844-D844))</f>
        <v>7.7687338005019564</v>
      </c>
      <c r="M844" s="6">
        <f>IF(首页!$B$13="自然对流",IF(首页!$B$14="立式圆筒",首页!$B$10,PI()*B844/2),PI()*B844/2)</f>
        <v>55.2</v>
      </c>
      <c r="N844" s="7">
        <f>IF(首页!$B$13="强制对流",首页!$B$11*M844/H844,0)</f>
        <v>0</v>
      </c>
      <c r="O844" s="6">
        <f>IF(首页!$B$13="自然对流",IF(首页!$B$14="立式圆筒",(0.825+0.3063*I844^(1/6))^2+0.87*(M844/B844),(0.752+0.303*I844^(1/6))^2),0.3+SQRT((0.592*N844^0.5)^2+(0.0262*N844^0.8/(1-0.5/N844^0.1))^2))</f>
        <v>10045.917180354254</v>
      </c>
      <c r="P844" s="6">
        <f t="shared" si="122"/>
        <v>2.9510194925512497E-2</v>
      </c>
      <c r="Q844" s="6">
        <f t="shared" si="123"/>
        <v>5.3705973586559583</v>
      </c>
      <c r="R844" s="6">
        <f t="shared" si="124"/>
        <v>13.139331159157916</v>
      </c>
      <c r="S844" s="6">
        <f>B844*LN(B844/首页!$B$4)</f>
        <v>4.8670753731046359</v>
      </c>
      <c r="T844" s="6">
        <f>2*首页!$B$8*(E844-C844)/(R844*(C844-D844))</f>
        <v>7.10201975605467E-2</v>
      </c>
      <c r="U844" t="str">
        <f>IF(首页!$B$13="自然对流","按自然对流公式", "按强制对流公式")</f>
        <v>按自然对流公式</v>
      </c>
      <c r="V844" s="6">
        <f t="shared" si="125"/>
        <v>4.7960551755440894</v>
      </c>
    </row>
    <row r="845" spans="1:22" x14ac:dyDescent="0.15">
      <c r="A845">
        <v>840</v>
      </c>
      <c r="B845" s="6">
        <f>首页!$B$4+2*A845/1000</f>
        <v>1.7999999999999998</v>
      </c>
      <c r="C845" s="6">
        <f>首页!$B$7+273.15</f>
        <v>388.15</v>
      </c>
      <c r="D845" s="6">
        <f>首页!$B$6+273.15</f>
        <v>293.14999999999998</v>
      </c>
      <c r="E845" s="6">
        <f>首页!$B$5+273.15</f>
        <v>1373.15</v>
      </c>
      <c r="F845" s="6">
        <f t="shared" si="117"/>
        <v>95</v>
      </c>
      <c r="G845" s="6">
        <f t="shared" si="118"/>
        <v>340.65</v>
      </c>
      <c r="H845" s="6">
        <f t="shared" si="119"/>
        <v>1.9926207055139041E-5</v>
      </c>
      <c r="I845" s="7">
        <f t="shared" si="120"/>
        <v>1158916576932337.8</v>
      </c>
      <c r="J845" s="6">
        <f t="shared" si="121"/>
        <v>1.0226038455893147</v>
      </c>
      <c r="K845" s="7">
        <f>J845*H845*首页!$B$12/P845</f>
        <v>0.69532757496605813</v>
      </c>
      <c r="L845" s="6">
        <f>首页!$B$9*0.0000000567*((C845^4-D845^4)/(C845-D845))</f>
        <v>7.7687338005019564</v>
      </c>
      <c r="M845" s="6">
        <f>IF(首页!$B$13="自然对流",IF(首页!$B$14="立式圆筒",首页!$B$10,PI()*B845/2),PI()*B845/2)</f>
        <v>55.2</v>
      </c>
      <c r="N845" s="7">
        <f>IF(首页!$B$13="强制对流",首页!$B$11*M845/H845,0)</f>
        <v>0</v>
      </c>
      <c r="O845" s="6">
        <f>IF(首页!$B$13="自然对流",IF(首页!$B$14="立式圆筒",(0.825+0.3063*I845^(1/6))^2+0.87*(M845/B845),(0.752+0.303*I845^(1/6))^2),0.3+SQRT((0.592*N845^0.5)^2+(0.0262*N845^0.8/(1-0.5/N845^0.1))^2))</f>
        <v>10045.8875029349</v>
      </c>
      <c r="P845" s="6">
        <f t="shared" si="122"/>
        <v>2.9510194925512497E-2</v>
      </c>
      <c r="Q845" s="6">
        <f t="shared" si="123"/>
        <v>5.3705814929597624</v>
      </c>
      <c r="R845" s="6">
        <f t="shared" si="124"/>
        <v>13.139315293461719</v>
      </c>
      <c r="S845" s="6">
        <f>B845*LN(B845/首页!$B$4)</f>
        <v>4.8744903619839777</v>
      </c>
      <c r="T845" s="6">
        <f>2*首页!$B$8*(E845-C845)/(R845*(C845-D845))</f>
        <v>7.1020283317289198E-2</v>
      </c>
      <c r="U845" t="str">
        <f>IF(首页!$B$13="自然对流","按自然对流公式", "按强制对流公式")</f>
        <v>按自然对流公式</v>
      </c>
      <c r="V845" s="6">
        <f t="shared" si="125"/>
        <v>4.8034700786666882</v>
      </c>
    </row>
    <row r="846" spans="1:22" x14ac:dyDescent="0.15">
      <c r="A846">
        <v>841</v>
      </c>
      <c r="B846" s="6">
        <f>首页!$B$4+2*A846/1000</f>
        <v>1.802</v>
      </c>
      <c r="C846" s="6">
        <f>首页!$B$7+273.15</f>
        <v>388.15</v>
      </c>
      <c r="D846" s="6">
        <f>首页!$B$6+273.15</f>
        <v>293.14999999999998</v>
      </c>
      <c r="E846" s="6">
        <f>首页!$B$5+273.15</f>
        <v>1373.15</v>
      </c>
      <c r="F846" s="6">
        <f t="shared" si="117"/>
        <v>95</v>
      </c>
      <c r="G846" s="6">
        <f t="shared" si="118"/>
        <v>340.65</v>
      </c>
      <c r="H846" s="6">
        <f t="shared" si="119"/>
        <v>1.9926207055139041E-5</v>
      </c>
      <c r="I846" s="7">
        <f t="shared" si="120"/>
        <v>1158916576932337.8</v>
      </c>
      <c r="J846" s="6">
        <f t="shared" si="121"/>
        <v>1.0226038455893147</v>
      </c>
      <c r="K846" s="7">
        <f>J846*H846*首页!$B$12/P846</f>
        <v>0.69532757496605813</v>
      </c>
      <c r="L846" s="6">
        <f>首页!$B$9*0.0000000567*((C846^4-D846^4)/(C846-D846))</f>
        <v>7.7687338005019564</v>
      </c>
      <c r="M846" s="6">
        <f>IF(首页!$B$13="自然对流",IF(首页!$B$14="立式圆筒",首页!$B$10,PI()*B846/2),PI()*B846/2)</f>
        <v>55.2</v>
      </c>
      <c r="N846" s="7">
        <f>IF(首页!$B$13="强制对流",首页!$B$11*M846/H846,0)</f>
        <v>0</v>
      </c>
      <c r="O846" s="6">
        <f>IF(首页!$B$13="自然对流",IF(首页!$B$14="立式圆筒",(0.825+0.3063*I846^(1/6))^2+0.87*(M846/B846),(0.752+0.303*I846^(1/6))^2),0.3+SQRT((0.592*N846^0.5)^2+(0.0262*N846^0.8/(1-0.5/N846^0.1))^2))</f>
        <v>10045.85789139217</v>
      </c>
      <c r="P846" s="6">
        <f t="shared" si="122"/>
        <v>2.9510194925512497E-2</v>
      </c>
      <c r="Q846" s="6">
        <f t="shared" si="123"/>
        <v>5.3705656624815381</v>
      </c>
      <c r="R846" s="6">
        <f t="shared" si="124"/>
        <v>13.139299462983494</v>
      </c>
      <c r="S846" s="6">
        <f>B846*LN(B846/首页!$B$4)</f>
        <v>4.881907573086</v>
      </c>
      <c r="T846" s="6">
        <f>2*首页!$B$8*(E846-C846)/(R846*(C846-D846))</f>
        <v>7.1020368883879081E-2</v>
      </c>
      <c r="U846" t="str">
        <f>IF(首页!$B$13="自然对流","按自然对流公式", "按强制对流公式")</f>
        <v>按自然对流公式</v>
      </c>
      <c r="V846" s="6">
        <f t="shared" si="125"/>
        <v>4.8108872042021211</v>
      </c>
    </row>
    <row r="847" spans="1:22" x14ac:dyDescent="0.15">
      <c r="A847">
        <v>842</v>
      </c>
      <c r="B847" s="6">
        <f>首页!$B$4+2*A847/1000</f>
        <v>1.8039999999999998</v>
      </c>
      <c r="C847" s="6">
        <f>首页!$B$7+273.15</f>
        <v>388.15</v>
      </c>
      <c r="D847" s="6">
        <f>首页!$B$6+273.15</f>
        <v>293.14999999999998</v>
      </c>
      <c r="E847" s="6">
        <f>首页!$B$5+273.15</f>
        <v>1373.15</v>
      </c>
      <c r="F847" s="6">
        <f t="shared" si="117"/>
        <v>95</v>
      </c>
      <c r="G847" s="6">
        <f t="shared" si="118"/>
        <v>340.65</v>
      </c>
      <c r="H847" s="6">
        <f t="shared" si="119"/>
        <v>1.9926207055139041E-5</v>
      </c>
      <c r="I847" s="7">
        <f t="shared" si="120"/>
        <v>1158916576932337.8</v>
      </c>
      <c r="J847" s="6">
        <f t="shared" si="121"/>
        <v>1.0226038455893147</v>
      </c>
      <c r="K847" s="7">
        <f>J847*H847*首页!$B$12/P847</f>
        <v>0.69532757496605813</v>
      </c>
      <c r="L847" s="6">
        <f>首页!$B$9*0.0000000567*((C847^4-D847^4)/(C847-D847))</f>
        <v>7.7687338005019564</v>
      </c>
      <c r="M847" s="6">
        <f>IF(首页!$B$13="自然对流",IF(首页!$B$14="立式圆筒",首页!$B$10,PI()*B847/2),PI()*B847/2)</f>
        <v>55.2</v>
      </c>
      <c r="N847" s="7">
        <f>IF(首页!$B$13="强制对流",首页!$B$11*M847/H847,0)</f>
        <v>0</v>
      </c>
      <c r="O847" s="6">
        <f>IF(首页!$B$13="自然对流",IF(首页!$B$14="立式圆筒",(0.825+0.3063*I847^(1/6))^2+0.87*(M847/B847),(0.752+0.303*I847^(1/6))^2),0.3+SQRT((0.592*N847^0.5)^2+(0.0262*N847^0.8/(1-0.5/N847^0.1))^2))</f>
        <v>10045.828345506961</v>
      </c>
      <c r="P847" s="6">
        <f t="shared" si="122"/>
        <v>2.9510194925512497E-2</v>
      </c>
      <c r="Q847" s="6">
        <f t="shared" si="123"/>
        <v>5.3705498671041507</v>
      </c>
      <c r="R847" s="6">
        <f t="shared" si="124"/>
        <v>13.139283667606108</v>
      </c>
      <c r="S847" s="6">
        <f>B847*LN(B847/首页!$B$4)</f>
        <v>4.8893270039443033</v>
      </c>
      <c r="T847" s="6">
        <f>2*首页!$B$8*(E847-C847)/(R847*(C847-D847))</f>
        <v>7.1020454260948121E-2</v>
      </c>
      <c r="U847" t="str">
        <f>IF(首页!$B$13="自然对流","按自然对流公式", "按强制对流公式")</f>
        <v>按自然对流公式</v>
      </c>
      <c r="V847" s="6">
        <f t="shared" si="125"/>
        <v>4.8183065496833555</v>
      </c>
    </row>
    <row r="848" spans="1:22" x14ac:dyDescent="0.15">
      <c r="A848">
        <v>843</v>
      </c>
      <c r="B848" s="6">
        <f>首页!$B$4+2*A848/1000</f>
        <v>1.806</v>
      </c>
      <c r="C848" s="6">
        <f>首页!$B$7+273.15</f>
        <v>388.15</v>
      </c>
      <c r="D848" s="6">
        <f>首页!$B$6+273.15</f>
        <v>293.14999999999998</v>
      </c>
      <c r="E848" s="6">
        <f>首页!$B$5+273.15</f>
        <v>1373.15</v>
      </c>
      <c r="F848" s="6">
        <f t="shared" si="117"/>
        <v>95</v>
      </c>
      <c r="G848" s="6">
        <f t="shared" si="118"/>
        <v>340.65</v>
      </c>
      <c r="H848" s="6">
        <f t="shared" si="119"/>
        <v>1.9926207055139041E-5</v>
      </c>
      <c r="I848" s="7">
        <f t="shared" si="120"/>
        <v>1158916576932337.8</v>
      </c>
      <c r="J848" s="6">
        <f t="shared" si="121"/>
        <v>1.0226038455893147</v>
      </c>
      <c r="K848" s="7">
        <f>J848*H848*首页!$B$12/P848</f>
        <v>0.69532757496605813</v>
      </c>
      <c r="L848" s="6">
        <f>首页!$B$9*0.0000000567*((C848^4-D848^4)/(C848-D848))</f>
        <v>7.7687338005019564</v>
      </c>
      <c r="M848" s="6">
        <f>IF(首页!$B$13="自然对流",IF(首页!$B$14="立式圆筒",首页!$B$10,PI()*B848/2),PI()*B848/2)</f>
        <v>55.2</v>
      </c>
      <c r="N848" s="7">
        <f>IF(首页!$B$13="强制对流",首页!$B$11*M848/H848,0)</f>
        <v>0</v>
      </c>
      <c r="O848" s="6">
        <f>IF(首页!$B$13="自然对流",IF(首页!$B$14="立式圆筒",(0.825+0.3063*I848^(1/6))^2+0.87*(M848/B848),(0.752+0.303*I848^(1/6))^2),0.3+SQRT((0.592*N848^0.5)^2+(0.0262*N848^0.8/(1-0.5/N848^0.1))^2))</f>
        <v>10045.798865061146</v>
      </c>
      <c r="P848" s="6">
        <f t="shared" si="122"/>
        <v>2.9510194925512497E-2</v>
      </c>
      <c r="Q848" s="6">
        <f t="shared" si="123"/>
        <v>5.3705341067109886</v>
      </c>
      <c r="R848" s="6">
        <f t="shared" si="124"/>
        <v>13.139267907212945</v>
      </c>
      <c r="S848" s="6">
        <f>B848*LN(B848/首页!$B$4)</f>
        <v>4.8967486520979628</v>
      </c>
      <c r="T848" s="6">
        <f>2*首页!$B$8*(E848-C848)/(R848*(C848-D848))</f>
        <v>7.1020539449125231E-2</v>
      </c>
      <c r="U848" t="str">
        <f>IF(首页!$B$13="自然对流","按自然对流公式", "按强制对流公式")</f>
        <v>按自然对流公式</v>
      </c>
      <c r="V848" s="6">
        <f t="shared" si="125"/>
        <v>4.8257281126488376</v>
      </c>
    </row>
    <row r="849" spans="1:22" x14ac:dyDescent="0.15">
      <c r="A849">
        <v>844</v>
      </c>
      <c r="B849" s="6">
        <f>首页!$B$4+2*A849/1000</f>
        <v>1.8079999999999998</v>
      </c>
      <c r="C849" s="6">
        <f>首页!$B$7+273.15</f>
        <v>388.15</v>
      </c>
      <c r="D849" s="6">
        <f>首页!$B$6+273.15</f>
        <v>293.14999999999998</v>
      </c>
      <c r="E849" s="6">
        <f>首页!$B$5+273.15</f>
        <v>1373.15</v>
      </c>
      <c r="F849" s="6">
        <f t="shared" si="117"/>
        <v>95</v>
      </c>
      <c r="G849" s="6">
        <f t="shared" si="118"/>
        <v>340.65</v>
      </c>
      <c r="H849" s="6">
        <f t="shared" si="119"/>
        <v>1.9926207055139041E-5</v>
      </c>
      <c r="I849" s="7">
        <f t="shared" si="120"/>
        <v>1158916576932337.8</v>
      </c>
      <c r="J849" s="6">
        <f t="shared" si="121"/>
        <v>1.0226038455893147</v>
      </c>
      <c r="K849" s="7">
        <f>J849*H849*首页!$B$12/P849</f>
        <v>0.69532757496605813</v>
      </c>
      <c r="L849" s="6">
        <f>首页!$B$9*0.0000000567*((C849^4-D849^4)/(C849-D849))</f>
        <v>7.7687338005019564</v>
      </c>
      <c r="M849" s="6">
        <f>IF(首页!$B$13="自然对流",IF(首页!$B$14="立式圆筒",首页!$B$10,PI()*B849/2),PI()*B849/2)</f>
        <v>55.2</v>
      </c>
      <c r="N849" s="7">
        <f>IF(首页!$B$13="强制对流",首页!$B$11*M849/H849,0)</f>
        <v>0</v>
      </c>
      <c r="O849" s="6">
        <f>IF(首页!$B$13="自然对流",IF(首页!$B$14="立式圆筒",(0.825+0.3063*I849^(1/6))^2+0.87*(M849/B849),(0.752+0.303*I849^(1/6))^2),0.3+SQRT((0.592*N849^0.5)^2+(0.0262*N849^0.8/(1-0.5/N849^0.1))^2))</f>
        <v>10045.769449837555</v>
      </c>
      <c r="P849" s="6">
        <f t="shared" si="122"/>
        <v>2.9510194925512497E-2</v>
      </c>
      <c r="Q849" s="6">
        <f t="shared" si="123"/>
        <v>5.3705183811859536</v>
      </c>
      <c r="R849" s="6">
        <f t="shared" si="124"/>
        <v>13.13925218168791</v>
      </c>
      <c r="S849" s="6">
        <f>B849*LN(B849/首页!$B$4)</f>
        <v>4.9041725150914965</v>
      </c>
      <c r="T849" s="6">
        <f>2*首页!$B$8*(E849-C849)/(R849*(C849-D849))</f>
        <v>7.1020624449036618E-2</v>
      </c>
      <c r="U849" t="str">
        <f>IF(首页!$B$13="自然对流","按自然对流公式", "按强制对流公式")</f>
        <v>按自然对流公式</v>
      </c>
      <c r="V849" s="6">
        <f t="shared" si="125"/>
        <v>4.8331518906424602</v>
      </c>
    </row>
    <row r="850" spans="1:22" x14ac:dyDescent="0.15">
      <c r="A850">
        <v>845</v>
      </c>
      <c r="B850" s="6">
        <f>首页!$B$4+2*A850/1000</f>
        <v>1.81</v>
      </c>
      <c r="C850" s="6">
        <f>首页!$B$7+273.15</f>
        <v>388.15</v>
      </c>
      <c r="D850" s="6">
        <f>首页!$B$6+273.15</f>
        <v>293.14999999999998</v>
      </c>
      <c r="E850" s="6">
        <f>首页!$B$5+273.15</f>
        <v>1373.15</v>
      </c>
      <c r="F850" s="6">
        <f t="shared" si="117"/>
        <v>95</v>
      </c>
      <c r="G850" s="6">
        <f t="shared" si="118"/>
        <v>340.65</v>
      </c>
      <c r="H850" s="6">
        <f t="shared" si="119"/>
        <v>1.9926207055139041E-5</v>
      </c>
      <c r="I850" s="7">
        <f t="shared" si="120"/>
        <v>1158916576932337.8</v>
      </c>
      <c r="J850" s="6">
        <f t="shared" si="121"/>
        <v>1.0226038455893147</v>
      </c>
      <c r="K850" s="7">
        <f>J850*H850*首页!$B$12/P850</f>
        <v>0.69532757496605813</v>
      </c>
      <c r="L850" s="6">
        <f>首页!$B$9*0.0000000567*((C850^4-D850^4)/(C850-D850))</f>
        <v>7.7687338005019564</v>
      </c>
      <c r="M850" s="6">
        <f>IF(首页!$B$13="自然对流",IF(首页!$B$14="立式圆筒",首页!$B$10,PI()*B850/2),PI()*B850/2)</f>
        <v>55.2</v>
      </c>
      <c r="N850" s="7">
        <f>IF(首页!$B$13="强制对流",首页!$B$11*M850/H850,0)</f>
        <v>0</v>
      </c>
      <c r="O850" s="6">
        <f>IF(首页!$B$13="自然对流",IF(首页!$B$14="立式圆筒",(0.825+0.3063*I850^(1/6))^2+0.87*(M850/B850),(0.752+0.303*I850^(1/6))^2),0.3+SQRT((0.592*N850^0.5)^2+(0.0262*N850^0.8/(1-0.5/N850^0.1))^2))</f>
        <v>10045.740099619983</v>
      </c>
      <c r="P850" s="6">
        <f t="shared" si="122"/>
        <v>2.9510194925512497E-2</v>
      </c>
      <c r="Q850" s="6">
        <f t="shared" si="123"/>
        <v>5.3705026904134607</v>
      </c>
      <c r="R850" s="6">
        <f t="shared" si="124"/>
        <v>13.139236490915417</v>
      </c>
      <c r="S850" s="6">
        <f>B850*LN(B850/首页!$B$4)</f>
        <v>4.9115985904748642</v>
      </c>
      <c r="T850" s="6">
        <f>2*首页!$B$8*(E850-C850)/(R850*(C850-D850))</f>
        <v>7.1020709261305687E-2</v>
      </c>
      <c r="U850" t="str">
        <f>IF(首页!$B$13="自然对流","按自然对流公式", "按强制对流公式")</f>
        <v>按自然对流公式</v>
      </c>
      <c r="V850" s="6">
        <f t="shared" si="125"/>
        <v>4.8405778812135587</v>
      </c>
    </row>
    <row r="851" spans="1:22" x14ac:dyDescent="0.15">
      <c r="A851">
        <v>846</v>
      </c>
      <c r="B851" s="6">
        <f>首页!$B$4+2*A851/1000</f>
        <v>1.8119999999999998</v>
      </c>
      <c r="C851" s="6">
        <f>首页!$B$7+273.15</f>
        <v>388.15</v>
      </c>
      <c r="D851" s="6">
        <f>首页!$B$6+273.15</f>
        <v>293.14999999999998</v>
      </c>
      <c r="E851" s="6">
        <f>首页!$B$5+273.15</f>
        <v>1373.15</v>
      </c>
      <c r="F851" s="6">
        <f t="shared" si="117"/>
        <v>95</v>
      </c>
      <c r="G851" s="6">
        <f t="shared" si="118"/>
        <v>340.65</v>
      </c>
      <c r="H851" s="6">
        <f t="shared" si="119"/>
        <v>1.9926207055139041E-5</v>
      </c>
      <c r="I851" s="7">
        <f t="shared" si="120"/>
        <v>1158916576932337.8</v>
      </c>
      <c r="J851" s="6">
        <f t="shared" si="121"/>
        <v>1.0226038455893147</v>
      </c>
      <c r="K851" s="7">
        <f>J851*H851*首页!$B$12/P851</f>
        <v>0.69532757496605813</v>
      </c>
      <c r="L851" s="6">
        <f>首页!$B$9*0.0000000567*((C851^4-D851^4)/(C851-D851))</f>
        <v>7.7687338005019564</v>
      </c>
      <c r="M851" s="6">
        <f>IF(首页!$B$13="自然对流",IF(首页!$B$14="立式圆筒",首页!$B$10,PI()*B851/2),PI()*B851/2)</f>
        <v>55.2</v>
      </c>
      <c r="N851" s="7">
        <f>IF(首页!$B$13="强制对流",首页!$B$11*M851/H851,0)</f>
        <v>0</v>
      </c>
      <c r="O851" s="6">
        <f>IF(首页!$B$13="自然对流",IF(首页!$B$14="立式圆筒",(0.825+0.3063*I851^(1/6))^2+0.87*(M851/B851),(0.752+0.303*I851^(1/6))^2),0.3+SQRT((0.592*N851^0.5)^2+(0.0262*N851^0.8/(1-0.5/N851^0.1))^2))</f>
        <v>10045.710814193179</v>
      </c>
      <c r="P851" s="6">
        <f t="shared" si="122"/>
        <v>2.9510194925512497E-2</v>
      </c>
      <c r="Q851" s="6">
        <f t="shared" si="123"/>
        <v>5.3704870342784332</v>
      </c>
      <c r="R851" s="6">
        <f t="shared" si="124"/>
        <v>13.139220834780389</v>
      </c>
      <c r="S851" s="6">
        <f>B851*LN(B851/首页!$B$4)</f>
        <v>4.9190268758034321</v>
      </c>
      <c r="T851" s="6">
        <f>2*首页!$B$8*(E851-C851)/(R851*(C851-D851))</f>
        <v>7.1020793886553107E-2</v>
      </c>
      <c r="U851" t="str">
        <f>IF(首页!$B$13="自然对流","按自然对流公式", "按强制对流公式")</f>
        <v>按自然对流公式</v>
      </c>
      <c r="V851" s="6">
        <f t="shared" si="125"/>
        <v>4.8480060819168793</v>
      </c>
    </row>
    <row r="852" spans="1:22" x14ac:dyDescent="0.15">
      <c r="A852">
        <v>847</v>
      </c>
      <c r="B852" s="6">
        <f>首页!$B$4+2*A852/1000</f>
        <v>1.8140000000000001</v>
      </c>
      <c r="C852" s="6">
        <f>首页!$B$7+273.15</f>
        <v>388.15</v>
      </c>
      <c r="D852" s="6">
        <f>首页!$B$6+273.15</f>
        <v>293.14999999999998</v>
      </c>
      <c r="E852" s="6">
        <f>首页!$B$5+273.15</f>
        <v>1373.15</v>
      </c>
      <c r="F852" s="6">
        <f t="shared" si="117"/>
        <v>95</v>
      </c>
      <c r="G852" s="6">
        <f t="shared" si="118"/>
        <v>340.65</v>
      </c>
      <c r="H852" s="6">
        <f t="shared" si="119"/>
        <v>1.9926207055139041E-5</v>
      </c>
      <c r="I852" s="7">
        <f t="shared" si="120"/>
        <v>1158916576932337.8</v>
      </c>
      <c r="J852" s="6">
        <f t="shared" si="121"/>
        <v>1.0226038455893147</v>
      </c>
      <c r="K852" s="7">
        <f>J852*H852*首页!$B$12/P852</f>
        <v>0.69532757496605813</v>
      </c>
      <c r="L852" s="6">
        <f>首页!$B$9*0.0000000567*((C852^4-D852^4)/(C852-D852))</f>
        <v>7.7687338005019564</v>
      </c>
      <c r="M852" s="6">
        <f>IF(首页!$B$13="自然对流",IF(首页!$B$14="立式圆筒",首页!$B$10,PI()*B852/2),PI()*B852/2)</f>
        <v>55.2</v>
      </c>
      <c r="N852" s="7">
        <f>IF(首页!$B$13="强制对流",首页!$B$11*M852/H852,0)</f>
        <v>0</v>
      </c>
      <c r="O852" s="6">
        <f>IF(首页!$B$13="自然对流",IF(首页!$B$14="立式圆筒",(0.825+0.3063*I852^(1/6))^2+0.87*(M852/B852),(0.752+0.303*I852^(1/6))^2),0.3+SQRT((0.592*N852^0.5)^2+(0.0262*N852^0.8/(1-0.5/N852^0.1))^2))</f>
        <v>10045.681593342839</v>
      </c>
      <c r="P852" s="6">
        <f t="shared" si="122"/>
        <v>2.9510194925512497E-2</v>
      </c>
      <c r="Q852" s="6">
        <f t="shared" si="123"/>
        <v>5.3704714126663067</v>
      </c>
      <c r="R852" s="6">
        <f t="shared" si="124"/>
        <v>13.139205213168264</v>
      </c>
      <c r="S852" s="6">
        <f>B852*LN(B852/首页!$B$4)</f>
        <v>4.9264573686379673</v>
      </c>
      <c r="T852" s="6">
        <f>2*首页!$B$8*(E852-C852)/(R852*(C852-D852))</f>
        <v>7.1020878325396775E-2</v>
      </c>
      <c r="U852" t="str">
        <f>IF(首页!$B$13="自然对流","按自然对流公式", "按强制对流公式")</f>
        <v>按自然对流公式</v>
      </c>
      <c r="V852" s="6">
        <f t="shared" si="125"/>
        <v>4.8554364903125702</v>
      </c>
    </row>
    <row r="853" spans="1:22" x14ac:dyDescent="0.15">
      <c r="A853">
        <v>848</v>
      </c>
      <c r="B853" s="6">
        <f>首页!$B$4+2*A853/1000</f>
        <v>1.8159999999999998</v>
      </c>
      <c r="C853" s="6">
        <f>首页!$B$7+273.15</f>
        <v>388.15</v>
      </c>
      <c r="D853" s="6">
        <f>首页!$B$6+273.15</f>
        <v>293.14999999999998</v>
      </c>
      <c r="E853" s="6">
        <f>首页!$B$5+273.15</f>
        <v>1373.15</v>
      </c>
      <c r="F853" s="6">
        <f t="shared" si="117"/>
        <v>95</v>
      </c>
      <c r="G853" s="6">
        <f t="shared" si="118"/>
        <v>340.65</v>
      </c>
      <c r="H853" s="6">
        <f t="shared" si="119"/>
        <v>1.9926207055139041E-5</v>
      </c>
      <c r="I853" s="7">
        <f t="shared" si="120"/>
        <v>1158916576932337.8</v>
      </c>
      <c r="J853" s="6">
        <f t="shared" si="121"/>
        <v>1.0226038455893147</v>
      </c>
      <c r="K853" s="7">
        <f>J853*H853*首页!$B$12/P853</f>
        <v>0.69532757496605813</v>
      </c>
      <c r="L853" s="6">
        <f>首页!$B$9*0.0000000567*((C853^4-D853^4)/(C853-D853))</f>
        <v>7.7687338005019564</v>
      </c>
      <c r="M853" s="6">
        <f>IF(首页!$B$13="自然对流",IF(首页!$B$14="立式圆筒",首页!$B$10,PI()*B853/2),PI()*B853/2)</f>
        <v>55.2</v>
      </c>
      <c r="N853" s="7">
        <f>IF(首页!$B$13="强制对流",首页!$B$11*M853/H853,0)</f>
        <v>0</v>
      </c>
      <c r="O853" s="6">
        <f>IF(首页!$B$13="自然对流",IF(首页!$B$14="立式圆筒",(0.825+0.3063*I853^(1/6))^2+0.87*(M853/B853),(0.752+0.303*I853^(1/6))^2),0.3+SQRT((0.592*N853^0.5)^2+(0.0262*N853^0.8/(1-0.5/N853^0.1))^2))</f>
        <v>10045.652436855604</v>
      </c>
      <c r="P853" s="6">
        <f t="shared" si="122"/>
        <v>2.9510194925512497E-2</v>
      </c>
      <c r="Q853" s="6">
        <f t="shared" si="123"/>
        <v>5.3704558254630159</v>
      </c>
      <c r="R853" s="6">
        <f t="shared" si="124"/>
        <v>13.139189625964972</v>
      </c>
      <c r="S853" s="6">
        <f>B853*LN(B853/首页!$B$4)</f>
        <v>4.9338900665446133</v>
      </c>
      <c r="T853" s="6">
        <f>2*首页!$B$8*(E853-C853)/(R853*(C853-D853))</f>
        <v>7.1020962578451932E-2</v>
      </c>
      <c r="U853" t="str">
        <f>IF(首页!$B$13="自然对流","按自然对流公式", "按强制对流公式")</f>
        <v>按自然对流公式</v>
      </c>
      <c r="V853" s="6">
        <f t="shared" si="125"/>
        <v>4.8628691039661609</v>
      </c>
    </row>
    <row r="854" spans="1:22" x14ac:dyDescent="0.15">
      <c r="A854">
        <v>849</v>
      </c>
      <c r="B854" s="6">
        <f>首页!$B$4+2*A854/1000</f>
        <v>1.8180000000000001</v>
      </c>
      <c r="C854" s="6">
        <f>首页!$B$7+273.15</f>
        <v>388.15</v>
      </c>
      <c r="D854" s="6">
        <f>首页!$B$6+273.15</f>
        <v>293.14999999999998</v>
      </c>
      <c r="E854" s="6">
        <f>首页!$B$5+273.15</f>
        <v>1373.15</v>
      </c>
      <c r="F854" s="6">
        <f t="shared" si="117"/>
        <v>95</v>
      </c>
      <c r="G854" s="6">
        <f t="shared" si="118"/>
        <v>340.65</v>
      </c>
      <c r="H854" s="6">
        <f t="shared" si="119"/>
        <v>1.9926207055139041E-5</v>
      </c>
      <c r="I854" s="7">
        <f t="shared" si="120"/>
        <v>1158916576932337.8</v>
      </c>
      <c r="J854" s="6">
        <f t="shared" si="121"/>
        <v>1.0226038455893147</v>
      </c>
      <c r="K854" s="7">
        <f>J854*H854*首页!$B$12/P854</f>
        <v>0.69532757496605813</v>
      </c>
      <c r="L854" s="6">
        <f>首页!$B$9*0.0000000567*((C854^4-D854^4)/(C854-D854))</f>
        <v>7.7687338005019564</v>
      </c>
      <c r="M854" s="6">
        <f>IF(首页!$B$13="自然对流",IF(首页!$B$14="立式圆筒",首页!$B$10,PI()*B854/2),PI()*B854/2)</f>
        <v>55.2</v>
      </c>
      <c r="N854" s="7">
        <f>IF(首页!$B$13="强制对流",首页!$B$11*M854/H854,0)</f>
        <v>0</v>
      </c>
      <c r="O854" s="6">
        <f>IF(首页!$B$13="自然对流",IF(首页!$B$14="立式圆筒",(0.825+0.3063*I854^(1/6))^2+0.87*(M854/B854),(0.752+0.303*I854^(1/6))^2),0.3+SQRT((0.592*N854^0.5)^2+(0.0262*N854^0.8/(1-0.5/N854^0.1))^2))</f>
        <v>10045.623344519057</v>
      </c>
      <c r="P854" s="6">
        <f t="shared" si="122"/>
        <v>2.9510194925512497E-2</v>
      </c>
      <c r="Q854" s="6">
        <f t="shared" si="123"/>
        <v>5.370440272555002</v>
      </c>
      <c r="R854" s="6">
        <f t="shared" si="124"/>
        <v>13.139174073056958</v>
      </c>
      <c r="S854" s="6">
        <f>B854*LN(B854/首页!$B$4)</f>
        <v>4.9413249670948778</v>
      </c>
      <c r="T854" s="6">
        <f>2*首页!$B$8*(E854-C854)/(R854*(C854-D854))</f>
        <v>7.102104664633109E-2</v>
      </c>
      <c r="U854" t="str">
        <f>IF(首页!$B$13="自然对流","按自然对流公式", "按强制对流公式")</f>
        <v>按自然对流公式</v>
      </c>
      <c r="V854" s="6">
        <f t="shared" si="125"/>
        <v>4.8703039204485465</v>
      </c>
    </row>
    <row r="855" spans="1:22" x14ac:dyDescent="0.15">
      <c r="A855">
        <v>850</v>
      </c>
      <c r="B855" s="6">
        <f>首页!$B$4+2*A855/1000</f>
        <v>1.8199999999999998</v>
      </c>
      <c r="C855" s="6">
        <f>首页!$B$7+273.15</f>
        <v>388.15</v>
      </c>
      <c r="D855" s="6">
        <f>首页!$B$6+273.15</f>
        <v>293.14999999999998</v>
      </c>
      <c r="E855" s="6">
        <f>首页!$B$5+273.15</f>
        <v>1373.15</v>
      </c>
      <c r="F855" s="6">
        <f t="shared" si="117"/>
        <v>95</v>
      </c>
      <c r="G855" s="6">
        <f t="shared" si="118"/>
        <v>340.65</v>
      </c>
      <c r="H855" s="6">
        <f t="shared" si="119"/>
        <v>1.9926207055139041E-5</v>
      </c>
      <c r="I855" s="7">
        <f t="shared" si="120"/>
        <v>1158916576932337.8</v>
      </c>
      <c r="J855" s="6">
        <f t="shared" si="121"/>
        <v>1.0226038455893147</v>
      </c>
      <c r="K855" s="7">
        <f>J855*H855*首页!$B$12/P855</f>
        <v>0.69532757496605813</v>
      </c>
      <c r="L855" s="6">
        <f>首页!$B$9*0.0000000567*((C855^4-D855^4)/(C855-D855))</f>
        <v>7.7687338005019564</v>
      </c>
      <c r="M855" s="6">
        <f>IF(首页!$B$13="自然对流",IF(首页!$B$14="立式圆筒",首页!$B$10,PI()*B855/2),PI()*B855/2)</f>
        <v>55.2</v>
      </c>
      <c r="N855" s="7">
        <f>IF(首页!$B$13="强制对流",首页!$B$11*M855/H855,0)</f>
        <v>0</v>
      </c>
      <c r="O855" s="6">
        <f>IF(首页!$B$13="自然对流",IF(首页!$B$14="立式圆筒",(0.825+0.3063*I855^(1/6))^2+0.87*(M855/B855),(0.752+0.303*I855^(1/6))^2),0.3+SQRT((0.592*N855^0.5)^2+(0.0262*N855^0.8/(1-0.5/N855^0.1))^2))</f>
        <v>10045.594316121713</v>
      </c>
      <c r="P855" s="6">
        <f t="shared" si="122"/>
        <v>2.9510194925512497E-2</v>
      </c>
      <c r="Q855" s="6">
        <f t="shared" si="123"/>
        <v>5.3704247538292051</v>
      </c>
      <c r="R855" s="6">
        <f t="shared" si="124"/>
        <v>13.139158554331161</v>
      </c>
      <c r="S855" s="6">
        <f>B855*LN(B855/首页!$B$4)</f>
        <v>4.9487620678656059</v>
      </c>
      <c r="T855" s="6">
        <f>2*首页!$B$8*(E855-C855)/(R855*(C855-D855))</f>
        <v>7.1021130529644011E-2</v>
      </c>
      <c r="U855" t="str">
        <f>IF(首页!$B$13="自然对流","按自然对流公式", "按强制对流公式")</f>
        <v>按自然对流公式</v>
      </c>
      <c r="V855" s="6">
        <f t="shared" si="125"/>
        <v>4.8777409373359619</v>
      </c>
    </row>
    <row r="856" spans="1:22" x14ac:dyDescent="0.15">
      <c r="A856">
        <v>851</v>
      </c>
      <c r="B856" s="6">
        <f>首页!$B$4+2*A856/1000</f>
        <v>1.8220000000000001</v>
      </c>
      <c r="C856" s="6">
        <f>首页!$B$7+273.15</f>
        <v>388.15</v>
      </c>
      <c r="D856" s="6">
        <f>首页!$B$6+273.15</f>
        <v>293.14999999999998</v>
      </c>
      <c r="E856" s="6">
        <f>首页!$B$5+273.15</f>
        <v>1373.15</v>
      </c>
      <c r="F856" s="6">
        <f t="shared" si="117"/>
        <v>95</v>
      </c>
      <c r="G856" s="6">
        <f t="shared" si="118"/>
        <v>340.65</v>
      </c>
      <c r="H856" s="6">
        <f t="shared" si="119"/>
        <v>1.9926207055139041E-5</v>
      </c>
      <c r="I856" s="7">
        <f t="shared" si="120"/>
        <v>1158916576932337.8</v>
      </c>
      <c r="J856" s="6">
        <f t="shared" si="121"/>
        <v>1.0226038455893147</v>
      </c>
      <c r="K856" s="7">
        <f>J856*H856*首页!$B$12/P856</f>
        <v>0.69532757496605813</v>
      </c>
      <c r="L856" s="6">
        <f>首页!$B$9*0.0000000567*((C856^4-D856^4)/(C856-D856))</f>
        <v>7.7687338005019564</v>
      </c>
      <c r="M856" s="6">
        <f>IF(首页!$B$13="自然对流",IF(首页!$B$14="立式圆筒",首页!$B$10,PI()*B856/2),PI()*B856/2)</f>
        <v>55.2</v>
      </c>
      <c r="N856" s="7">
        <f>IF(首页!$B$13="强制对流",首页!$B$11*M856/H856,0)</f>
        <v>0</v>
      </c>
      <c r="O856" s="6">
        <f>IF(首页!$B$13="自然对流",IF(首页!$B$14="立式圆筒",(0.825+0.3063*I856^(1/6))^2+0.87*(M856/B856),(0.752+0.303*I856^(1/6))^2),0.3+SQRT((0.592*N856^0.5)^2+(0.0262*N856^0.8/(1-0.5/N856^0.1))^2))</f>
        <v>10045.565351453011</v>
      </c>
      <c r="P856" s="6">
        <f t="shared" si="122"/>
        <v>2.9510194925512497E-2</v>
      </c>
      <c r="Q856" s="6">
        <f t="shared" si="123"/>
        <v>5.3704092691730576</v>
      </c>
      <c r="R856" s="6">
        <f t="shared" si="124"/>
        <v>13.139143069675015</v>
      </c>
      <c r="S856" s="6">
        <f>B856*LN(B856/首页!$B$4)</f>
        <v>4.956201366438977</v>
      </c>
      <c r="T856" s="6">
        <f>2*首页!$B$8*(E856-C856)/(R856*(C856-D856))</f>
        <v>7.1021214228997875E-2</v>
      </c>
      <c r="U856" t="str">
        <f>IF(首页!$B$13="自然对流","按自然对流公式", "按强制对流公式")</f>
        <v>按自然对流公式</v>
      </c>
      <c r="V856" s="6">
        <f t="shared" si="125"/>
        <v>4.8851801522099789</v>
      </c>
    </row>
    <row r="857" spans="1:22" x14ac:dyDescent="0.15">
      <c r="A857">
        <v>852</v>
      </c>
      <c r="B857" s="6">
        <f>首页!$B$4+2*A857/1000</f>
        <v>1.8239999999999998</v>
      </c>
      <c r="C857" s="6">
        <f>首页!$B$7+273.15</f>
        <v>388.15</v>
      </c>
      <c r="D857" s="6">
        <f>首页!$B$6+273.15</f>
        <v>293.14999999999998</v>
      </c>
      <c r="E857" s="6">
        <f>首页!$B$5+273.15</f>
        <v>1373.15</v>
      </c>
      <c r="F857" s="6">
        <f t="shared" si="117"/>
        <v>95</v>
      </c>
      <c r="G857" s="6">
        <f t="shared" si="118"/>
        <v>340.65</v>
      </c>
      <c r="H857" s="6">
        <f t="shared" si="119"/>
        <v>1.9926207055139041E-5</v>
      </c>
      <c r="I857" s="7">
        <f t="shared" si="120"/>
        <v>1158916576932337.8</v>
      </c>
      <c r="J857" s="6">
        <f t="shared" si="121"/>
        <v>1.0226038455893147</v>
      </c>
      <c r="K857" s="7">
        <f>J857*H857*首页!$B$12/P857</f>
        <v>0.69532757496605813</v>
      </c>
      <c r="L857" s="6">
        <f>首页!$B$9*0.0000000567*((C857^4-D857^4)/(C857-D857))</f>
        <v>7.7687338005019564</v>
      </c>
      <c r="M857" s="6">
        <f>IF(首页!$B$13="自然对流",IF(首页!$B$14="立式圆筒",首页!$B$10,PI()*B857/2),PI()*B857/2)</f>
        <v>55.2</v>
      </c>
      <c r="N857" s="7">
        <f>IF(首页!$B$13="强制对流",首页!$B$11*M857/H857,0)</f>
        <v>0</v>
      </c>
      <c r="O857" s="6">
        <f>IF(首页!$B$13="自然对流",IF(首页!$B$14="立式圆筒",(0.825+0.3063*I857^(1/6))^2+0.87*(M857/B857),(0.752+0.303*I857^(1/6))^2),0.3+SQRT((0.592*N857^0.5)^2+(0.0262*N857^0.8/(1-0.5/N857^0.1))^2))</f>
        <v>10045.536450303322</v>
      </c>
      <c r="P857" s="6">
        <f t="shared" si="122"/>
        <v>2.9510194925512497E-2</v>
      </c>
      <c r="Q857" s="6">
        <f t="shared" si="123"/>
        <v>5.3703938184744908</v>
      </c>
      <c r="R857" s="6">
        <f t="shared" si="124"/>
        <v>13.139127618976447</v>
      </c>
      <c r="S857" s="6">
        <f>B857*LN(B857/首页!$B$4)</f>
        <v>4.9636428604024685</v>
      </c>
      <c r="T857" s="6">
        <f>2*首页!$B$8*(E857-C857)/(R857*(C857-D857))</f>
        <v>7.1021297744997186E-2</v>
      </c>
      <c r="U857" t="str">
        <f>IF(首页!$B$13="自然对流","按自然对流公式", "按强制对流公式")</f>
        <v>按自然对流公式</v>
      </c>
      <c r="V857" s="6">
        <f t="shared" si="125"/>
        <v>4.8926215626574709</v>
      </c>
    </row>
    <row r="858" spans="1:22" x14ac:dyDescent="0.15">
      <c r="A858">
        <v>853</v>
      </c>
      <c r="B858" s="6">
        <f>首页!$B$4+2*A858/1000</f>
        <v>1.8260000000000001</v>
      </c>
      <c r="C858" s="6">
        <f>首页!$B$7+273.15</f>
        <v>388.15</v>
      </c>
      <c r="D858" s="6">
        <f>首页!$B$6+273.15</f>
        <v>293.14999999999998</v>
      </c>
      <c r="E858" s="6">
        <f>首页!$B$5+273.15</f>
        <v>1373.15</v>
      </c>
      <c r="F858" s="6">
        <f t="shared" si="117"/>
        <v>95</v>
      </c>
      <c r="G858" s="6">
        <f t="shared" si="118"/>
        <v>340.65</v>
      </c>
      <c r="H858" s="6">
        <f t="shared" si="119"/>
        <v>1.9926207055139041E-5</v>
      </c>
      <c r="I858" s="7">
        <f t="shared" si="120"/>
        <v>1158916576932337.8</v>
      </c>
      <c r="J858" s="6">
        <f t="shared" si="121"/>
        <v>1.0226038455893147</v>
      </c>
      <c r="K858" s="7">
        <f>J858*H858*首页!$B$12/P858</f>
        <v>0.69532757496605813</v>
      </c>
      <c r="L858" s="6">
        <f>首页!$B$9*0.0000000567*((C858^4-D858^4)/(C858-D858))</f>
        <v>7.7687338005019564</v>
      </c>
      <c r="M858" s="6">
        <f>IF(首页!$B$13="自然对流",IF(首页!$B$14="立式圆筒",首页!$B$10,PI()*B858/2),PI()*B858/2)</f>
        <v>55.2</v>
      </c>
      <c r="N858" s="7">
        <f>IF(首页!$B$13="强制对流",首页!$B$11*M858/H858,0)</f>
        <v>0</v>
      </c>
      <c r="O858" s="6">
        <f>IF(首页!$B$13="自然对流",IF(首页!$B$14="立式圆筒",(0.825+0.3063*I858^(1/6))^2+0.87*(M858/B858),(0.752+0.303*I858^(1/6))^2),0.3+SQRT((0.592*N858^0.5)^2+(0.0262*N858^0.8/(1-0.5/N858^0.1))^2))</f>
        <v>10045.507612463925</v>
      </c>
      <c r="P858" s="6">
        <f t="shared" si="122"/>
        <v>2.9510194925512497E-2</v>
      </c>
      <c r="Q858" s="6">
        <f t="shared" si="123"/>
        <v>5.370378401621922</v>
      </c>
      <c r="R858" s="6">
        <f t="shared" si="124"/>
        <v>13.139112202123879</v>
      </c>
      <c r="S858" s="6">
        <f>B858*LN(B858/首页!$B$4)</f>
        <v>4.9710865473488575</v>
      </c>
      <c r="T858" s="6">
        <f>2*首页!$B$8*(E858-C858)/(R858*(C858-D858))</f>
        <v>7.1021381078243725E-2</v>
      </c>
      <c r="U858" t="str">
        <f>IF(首页!$B$13="自然对流","按自然对流公式", "按强制对流公式")</f>
        <v>按自然对流公式</v>
      </c>
      <c r="V858" s="6">
        <f t="shared" si="125"/>
        <v>4.9000651662706138</v>
      </c>
    </row>
    <row r="859" spans="1:22" x14ac:dyDescent="0.15">
      <c r="A859">
        <v>854</v>
      </c>
      <c r="B859" s="6">
        <f>首页!$B$4+2*A859/1000</f>
        <v>1.8279999999999998</v>
      </c>
      <c r="C859" s="6">
        <f>首页!$B$7+273.15</f>
        <v>388.15</v>
      </c>
      <c r="D859" s="6">
        <f>首页!$B$6+273.15</f>
        <v>293.14999999999998</v>
      </c>
      <c r="E859" s="6">
        <f>首页!$B$5+273.15</f>
        <v>1373.15</v>
      </c>
      <c r="F859" s="6">
        <f t="shared" si="117"/>
        <v>95</v>
      </c>
      <c r="G859" s="6">
        <f t="shared" si="118"/>
        <v>340.65</v>
      </c>
      <c r="H859" s="6">
        <f t="shared" si="119"/>
        <v>1.9926207055139041E-5</v>
      </c>
      <c r="I859" s="7">
        <f t="shared" si="120"/>
        <v>1158916576932337.8</v>
      </c>
      <c r="J859" s="6">
        <f t="shared" si="121"/>
        <v>1.0226038455893147</v>
      </c>
      <c r="K859" s="7">
        <f>J859*H859*首页!$B$12/P859</f>
        <v>0.69532757496605813</v>
      </c>
      <c r="L859" s="6">
        <f>首页!$B$9*0.0000000567*((C859^4-D859^4)/(C859-D859))</f>
        <v>7.7687338005019564</v>
      </c>
      <c r="M859" s="6">
        <f>IF(首页!$B$13="自然对流",IF(首页!$B$14="立式圆筒",首页!$B$10,PI()*B859/2),PI()*B859/2)</f>
        <v>55.2</v>
      </c>
      <c r="N859" s="7">
        <f>IF(首页!$B$13="强制对流",首页!$B$11*M859/H859,0)</f>
        <v>0</v>
      </c>
      <c r="O859" s="6">
        <f>IF(首页!$B$13="自然对流",IF(首页!$B$14="立式圆筒",(0.825+0.3063*I859^(1/6))^2+0.87*(M859/B859),(0.752+0.303*I859^(1/6))^2),0.3+SQRT((0.592*N859^0.5)^2+(0.0262*N859^0.8/(1-0.5/N859^0.1))^2))</f>
        <v>10045.478837727022</v>
      </c>
      <c r="P859" s="6">
        <f t="shared" si="122"/>
        <v>2.9510194925512497E-2</v>
      </c>
      <c r="Q859" s="6">
        <f t="shared" si="123"/>
        <v>5.3703630185042597</v>
      </c>
      <c r="R859" s="6">
        <f t="shared" si="124"/>
        <v>13.139096819006216</v>
      </c>
      <c r="S859" s="6">
        <f>B859*LN(B859/首页!$B$4)</f>
        <v>4.9785324248761853</v>
      </c>
      <c r="T859" s="6">
        <f>2*首页!$B$8*(E859-C859)/(R859*(C859-D859))</f>
        <v>7.1021464229336737E-2</v>
      </c>
      <c r="U859" t="str">
        <f>IF(首页!$B$13="自然对流","按自然对流公式", "按强制对流公式")</f>
        <v>按自然对流公式</v>
      </c>
      <c r="V859" s="6">
        <f t="shared" si="125"/>
        <v>4.9075109606468486</v>
      </c>
    </row>
    <row r="860" spans="1:22" x14ac:dyDescent="0.15">
      <c r="A860">
        <v>855</v>
      </c>
      <c r="B860" s="6">
        <f>首页!$B$4+2*A860/1000</f>
        <v>1.83</v>
      </c>
      <c r="C860" s="6">
        <f>首页!$B$7+273.15</f>
        <v>388.15</v>
      </c>
      <c r="D860" s="6">
        <f>首页!$B$6+273.15</f>
        <v>293.14999999999998</v>
      </c>
      <c r="E860" s="6">
        <f>首页!$B$5+273.15</f>
        <v>1373.15</v>
      </c>
      <c r="F860" s="6">
        <f t="shared" si="117"/>
        <v>95</v>
      </c>
      <c r="G860" s="6">
        <f t="shared" si="118"/>
        <v>340.65</v>
      </c>
      <c r="H860" s="6">
        <f t="shared" si="119"/>
        <v>1.9926207055139041E-5</v>
      </c>
      <c r="I860" s="7">
        <f t="shared" si="120"/>
        <v>1158916576932337.8</v>
      </c>
      <c r="J860" s="6">
        <f t="shared" si="121"/>
        <v>1.0226038455893147</v>
      </c>
      <c r="K860" s="7">
        <f>J860*H860*首页!$B$12/P860</f>
        <v>0.69532757496605813</v>
      </c>
      <c r="L860" s="6">
        <f>首页!$B$9*0.0000000567*((C860^4-D860^4)/(C860-D860))</f>
        <v>7.7687338005019564</v>
      </c>
      <c r="M860" s="6">
        <f>IF(首页!$B$13="自然对流",IF(首页!$B$14="立式圆筒",首页!$B$10,PI()*B860/2),PI()*B860/2)</f>
        <v>55.2</v>
      </c>
      <c r="N860" s="7">
        <f>IF(首页!$B$13="强制对流",首页!$B$11*M860/H860,0)</f>
        <v>0</v>
      </c>
      <c r="O860" s="6">
        <f>IF(首页!$B$13="自然对流",IF(首页!$B$14="立式圆筒",(0.825+0.3063*I860^(1/6))^2+0.87*(M860/B860),(0.752+0.303*I860^(1/6))^2),0.3+SQRT((0.592*N860^0.5)^2+(0.0262*N860^0.8/(1-0.5/N860^0.1))^2))</f>
        <v>10045.45012588572</v>
      </c>
      <c r="P860" s="6">
        <f t="shared" si="122"/>
        <v>2.9510194925512497E-2</v>
      </c>
      <c r="Q860" s="6">
        <f t="shared" si="123"/>
        <v>5.3703476690108989</v>
      </c>
      <c r="R860" s="6">
        <f t="shared" si="124"/>
        <v>13.139081469512856</v>
      </c>
      <c r="S860" s="6">
        <f>B860*LN(B860/首页!$B$4)</f>
        <v>4.9859804905877594</v>
      </c>
      <c r="T860" s="6">
        <f>2*首页!$B$8*(E860-C860)/(R860*(C860-D860))</f>
        <v>7.1021547198872798E-2</v>
      </c>
      <c r="U860" t="str">
        <f>IF(首页!$B$13="自然对流","按自然对流公式", "按强制对流公式")</f>
        <v>按自然对流公式</v>
      </c>
      <c r="V860" s="6">
        <f t="shared" si="125"/>
        <v>4.9149589433888865</v>
      </c>
    </row>
    <row r="861" spans="1:22" x14ac:dyDescent="0.15">
      <c r="A861">
        <v>856</v>
      </c>
      <c r="B861" s="6">
        <f>首页!$B$4+2*A861/1000</f>
        <v>1.8319999999999999</v>
      </c>
      <c r="C861" s="6">
        <f>首页!$B$7+273.15</f>
        <v>388.15</v>
      </c>
      <c r="D861" s="6">
        <f>首页!$B$6+273.15</f>
        <v>293.14999999999998</v>
      </c>
      <c r="E861" s="6">
        <f>首页!$B$5+273.15</f>
        <v>1373.15</v>
      </c>
      <c r="F861" s="6">
        <f t="shared" si="117"/>
        <v>95</v>
      </c>
      <c r="G861" s="6">
        <f t="shared" si="118"/>
        <v>340.65</v>
      </c>
      <c r="H861" s="6">
        <f t="shared" si="119"/>
        <v>1.9926207055139041E-5</v>
      </c>
      <c r="I861" s="7">
        <f t="shared" si="120"/>
        <v>1158916576932337.8</v>
      </c>
      <c r="J861" s="6">
        <f t="shared" si="121"/>
        <v>1.0226038455893147</v>
      </c>
      <c r="K861" s="7">
        <f>J861*H861*首页!$B$12/P861</f>
        <v>0.69532757496605813</v>
      </c>
      <c r="L861" s="6">
        <f>首页!$B$9*0.0000000567*((C861^4-D861^4)/(C861-D861))</f>
        <v>7.7687338005019564</v>
      </c>
      <c r="M861" s="6">
        <f>IF(首页!$B$13="自然对流",IF(首页!$B$14="立式圆筒",首页!$B$10,PI()*B861/2),PI()*B861/2)</f>
        <v>55.2</v>
      </c>
      <c r="N861" s="7">
        <f>IF(首页!$B$13="强制对流",首页!$B$11*M861/H861,0)</f>
        <v>0</v>
      </c>
      <c r="O861" s="6">
        <f>IF(首页!$B$13="自然对流",IF(首页!$B$14="立式圆筒",(0.825+0.3063*I861^(1/6))^2+0.87*(M861/B861),(0.752+0.303*I861^(1/6))^2),0.3+SQRT((0.592*N861^0.5)^2+(0.0262*N861^0.8/(1-0.5/N861^0.1))^2))</f>
        <v>10045.421476734027</v>
      </c>
      <c r="P861" s="6">
        <f t="shared" si="122"/>
        <v>2.9510194925512497E-2</v>
      </c>
      <c r="Q861" s="6">
        <f t="shared" si="123"/>
        <v>5.3703323530317153</v>
      </c>
      <c r="R861" s="6">
        <f t="shared" si="124"/>
        <v>13.139066153533673</v>
      </c>
      <c r="S861" s="6">
        <f>B861*LN(B861/首页!$B$4)</f>
        <v>4.9934307420921176</v>
      </c>
      <c r="T861" s="6">
        <f>2*首页!$B$8*(E861-C861)/(R861*(C861-D861))</f>
        <v>7.1021629987445878E-2</v>
      </c>
      <c r="U861" t="str">
        <f>IF(首页!$B$13="自然对流","按自然对流公式", "按强制对流公式")</f>
        <v>按自然对流公式</v>
      </c>
      <c r="V861" s="6">
        <f t="shared" si="125"/>
        <v>4.9224091121046714</v>
      </c>
    </row>
    <row r="862" spans="1:22" x14ac:dyDescent="0.15">
      <c r="A862">
        <v>857</v>
      </c>
      <c r="B862" s="6">
        <f>首页!$B$4+2*A862/1000</f>
        <v>1.8340000000000001</v>
      </c>
      <c r="C862" s="6">
        <f>首页!$B$7+273.15</f>
        <v>388.15</v>
      </c>
      <c r="D862" s="6">
        <f>首页!$B$6+273.15</f>
        <v>293.14999999999998</v>
      </c>
      <c r="E862" s="6">
        <f>首页!$B$5+273.15</f>
        <v>1373.15</v>
      </c>
      <c r="F862" s="6">
        <f t="shared" si="117"/>
        <v>95</v>
      </c>
      <c r="G862" s="6">
        <f t="shared" si="118"/>
        <v>340.65</v>
      </c>
      <c r="H862" s="6">
        <f t="shared" si="119"/>
        <v>1.9926207055139041E-5</v>
      </c>
      <c r="I862" s="7">
        <f t="shared" si="120"/>
        <v>1158916576932337.8</v>
      </c>
      <c r="J862" s="6">
        <f t="shared" si="121"/>
        <v>1.0226038455893147</v>
      </c>
      <c r="K862" s="7">
        <f>J862*H862*首页!$B$12/P862</f>
        <v>0.69532757496605813</v>
      </c>
      <c r="L862" s="6">
        <f>首页!$B$9*0.0000000567*((C862^4-D862^4)/(C862-D862))</f>
        <v>7.7687338005019564</v>
      </c>
      <c r="M862" s="6">
        <f>IF(首页!$B$13="自然对流",IF(首页!$B$14="立式圆筒",首页!$B$10,PI()*B862/2),PI()*B862/2)</f>
        <v>55.2</v>
      </c>
      <c r="N862" s="7">
        <f>IF(首页!$B$13="强制对流",首页!$B$11*M862/H862,0)</f>
        <v>0</v>
      </c>
      <c r="O862" s="6">
        <f>IF(首页!$B$13="自然对流",IF(首页!$B$14="立式圆筒",(0.825+0.3063*I862^(1/6))^2+0.87*(M862/B862),(0.752+0.303*I862^(1/6))^2),0.3+SQRT((0.592*N862^0.5)^2+(0.0262*N862^0.8/(1-0.5/N862^0.1))^2))</f>
        <v>10045.392890066852</v>
      </c>
      <c r="P862" s="6">
        <f t="shared" si="122"/>
        <v>2.9510194925512497E-2</v>
      </c>
      <c r="Q862" s="6">
        <f t="shared" si="123"/>
        <v>5.3703170704570669</v>
      </c>
      <c r="R862" s="6">
        <f t="shared" si="124"/>
        <v>13.139050870959023</v>
      </c>
      <c r="S862" s="6">
        <f>B862*LN(B862/首页!$B$4)</f>
        <v>5.0008831770030238</v>
      </c>
      <c r="T862" s="6">
        <f>2*首页!$B$8*(E862-C862)/(R862*(C862-D862))</f>
        <v>7.1021712595647379E-2</v>
      </c>
      <c r="U862" t="str">
        <f>IF(首页!$B$13="自然对流","按自然对流公式", "按强制对流公式")</f>
        <v>按自然对流公式</v>
      </c>
      <c r="V862" s="6">
        <f t="shared" si="125"/>
        <v>4.9298614644073764</v>
      </c>
    </row>
    <row r="863" spans="1:22" x14ac:dyDescent="0.15">
      <c r="A863">
        <v>858</v>
      </c>
      <c r="B863" s="6">
        <f>首页!$B$4+2*A863/1000</f>
        <v>1.8359999999999999</v>
      </c>
      <c r="C863" s="6">
        <f>首页!$B$7+273.15</f>
        <v>388.15</v>
      </c>
      <c r="D863" s="6">
        <f>首页!$B$6+273.15</f>
        <v>293.14999999999998</v>
      </c>
      <c r="E863" s="6">
        <f>首页!$B$5+273.15</f>
        <v>1373.15</v>
      </c>
      <c r="F863" s="6">
        <f t="shared" si="117"/>
        <v>95</v>
      </c>
      <c r="G863" s="6">
        <f t="shared" si="118"/>
        <v>340.65</v>
      </c>
      <c r="H863" s="6">
        <f t="shared" si="119"/>
        <v>1.9926207055139041E-5</v>
      </c>
      <c r="I863" s="7">
        <f t="shared" si="120"/>
        <v>1158916576932337.8</v>
      </c>
      <c r="J863" s="6">
        <f t="shared" si="121"/>
        <v>1.0226038455893147</v>
      </c>
      <c r="K863" s="7">
        <f>J863*H863*首页!$B$12/P863</f>
        <v>0.69532757496605813</v>
      </c>
      <c r="L863" s="6">
        <f>首页!$B$9*0.0000000567*((C863^4-D863^4)/(C863-D863))</f>
        <v>7.7687338005019564</v>
      </c>
      <c r="M863" s="6">
        <f>IF(首页!$B$13="自然对流",IF(首页!$B$14="立式圆筒",首页!$B$10,PI()*B863/2),PI()*B863/2)</f>
        <v>55.2</v>
      </c>
      <c r="N863" s="7">
        <f>IF(首页!$B$13="强制对流",首页!$B$11*M863/H863,0)</f>
        <v>0</v>
      </c>
      <c r="O863" s="6">
        <f>IF(首页!$B$13="自然对流",IF(首页!$B$14="立式圆筒",(0.825+0.3063*I863^(1/6))^2+0.87*(M863/B863),(0.752+0.303*I863^(1/6))^2),0.3+SQRT((0.592*N863^0.5)^2+(0.0262*N863^0.8/(1-0.5/N863^0.1))^2))</f>
        <v>10045.364365679998</v>
      </c>
      <c r="P863" s="6">
        <f t="shared" si="122"/>
        <v>2.9510194925512497E-2</v>
      </c>
      <c r="Q863" s="6">
        <f t="shared" si="123"/>
        <v>5.3703018211777884</v>
      </c>
      <c r="R863" s="6">
        <f t="shared" si="124"/>
        <v>13.139035621679746</v>
      </c>
      <c r="S863" s="6">
        <f>B863*LN(B863/首页!$B$4)</f>
        <v>5.008337792939443</v>
      </c>
      <c r="T863" s="6">
        <f>2*首页!$B$8*(E863-C863)/(R863*(C863-D863))</f>
        <v>7.1021795024066137E-2</v>
      </c>
      <c r="U863" t="str">
        <f>IF(首页!$B$13="自然对流","按自然对流公式", "按强制对流公式")</f>
        <v>按自然对流公式</v>
      </c>
      <c r="V863" s="6">
        <f t="shared" si="125"/>
        <v>4.9373159979153769</v>
      </c>
    </row>
    <row r="864" spans="1:22" x14ac:dyDescent="0.15">
      <c r="A864">
        <v>859</v>
      </c>
      <c r="B864" s="6">
        <f>首页!$B$4+2*A864/1000</f>
        <v>1.8380000000000001</v>
      </c>
      <c r="C864" s="6">
        <f>首页!$B$7+273.15</f>
        <v>388.15</v>
      </c>
      <c r="D864" s="6">
        <f>首页!$B$6+273.15</f>
        <v>293.14999999999998</v>
      </c>
      <c r="E864" s="6">
        <f>首页!$B$5+273.15</f>
        <v>1373.15</v>
      </c>
      <c r="F864" s="6">
        <f t="shared" si="117"/>
        <v>95</v>
      </c>
      <c r="G864" s="6">
        <f t="shared" si="118"/>
        <v>340.65</v>
      </c>
      <c r="H864" s="6">
        <f t="shared" si="119"/>
        <v>1.9926207055139041E-5</v>
      </c>
      <c r="I864" s="7">
        <f t="shared" si="120"/>
        <v>1158916576932337.8</v>
      </c>
      <c r="J864" s="6">
        <f t="shared" si="121"/>
        <v>1.0226038455893147</v>
      </c>
      <c r="K864" s="7">
        <f>J864*H864*首页!$B$12/P864</f>
        <v>0.69532757496605813</v>
      </c>
      <c r="L864" s="6">
        <f>首页!$B$9*0.0000000567*((C864^4-D864^4)/(C864-D864))</f>
        <v>7.7687338005019564</v>
      </c>
      <c r="M864" s="6">
        <f>IF(首页!$B$13="自然对流",IF(首页!$B$14="立式圆筒",首页!$B$10,PI()*B864/2),PI()*B864/2)</f>
        <v>55.2</v>
      </c>
      <c r="N864" s="7">
        <f>IF(首页!$B$13="强制对流",首页!$B$11*M864/H864,0)</f>
        <v>0</v>
      </c>
      <c r="O864" s="6">
        <f>IF(首页!$B$13="自然对流",IF(首页!$B$14="立式圆筒",(0.825+0.3063*I864^(1/6))^2+0.87*(M864/B864),(0.752+0.303*I864^(1/6))^2),0.3+SQRT((0.592*N864^0.5)^2+(0.0262*N864^0.8/(1-0.5/N864^0.1))^2))</f>
        <v>10045.335903370156</v>
      </c>
      <c r="P864" s="6">
        <f t="shared" si="122"/>
        <v>2.9510194925512497E-2</v>
      </c>
      <c r="Q864" s="6">
        <f t="shared" si="123"/>
        <v>5.3702866050851901</v>
      </c>
      <c r="R864" s="6">
        <f t="shared" si="124"/>
        <v>13.139020405587146</v>
      </c>
      <c r="S864" s="6">
        <f>B864*LN(B864/首页!$B$4)</f>
        <v>5.0157945875255319</v>
      </c>
      <c r="T864" s="6">
        <f>2*首页!$B$8*(E864-C864)/(R864*(C864-D864))</f>
        <v>7.1021877273288389E-2</v>
      </c>
      <c r="U864" t="str">
        <f>IF(首页!$B$13="自然对流","按自然对流公式", "按强制对流公式")</f>
        <v>按自然对流公式</v>
      </c>
      <c r="V864" s="6">
        <f t="shared" si="125"/>
        <v>4.9447727102522432</v>
      </c>
    </row>
    <row r="865" spans="1:22" x14ac:dyDescent="0.15">
      <c r="A865">
        <v>860</v>
      </c>
      <c r="B865" s="6">
        <f>首页!$B$4+2*A865/1000</f>
        <v>1.8399999999999999</v>
      </c>
      <c r="C865" s="6">
        <f>首页!$B$7+273.15</f>
        <v>388.15</v>
      </c>
      <c r="D865" s="6">
        <f>首页!$B$6+273.15</f>
        <v>293.14999999999998</v>
      </c>
      <c r="E865" s="6">
        <f>首页!$B$5+273.15</f>
        <v>1373.15</v>
      </c>
      <c r="F865" s="6">
        <f t="shared" si="117"/>
        <v>95</v>
      </c>
      <c r="G865" s="6">
        <f t="shared" si="118"/>
        <v>340.65</v>
      </c>
      <c r="H865" s="6">
        <f t="shared" si="119"/>
        <v>1.9926207055139041E-5</v>
      </c>
      <c r="I865" s="7">
        <f t="shared" si="120"/>
        <v>1158916576932337.8</v>
      </c>
      <c r="J865" s="6">
        <f t="shared" si="121"/>
        <v>1.0226038455893147</v>
      </c>
      <c r="K865" s="7">
        <f>J865*H865*首页!$B$12/P865</f>
        <v>0.69532757496605813</v>
      </c>
      <c r="L865" s="6">
        <f>首页!$B$9*0.0000000567*((C865^4-D865^4)/(C865-D865))</f>
        <v>7.7687338005019564</v>
      </c>
      <c r="M865" s="6">
        <f>IF(首页!$B$13="自然对流",IF(首页!$B$14="立式圆筒",首页!$B$10,PI()*B865/2),PI()*B865/2)</f>
        <v>55.2</v>
      </c>
      <c r="N865" s="7">
        <f>IF(首页!$B$13="强制对流",首页!$B$11*M865/H865,0)</f>
        <v>0</v>
      </c>
      <c r="O865" s="6">
        <f>IF(首页!$B$13="自然对流",IF(首页!$B$14="立式圆筒",(0.825+0.3063*I865^(1/6))^2+0.87*(M865/B865),(0.752+0.303*I865^(1/6))^2),0.3+SQRT((0.592*N865^0.5)^2+(0.0262*N865^0.8/(1-0.5/N865^0.1))^2))</f>
        <v>10045.3075029349</v>
      </c>
      <c r="P865" s="6">
        <f t="shared" si="122"/>
        <v>2.9510194925512497E-2</v>
      </c>
      <c r="Q865" s="6">
        <f t="shared" si="123"/>
        <v>5.3702714220710526</v>
      </c>
      <c r="R865" s="6">
        <f t="shared" si="124"/>
        <v>13.139005222573008</v>
      </c>
      <c r="S865" s="6">
        <f>B865*LN(B865/首页!$B$4)</f>
        <v>5.0232535583906124</v>
      </c>
      <c r="T865" s="6">
        <f>2*首页!$B$8*(E865-C865)/(R865*(C865-D865))</f>
        <v>7.1021959343897892E-2</v>
      </c>
      <c r="U865" t="str">
        <f>IF(首页!$B$13="自然对流","按自然对流公式", "按强制对流公式")</f>
        <v>按自然对流公式</v>
      </c>
      <c r="V865" s="6">
        <f t="shared" si="125"/>
        <v>4.9522315990467147</v>
      </c>
    </row>
    <row r="866" spans="1:22" x14ac:dyDescent="0.15">
      <c r="A866">
        <v>861</v>
      </c>
      <c r="B866" s="6">
        <f>首页!$B$4+2*A866/1000</f>
        <v>1.8420000000000001</v>
      </c>
      <c r="C866" s="6">
        <f>首页!$B$7+273.15</f>
        <v>388.15</v>
      </c>
      <c r="D866" s="6">
        <f>首页!$B$6+273.15</f>
        <v>293.14999999999998</v>
      </c>
      <c r="E866" s="6">
        <f>首页!$B$5+273.15</f>
        <v>1373.15</v>
      </c>
      <c r="F866" s="6">
        <f t="shared" si="117"/>
        <v>95</v>
      </c>
      <c r="G866" s="6">
        <f t="shared" si="118"/>
        <v>340.65</v>
      </c>
      <c r="H866" s="6">
        <f t="shared" si="119"/>
        <v>1.9926207055139041E-5</v>
      </c>
      <c r="I866" s="7">
        <f t="shared" si="120"/>
        <v>1158916576932337.8</v>
      </c>
      <c r="J866" s="6">
        <f t="shared" si="121"/>
        <v>1.0226038455893147</v>
      </c>
      <c r="K866" s="7">
        <f>J866*H866*首页!$B$12/P866</f>
        <v>0.69532757496605813</v>
      </c>
      <c r="L866" s="6">
        <f>首页!$B$9*0.0000000567*((C866^4-D866^4)/(C866-D866))</f>
        <v>7.7687338005019564</v>
      </c>
      <c r="M866" s="6">
        <f>IF(首页!$B$13="自然对流",IF(首页!$B$14="立式圆筒",首页!$B$10,PI()*B866/2),PI()*B866/2)</f>
        <v>55.2</v>
      </c>
      <c r="N866" s="7">
        <f>IF(首页!$B$13="强制对流",首页!$B$11*M866/H866,0)</f>
        <v>0</v>
      </c>
      <c r="O866" s="6">
        <f>IF(首页!$B$13="自然对流",IF(首页!$B$14="立式圆筒",(0.825+0.3063*I866^(1/6))^2+0.87*(M866/B866),(0.752+0.303*I866^(1/6))^2),0.3+SQRT((0.592*N866^0.5)^2+(0.0262*N866^0.8/(1-0.5/N866^0.1))^2))</f>
        <v>10045.279164172685</v>
      </c>
      <c r="P866" s="6">
        <f t="shared" si="122"/>
        <v>2.9510194925512497E-2</v>
      </c>
      <c r="Q866" s="6">
        <f t="shared" si="123"/>
        <v>5.3702562720276301</v>
      </c>
      <c r="R866" s="6">
        <f t="shared" si="124"/>
        <v>13.138990072529587</v>
      </c>
      <c r="S866" s="6">
        <f>B866*LN(B866/首页!$B$4)</f>
        <v>5.0307147031691661</v>
      </c>
      <c r="T866" s="6">
        <f>2*首页!$B$8*(E866-C866)/(R866*(C866-D866))</f>
        <v>7.1022041236475777E-2</v>
      </c>
      <c r="U866" t="str">
        <f>IF(首页!$B$13="自然对流","按自然对流公式", "按强制对流公式")</f>
        <v>按自然对流公式</v>
      </c>
      <c r="V866" s="6">
        <f t="shared" si="125"/>
        <v>4.9596926619326904</v>
      </c>
    </row>
    <row r="867" spans="1:22" x14ac:dyDescent="0.15">
      <c r="A867">
        <v>862</v>
      </c>
      <c r="B867" s="6">
        <f>首页!$B$4+2*A867/1000</f>
        <v>1.8439999999999999</v>
      </c>
      <c r="C867" s="6">
        <f>首页!$B$7+273.15</f>
        <v>388.15</v>
      </c>
      <c r="D867" s="6">
        <f>首页!$B$6+273.15</f>
        <v>293.14999999999998</v>
      </c>
      <c r="E867" s="6">
        <f>首页!$B$5+273.15</f>
        <v>1373.15</v>
      </c>
      <c r="F867" s="6">
        <f t="shared" si="117"/>
        <v>95</v>
      </c>
      <c r="G867" s="6">
        <f t="shared" si="118"/>
        <v>340.65</v>
      </c>
      <c r="H867" s="6">
        <f t="shared" si="119"/>
        <v>1.9926207055139041E-5</v>
      </c>
      <c r="I867" s="7">
        <f t="shared" si="120"/>
        <v>1158916576932337.8</v>
      </c>
      <c r="J867" s="6">
        <f t="shared" si="121"/>
        <v>1.0226038455893147</v>
      </c>
      <c r="K867" s="7">
        <f>J867*H867*首页!$B$12/P867</f>
        <v>0.69532757496605813</v>
      </c>
      <c r="L867" s="6">
        <f>首页!$B$9*0.0000000567*((C867^4-D867^4)/(C867-D867))</f>
        <v>7.7687338005019564</v>
      </c>
      <c r="M867" s="6">
        <f>IF(首页!$B$13="自然对流",IF(首页!$B$14="立式圆筒",首页!$B$10,PI()*B867/2),PI()*B867/2)</f>
        <v>55.2</v>
      </c>
      <c r="N867" s="7">
        <f>IF(首页!$B$13="强制对流",首页!$B$11*M867/H867,0)</f>
        <v>0</v>
      </c>
      <c r="O867" s="6">
        <f>IF(首页!$B$13="自然对流",IF(首页!$B$14="立式圆筒",(0.825+0.3063*I867^(1/6))^2+0.87*(M867/B867),(0.752+0.303*I867^(1/6))^2),0.3+SQRT((0.592*N867^0.5)^2+(0.0262*N867^0.8/(1-0.5/N867^0.1))^2))</f>
        <v>10045.250886882839</v>
      </c>
      <c r="P867" s="6">
        <f t="shared" si="122"/>
        <v>2.9510194925512497E-2</v>
      </c>
      <c r="Q867" s="6">
        <f t="shared" si="123"/>
        <v>5.3702411548476423</v>
      </c>
      <c r="R867" s="6">
        <f t="shared" si="124"/>
        <v>13.1389749553496</v>
      </c>
      <c r="S867" s="6">
        <f>B867*LN(B867/首页!$B$4)</f>
        <v>5.0381780195008048</v>
      </c>
      <c r="T867" s="6">
        <f>2*首页!$B$8*(E867-C867)/(R867*(C867-D867))</f>
        <v>7.102212295160075E-2</v>
      </c>
      <c r="U867" t="str">
        <f>IF(首页!$B$13="自然对流","按自然对流公式", "按强制对流公式")</f>
        <v>按自然对流公式</v>
      </c>
      <c r="V867" s="6">
        <f t="shared" si="125"/>
        <v>4.9671558965492038</v>
      </c>
    </row>
    <row r="868" spans="1:22" x14ac:dyDescent="0.15">
      <c r="A868">
        <v>863</v>
      </c>
      <c r="B868" s="6">
        <f>首页!$B$4+2*A868/1000</f>
        <v>1.8460000000000001</v>
      </c>
      <c r="C868" s="6">
        <f>首页!$B$7+273.15</f>
        <v>388.15</v>
      </c>
      <c r="D868" s="6">
        <f>首页!$B$6+273.15</f>
        <v>293.14999999999998</v>
      </c>
      <c r="E868" s="6">
        <f>首页!$B$5+273.15</f>
        <v>1373.15</v>
      </c>
      <c r="F868" s="6">
        <f t="shared" si="117"/>
        <v>95</v>
      </c>
      <c r="G868" s="6">
        <f t="shared" si="118"/>
        <v>340.65</v>
      </c>
      <c r="H868" s="6">
        <f t="shared" si="119"/>
        <v>1.9926207055139041E-5</v>
      </c>
      <c r="I868" s="7">
        <f t="shared" si="120"/>
        <v>1158916576932337.8</v>
      </c>
      <c r="J868" s="6">
        <f t="shared" si="121"/>
        <v>1.0226038455893147</v>
      </c>
      <c r="K868" s="7">
        <f>J868*H868*首页!$B$12/P868</f>
        <v>0.69532757496605813</v>
      </c>
      <c r="L868" s="6">
        <f>首页!$B$9*0.0000000567*((C868^4-D868^4)/(C868-D868))</f>
        <v>7.7687338005019564</v>
      </c>
      <c r="M868" s="6">
        <f>IF(首页!$B$13="自然对流",IF(首页!$B$14="立式圆筒",首页!$B$10,PI()*B868/2),PI()*B868/2)</f>
        <v>55.2</v>
      </c>
      <c r="N868" s="7">
        <f>IF(首页!$B$13="强制对流",首页!$B$11*M868/H868,0)</f>
        <v>0</v>
      </c>
      <c r="O868" s="6">
        <f>IF(首页!$B$13="自然对流",IF(首页!$B$14="立式圆筒",(0.825+0.3063*I868^(1/6))^2+0.87*(M868/B868),(0.752+0.303*I868^(1/6))^2),0.3+SQRT((0.592*N868^0.5)^2+(0.0262*N868^0.8/(1-0.5/N868^0.1))^2))</f>
        <v>10045.22267086556</v>
      </c>
      <c r="P868" s="6">
        <f t="shared" si="122"/>
        <v>2.9510194925512497E-2</v>
      </c>
      <c r="Q868" s="6">
        <f t="shared" si="123"/>
        <v>5.3702260704242732</v>
      </c>
      <c r="R868" s="6">
        <f t="shared" si="124"/>
        <v>13.138959870926229</v>
      </c>
      <c r="S868" s="6">
        <f>B868*LN(B868/首页!$B$4)</f>
        <v>5.0456435050302675</v>
      </c>
      <c r="T868" s="6">
        <f>2*首页!$B$8*(E868-C868)/(R868*(C868-D868))</f>
        <v>7.1022204489848972E-2</v>
      </c>
      <c r="U868" t="str">
        <f>IF(首页!$B$13="自然对流","按自然对流公式", "按强制对流公式")</f>
        <v>按自然对流公式</v>
      </c>
      <c r="V868" s="6">
        <f t="shared" si="125"/>
        <v>4.9746213005404183</v>
      </c>
    </row>
    <row r="869" spans="1:22" x14ac:dyDescent="0.15">
      <c r="A869">
        <v>864</v>
      </c>
      <c r="B869" s="6">
        <f>首页!$B$4+2*A869/1000</f>
        <v>1.8479999999999999</v>
      </c>
      <c r="C869" s="6">
        <f>首页!$B$7+273.15</f>
        <v>388.15</v>
      </c>
      <c r="D869" s="6">
        <f>首页!$B$6+273.15</f>
        <v>293.14999999999998</v>
      </c>
      <c r="E869" s="6">
        <f>首页!$B$5+273.15</f>
        <v>1373.15</v>
      </c>
      <c r="F869" s="6">
        <f t="shared" si="117"/>
        <v>95</v>
      </c>
      <c r="G869" s="6">
        <f t="shared" si="118"/>
        <v>340.65</v>
      </c>
      <c r="H869" s="6">
        <f t="shared" si="119"/>
        <v>1.9926207055139041E-5</v>
      </c>
      <c r="I869" s="7">
        <f t="shared" si="120"/>
        <v>1158916576932337.8</v>
      </c>
      <c r="J869" s="6">
        <f t="shared" si="121"/>
        <v>1.0226038455893147</v>
      </c>
      <c r="K869" s="7">
        <f>J869*H869*首页!$B$12/P869</f>
        <v>0.69532757496605813</v>
      </c>
      <c r="L869" s="6">
        <f>首页!$B$9*0.0000000567*((C869^4-D869^4)/(C869-D869))</f>
        <v>7.7687338005019564</v>
      </c>
      <c r="M869" s="6">
        <f>IF(首页!$B$13="自然对流",IF(首页!$B$14="立式圆筒",首页!$B$10,PI()*B869/2),PI()*B869/2)</f>
        <v>55.2</v>
      </c>
      <c r="N869" s="7">
        <f>IF(首页!$B$13="强制对流",首页!$B$11*M869/H869,0)</f>
        <v>0</v>
      </c>
      <c r="O869" s="6">
        <f>IF(首页!$B$13="自然对流",IF(首页!$B$14="立式圆筒",(0.825+0.3063*I869^(1/6))^2+0.87*(M869/B869),(0.752+0.303*I869^(1/6))^2),0.3+SQRT((0.592*N869^0.5)^2+(0.0262*N869^0.8/(1-0.5/N869^0.1))^2))</f>
        <v>10045.194515921912</v>
      </c>
      <c r="P869" s="6">
        <f t="shared" si="122"/>
        <v>2.9510194925512497E-2</v>
      </c>
      <c r="Q869" s="6">
        <f t="shared" si="123"/>
        <v>5.3702110186511733</v>
      </c>
      <c r="R869" s="6">
        <f t="shared" si="124"/>
        <v>13.13894481915313</v>
      </c>
      <c r="S869" s="6">
        <f>B869*LN(B869/首页!$B$4)</f>
        <v>5.0531111574073897</v>
      </c>
      <c r="T869" s="6">
        <f>2*首页!$B$8*(E869-C869)/(R869*(C869-D869))</f>
        <v>7.1022285851794056E-2</v>
      </c>
      <c r="U869" t="str">
        <f>IF(首页!$B$13="自然对流","按自然对流公式", "按强制对流公式")</f>
        <v>按自然对流公式</v>
      </c>
      <c r="V869" s="6">
        <f t="shared" si="125"/>
        <v>4.9820888715555958</v>
      </c>
    </row>
    <row r="870" spans="1:22" x14ac:dyDescent="0.15">
      <c r="A870">
        <v>865</v>
      </c>
      <c r="B870" s="6">
        <f>首页!$B$4+2*A870/1000</f>
        <v>1.85</v>
      </c>
      <c r="C870" s="6">
        <f>首页!$B$7+273.15</f>
        <v>388.15</v>
      </c>
      <c r="D870" s="6">
        <f>首页!$B$6+273.15</f>
        <v>293.14999999999998</v>
      </c>
      <c r="E870" s="6">
        <f>首页!$B$5+273.15</f>
        <v>1373.15</v>
      </c>
      <c r="F870" s="6">
        <f t="shared" si="117"/>
        <v>95</v>
      </c>
      <c r="G870" s="6">
        <f t="shared" si="118"/>
        <v>340.65</v>
      </c>
      <c r="H870" s="6">
        <f t="shared" si="119"/>
        <v>1.9926207055139041E-5</v>
      </c>
      <c r="I870" s="7">
        <f t="shared" si="120"/>
        <v>1158916576932337.8</v>
      </c>
      <c r="J870" s="6">
        <f t="shared" si="121"/>
        <v>1.0226038455893147</v>
      </c>
      <c r="K870" s="7">
        <f>J870*H870*首页!$B$12/P870</f>
        <v>0.69532757496605813</v>
      </c>
      <c r="L870" s="6">
        <f>首页!$B$9*0.0000000567*((C870^4-D870^4)/(C870-D870))</f>
        <v>7.7687338005019564</v>
      </c>
      <c r="M870" s="6">
        <f>IF(首页!$B$13="自然对流",IF(首页!$B$14="立式圆筒",首页!$B$10,PI()*B870/2),PI()*B870/2)</f>
        <v>55.2</v>
      </c>
      <c r="N870" s="7">
        <f>IF(首页!$B$13="强制对流",首页!$B$11*M870/H870,0)</f>
        <v>0</v>
      </c>
      <c r="O870" s="6">
        <f>IF(首页!$B$13="自然对流",IF(首页!$B$14="立式圆筒",(0.825+0.3063*I870^(1/6))^2+0.87*(M870/B870),(0.752+0.303*I870^(1/6))^2),0.3+SQRT((0.592*N870^0.5)^2+(0.0262*N870^0.8/(1-0.5/N870^0.1))^2))</f>
        <v>10045.166421853819</v>
      </c>
      <c r="P870" s="6">
        <f t="shared" si="122"/>
        <v>2.9510194925512497E-2</v>
      </c>
      <c r="Q870" s="6">
        <f t="shared" si="123"/>
        <v>5.3701959994224469</v>
      </c>
      <c r="R870" s="6">
        <f t="shared" si="124"/>
        <v>13.138929799924403</v>
      </c>
      <c r="S870" s="6">
        <f>B870*LN(B870/首页!$B$4)</f>
        <v>5.0605809742871006</v>
      </c>
      <c r="T870" s="6">
        <f>2*首页!$B$8*(E870-C870)/(R870*(C870-D870))</f>
        <v>7.1022367038007253E-2</v>
      </c>
      <c r="U870" t="str">
        <f>IF(首页!$B$13="自然对流","按自然对流公式", "按强制对流公式")</f>
        <v>按自然对流公式</v>
      </c>
      <c r="V870" s="6">
        <f t="shared" si="125"/>
        <v>4.9895586072490934</v>
      </c>
    </row>
    <row r="871" spans="1:22" x14ac:dyDescent="0.15">
      <c r="A871">
        <v>866</v>
      </c>
      <c r="B871" s="6">
        <f>首页!$B$4+2*A871/1000</f>
        <v>1.8519999999999999</v>
      </c>
      <c r="C871" s="6">
        <f>首页!$B$7+273.15</f>
        <v>388.15</v>
      </c>
      <c r="D871" s="6">
        <f>首页!$B$6+273.15</f>
        <v>293.14999999999998</v>
      </c>
      <c r="E871" s="6">
        <f>首页!$B$5+273.15</f>
        <v>1373.15</v>
      </c>
      <c r="F871" s="6">
        <f t="shared" si="117"/>
        <v>95</v>
      </c>
      <c r="G871" s="6">
        <f t="shared" si="118"/>
        <v>340.65</v>
      </c>
      <c r="H871" s="6">
        <f t="shared" si="119"/>
        <v>1.9926207055139041E-5</v>
      </c>
      <c r="I871" s="7">
        <f t="shared" si="120"/>
        <v>1158916576932337.8</v>
      </c>
      <c r="J871" s="6">
        <f t="shared" si="121"/>
        <v>1.0226038455893147</v>
      </c>
      <c r="K871" s="7">
        <f>J871*H871*首页!$B$12/P871</f>
        <v>0.69532757496605813</v>
      </c>
      <c r="L871" s="6">
        <f>首页!$B$9*0.0000000567*((C871^4-D871^4)/(C871-D871))</f>
        <v>7.7687338005019564</v>
      </c>
      <c r="M871" s="6">
        <f>IF(首页!$B$13="自然对流",IF(首页!$B$14="立式圆筒",首页!$B$10,PI()*B871/2),PI()*B871/2)</f>
        <v>55.2</v>
      </c>
      <c r="N871" s="7">
        <f>IF(首页!$B$13="强制对流",首页!$B$11*M871/H871,0)</f>
        <v>0</v>
      </c>
      <c r="O871" s="6">
        <f>IF(首页!$B$13="自然对流",IF(首页!$B$14="立式圆筒",(0.825+0.3063*I871^(1/6))^2+0.87*(M871/B871),(0.752+0.303*I871^(1/6))^2),0.3+SQRT((0.592*N871^0.5)^2+(0.0262*N871^0.8/(1-0.5/N871^0.1))^2))</f>
        <v>10045.138388464058</v>
      </c>
      <c r="P871" s="6">
        <f t="shared" si="122"/>
        <v>2.9510194925512497E-2</v>
      </c>
      <c r="Q871" s="6">
        <f t="shared" si="123"/>
        <v>5.370181012632659</v>
      </c>
      <c r="R871" s="6">
        <f t="shared" si="124"/>
        <v>13.138914813134615</v>
      </c>
      <c r="S871" s="6">
        <f>B871*LN(B871/首页!$B$4)</f>
        <v>5.068052953329393</v>
      </c>
      <c r="T871" s="6">
        <f>2*首页!$B$8*(E871-C871)/(R871*(C871-D871))</f>
        <v>7.102244804905726E-2</v>
      </c>
      <c r="U871" t="str">
        <f>IF(首页!$B$13="自然对流","按自然对流公式", "按强制对流公式")</f>
        <v>按自然对流公式</v>
      </c>
      <c r="V871" s="6">
        <f t="shared" si="125"/>
        <v>4.9970305052803354</v>
      </c>
    </row>
    <row r="872" spans="1:22" x14ac:dyDescent="0.15">
      <c r="A872">
        <v>867</v>
      </c>
      <c r="B872" s="6">
        <f>首页!$B$4+2*A872/1000</f>
        <v>1.8540000000000001</v>
      </c>
      <c r="C872" s="6">
        <f>首页!$B$7+273.15</f>
        <v>388.15</v>
      </c>
      <c r="D872" s="6">
        <f>首页!$B$6+273.15</f>
        <v>293.14999999999998</v>
      </c>
      <c r="E872" s="6">
        <f>首页!$B$5+273.15</f>
        <v>1373.15</v>
      </c>
      <c r="F872" s="6">
        <f t="shared" si="117"/>
        <v>95</v>
      </c>
      <c r="G872" s="6">
        <f t="shared" si="118"/>
        <v>340.65</v>
      </c>
      <c r="H872" s="6">
        <f t="shared" si="119"/>
        <v>1.9926207055139041E-5</v>
      </c>
      <c r="I872" s="7">
        <f t="shared" si="120"/>
        <v>1158916576932337.8</v>
      </c>
      <c r="J872" s="6">
        <f t="shared" si="121"/>
        <v>1.0226038455893147</v>
      </c>
      <c r="K872" s="7">
        <f>J872*H872*首页!$B$12/P872</f>
        <v>0.69532757496605813</v>
      </c>
      <c r="L872" s="6">
        <f>首页!$B$9*0.0000000567*((C872^4-D872^4)/(C872-D872))</f>
        <v>7.7687338005019564</v>
      </c>
      <c r="M872" s="6">
        <f>IF(首页!$B$13="自然对流",IF(首页!$B$14="立式圆筒",首页!$B$10,PI()*B872/2),PI()*B872/2)</f>
        <v>55.2</v>
      </c>
      <c r="N872" s="7">
        <f>IF(首页!$B$13="强制对流",首页!$B$11*M872/H872,0)</f>
        <v>0</v>
      </c>
      <c r="O872" s="6">
        <f>IF(首页!$B$13="自然对流",IF(首页!$B$14="立式圆筒",(0.825+0.3063*I872^(1/6))^2+0.87*(M872/B872),(0.752+0.303*I872^(1/6))^2),0.3+SQRT((0.592*N872^0.5)^2+(0.0262*N872^0.8/(1-0.5/N872^0.1))^2))</f>
        <v>10045.110415556259</v>
      </c>
      <c r="P872" s="6">
        <f t="shared" si="122"/>
        <v>2.9510194925512497E-2</v>
      </c>
      <c r="Q872" s="6">
        <f t="shared" si="123"/>
        <v>5.3701660581768298</v>
      </c>
      <c r="R872" s="6">
        <f t="shared" si="124"/>
        <v>13.138899858678787</v>
      </c>
      <c r="S872" s="6">
        <f>B872*LN(B872/首页!$B$4)</f>
        <v>5.0755270921993212</v>
      </c>
      <c r="T872" s="6">
        <f>2*首页!$B$8*(E872-C872)/(R872*(C872-D872))</f>
        <v>7.1022528885510361E-2</v>
      </c>
      <c r="U872" t="str">
        <f>IF(首页!$B$13="自然对流","按自然对流公式", "按强制对流公式")</f>
        <v>按自然对流公式</v>
      </c>
      <c r="V872" s="6">
        <f t="shared" si="125"/>
        <v>5.0045045633138106</v>
      </c>
    </row>
    <row r="873" spans="1:22" x14ac:dyDescent="0.15">
      <c r="A873">
        <v>868</v>
      </c>
      <c r="B873" s="6">
        <f>首页!$B$4+2*A873/1000</f>
        <v>1.8559999999999999</v>
      </c>
      <c r="C873" s="6">
        <f>首页!$B$7+273.15</f>
        <v>388.15</v>
      </c>
      <c r="D873" s="6">
        <f>首页!$B$6+273.15</f>
        <v>293.14999999999998</v>
      </c>
      <c r="E873" s="6">
        <f>首页!$B$5+273.15</f>
        <v>1373.15</v>
      </c>
      <c r="F873" s="6">
        <f t="shared" si="117"/>
        <v>95</v>
      </c>
      <c r="G873" s="6">
        <f t="shared" si="118"/>
        <v>340.65</v>
      </c>
      <c r="H873" s="6">
        <f t="shared" si="119"/>
        <v>1.9926207055139041E-5</v>
      </c>
      <c r="I873" s="7">
        <f t="shared" si="120"/>
        <v>1158916576932337.8</v>
      </c>
      <c r="J873" s="6">
        <f t="shared" si="121"/>
        <v>1.0226038455893147</v>
      </c>
      <c r="K873" s="7">
        <f>J873*H873*首页!$B$12/P873</f>
        <v>0.69532757496605813</v>
      </c>
      <c r="L873" s="6">
        <f>首页!$B$9*0.0000000567*((C873^4-D873^4)/(C873-D873))</f>
        <v>7.7687338005019564</v>
      </c>
      <c r="M873" s="6">
        <f>IF(首页!$B$13="自然对流",IF(首页!$B$14="立式圆筒",首页!$B$10,PI()*B873/2),PI()*B873/2)</f>
        <v>55.2</v>
      </c>
      <c r="N873" s="7">
        <f>IF(首页!$B$13="强制对流",首页!$B$11*M873/H873,0)</f>
        <v>0</v>
      </c>
      <c r="O873" s="6">
        <f>IF(首页!$B$13="自然对流",IF(首页!$B$14="立式圆筒",(0.825+0.3063*I873^(1/6))^2+0.87*(M873/B873),(0.752+0.303*I873^(1/6))^2),0.3+SQRT((0.592*N873^0.5)^2+(0.0262*N873^0.8/(1-0.5/N873^0.1))^2))</f>
        <v>10045.0825029349</v>
      </c>
      <c r="P873" s="6">
        <f t="shared" si="122"/>
        <v>2.9510194925512497E-2</v>
      </c>
      <c r="Q873" s="6">
        <f t="shared" si="123"/>
        <v>5.3701511359504321</v>
      </c>
      <c r="R873" s="6">
        <f t="shared" si="124"/>
        <v>13.138884936452389</v>
      </c>
      <c r="S873" s="6">
        <f>B873*LN(B873/首页!$B$4)</f>
        <v>5.0830033885669685</v>
      </c>
      <c r="T873" s="6">
        <f>2*首页!$B$8*(E873-C873)/(R873*(C873-D873))</f>
        <v>7.1022609547930396E-2</v>
      </c>
      <c r="U873" t="str">
        <f>IF(首页!$B$13="自然对流","按自然对流公式", "按强制对流公式")</f>
        <v>按自然对流公式</v>
      </c>
      <c r="V873" s="6">
        <f t="shared" si="125"/>
        <v>5.011980779019038</v>
      </c>
    </row>
    <row r="874" spans="1:22" x14ac:dyDescent="0.15">
      <c r="A874">
        <v>869</v>
      </c>
      <c r="B874" s="6">
        <f>首页!$B$4+2*A874/1000</f>
        <v>1.8580000000000001</v>
      </c>
      <c r="C874" s="6">
        <f>首页!$B$7+273.15</f>
        <v>388.15</v>
      </c>
      <c r="D874" s="6">
        <f>首页!$B$6+273.15</f>
        <v>293.14999999999998</v>
      </c>
      <c r="E874" s="6">
        <f>首页!$B$5+273.15</f>
        <v>1373.15</v>
      </c>
      <c r="F874" s="6">
        <f t="shared" si="117"/>
        <v>95</v>
      </c>
      <c r="G874" s="6">
        <f t="shared" si="118"/>
        <v>340.65</v>
      </c>
      <c r="H874" s="6">
        <f t="shared" si="119"/>
        <v>1.9926207055139041E-5</v>
      </c>
      <c r="I874" s="7">
        <f t="shared" si="120"/>
        <v>1158916576932337.8</v>
      </c>
      <c r="J874" s="6">
        <f t="shared" si="121"/>
        <v>1.0226038455893147</v>
      </c>
      <c r="K874" s="7">
        <f>J874*H874*首页!$B$12/P874</f>
        <v>0.69532757496605813</v>
      </c>
      <c r="L874" s="6">
        <f>首页!$B$9*0.0000000567*((C874^4-D874^4)/(C874-D874))</f>
        <v>7.7687338005019564</v>
      </c>
      <c r="M874" s="6">
        <f>IF(首页!$B$13="自然对流",IF(首页!$B$14="立式圆筒",首页!$B$10,PI()*B874/2),PI()*B874/2)</f>
        <v>55.2</v>
      </c>
      <c r="N874" s="7">
        <f>IF(首页!$B$13="强制对流",首页!$B$11*M874/H874,0)</f>
        <v>0</v>
      </c>
      <c r="O874" s="6">
        <f>IF(首页!$B$13="自然对流",IF(首页!$B$14="立式圆筒",(0.825+0.3063*I874^(1/6))^2+0.87*(M874/B874),(0.752+0.303*I874^(1/6))^2),0.3+SQRT((0.592*N874^0.5)^2+(0.0262*N874^0.8/(1-0.5/N874^0.1))^2))</f>
        <v>10045.054650405298</v>
      </c>
      <c r="P874" s="6">
        <f t="shared" si="122"/>
        <v>2.9510194925512497E-2</v>
      </c>
      <c r="Q874" s="6">
        <f t="shared" si="123"/>
        <v>5.3701362458493866</v>
      </c>
      <c r="R874" s="6">
        <f t="shared" si="124"/>
        <v>13.138870046351343</v>
      </c>
      <c r="S874" s="6">
        <f>B874*LN(B874/首页!$B$4)</f>
        <v>5.090481840107449</v>
      </c>
      <c r="T874" s="6">
        <f>2*首页!$B$8*(E874-C874)/(R874*(C874-D874))</f>
        <v>7.1022690036878749E-2</v>
      </c>
      <c r="U874" t="str">
        <f>IF(首页!$B$13="自然对流","按自然对流公式", "按强制对流公式")</f>
        <v>按自然对流公式</v>
      </c>
      <c r="V874" s="6">
        <f t="shared" si="125"/>
        <v>5.0194591500705705</v>
      </c>
    </row>
    <row r="875" spans="1:22" x14ac:dyDescent="0.15">
      <c r="A875">
        <v>870</v>
      </c>
      <c r="B875" s="6">
        <f>首页!$B$4+2*A875/1000</f>
        <v>1.8599999999999999</v>
      </c>
      <c r="C875" s="6">
        <f>首页!$B$7+273.15</f>
        <v>388.15</v>
      </c>
      <c r="D875" s="6">
        <f>首页!$B$6+273.15</f>
        <v>293.14999999999998</v>
      </c>
      <c r="E875" s="6">
        <f>首页!$B$5+273.15</f>
        <v>1373.15</v>
      </c>
      <c r="F875" s="6">
        <f t="shared" si="117"/>
        <v>95</v>
      </c>
      <c r="G875" s="6">
        <f t="shared" si="118"/>
        <v>340.65</v>
      </c>
      <c r="H875" s="6">
        <f t="shared" si="119"/>
        <v>1.9926207055139041E-5</v>
      </c>
      <c r="I875" s="7">
        <f t="shared" si="120"/>
        <v>1158916576932337.8</v>
      </c>
      <c r="J875" s="6">
        <f t="shared" si="121"/>
        <v>1.0226038455893147</v>
      </c>
      <c r="K875" s="7">
        <f>J875*H875*首页!$B$12/P875</f>
        <v>0.69532757496605813</v>
      </c>
      <c r="L875" s="6">
        <f>首页!$B$9*0.0000000567*((C875^4-D875^4)/(C875-D875))</f>
        <v>7.7687338005019564</v>
      </c>
      <c r="M875" s="6">
        <f>IF(首页!$B$13="自然对流",IF(首页!$B$14="立式圆筒",首页!$B$10,PI()*B875/2),PI()*B875/2)</f>
        <v>55.2</v>
      </c>
      <c r="N875" s="7">
        <f>IF(首页!$B$13="强制对流",首页!$B$11*M875/H875,0)</f>
        <v>0</v>
      </c>
      <c r="O875" s="6">
        <f>IF(首页!$B$13="自然对流",IF(首页!$B$14="立式圆筒",(0.825+0.3063*I875^(1/6))^2+0.87*(M875/B875),(0.752+0.303*I875^(1/6))^2),0.3+SQRT((0.592*N875^0.5)^2+(0.0262*N875^0.8/(1-0.5/N875^0.1))^2))</f>
        <v>10045.02685777361</v>
      </c>
      <c r="P875" s="6">
        <f t="shared" si="122"/>
        <v>2.9510194925512497E-2</v>
      </c>
      <c r="Q875" s="6">
        <f t="shared" si="123"/>
        <v>5.3701213877700633</v>
      </c>
      <c r="R875" s="6">
        <f t="shared" si="124"/>
        <v>13.13885518827202</v>
      </c>
      <c r="S875" s="6">
        <f>B875*LN(B875/首页!$B$4)</f>
        <v>5.0979624445008733</v>
      </c>
      <c r="T875" s="6">
        <f>2*首页!$B$8*(E875-C875)/(R875*(C875-D875))</f>
        <v>7.1022770352914447E-2</v>
      </c>
      <c r="U875" t="str">
        <f>IF(首页!$B$13="自然对流","按自然对流公式", "按强制对流公式")</f>
        <v>按自然对流公式</v>
      </c>
      <c r="V875" s="6">
        <f t="shared" si="125"/>
        <v>5.0269396741479593</v>
      </c>
    </row>
    <row r="876" spans="1:22" x14ac:dyDescent="0.15">
      <c r="A876">
        <v>871</v>
      </c>
      <c r="B876" s="6">
        <f>首页!$B$4+2*A876/1000</f>
        <v>1.8620000000000001</v>
      </c>
      <c r="C876" s="6">
        <f>首页!$B$7+273.15</f>
        <v>388.15</v>
      </c>
      <c r="D876" s="6">
        <f>首页!$B$6+273.15</f>
        <v>293.14999999999998</v>
      </c>
      <c r="E876" s="6">
        <f>首页!$B$5+273.15</f>
        <v>1373.15</v>
      </c>
      <c r="F876" s="6">
        <f t="shared" si="117"/>
        <v>95</v>
      </c>
      <c r="G876" s="6">
        <f t="shared" si="118"/>
        <v>340.65</v>
      </c>
      <c r="H876" s="6">
        <f t="shared" si="119"/>
        <v>1.9926207055139041E-5</v>
      </c>
      <c r="I876" s="7">
        <f t="shared" si="120"/>
        <v>1158916576932337.8</v>
      </c>
      <c r="J876" s="6">
        <f t="shared" si="121"/>
        <v>1.0226038455893147</v>
      </c>
      <c r="K876" s="7">
        <f>J876*H876*首页!$B$12/P876</f>
        <v>0.69532757496605813</v>
      </c>
      <c r="L876" s="6">
        <f>首页!$B$9*0.0000000567*((C876^4-D876^4)/(C876-D876))</f>
        <v>7.7687338005019564</v>
      </c>
      <c r="M876" s="6">
        <f>IF(首页!$B$13="自然对流",IF(首页!$B$14="立式圆筒",首页!$B$10,PI()*B876/2),PI()*B876/2)</f>
        <v>55.2</v>
      </c>
      <c r="N876" s="7">
        <f>IF(首页!$B$13="强制对流",首页!$B$11*M876/H876,0)</f>
        <v>0</v>
      </c>
      <c r="O876" s="6">
        <f>IF(首页!$B$13="自然对流",IF(首页!$B$14="立式圆筒",(0.825+0.3063*I876^(1/6))^2+0.87*(M876/B876),(0.752+0.303*I876^(1/6))^2),0.3+SQRT((0.592*N876^0.5)^2+(0.0262*N876^0.8/(1-0.5/N876^0.1))^2))</f>
        <v>10044.999124846823</v>
      </c>
      <c r="P876" s="6">
        <f t="shared" si="122"/>
        <v>2.9510194925512497E-2</v>
      </c>
      <c r="Q876" s="6">
        <f t="shared" si="123"/>
        <v>5.3701065616092789</v>
      </c>
      <c r="R876" s="6">
        <f t="shared" si="124"/>
        <v>13.138840362111235</v>
      </c>
      <c r="S876" s="6">
        <f>B876*LN(B876/首页!$B$4)</f>
        <v>5.1054451994323475</v>
      </c>
      <c r="T876" s="6">
        <f>2*首页!$B$8*(E876-C876)/(R876*(C876-D876))</f>
        <v>7.102285049659407E-2</v>
      </c>
      <c r="U876" t="str">
        <f>IF(首页!$B$13="自然对流","按自然对流公式", "按强制对流公式")</f>
        <v>按自然对流公式</v>
      </c>
      <c r="V876" s="6">
        <f t="shared" si="125"/>
        <v>5.0344223489357534</v>
      </c>
    </row>
    <row r="877" spans="1:22" x14ac:dyDescent="0.15">
      <c r="A877">
        <v>872</v>
      </c>
      <c r="B877" s="6">
        <f>首页!$B$4+2*A877/1000</f>
        <v>1.8639999999999999</v>
      </c>
      <c r="C877" s="6">
        <f>首页!$B$7+273.15</f>
        <v>388.15</v>
      </c>
      <c r="D877" s="6">
        <f>首页!$B$6+273.15</f>
        <v>293.14999999999998</v>
      </c>
      <c r="E877" s="6">
        <f>首页!$B$5+273.15</f>
        <v>1373.15</v>
      </c>
      <c r="F877" s="6">
        <f t="shared" si="117"/>
        <v>95</v>
      </c>
      <c r="G877" s="6">
        <f t="shared" si="118"/>
        <v>340.65</v>
      </c>
      <c r="H877" s="6">
        <f t="shared" si="119"/>
        <v>1.9926207055139041E-5</v>
      </c>
      <c r="I877" s="7">
        <f t="shared" si="120"/>
        <v>1158916576932337.8</v>
      </c>
      <c r="J877" s="6">
        <f t="shared" si="121"/>
        <v>1.0226038455893147</v>
      </c>
      <c r="K877" s="7">
        <f>J877*H877*首页!$B$12/P877</f>
        <v>0.69532757496605813</v>
      </c>
      <c r="L877" s="6">
        <f>首页!$B$9*0.0000000567*((C877^4-D877^4)/(C877-D877))</f>
        <v>7.7687338005019564</v>
      </c>
      <c r="M877" s="6">
        <f>IF(首页!$B$13="自然对流",IF(首页!$B$14="立式圆筒",首页!$B$10,PI()*B877/2),PI()*B877/2)</f>
        <v>55.2</v>
      </c>
      <c r="N877" s="7">
        <f>IF(首页!$B$13="强制对流",首页!$B$11*M877/H877,0)</f>
        <v>0</v>
      </c>
      <c r="O877" s="6">
        <f>IF(首页!$B$13="自然对流",IF(首页!$B$14="立式圆筒",(0.825+0.3063*I877^(1/6))^2+0.87*(M877/B877),(0.752+0.303*I877^(1/6))^2),0.3+SQRT((0.592*N877^0.5)^2+(0.0262*N877^0.8/(1-0.5/N877^0.1))^2))</f>
        <v>10044.971451432753</v>
      </c>
      <c r="P877" s="6">
        <f t="shared" si="122"/>
        <v>2.9510194925512497E-2</v>
      </c>
      <c r="Q877" s="6">
        <f t="shared" si="123"/>
        <v>5.3700917672642881</v>
      </c>
      <c r="R877" s="6">
        <f t="shared" si="124"/>
        <v>13.138825567766244</v>
      </c>
      <c r="S877" s="6">
        <f>B877*LN(B877/首页!$B$4)</f>
        <v>5.112930102591946</v>
      </c>
      <c r="T877" s="6">
        <f>2*首页!$B$8*(E877-C877)/(R877*(C877-D877))</f>
        <v>7.1022930468471857E-2</v>
      </c>
      <c r="U877" t="str">
        <f>IF(首页!$B$13="自然对流","按自然对流公式", "按强制对流公式")</f>
        <v>按自然对流公式</v>
      </c>
      <c r="V877" s="6">
        <f t="shared" si="125"/>
        <v>5.0419071721234738</v>
      </c>
    </row>
    <row r="878" spans="1:22" x14ac:dyDescent="0.15">
      <c r="A878">
        <v>873</v>
      </c>
      <c r="B878" s="6">
        <f>首页!$B$4+2*A878/1000</f>
        <v>1.8660000000000001</v>
      </c>
      <c r="C878" s="6">
        <f>首页!$B$7+273.15</f>
        <v>388.15</v>
      </c>
      <c r="D878" s="6">
        <f>首页!$B$6+273.15</f>
        <v>293.14999999999998</v>
      </c>
      <c r="E878" s="6">
        <f>首页!$B$5+273.15</f>
        <v>1373.15</v>
      </c>
      <c r="F878" s="6">
        <f t="shared" si="117"/>
        <v>95</v>
      </c>
      <c r="G878" s="6">
        <f t="shared" si="118"/>
        <v>340.65</v>
      </c>
      <c r="H878" s="6">
        <f t="shared" si="119"/>
        <v>1.9926207055139041E-5</v>
      </c>
      <c r="I878" s="7">
        <f t="shared" si="120"/>
        <v>1158916576932337.8</v>
      </c>
      <c r="J878" s="6">
        <f t="shared" si="121"/>
        <v>1.0226038455893147</v>
      </c>
      <c r="K878" s="7">
        <f>J878*H878*首页!$B$12/P878</f>
        <v>0.69532757496605813</v>
      </c>
      <c r="L878" s="6">
        <f>首页!$B$9*0.0000000567*((C878^4-D878^4)/(C878-D878))</f>
        <v>7.7687338005019564</v>
      </c>
      <c r="M878" s="6">
        <f>IF(首页!$B$13="自然对流",IF(首页!$B$14="立式圆筒",首页!$B$10,PI()*B878/2),PI()*B878/2)</f>
        <v>55.2</v>
      </c>
      <c r="N878" s="7">
        <f>IF(首页!$B$13="强制对流",首页!$B$11*M878/H878,0)</f>
        <v>0</v>
      </c>
      <c r="O878" s="6">
        <f>IF(首页!$B$13="自然对流",IF(首页!$B$14="立式圆筒",(0.825+0.3063*I878^(1/6))^2+0.87*(M878/B878),(0.752+0.303*I878^(1/6))^2),0.3+SQRT((0.592*N878^0.5)^2+(0.0262*N878^0.8/(1-0.5/N878^0.1))^2))</f>
        <v>10044.943837340044</v>
      </c>
      <c r="P878" s="6">
        <f t="shared" si="122"/>
        <v>2.9510194925512497E-2</v>
      </c>
      <c r="Q878" s="6">
        <f t="shared" si="123"/>
        <v>5.370077004632793</v>
      </c>
      <c r="R878" s="6">
        <f t="shared" si="124"/>
        <v>13.138810805134749</v>
      </c>
      <c r="S878" s="6">
        <f>B878*LN(B878/首页!$B$4)</f>
        <v>5.1204171516747037</v>
      </c>
      <c r="T878" s="6">
        <f>2*首页!$B$8*(E878-C878)/(R878*(C878-D878))</f>
        <v>7.1023010269099601E-2</v>
      </c>
      <c r="U878" t="str">
        <f>IF(首页!$B$13="自然对流","按自然对流公式", "按强制对流公式")</f>
        <v>按自然对流公式</v>
      </c>
      <c r="V878" s="6">
        <f t="shared" si="125"/>
        <v>5.0493941414056041</v>
      </c>
    </row>
    <row r="879" spans="1:22" x14ac:dyDescent="0.15">
      <c r="A879">
        <v>874</v>
      </c>
      <c r="B879" s="6">
        <f>首页!$B$4+2*A879/1000</f>
        <v>1.8679999999999999</v>
      </c>
      <c r="C879" s="6">
        <f>首页!$B$7+273.15</f>
        <v>388.15</v>
      </c>
      <c r="D879" s="6">
        <f>首页!$B$6+273.15</f>
        <v>293.14999999999998</v>
      </c>
      <c r="E879" s="6">
        <f>首页!$B$5+273.15</f>
        <v>1373.15</v>
      </c>
      <c r="F879" s="6">
        <f t="shared" si="117"/>
        <v>95</v>
      </c>
      <c r="G879" s="6">
        <f t="shared" si="118"/>
        <v>340.65</v>
      </c>
      <c r="H879" s="6">
        <f t="shared" si="119"/>
        <v>1.9926207055139041E-5</v>
      </c>
      <c r="I879" s="7">
        <f t="shared" si="120"/>
        <v>1158916576932337.8</v>
      </c>
      <c r="J879" s="6">
        <f t="shared" si="121"/>
        <v>1.0226038455893147</v>
      </c>
      <c r="K879" s="7">
        <f>J879*H879*首页!$B$12/P879</f>
        <v>0.69532757496605813</v>
      </c>
      <c r="L879" s="6">
        <f>首页!$B$9*0.0000000567*((C879^4-D879^4)/(C879-D879))</f>
        <v>7.7687338005019564</v>
      </c>
      <c r="M879" s="6">
        <f>IF(首页!$B$13="自然对流",IF(首页!$B$14="立式圆筒",首页!$B$10,PI()*B879/2),PI()*B879/2)</f>
        <v>55.2</v>
      </c>
      <c r="N879" s="7">
        <f>IF(首页!$B$13="强制对流",首页!$B$11*M879/H879,0)</f>
        <v>0</v>
      </c>
      <c r="O879" s="6">
        <f>IF(首页!$B$13="自然对流",IF(首页!$B$14="立式圆筒",(0.825+0.3063*I879^(1/6))^2+0.87*(M879/B879),(0.752+0.303*I879^(1/6))^2),0.3+SQRT((0.592*N879^0.5)^2+(0.0262*N879^0.8/(1-0.5/N879^0.1))^2))</f>
        <v>10044.916282378155</v>
      </c>
      <c r="P879" s="6">
        <f t="shared" si="122"/>
        <v>2.9510194925512497E-2</v>
      </c>
      <c r="Q879" s="6">
        <f t="shared" si="123"/>
        <v>5.3700622736129286</v>
      </c>
      <c r="R879" s="6">
        <f t="shared" si="124"/>
        <v>13.138796074114886</v>
      </c>
      <c r="S879" s="6">
        <f>B879*LN(B879/首页!$B$4)</f>
        <v>5.1279063443805937</v>
      </c>
      <c r="T879" s="6">
        <f>2*首页!$B$8*(E879-C879)/(R879*(C879-D879))</f>
        <v>7.1023089899026823E-2</v>
      </c>
      <c r="U879" t="str">
        <f>IF(首页!$B$13="自然对流","按自然对流公式", "按强制对流公式")</f>
        <v>按自然对流公式</v>
      </c>
      <c r="V879" s="6">
        <f t="shared" si="125"/>
        <v>5.0568832544815665</v>
      </c>
    </row>
    <row r="880" spans="1:22" x14ac:dyDescent="0.15">
      <c r="A880">
        <v>875</v>
      </c>
      <c r="B880" s="6">
        <f>首页!$B$4+2*A880/1000</f>
        <v>1.87</v>
      </c>
      <c r="C880" s="6">
        <f>首页!$B$7+273.15</f>
        <v>388.15</v>
      </c>
      <c r="D880" s="6">
        <f>首页!$B$6+273.15</f>
        <v>293.14999999999998</v>
      </c>
      <c r="E880" s="6">
        <f>首页!$B$5+273.15</f>
        <v>1373.15</v>
      </c>
      <c r="F880" s="6">
        <f t="shared" si="117"/>
        <v>95</v>
      </c>
      <c r="G880" s="6">
        <f t="shared" si="118"/>
        <v>340.65</v>
      </c>
      <c r="H880" s="6">
        <f t="shared" si="119"/>
        <v>1.9926207055139041E-5</v>
      </c>
      <c r="I880" s="7">
        <f t="shared" si="120"/>
        <v>1158916576932337.8</v>
      </c>
      <c r="J880" s="6">
        <f t="shared" si="121"/>
        <v>1.0226038455893147</v>
      </c>
      <c r="K880" s="7">
        <f>J880*H880*首页!$B$12/P880</f>
        <v>0.69532757496605813</v>
      </c>
      <c r="L880" s="6">
        <f>首页!$B$9*0.0000000567*((C880^4-D880^4)/(C880-D880))</f>
        <v>7.7687338005019564</v>
      </c>
      <c r="M880" s="6">
        <f>IF(首页!$B$13="自然对流",IF(首页!$B$14="立式圆筒",首页!$B$10,PI()*B880/2),PI()*B880/2)</f>
        <v>55.2</v>
      </c>
      <c r="N880" s="7">
        <f>IF(首页!$B$13="强制对流",首页!$B$11*M880/H880,0)</f>
        <v>0</v>
      </c>
      <c r="O880" s="6">
        <f>IF(首页!$B$13="自然对流",IF(首页!$B$14="立式圆筒",(0.825+0.3063*I880^(1/6))^2+0.87*(M880/B880),(0.752+0.303*I880^(1/6))^2),0.3+SQRT((0.592*N880^0.5)^2+(0.0262*N880^0.8/(1-0.5/N880^0.1))^2))</f>
        <v>10044.88878635736</v>
      </c>
      <c r="P880" s="6">
        <f t="shared" si="122"/>
        <v>2.9510194925512497E-2</v>
      </c>
      <c r="Q880" s="6">
        <f t="shared" si="123"/>
        <v>5.3700475741032667</v>
      </c>
      <c r="R880" s="6">
        <f t="shared" si="124"/>
        <v>13.138781374605223</v>
      </c>
      <c r="S880" s="6">
        <f>B880*LN(B880/首页!$B$4)</f>
        <v>5.1353976784145168</v>
      </c>
      <c r="T880" s="6">
        <f>2*首页!$B$8*(E880-C880)/(R880*(C880-D880))</f>
        <v>7.1023169358800639E-2</v>
      </c>
      <c r="U880" t="str">
        <f>IF(首页!$B$13="自然对流","按自然对流公式", "按强制对流公式")</f>
        <v>按自然对流公式</v>
      </c>
      <c r="V880" s="6">
        <f t="shared" si="125"/>
        <v>5.0643745090557157</v>
      </c>
    </row>
    <row r="881" spans="1:22" x14ac:dyDescent="0.15">
      <c r="A881">
        <v>876</v>
      </c>
      <c r="B881" s="6">
        <f>首页!$B$4+2*A881/1000</f>
        <v>1.8719999999999999</v>
      </c>
      <c r="C881" s="6">
        <f>首页!$B$7+273.15</f>
        <v>388.15</v>
      </c>
      <c r="D881" s="6">
        <f>首页!$B$6+273.15</f>
        <v>293.14999999999998</v>
      </c>
      <c r="E881" s="6">
        <f>首页!$B$5+273.15</f>
        <v>1373.15</v>
      </c>
      <c r="F881" s="6">
        <f t="shared" si="117"/>
        <v>95</v>
      </c>
      <c r="G881" s="6">
        <f t="shared" si="118"/>
        <v>340.65</v>
      </c>
      <c r="H881" s="6">
        <f t="shared" si="119"/>
        <v>1.9926207055139041E-5</v>
      </c>
      <c r="I881" s="7">
        <f t="shared" si="120"/>
        <v>1158916576932337.8</v>
      </c>
      <c r="J881" s="6">
        <f t="shared" si="121"/>
        <v>1.0226038455893147</v>
      </c>
      <c r="K881" s="7">
        <f>J881*H881*首页!$B$12/P881</f>
        <v>0.69532757496605813</v>
      </c>
      <c r="L881" s="6">
        <f>首页!$B$9*0.0000000567*((C881^4-D881^4)/(C881-D881))</f>
        <v>7.7687338005019564</v>
      </c>
      <c r="M881" s="6">
        <f>IF(首页!$B$13="自然对流",IF(首页!$B$14="立式圆筒",首页!$B$10,PI()*B881/2),PI()*B881/2)</f>
        <v>55.2</v>
      </c>
      <c r="N881" s="7">
        <f>IF(首页!$B$13="强制对流",首页!$B$11*M881/H881,0)</f>
        <v>0</v>
      </c>
      <c r="O881" s="6">
        <f>IF(首页!$B$13="自然对流",IF(首页!$B$14="立式圆筒",(0.825+0.3063*I881^(1/6))^2+0.87*(M881/B881),(0.752+0.303*I881^(1/6))^2),0.3+SQRT((0.592*N881^0.5)^2+(0.0262*N881^0.8/(1-0.5/N881^0.1))^2))</f>
        <v>10044.861349088746</v>
      </c>
      <c r="P881" s="6">
        <f t="shared" si="122"/>
        <v>2.9510194925512497E-2</v>
      </c>
      <c r="Q881" s="6">
        <f t="shared" si="123"/>
        <v>5.3700329060028134</v>
      </c>
      <c r="R881" s="6">
        <f t="shared" si="124"/>
        <v>13.13876670650477</v>
      </c>
      <c r="S881" s="6">
        <f>B881*LN(B881/首页!$B$4)</f>
        <v>5.1428911514862792</v>
      </c>
      <c r="T881" s="6">
        <f>2*首页!$B$8*(E881-C881)/(R881*(C881-D881))</f>
        <v>7.1023248648965837E-2</v>
      </c>
      <c r="U881" t="str">
        <f>IF(首页!$B$13="自然对流","按自然对流公式", "按强制对流公式")</f>
        <v>按自然对流公式</v>
      </c>
      <c r="V881" s="6">
        <f t="shared" si="125"/>
        <v>5.0718679028373135</v>
      </c>
    </row>
    <row r="882" spans="1:22" x14ac:dyDescent="0.15">
      <c r="A882">
        <v>877</v>
      </c>
      <c r="B882" s="6">
        <f>首页!$B$4+2*A882/1000</f>
        <v>1.8740000000000001</v>
      </c>
      <c r="C882" s="6">
        <f>首页!$B$7+273.15</f>
        <v>388.15</v>
      </c>
      <c r="D882" s="6">
        <f>首页!$B$6+273.15</f>
        <v>293.14999999999998</v>
      </c>
      <c r="E882" s="6">
        <f>首页!$B$5+273.15</f>
        <v>1373.15</v>
      </c>
      <c r="F882" s="6">
        <f t="shared" si="117"/>
        <v>95</v>
      </c>
      <c r="G882" s="6">
        <f t="shared" si="118"/>
        <v>340.65</v>
      </c>
      <c r="H882" s="6">
        <f t="shared" si="119"/>
        <v>1.9926207055139041E-5</v>
      </c>
      <c r="I882" s="7">
        <f t="shared" si="120"/>
        <v>1158916576932337.8</v>
      </c>
      <c r="J882" s="6">
        <f t="shared" si="121"/>
        <v>1.0226038455893147</v>
      </c>
      <c r="K882" s="7">
        <f>J882*H882*首页!$B$12/P882</f>
        <v>0.69532757496605813</v>
      </c>
      <c r="L882" s="6">
        <f>首页!$B$9*0.0000000567*((C882^4-D882^4)/(C882-D882))</f>
        <v>7.7687338005019564</v>
      </c>
      <c r="M882" s="6">
        <f>IF(首页!$B$13="自然对流",IF(首页!$B$14="立式圆筒",首页!$B$10,PI()*B882/2),PI()*B882/2)</f>
        <v>55.2</v>
      </c>
      <c r="N882" s="7">
        <f>IF(首页!$B$13="强制对流",首页!$B$11*M882/H882,0)</f>
        <v>0</v>
      </c>
      <c r="O882" s="6">
        <f>IF(首页!$B$13="自然对流",IF(首页!$B$14="立式圆筒",(0.825+0.3063*I882^(1/6))^2+0.87*(M882/B882),(0.752+0.303*I882^(1/6))^2),0.3+SQRT((0.592*N882^0.5)^2+(0.0262*N882^0.8/(1-0.5/N882^0.1))^2))</f>
        <v>10044.833970384207</v>
      </c>
      <c r="P882" s="6">
        <f t="shared" si="122"/>
        <v>2.9510194925512497E-2</v>
      </c>
      <c r="Q882" s="6">
        <f t="shared" si="123"/>
        <v>5.3700182692110063</v>
      </c>
      <c r="R882" s="6">
        <f t="shared" si="124"/>
        <v>13.138752069712963</v>
      </c>
      <c r="S882" s="6">
        <f>B882*LN(B882/首页!$B$4)</f>
        <v>5.1503867613105871</v>
      </c>
      <c r="T882" s="6">
        <f>2*首页!$B$8*(E882-C882)/(R882*(C882-D882))</f>
        <v>7.1023327770064884E-2</v>
      </c>
      <c r="U882" t="str">
        <f>IF(首页!$B$13="自然对流","按自然对流公式", "按强制对流公式")</f>
        <v>按自然对流公式</v>
      </c>
      <c r="V882" s="6">
        <f t="shared" si="125"/>
        <v>5.0793634335405224</v>
      </c>
    </row>
    <row r="883" spans="1:22" x14ac:dyDescent="0.15">
      <c r="A883">
        <v>878</v>
      </c>
      <c r="B883" s="6">
        <f>首页!$B$4+2*A883/1000</f>
        <v>1.8759999999999999</v>
      </c>
      <c r="C883" s="6">
        <f>首页!$B$7+273.15</f>
        <v>388.15</v>
      </c>
      <c r="D883" s="6">
        <f>首页!$B$6+273.15</f>
        <v>293.14999999999998</v>
      </c>
      <c r="E883" s="6">
        <f>首页!$B$5+273.15</f>
        <v>1373.15</v>
      </c>
      <c r="F883" s="6">
        <f t="shared" si="117"/>
        <v>95</v>
      </c>
      <c r="G883" s="6">
        <f t="shared" si="118"/>
        <v>340.65</v>
      </c>
      <c r="H883" s="6">
        <f t="shared" si="119"/>
        <v>1.9926207055139041E-5</v>
      </c>
      <c r="I883" s="7">
        <f t="shared" si="120"/>
        <v>1158916576932337.8</v>
      </c>
      <c r="J883" s="6">
        <f t="shared" si="121"/>
        <v>1.0226038455893147</v>
      </c>
      <c r="K883" s="7">
        <f>J883*H883*首页!$B$12/P883</f>
        <v>0.69532757496605813</v>
      </c>
      <c r="L883" s="6">
        <f>首页!$B$9*0.0000000567*((C883^4-D883^4)/(C883-D883))</f>
        <v>7.7687338005019564</v>
      </c>
      <c r="M883" s="6">
        <f>IF(首页!$B$13="自然对流",IF(首页!$B$14="立式圆筒",首页!$B$10,PI()*B883/2),PI()*B883/2)</f>
        <v>55.2</v>
      </c>
      <c r="N883" s="7">
        <f>IF(首页!$B$13="强制对流",首页!$B$11*M883/H883,0)</f>
        <v>0</v>
      </c>
      <c r="O883" s="6">
        <f>IF(首页!$B$13="自然对流",IF(首页!$B$14="立式圆筒",(0.825+0.3063*I883^(1/6))^2+0.87*(M883/B883),(0.752+0.303*I883^(1/6))^2),0.3+SQRT((0.592*N883^0.5)^2+(0.0262*N883^0.8/(1-0.5/N883^0.1))^2))</f>
        <v>10044.806650056435</v>
      </c>
      <c r="P883" s="6">
        <f t="shared" si="122"/>
        <v>2.9510194925512497E-2</v>
      </c>
      <c r="Q883" s="6">
        <f t="shared" si="123"/>
        <v>5.3700036636277098</v>
      </c>
      <c r="R883" s="6">
        <f t="shared" si="124"/>
        <v>13.138737464129665</v>
      </c>
      <c r="S883" s="6">
        <f>B883*LN(B883/首页!$B$4)</f>
        <v>5.1578845056070168</v>
      </c>
      <c r="T883" s="6">
        <f>2*首页!$B$8*(E883-C883)/(R883*(C883-D883))</f>
        <v>7.1023406722637961E-2</v>
      </c>
      <c r="U883" t="str">
        <f>IF(首页!$B$13="自然对流","按自然对流公式", "按强制对流公式")</f>
        <v>按自然对流公式</v>
      </c>
      <c r="V883" s="6">
        <f t="shared" si="125"/>
        <v>5.0868610988843788</v>
      </c>
    </row>
    <row r="884" spans="1:22" x14ac:dyDescent="0.15">
      <c r="A884">
        <v>879</v>
      </c>
      <c r="B884" s="6">
        <f>首页!$B$4+2*A884/1000</f>
        <v>1.8780000000000001</v>
      </c>
      <c r="C884" s="6">
        <f>首页!$B$7+273.15</f>
        <v>388.15</v>
      </c>
      <c r="D884" s="6">
        <f>首页!$B$6+273.15</f>
        <v>293.14999999999998</v>
      </c>
      <c r="E884" s="6">
        <f>首页!$B$5+273.15</f>
        <v>1373.15</v>
      </c>
      <c r="F884" s="6">
        <f t="shared" si="117"/>
        <v>95</v>
      </c>
      <c r="G884" s="6">
        <f t="shared" si="118"/>
        <v>340.65</v>
      </c>
      <c r="H884" s="6">
        <f t="shared" si="119"/>
        <v>1.9926207055139041E-5</v>
      </c>
      <c r="I884" s="7">
        <f t="shared" si="120"/>
        <v>1158916576932337.8</v>
      </c>
      <c r="J884" s="6">
        <f t="shared" si="121"/>
        <v>1.0226038455893147</v>
      </c>
      <c r="K884" s="7">
        <f>J884*H884*首页!$B$12/P884</f>
        <v>0.69532757496605813</v>
      </c>
      <c r="L884" s="6">
        <f>首页!$B$9*0.0000000567*((C884^4-D884^4)/(C884-D884))</f>
        <v>7.7687338005019564</v>
      </c>
      <c r="M884" s="6">
        <f>IF(首页!$B$13="自然对流",IF(首页!$B$14="立式圆筒",首页!$B$10,PI()*B884/2),PI()*B884/2)</f>
        <v>55.2</v>
      </c>
      <c r="N884" s="7">
        <f>IF(首页!$B$13="强制对流",首页!$B$11*M884/H884,0)</f>
        <v>0</v>
      </c>
      <c r="O884" s="6">
        <f>IF(首页!$B$13="自然对流",IF(首页!$B$14="立式圆筒",(0.825+0.3063*I884^(1/6))^2+0.87*(M884/B884),(0.752+0.303*I884^(1/6))^2),0.3+SQRT((0.592*N884^0.5)^2+(0.0262*N884^0.8/(1-0.5/N884^0.1))^2))</f>
        <v>10044.779387918925</v>
      </c>
      <c r="P884" s="6">
        <f t="shared" si="122"/>
        <v>2.9510194925512497E-2</v>
      </c>
      <c r="Q884" s="6">
        <f t="shared" si="123"/>
        <v>5.3699890891532167</v>
      </c>
      <c r="R884" s="6">
        <f t="shared" si="124"/>
        <v>13.138722889655174</v>
      </c>
      <c r="S884" s="6">
        <f>B884*LN(B884/首页!$B$4)</f>
        <v>5.1653843821000134</v>
      </c>
      <c r="T884" s="6">
        <f>2*首页!$B$8*(E884-C884)/(R884*(C884-D884))</f>
        <v>7.1023485507222914E-2</v>
      </c>
      <c r="U884" t="str">
        <f>IF(首页!$B$13="自然对流","按自然对流公式", "按强制对流公式")</f>
        <v>按自然对流公式</v>
      </c>
      <c r="V884" s="6">
        <f t="shared" si="125"/>
        <v>5.0943608965927902</v>
      </c>
    </row>
    <row r="885" spans="1:22" x14ac:dyDescent="0.15">
      <c r="A885">
        <v>880</v>
      </c>
      <c r="B885" s="6">
        <f>首页!$B$4+2*A885/1000</f>
        <v>1.88</v>
      </c>
      <c r="C885" s="6">
        <f>首页!$B$7+273.15</f>
        <v>388.15</v>
      </c>
      <c r="D885" s="6">
        <f>首页!$B$6+273.15</f>
        <v>293.14999999999998</v>
      </c>
      <c r="E885" s="6">
        <f>首页!$B$5+273.15</f>
        <v>1373.15</v>
      </c>
      <c r="F885" s="6">
        <f t="shared" si="117"/>
        <v>95</v>
      </c>
      <c r="G885" s="6">
        <f t="shared" si="118"/>
        <v>340.65</v>
      </c>
      <c r="H885" s="6">
        <f t="shared" si="119"/>
        <v>1.9926207055139041E-5</v>
      </c>
      <c r="I885" s="7">
        <f t="shared" si="120"/>
        <v>1158916576932337.8</v>
      </c>
      <c r="J885" s="6">
        <f t="shared" si="121"/>
        <v>1.0226038455893147</v>
      </c>
      <c r="K885" s="7">
        <f>J885*H885*首页!$B$12/P885</f>
        <v>0.69532757496605813</v>
      </c>
      <c r="L885" s="6">
        <f>首页!$B$9*0.0000000567*((C885^4-D885^4)/(C885-D885))</f>
        <v>7.7687338005019564</v>
      </c>
      <c r="M885" s="6">
        <f>IF(首页!$B$13="自然对流",IF(首页!$B$14="立式圆筒",首页!$B$10,PI()*B885/2),PI()*B885/2)</f>
        <v>55.2</v>
      </c>
      <c r="N885" s="7">
        <f>IF(首页!$B$13="强制对流",首页!$B$11*M885/H885,0)</f>
        <v>0</v>
      </c>
      <c r="O885" s="6">
        <f>IF(首页!$B$13="自然对流",IF(首页!$B$14="立式圆筒",(0.825+0.3063*I885^(1/6))^2+0.87*(M885/B885),(0.752+0.303*I885^(1/6))^2),0.3+SQRT((0.592*N885^0.5)^2+(0.0262*N885^0.8/(1-0.5/N885^0.1))^2))</f>
        <v>10044.752183785964</v>
      </c>
      <c r="P885" s="6">
        <f t="shared" si="122"/>
        <v>2.9510194925512497E-2</v>
      </c>
      <c r="Q885" s="6">
        <f t="shared" si="123"/>
        <v>5.3699745456882448</v>
      </c>
      <c r="R885" s="6">
        <f t="shared" si="124"/>
        <v>13.138708346190201</v>
      </c>
      <c r="S885" s="6">
        <f>B885*LN(B885/首页!$B$4)</f>
        <v>5.1728863885188634</v>
      </c>
      <c r="T885" s="6">
        <f>2*首页!$B$8*(E885-C885)/(R885*(C885-D885))</f>
        <v>7.1023564124355315E-2</v>
      </c>
      <c r="U885" t="str">
        <f>IF(首页!$B$13="自然对流","按自然对流公式", "按强制对流公式")</f>
        <v>按自然对流公式</v>
      </c>
      <c r="V885" s="6">
        <f t="shared" si="125"/>
        <v>5.1018628243945079</v>
      </c>
    </row>
    <row r="886" spans="1:22" x14ac:dyDescent="0.15">
      <c r="A886">
        <v>881</v>
      </c>
      <c r="B886" s="6">
        <f>首页!$B$4+2*A886/1000</f>
        <v>1.8820000000000001</v>
      </c>
      <c r="C886" s="6">
        <f>首页!$B$7+273.15</f>
        <v>388.15</v>
      </c>
      <c r="D886" s="6">
        <f>首页!$B$6+273.15</f>
        <v>293.14999999999998</v>
      </c>
      <c r="E886" s="6">
        <f>首页!$B$5+273.15</f>
        <v>1373.15</v>
      </c>
      <c r="F886" s="6">
        <f t="shared" si="117"/>
        <v>95</v>
      </c>
      <c r="G886" s="6">
        <f t="shared" si="118"/>
        <v>340.65</v>
      </c>
      <c r="H886" s="6">
        <f t="shared" si="119"/>
        <v>1.9926207055139041E-5</v>
      </c>
      <c r="I886" s="7">
        <f t="shared" si="120"/>
        <v>1158916576932337.8</v>
      </c>
      <c r="J886" s="6">
        <f t="shared" si="121"/>
        <v>1.0226038455893147</v>
      </c>
      <c r="K886" s="7">
        <f>J886*H886*首页!$B$12/P886</f>
        <v>0.69532757496605813</v>
      </c>
      <c r="L886" s="6">
        <f>首页!$B$9*0.0000000567*((C886^4-D886^4)/(C886-D886))</f>
        <v>7.7687338005019564</v>
      </c>
      <c r="M886" s="6">
        <f>IF(首页!$B$13="自然对流",IF(首页!$B$14="立式圆筒",首页!$B$10,PI()*B886/2),PI()*B886/2)</f>
        <v>55.2</v>
      </c>
      <c r="N886" s="7">
        <f>IF(首页!$B$13="强制对流",首页!$B$11*M886/H886,0)</f>
        <v>0</v>
      </c>
      <c r="O886" s="6">
        <f>IF(首页!$B$13="自然对流",IF(首页!$B$14="立式圆筒",(0.825+0.3063*I886^(1/6))^2+0.87*(M886/B886),(0.752+0.303*I886^(1/6))^2),0.3+SQRT((0.592*N886^0.5)^2+(0.0262*N886^0.8/(1-0.5/N886^0.1))^2))</f>
        <v>10044.725037472626</v>
      </c>
      <c r="P886" s="6">
        <f t="shared" si="122"/>
        <v>2.9510194925512497E-2</v>
      </c>
      <c r="Q886" s="6">
        <f t="shared" si="123"/>
        <v>5.3699600331339319</v>
      </c>
      <c r="R886" s="6">
        <f t="shared" si="124"/>
        <v>13.138693833635887</v>
      </c>
      <c r="S886" s="6">
        <f>B886*LN(B886/首页!$B$4)</f>
        <v>5.1803905225976923</v>
      </c>
      <c r="T886" s="6">
        <f>2*首页!$B$8*(E886-C886)/(R886*(C886-D886))</f>
        <v>7.1023642574568474E-2</v>
      </c>
      <c r="U886" t="str">
        <f>IF(首页!$B$13="自然对流","按自然对流公式", "按强制对流公式")</f>
        <v>按自然对流公式</v>
      </c>
      <c r="V886" s="6">
        <f t="shared" si="125"/>
        <v>5.1093668800231242</v>
      </c>
    </row>
    <row r="887" spans="1:22" x14ac:dyDescent="0.15">
      <c r="A887">
        <v>882</v>
      </c>
      <c r="B887" s="6">
        <f>首页!$B$4+2*A887/1000</f>
        <v>1.8839999999999999</v>
      </c>
      <c r="C887" s="6">
        <f>首页!$B$7+273.15</f>
        <v>388.15</v>
      </c>
      <c r="D887" s="6">
        <f>首页!$B$6+273.15</f>
        <v>293.14999999999998</v>
      </c>
      <c r="E887" s="6">
        <f>首页!$B$5+273.15</f>
        <v>1373.15</v>
      </c>
      <c r="F887" s="6">
        <f t="shared" si="117"/>
        <v>95</v>
      </c>
      <c r="G887" s="6">
        <f t="shared" si="118"/>
        <v>340.65</v>
      </c>
      <c r="H887" s="6">
        <f t="shared" si="119"/>
        <v>1.9926207055139041E-5</v>
      </c>
      <c r="I887" s="7">
        <f t="shared" si="120"/>
        <v>1158916576932337.8</v>
      </c>
      <c r="J887" s="6">
        <f t="shared" si="121"/>
        <v>1.0226038455893147</v>
      </c>
      <c r="K887" s="7">
        <f>J887*H887*首页!$B$12/P887</f>
        <v>0.69532757496605813</v>
      </c>
      <c r="L887" s="6">
        <f>首页!$B$9*0.0000000567*((C887^4-D887^4)/(C887-D887))</f>
        <v>7.7687338005019564</v>
      </c>
      <c r="M887" s="6">
        <f>IF(首页!$B$13="自然对流",IF(首页!$B$14="立式圆筒",首页!$B$10,PI()*B887/2),PI()*B887/2)</f>
        <v>55.2</v>
      </c>
      <c r="N887" s="7">
        <f>IF(首页!$B$13="强制对流",首页!$B$11*M887/H887,0)</f>
        <v>0</v>
      </c>
      <c r="O887" s="6">
        <f>IF(首页!$B$13="自然对流",IF(首页!$B$14="立式圆筒",(0.825+0.3063*I887^(1/6))^2+0.87*(M887/B887),(0.752+0.303*I887^(1/6))^2),0.3+SQRT((0.592*N887^0.5)^2+(0.0262*N887^0.8/(1-0.5/N887^0.1))^2))</f>
        <v>10044.697948794772</v>
      </c>
      <c r="P887" s="6">
        <f t="shared" si="122"/>
        <v>2.9510194925512497E-2</v>
      </c>
      <c r="Q887" s="6">
        <f t="shared" si="123"/>
        <v>5.3699455513918348</v>
      </c>
      <c r="R887" s="6">
        <f t="shared" si="124"/>
        <v>13.138679351893792</v>
      </c>
      <c r="S887" s="6">
        <f>B887*LN(B887/首页!$B$4)</f>
        <v>5.1878967820754296</v>
      </c>
      <c r="T887" s="6">
        <f>2*首页!$B$8*(E887-C887)/(R887*(C887-D887))</f>
        <v>7.1023720858393438E-2</v>
      </c>
      <c r="U887" t="str">
        <f>IF(首页!$B$13="自然对流","按自然对流公式", "按强制对流公式")</f>
        <v>按自然对流公式</v>
      </c>
      <c r="V887" s="6">
        <f t="shared" si="125"/>
        <v>5.1168730612170359</v>
      </c>
    </row>
    <row r="888" spans="1:22" x14ac:dyDescent="0.15">
      <c r="A888">
        <v>883</v>
      </c>
      <c r="B888" s="6">
        <f>首页!$B$4+2*A888/1000</f>
        <v>1.8860000000000001</v>
      </c>
      <c r="C888" s="6">
        <f>首页!$B$7+273.15</f>
        <v>388.15</v>
      </c>
      <c r="D888" s="6">
        <f>首页!$B$6+273.15</f>
        <v>293.14999999999998</v>
      </c>
      <c r="E888" s="6">
        <f>首页!$B$5+273.15</f>
        <v>1373.15</v>
      </c>
      <c r="F888" s="6">
        <f t="shared" si="117"/>
        <v>95</v>
      </c>
      <c r="G888" s="6">
        <f t="shared" si="118"/>
        <v>340.65</v>
      </c>
      <c r="H888" s="6">
        <f t="shared" si="119"/>
        <v>1.9926207055139041E-5</v>
      </c>
      <c r="I888" s="7">
        <f t="shared" si="120"/>
        <v>1158916576932337.8</v>
      </c>
      <c r="J888" s="6">
        <f t="shared" si="121"/>
        <v>1.0226038455893147</v>
      </c>
      <c r="K888" s="7">
        <f>J888*H888*首页!$B$12/P888</f>
        <v>0.69532757496605813</v>
      </c>
      <c r="L888" s="6">
        <f>首页!$B$9*0.0000000567*((C888^4-D888^4)/(C888-D888))</f>
        <v>7.7687338005019564</v>
      </c>
      <c r="M888" s="6">
        <f>IF(首页!$B$13="自然对流",IF(首页!$B$14="立式圆筒",首页!$B$10,PI()*B888/2),PI()*B888/2)</f>
        <v>55.2</v>
      </c>
      <c r="N888" s="7">
        <f>IF(首页!$B$13="强制对流",首页!$B$11*M888/H888,0)</f>
        <v>0</v>
      </c>
      <c r="O888" s="6">
        <f>IF(首页!$B$13="自然对流",IF(首页!$B$14="立式圆筒",(0.825+0.3063*I888^(1/6))^2+0.87*(M888/B888),(0.752+0.303*I888^(1/6))^2),0.3+SQRT((0.592*N888^0.5)^2+(0.0262*N888^0.8/(1-0.5/N888^0.1))^2))</f>
        <v>10044.670917569047</v>
      </c>
      <c r="P888" s="6">
        <f t="shared" si="122"/>
        <v>2.9510194925512497E-2</v>
      </c>
      <c r="Q888" s="6">
        <f t="shared" si="123"/>
        <v>5.3699311003639307</v>
      </c>
      <c r="R888" s="6">
        <f t="shared" si="124"/>
        <v>13.138664900865887</v>
      </c>
      <c r="S888" s="6">
        <f>B888*LN(B888/首页!$B$4)</f>
        <v>5.1954051646958188</v>
      </c>
      <c r="T888" s="6">
        <f>2*首页!$B$8*(E888-C888)/(R888*(C888-D888))</f>
        <v>7.1023798976358965E-2</v>
      </c>
      <c r="U888" t="str">
        <f>IF(首页!$B$13="自然对流","按自然对流公式", "按强制对流公式")</f>
        <v>按自然对流公式</v>
      </c>
      <c r="V888" s="6">
        <f t="shared" si="125"/>
        <v>5.1243813657194597</v>
      </c>
    </row>
    <row r="889" spans="1:22" x14ac:dyDescent="0.15">
      <c r="A889">
        <v>884</v>
      </c>
      <c r="B889" s="6">
        <f>首页!$B$4+2*A889/1000</f>
        <v>1.8879999999999999</v>
      </c>
      <c r="C889" s="6">
        <f>首页!$B$7+273.15</f>
        <v>388.15</v>
      </c>
      <c r="D889" s="6">
        <f>首页!$B$6+273.15</f>
        <v>293.14999999999998</v>
      </c>
      <c r="E889" s="6">
        <f>首页!$B$5+273.15</f>
        <v>1373.15</v>
      </c>
      <c r="F889" s="6">
        <f t="shared" si="117"/>
        <v>95</v>
      </c>
      <c r="G889" s="6">
        <f t="shared" si="118"/>
        <v>340.65</v>
      </c>
      <c r="H889" s="6">
        <f t="shared" si="119"/>
        <v>1.9926207055139041E-5</v>
      </c>
      <c r="I889" s="7">
        <f t="shared" si="120"/>
        <v>1158916576932337.8</v>
      </c>
      <c r="J889" s="6">
        <f t="shared" si="121"/>
        <v>1.0226038455893147</v>
      </c>
      <c r="K889" s="7">
        <f>J889*H889*首页!$B$12/P889</f>
        <v>0.69532757496605813</v>
      </c>
      <c r="L889" s="6">
        <f>首页!$B$9*0.0000000567*((C889^4-D889^4)/(C889-D889))</f>
        <v>7.7687338005019564</v>
      </c>
      <c r="M889" s="6">
        <f>IF(首页!$B$13="自然对流",IF(首页!$B$14="立式圆筒",首页!$B$10,PI()*B889/2),PI()*B889/2)</f>
        <v>55.2</v>
      </c>
      <c r="N889" s="7">
        <f>IF(首页!$B$13="强制对流",首页!$B$11*M889/H889,0)</f>
        <v>0</v>
      </c>
      <c r="O889" s="6">
        <f>IF(首页!$B$13="自然对流",IF(首页!$B$14="立式圆筒",(0.825+0.3063*I889^(1/6))^2+0.87*(M889/B889),(0.752+0.303*I889^(1/6))^2),0.3+SQRT((0.592*N889^0.5)^2+(0.0262*N889^0.8/(1-0.5/N889^0.1))^2))</f>
        <v>10044.643943612866</v>
      </c>
      <c r="P889" s="6">
        <f t="shared" si="122"/>
        <v>2.9510194925512497E-2</v>
      </c>
      <c r="Q889" s="6">
        <f t="shared" si="123"/>
        <v>5.3699166799526123</v>
      </c>
      <c r="R889" s="6">
        <f t="shared" si="124"/>
        <v>13.138650480454569</v>
      </c>
      <c r="S889" s="6">
        <f>B889*LN(B889/首页!$B$4)</f>
        <v>5.2029156682073792</v>
      </c>
      <c r="T889" s="6">
        <f>2*首页!$B$8*(E889-C889)/(R889*(C889-D889))</f>
        <v>7.1023876928991647E-2</v>
      </c>
      <c r="U889" t="str">
        <f>IF(首页!$B$13="自然对流","按自然对流公式", "按强制对流公式")</f>
        <v>按自然对流公式</v>
      </c>
      <c r="V889" s="6">
        <f t="shared" si="125"/>
        <v>5.1318917912783872</v>
      </c>
    </row>
    <row r="890" spans="1:22" x14ac:dyDescent="0.15">
      <c r="A890">
        <v>885</v>
      </c>
      <c r="B890" s="6">
        <f>首页!$B$4+2*A890/1000</f>
        <v>1.8900000000000001</v>
      </c>
      <c r="C890" s="6">
        <f>首页!$B$7+273.15</f>
        <v>388.15</v>
      </c>
      <c r="D890" s="6">
        <f>首页!$B$6+273.15</f>
        <v>293.14999999999998</v>
      </c>
      <c r="E890" s="6">
        <f>首页!$B$5+273.15</f>
        <v>1373.15</v>
      </c>
      <c r="F890" s="6">
        <f t="shared" si="117"/>
        <v>95</v>
      </c>
      <c r="G890" s="6">
        <f t="shared" si="118"/>
        <v>340.65</v>
      </c>
      <c r="H890" s="6">
        <f t="shared" si="119"/>
        <v>1.9926207055139041E-5</v>
      </c>
      <c r="I890" s="7">
        <f t="shared" si="120"/>
        <v>1158916576932337.8</v>
      </c>
      <c r="J890" s="6">
        <f t="shared" si="121"/>
        <v>1.0226038455893147</v>
      </c>
      <c r="K890" s="7">
        <f>J890*H890*首页!$B$12/P890</f>
        <v>0.69532757496605813</v>
      </c>
      <c r="L890" s="6">
        <f>首页!$B$9*0.0000000567*((C890^4-D890^4)/(C890-D890))</f>
        <v>7.7687338005019564</v>
      </c>
      <c r="M890" s="6">
        <f>IF(首页!$B$13="自然对流",IF(首页!$B$14="立式圆筒",首页!$B$10,PI()*B890/2),PI()*B890/2)</f>
        <v>55.2</v>
      </c>
      <c r="N890" s="7">
        <f>IF(首页!$B$13="强制对流",首页!$B$11*M890/H890,0)</f>
        <v>0</v>
      </c>
      <c r="O890" s="6">
        <f>IF(首页!$B$13="自然对流",IF(首页!$B$14="立式圆筒",(0.825+0.3063*I890^(1/6))^2+0.87*(M890/B890),(0.752+0.303*I890^(1/6))^2),0.3+SQRT((0.592*N890^0.5)^2+(0.0262*N890^0.8/(1-0.5/N890^0.1))^2))</f>
        <v>10044.617026744423</v>
      </c>
      <c r="P890" s="6">
        <f t="shared" si="122"/>
        <v>2.9510194925512497E-2</v>
      </c>
      <c r="Q890" s="6">
        <f t="shared" si="123"/>
        <v>5.3699022900606828</v>
      </c>
      <c r="R890" s="6">
        <f t="shared" si="124"/>
        <v>13.138636090562638</v>
      </c>
      <c r="S890" s="6">
        <f>B890*LN(B890/首页!$B$4)</f>
        <v>5.2104282903634038</v>
      </c>
      <c r="T890" s="6">
        <f>2*首页!$B$8*(E890-C890)/(R890*(C890-D890))</f>
        <v>7.1023954716815774E-2</v>
      </c>
      <c r="U890" t="str">
        <f>IF(首页!$B$13="自然对流","按自然对流公式", "按强制对流公式")</f>
        <v>按自然对流公式</v>
      </c>
      <c r="V890" s="6">
        <f t="shared" si="125"/>
        <v>5.1394043356465877</v>
      </c>
    </row>
    <row r="891" spans="1:22" x14ac:dyDescent="0.15">
      <c r="A891">
        <v>886</v>
      </c>
      <c r="B891" s="6">
        <f>首页!$B$4+2*A891/1000</f>
        <v>1.8919999999999999</v>
      </c>
      <c r="C891" s="6">
        <f>首页!$B$7+273.15</f>
        <v>388.15</v>
      </c>
      <c r="D891" s="6">
        <f>首页!$B$6+273.15</f>
        <v>293.14999999999998</v>
      </c>
      <c r="E891" s="6">
        <f>首页!$B$5+273.15</f>
        <v>1373.15</v>
      </c>
      <c r="F891" s="6">
        <f t="shared" si="117"/>
        <v>95</v>
      </c>
      <c r="G891" s="6">
        <f t="shared" si="118"/>
        <v>340.65</v>
      </c>
      <c r="H891" s="6">
        <f t="shared" si="119"/>
        <v>1.9926207055139041E-5</v>
      </c>
      <c r="I891" s="7">
        <f t="shared" si="120"/>
        <v>1158916576932337.8</v>
      </c>
      <c r="J891" s="6">
        <f t="shared" si="121"/>
        <v>1.0226038455893147</v>
      </c>
      <c r="K891" s="7">
        <f>J891*H891*首页!$B$12/P891</f>
        <v>0.69532757496605813</v>
      </c>
      <c r="L891" s="6">
        <f>首页!$B$9*0.0000000567*((C891^4-D891^4)/(C891-D891))</f>
        <v>7.7687338005019564</v>
      </c>
      <c r="M891" s="6">
        <f>IF(首页!$B$13="自然对流",IF(首页!$B$14="立式圆筒",首页!$B$10,PI()*B891/2),PI()*B891/2)</f>
        <v>55.2</v>
      </c>
      <c r="N891" s="7">
        <f>IF(首页!$B$13="强制对流",首页!$B$11*M891/H891,0)</f>
        <v>0</v>
      </c>
      <c r="O891" s="6">
        <f>IF(首页!$B$13="自然对流",IF(首页!$B$14="立式圆筒",(0.825+0.3063*I891^(1/6))^2+0.87*(M891/B891),(0.752+0.303*I891^(1/6))^2),0.3+SQRT((0.592*N891^0.5)^2+(0.0262*N891^0.8/(1-0.5/N891^0.1))^2))</f>
        <v>10044.59016678268</v>
      </c>
      <c r="P891" s="6">
        <f t="shared" si="122"/>
        <v>2.9510194925512497E-2</v>
      </c>
      <c r="Q891" s="6">
        <f t="shared" si="123"/>
        <v>5.369887930591358</v>
      </c>
      <c r="R891" s="6">
        <f t="shared" si="124"/>
        <v>13.138621731093314</v>
      </c>
      <c r="S891" s="6">
        <f>B891*LN(B891/首页!$B$4)</f>
        <v>5.2179430289219386</v>
      </c>
      <c r="T891" s="6">
        <f>2*首页!$B$8*(E891-C891)/(R891*(C891-D891))</f>
        <v>7.1024032340353455E-2</v>
      </c>
      <c r="U891" t="str">
        <f>IF(首页!$B$13="自然对流","按自然对流公式", "按强制对流公式")</f>
        <v>按自然对流公式</v>
      </c>
      <c r="V891" s="6">
        <f t="shared" si="125"/>
        <v>5.1469189965815856</v>
      </c>
    </row>
    <row r="892" spans="1:22" x14ac:dyDescent="0.15">
      <c r="A892">
        <v>887</v>
      </c>
      <c r="B892" s="6">
        <f>首页!$B$4+2*A892/1000</f>
        <v>1.8940000000000001</v>
      </c>
      <c r="C892" s="6">
        <f>首页!$B$7+273.15</f>
        <v>388.15</v>
      </c>
      <c r="D892" s="6">
        <f>首页!$B$6+273.15</f>
        <v>293.14999999999998</v>
      </c>
      <c r="E892" s="6">
        <f>首页!$B$5+273.15</f>
        <v>1373.15</v>
      </c>
      <c r="F892" s="6">
        <f t="shared" si="117"/>
        <v>95</v>
      </c>
      <c r="G892" s="6">
        <f t="shared" si="118"/>
        <v>340.65</v>
      </c>
      <c r="H892" s="6">
        <f t="shared" si="119"/>
        <v>1.9926207055139041E-5</v>
      </c>
      <c r="I892" s="7">
        <f t="shared" si="120"/>
        <v>1158916576932337.8</v>
      </c>
      <c r="J892" s="6">
        <f t="shared" si="121"/>
        <v>1.0226038455893147</v>
      </c>
      <c r="K892" s="7">
        <f>J892*H892*首页!$B$12/P892</f>
        <v>0.69532757496605813</v>
      </c>
      <c r="L892" s="6">
        <f>首页!$B$9*0.0000000567*((C892^4-D892^4)/(C892-D892))</f>
        <v>7.7687338005019564</v>
      </c>
      <c r="M892" s="6">
        <f>IF(首页!$B$13="自然对流",IF(首页!$B$14="立式圆筒",首页!$B$10,PI()*B892/2),PI()*B892/2)</f>
        <v>55.2</v>
      </c>
      <c r="N892" s="7">
        <f>IF(首页!$B$13="强制对流",首页!$B$11*M892/H892,0)</f>
        <v>0</v>
      </c>
      <c r="O892" s="6">
        <f>IF(首页!$B$13="自然对流",IF(首页!$B$14="立式圆筒",(0.825+0.3063*I892^(1/6))^2+0.87*(M892/B892),(0.752+0.303*I892^(1/6))^2),0.3+SQRT((0.592*N892^0.5)^2+(0.0262*N892^0.8/(1-0.5/N892^0.1))^2))</f>
        <v>10044.56336354736</v>
      </c>
      <c r="P892" s="6">
        <f t="shared" si="122"/>
        <v>2.9510194925512497E-2</v>
      </c>
      <c r="Q892" s="6">
        <f t="shared" si="123"/>
        <v>5.3698736014482611</v>
      </c>
      <c r="R892" s="6">
        <f t="shared" si="124"/>
        <v>13.138607401950217</v>
      </c>
      <c r="S892" s="6">
        <f>B892*LN(B892/首页!$B$4)</f>
        <v>5.225459881645774</v>
      </c>
      <c r="T892" s="6">
        <f>2*首页!$B$8*(E892-C892)/(R892*(C892-D892))</f>
        <v>7.1024109800124607E-2</v>
      </c>
      <c r="U892" t="str">
        <f>IF(首页!$B$13="自然对流","按自然对流公式", "按强制对流公式")</f>
        <v>按自然对流公式</v>
      </c>
      <c r="V892" s="6">
        <f t="shared" si="125"/>
        <v>5.1544357718456491</v>
      </c>
    </row>
    <row r="893" spans="1:22" x14ac:dyDescent="0.15">
      <c r="A893">
        <v>888</v>
      </c>
      <c r="B893" s="6">
        <f>首页!$B$4+2*A893/1000</f>
        <v>1.8959999999999999</v>
      </c>
      <c r="C893" s="6">
        <f>首页!$B$7+273.15</f>
        <v>388.15</v>
      </c>
      <c r="D893" s="6">
        <f>首页!$B$6+273.15</f>
        <v>293.14999999999998</v>
      </c>
      <c r="E893" s="6">
        <f>首页!$B$5+273.15</f>
        <v>1373.15</v>
      </c>
      <c r="F893" s="6">
        <f t="shared" si="117"/>
        <v>95</v>
      </c>
      <c r="G893" s="6">
        <f t="shared" si="118"/>
        <v>340.65</v>
      </c>
      <c r="H893" s="6">
        <f t="shared" si="119"/>
        <v>1.9926207055139041E-5</v>
      </c>
      <c r="I893" s="7">
        <f t="shared" si="120"/>
        <v>1158916576932337.8</v>
      </c>
      <c r="J893" s="6">
        <f t="shared" si="121"/>
        <v>1.0226038455893147</v>
      </c>
      <c r="K893" s="7">
        <f>J893*H893*首页!$B$12/P893</f>
        <v>0.69532757496605813</v>
      </c>
      <c r="L893" s="6">
        <f>首页!$B$9*0.0000000567*((C893^4-D893^4)/(C893-D893))</f>
        <v>7.7687338005019564</v>
      </c>
      <c r="M893" s="6">
        <f>IF(首页!$B$13="自然对流",IF(首页!$B$14="立式圆筒",首页!$B$10,PI()*B893/2),PI()*B893/2)</f>
        <v>55.2</v>
      </c>
      <c r="N893" s="7">
        <f>IF(首页!$B$13="强制对流",首页!$B$11*M893/H893,0)</f>
        <v>0</v>
      </c>
      <c r="O893" s="6">
        <f>IF(首页!$B$13="自然对流",IF(首页!$B$14="立式圆筒",(0.825+0.3063*I893^(1/6))^2+0.87*(M893/B893),(0.752+0.303*I893^(1/6))^2),0.3+SQRT((0.592*N893^0.5)^2+(0.0262*N893^0.8/(1-0.5/N893^0.1))^2))</f>
        <v>10044.53661685895</v>
      </c>
      <c r="P893" s="6">
        <f t="shared" si="122"/>
        <v>2.9510194925512497E-2</v>
      </c>
      <c r="Q893" s="6">
        <f t="shared" si="123"/>
        <v>5.3698593025354251</v>
      </c>
      <c r="R893" s="6">
        <f t="shared" si="124"/>
        <v>13.138593103037381</v>
      </c>
      <c r="S893" s="6">
        <f>B893*LN(B893/首页!$B$4)</f>
        <v>5.2329788463024176</v>
      </c>
      <c r="T893" s="6">
        <f>2*首页!$B$8*(E893-C893)/(R893*(C893-D893))</f>
        <v>7.1024187096646943E-2</v>
      </c>
      <c r="U893" t="str">
        <f>IF(首页!$B$13="自然对流","按自然对流公式", "按强制对流公式")</f>
        <v>按自然对流公式</v>
      </c>
      <c r="V893" s="6">
        <f t="shared" si="125"/>
        <v>5.1619546592057706</v>
      </c>
    </row>
    <row r="894" spans="1:22" x14ac:dyDescent="0.15">
      <c r="A894">
        <v>889</v>
      </c>
      <c r="B894" s="6">
        <f>首页!$B$4+2*A894/1000</f>
        <v>1.8980000000000001</v>
      </c>
      <c r="C894" s="6">
        <f>首页!$B$7+273.15</f>
        <v>388.15</v>
      </c>
      <c r="D894" s="6">
        <f>首页!$B$6+273.15</f>
        <v>293.14999999999998</v>
      </c>
      <c r="E894" s="6">
        <f>首页!$B$5+273.15</f>
        <v>1373.15</v>
      </c>
      <c r="F894" s="6">
        <f t="shared" si="117"/>
        <v>95</v>
      </c>
      <c r="G894" s="6">
        <f t="shared" si="118"/>
        <v>340.65</v>
      </c>
      <c r="H894" s="6">
        <f t="shared" si="119"/>
        <v>1.9926207055139041E-5</v>
      </c>
      <c r="I894" s="7">
        <f t="shared" si="120"/>
        <v>1158916576932337.8</v>
      </c>
      <c r="J894" s="6">
        <f t="shared" si="121"/>
        <v>1.0226038455893147</v>
      </c>
      <c r="K894" s="7">
        <f>J894*H894*首页!$B$12/P894</f>
        <v>0.69532757496605813</v>
      </c>
      <c r="L894" s="6">
        <f>首页!$B$9*0.0000000567*((C894^4-D894^4)/(C894-D894))</f>
        <v>7.7687338005019564</v>
      </c>
      <c r="M894" s="6">
        <f>IF(首页!$B$13="自然对流",IF(首页!$B$14="立式圆筒",首页!$B$10,PI()*B894/2),PI()*B894/2)</f>
        <v>55.2</v>
      </c>
      <c r="N894" s="7">
        <f>IF(首页!$B$13="强制对流",首页!$B$11*M894/H894,0)</f>
        <v>0</v>
      </c>
      <c r="O894" s="6">
        <f>IF(首页!$B$13="自然对流",IF(首页!$B$14="立式圆筒",(0.825+0.3063*I894^(1/6))^2+0.87*(M894/B894),(0.752+0.303*I894^(1/6))^2),0.3+SQRT((0.592*N894^0.5)^2+(0.0262*N894^0.8/(1-0.5/N894^0.1))^2))</f>
        <v>10044.509926538693</v>
      </c>
      <c r="P894" s="6">
        <f t="shared" si="122"/>
        <v>2.9510194925512497E-2</v>
      </c>
      <c r="Q894" s="6">
        <f t="shared" si="123"/>
        <v>5.3698450337572821</v>
      </c>
      <c r="R894" s="6">
        <f t="shared" si="124"/>
        <v>13.138578834259238</v>
      </c>
      <c r="S894" s="6">
        <f>B894*LN(B894/首页!$B$4)</f>
        <v>5.2404999206640968</v>
      </c>
      <c r="T894" s="6">
        <f>2*首页!$B$8*(E894-C894)/(R894*(C894-D894))</f>
        <v>7.1024264230436007E-2</v>
      </c>
      <c r="U894" t="str">
        <f>IF(首页!$B$13="自然对流","按自然对流公式", "按强制对流公式")</f>
        <v>按自然对流公式</v>
      </c>
      <c r="V894" s="6">
        <f t="shared" si="125"/>
        <v>5.1694756564336606</v>
      </c>
    </row>
    <row r="895" spans="1:22" x14ac:dyDescent="0.15">
      <c r="A895">
        <v>890</v>
      </c>
      <c r="B895" s="6">
        <f>首页!$B$4+2*A895/1000</f>
        <v>1.9</v>
      </c>
      <c r="C895" s="6">
        <f>首页!$B$7+273.15</f>
        <v>388.15</v>
      </c>
      <c r="D895" s="6">
        <f>首页!$B$6+273.15</f>
        <v>293.14999999999998</v>
      </c>
      <c r="E895" s="6">
        <f>首页!$B$5+273.15</f>
        <v>1373.15</v>
      </c>
      <c r="F895" s="6">
        <f t="shared" si="117"/>
        <v>95</v>
      </c>
      <c r="G895" s="6">
        <f t="shared" si="118"/>
        <v>340.65</v>
      </c>
      <c r="H895" s="6">
        <f t="shared" si="119"/>
        <v>1.9926207055139041E-5</v>
      </c>
      <c r="I895" s="7">
        <f t="shared" si="120"/>
        <v>1158916576932337.8</v>
      </c>
      <c r="J895" s="6">
        <f t="shared" si="121"/>
        <v>1.0226038455893147</v>
      </c>
      <c r="K895" s="7">
        <f>J895*H895*首页!$B$12/P895</f>
        <v>0.69532757496605813</v>
      </c>
      <c r="L895" s="6">
        <f>首页!$B$9*0.0000000567*((C895^4-D895^4)/(C895-D895))</f>
        <v>7.7687338005019564</v>
      </c>
      <c r="M895" s="6">
        <f>IF(首页!$B$13="自然对流",IF(首页!$B$14="立式圆筒",首页!$B$10,PI()*B895/2),PI()*B895/2)</f>
        <v>55.2</v>
      </c>
      <c r="N895" s="7">
        <f>IF(首页!$B$13="强制对流",首页!$B$11*M895/H895,0)</f>
        <v>0</v>
      </c>
      <c r="O895" s="6">
        <f>IF(首页!$B$13="自然对流",IF(首页!$B$14="立式圆筒",(0.825+0.3063*I895^(1/6))^2+0.87*(M895/B895),(0.752+0.303*I895^(1/6))^2),0.3+SQRT((0.592*N895^0.5)^2+(0.0262*N895^0.8/(1-0.5/N895^0.1))^2))</f>
        <v>10044.483292408584</v>
      </c>
      <c r="P895" s="6">
        <f t="shared" si="122"/>
        <v>2.9510194925512497E-2</v>
      </c>
      <c r="Q895" s="6">
        <f t="shared" si="123"/>
        <v>5.3698307950186743</v>
      </c>
      <c r="R895" s="6">
        <f t="shared" si="124"/>
        <v>13.138564595520631</v>
      </c>
      <c r="S895" s="6">
        <f>B895*LN(B895/首页!$B$4)</f>
        <v>5.2480231025077231</v>
      </c>
      <c r="T895" s="6">
        <f>2*首页!$B$8*(E895-C895)/(R895*(C895-D895))</f>
        <v>7.1024341202005167E-2</v>
      </c>
      <c r="U895" t="str">
        <f>IF(首页!$B$13="自然对流","按自然对流公式", "按强制对流公式")</f>
        <v>按自然对流公式</v>
      </c>
      <c r="V895" s="6">
        <f t="shared" si="125"/>
        <v>5.1769987613057182</v>
      </c>
    </row>
    <row r="896" spans="1:22" x14ac:dyDescent="0.15">
      <c r="A896">
        <v>891</v>
      </c>
      <c r="B896" s="6">
        <f>首页!$B$4+2*A896/1000</f>
        <v>1.9020000000000001</v>
      </c>
      <c r="C896" s="6">
        <f>首页!$B$7+273.15</f>
        <v>388.15</v>
      </c>
      <c r="D896" s="6">
        <f>首页!$B$6+273.15</f>
        <v>293.14999999999998</v>
      </c>
      <c r="E896" s="6">
        <f>首页!$B$5+273.15</f>
        <v>1373.15</v>
      </c>
      <c r="F896" s="6">
        <f t="shared" si="117"/>
        <v>95</v>
      </c>
      <c r="G896" s="6">
        <f t="shared" si="118"/>
        <v>340.65</v>
      </c>
      <c r="H896" s="6">
        <f t="shared" si="119"/>
        <v>1.9926207055139041E-5</v>
      </c>
      <c r="I896" s="7">
        <f t="shared" si="120"/>
        <v>1158916576932337.8</v>
      </c>
      <c r="J896" s="6">
        <f t="shared" si="121"/>
        <v>1.0226038455893147</v>
      </c>
      <c r="K896" s="7">
        <f>J896*H896*首页!$B$12/P896</f>
        <v>0.69532757496605813</v>
      </c>
      <c r="L896" s="6">
        <f>首页!$B$9*0.0000000567*((C896^4-D896^4)/(C896-D896))</f>
        <v>7.7687338005019564</v>
      </c>
      <c r="M896" s="6">
        <f>IF(首页!$B$13="自然对流",IF(首页!$B$14="立式圆筒",首页!$B$10,PI()*B896/2),PI()*B896/2)</f>
        <v>55.2</v>
      </c>
      <c r="N896" s="7">
        <f>IF(首页!$B$13="强制对流",首页!$B$11*M896/H896,0)</f>
        <v>0</v>
      </c>
      <c r="O896" s="6">
        <f>IF(首页!$B$13="自然对流",IF(首页!$B$14="立式圆筒",(0.825+0.3063*I896^(1/6))^2+0.87*(M896/B896),(0.752+0.303*I896^(1/6))^2),0.3+SQRT((0.592*N896^0.5)^2+(0.0262*N896^0.8/(1-0.5/N896^0.1))^2))</f>
        <v>10044.456714291367</v>
      </c>
      <c r="P896" s="6">
        <f t="shared" si="122"/>
        <v>2.9510194925512497E-2</v>
      </c>
      <c r="Q896" s="6">
        <f t="shared" si="123"/>
        <v>5.3698165862248368</v>
      </c>
      <c r="R896" s="6">
        <f t="shared" si="124"/>
        <v>13.138550386726793</v>
      </c>
      <c r="S896" s="6">
        <f>B896*LN(B896/首页!$B$4)</f>
        <v>5.2555483896148978</v>
      </c>
      <c r="T896" s="6">
        <f>2*首页!$B$8*(E896-C896)/(R896*(C896-D896))</f>
        <v>7.1024418011865598E-2</v>
      </c>
      <c r="U896" t="str">
        <f>IF(首页!$B$13="自然对流","按自然对流公式", "按强制对流公式")</f>
        <v>按自然对流公式</v>
      </c>
      <c r="V896" s="6">
        <f t="shared" si="125"/>
        <v>5.1845239716030322</v>
      </c>
    </row>
    <row r="897" spans="1:22" x14ac:dyDescent="0.15">
      <c r="A897">
        <v>892</v>
      </c>
      <c r="B897" s="6">
        <f>首页!$B$4+2*A897/1000</f>
        <v>1.9039999999999999</v>
      </c>
      <c r="C897" s="6">
        <f>首页!$B$7+273.15</f>
        <v>388.15</v>
      </c>
      <c r="D897" s="6">
        <f>首页!$B$6+273.15</f>
        <v>293.14999999999998</v>
      </c>
      <c r="E897" s="6">
        <f>首页!$B$5+273.15</f>
        <v>1373.15</v>
      </c>
      <c r="F897" s="6">
        <f t="shared" si="117"/>
        <v>95</v>
      </c>
      <c r="G897" s="6">
        <f t="shared" si="118"/>
        <v>340.65</v>
      </c>
      <c r="H897" s="6">
        <f t="shared" si="119"/>
        <v>1.9926207055139041E-5</v>
      </c>
      <c r="I897" s="7">
        <f t="shared" si="120"/>
        <v>1158916576932337.8</v>
      </c>
      <c r="J897" s="6">
        <f t="shared" si="121"/>
        <v>1.0226038455893147</v>
      </c>
      <c r="K897" s="7">
        <f>J897*H897*首页!$B$12/P897</f>
        <v>0.69532757496605813</v>
      </c>
      <c r="L897" s="6">
        <f>首页!$B$9*0.0000000567*((C897^4-D897^4)/(C897-D897))</f>
        <v>7.7687338005019564</v>
      </c>
      <c r="M897" s="6">
        <f>IF(首页!$B$13="自然对流",IF(首页!$B$14="立式圆筒",首页!$B$10,PI()*B897/2),PI()*B897/2)</f>
        <v>55.2</v>
      </c>
      <c r="N897" s="7">
        <f>IF(首页!$B$13="强制对流",首页!$B$11*M897/H897,0)</f>
        <v>0</v>
      </c>
      <c r="O897" s="6">
        <f>IF(首页!$B$13="自然对流",IF(首页!$B$14="立式圆筒",(0.825+0.3063*I897^(1/6))^2+0.87*(M897/B897),(0.752+0.303*I897^(1/6))^2),0.3+SQRT((0.592*N897^0.5)^2+(0.0262*N897^0.8/(1-0.5/N897^0.1))^2))</f>
        <v>10044.43019201053</v>
      </c>
      <c r="P897" s="6">
        <f t="shared" si="122"/>
        <v>2.9510194925512497E-2</v>
      </c>
      <c r="Q897" s="6">
        <f t="shared" si="123"/>
        <v>5.3698024072814068</v>
      </c>
      <c r="R897" s="6">
        <f t="shared" si="124"/>
        <v>13.138536207783364</v>
      </c>
      <c r="S897" s="6">
        <f>B897*LN(B897/首页!$B$4)</f>
        <v>5.2630757797718797</v>
      </c>
      <c r="T897" s="6">
        <f>2*首页!$B$8*(E897-C897)/(R897*(C897-D897))</f>
        <v>7.1024494660526391E-2</v>
      </c>
      <c r="U897" t="str">
        <f>IF(首页!$B$13="自然对流","按自然对流公式", "按强制对流公式")</f>
        <v>按自然对流公式</v>
      </c>
      <c r="V897" s="6">
        <f t="shared" si="125"/>
        <v>5.1920512851113534</v>
      </c>
    </row>
    <row r="898" spans="1:22" x14ac:dyDescent="0.15">
      <c r="A898">
        <v>893</v>
      </c>
      <c r="B898" s="6">
        <f>首页!$B$4+2*A898/1000</f>
        <v>1.9060000000000001</v>
      </c>
      <c r="C898" s="6">
        <f>首页!$B$7+273.15</f>
        <v>388.15</v>
      </c>
      <c r="D898" s="6">
        <f>首页!$B$6+273.15</f>
        <v>293.14999999999998</v>
      </c>
      <c r="E898" s="6">
        <f>首页!$B$5+273.15</f>
        <v>1373.15</v>
      </c>
      <c r="F898" s="6">
        <f t="shared" si="117"/>
        <v>95</v>
      </c>
      <c r="G898" s="6">
        <f t="shared" si="118"/>
        <v>340.65</v>
      </c>
      <c r="H898" s="6">
        <f t="shared" si="119"/>
        <v>1.9926207055139041E-5</v>
      </c>
      <c r="I898" s="7">
        <f t="shared" si="120"/>
        <v>1158916576932337.8</v>
      </c>
      <c r="J898" s="6">
        <f t="shared" si="121"/>
        <v>1.0226038455893147</v>
      </c>
      <c r="K898" s="7">
        <f>J898*H898*首页!$B$12/P898</f>
        <v>0.69532757496605813</v>
      </c>
      <c r="L898" s="6">
        <f>首页!$B$9*0.0000000567*((C898^4-D898^4)/(C898-D898))</f>
        <v>7.7687338005019564</v>
      </c>
      <c r="M898" s="6">
        <f>IF(首页!$B$13="自然对流",IF(首页!$B$14="立式圆筒",首页!$B$10,PI()*B898/2),PI()*B898/2)</f>
        <v>55.2</v>
      </c>
      <c r="N898" s="7">
        <f>IF(首页!$B$13="强制对流",首页!$B$11*M898/H898,0)</f>
        <v>0</v>
      </c>
      <c r="O898" s="6">
        <f>IF(首页!$B$13="自然对流",IF(首页!$B$14="立式圆筒",(0.825+0.3063*I898^(1/6))^2+0.87*(M898/B898),(0.752+0.303*I898^(1/6))^2),0.3+SQRT((0.592*N898^0.5)^2+(0.0262*N898^0.8/(1-0.5/N898^0.1))^2))</f>
        <v>10044.403725390304</v>
      </c>
      <c r="P898" s="6">
        <f t="shared" si="122"/>
        <v>2.9510194925512497E-2</v>
      </c>
      <c r="Q898" s="6">
        <f t="shared" si="123"/>
        <v>5.3697882580944158</v>
      </c>
      <c r="R898" s="6">
        <f t="shared" si="124"/>
        <v>13.138522058596372</v>
      </c>
      <c r="S898" s="6">
        <f>B898*LN(B898/首页!$B$4)</f>
        <v>5.2706052707695852</v>
      </c>
      <c r="T898" s="6">
        <f>2*首页!$B$8*(E898-C898)/(R898*(C898-D898))</f>
        <v>7.1024571148494475E-2</v>
      </c>
      <c r="U898" t="str">
        <f>IF(首页!$B$13="自然对流","按自然对流公式", "按强制对流公式")</f>
        <v>按自然对流公式</v>
      </c>
      <c r="V898" s="6">
        <f t="shared" si="125"/>
        <v>5.1995806996210909</v>
      </c>
    </row>
    <row r="899" spans="1:22" x14ac:dyDescent="0.15">
      <c r="A899">
        <v>894</v>
      </c>
      <c r="B899" s="6">
        <f>首页!$B$4+2*A899/1000</f>
        <v>1.9079999999999999</v>
      </c>
      <c r="C899" s="6">
        <f>首页!$B$7+273.15</f>
        <v>388.15</v>
      </c>
      <c r="D899" s="6">
        <f>首页!$B$6+273.15</f>
        <v>293.14999999999998</v>
      </c>
      <c r="E899" s="6">
        <f>首页!$B$5+273.15</f>
        <v>1373.15</v>
      </c>
      <c r="F899" s="6">
        <f t="shared" si="117"/>
        <v>95</v>
      </c>
      <c r="G899" s="6">
        <f t="shared" si="118"/>
        <v>340.65</v>
      </c>
      <c r="H899" s="6">
        <f t="shared" si="119"/>
        <v>1.9926207055139041E-5</v>
      </c>
      <c r="I899" s="7">
        <f t="shared" si="120"/>
        <v>1158916576932337.8</v>
      </c>
      <c r="J899" s="6">
        <f t="shared" si="121"/>
        <v>1.0226038455893147</v>
      </c>
      <c r="K899" s="7">
        <f>J899*H899*首页!$B$12/P899</f>
        <v>0.69532757496605813</v>
      </c>
      <c r="L899" s="6">
        <f>首页!$B$9*0.0000000567*((C899^4-D899^4)/(C899-D899))</f>
        <v>7.7687338005019564</v>
      </c>
      <c r="M899" s="6">
        <f>IF(首页!$B$13="自然对流",IF(首页!$B$14="立式圆筒",首页!$B$10,PI()*B899/2),PI()*B899/2)</f>
        <v>55.2</v>
      </c>
      <c r="N899" s="7">
        <f>IF(首页!$B$13="强制对流",首页!$B$11*M899/H899,0)</f>
        <v>0</v>
      </c>
      <c r="O899" s="6">
        <f>IF(首页!$B$13="自然对流",IF(首页!$B$14="立式圆筒",(0.825+0.3063*I899^(1/6))^2+0.87*(M899/B899),(0.752+0.303*I899^(1/6))^2),0.3+SQRT((0.592*N899^0.5)^2+(0.0262*N899^0.8/(1-0.5/N899^0.1))^2))</f>
        <v>10044.377314255655</v>
      </c>
      <c r="P899" s="6">
        <f t="shared" si="122"/>
        <v>2.9510194925512497E-2</v>
      </c>
      <c r="Q899" s="6">
        <f t="shared" si="123"/>
        <v>5.3697741385702908</v>
      </c>
      <c r="R899" s="6">
        <f t="shared" si="124"/>
        <v>13.138507939072248</v>
      </c>
      <c r="S899" s="6">
        <f>B899*LN(B899/首页!$B$4)</f>
        <v>5.2781368604035626</v>
      </c>
      <c r="T899" s="6">
        <f>2*首页!$B$8*(E899-C899)/(R899*(C899-D899))</f>
        <v>7.1024647476274655E-2</v>
      </c>
      <c r="U899" t="str">
        <f>IF(首页!$B$13="自然对流","按自然对流公式", "按强制对流公式")</f>
        <v>按自然对流公式</v>
      </c>
      <c r="V899" s="6">
        <f t="shared" si="125"/>
        <v>5.2071122129272878</v>
      </c>
    </row>
    <row r="900" spans="1:22" x14ac:dyDescent="0.15">
      <c r="A900">
        <v>895</v>
      </c>
      <c r="B900" s="6">
        <f>首页!$B$4+2*A900/1000</f>
        <v>1.9100000000000001</v>
      </c>
      <c r="C900" s="6">
        <f>首页!$B$7+273.15</f>
        <v>388.15</v>
      </c>
      <c r="D900" s="6">
        <f>首页!$B$6+273.15</f>
        <v>293.14999999999998</v>
      </c>
      <c r="E900" s="6">
        <f>首页!$B$5+273.15</f>
        <v>1373.15</v>
      </c>
      <c r="F900" s="6">
        <f t="shared" si="117"/>
        <v>95</v>
      </c>
      <c r="G900" s="6">
        <f t="shared" si="118"/>
        <v>340.65</v>
      </c>
      <c r="H900" s="6">
        <f t="shared" si="119"/>
        <v>1.9926207055139041E-5</v>
      </c>
      <c r="I900" s="7">
        <f t="shared" si="120"/>
        <v>1158916576932337.8</v>
      </c>
      <c r="J900" s="6">
        <f t="shared" si="121"/>
        <v>1.0226038455893147</v>
      </c>
      <c r="K900" s="7">
        <f>J900*H900*首页!$B$12/P900</f>
        <v>0.69532757496605813</v>
      </c>
      <c r="L900" s="6">
        <f>首页!$B$9*0.0000000567*((C900^4-D900^4)/(C900-D900))</f>
        <v>7.7687338005019564</v>
      </c>
      <c r="M900" s="6">
        <f>IF(首页!$B$13="自然对流",IF(首页!$B$14="立式圆筒",首页!$B$10,PI()*B900/2),PI()*B900/2)</f>
        <v>55.2</v>
      </c>
      <c r="N900" s="7">
        <f>IF(首页!$B$13="强制对流",首页!$B$11*M900/H900,0)</f>
        <v>0</v>
      </c>
      <c r="O900" s="6">
        <f>IF(首页!$B$13="自然对流",IF(首页!$B$14="立式圆筒",(0.825+0.3063*I900^(1/6))^2+0.87*(M900/B900),(0.752+0.303*I900^(1/6))^2),0.3+SQRT((0.592*N900^0.5)^2+(0.0262*N900^0.8/(1-0.5/N900^0.1))^2))</f>
        <v>10044.350958432282</v>
      </c>
      <c r="P900" s="6">
        <f t="shared" si="122"/>
        <v>2.9510194925512497E-2</v>
      </c>
      <c r="Q900" s="6">
        <f t="shared" si="123"/>
        <v>5.3697600486158494</v>
      </c>
      <c r="R900" s="6">
        <f t="shared" si="124"/>
        <v>13.138493849117806</v>
      </c>
      <c r="S900" s="6">
        <f>B900*LN(B900/首页!$B$4)</f>
        <v>5.285670546473983</v>
      </c>
      <c r="T900" s="6">
        <f>2*首页!$B$8*(E900-C900)/(R900*(C900-D900))</f>
        <v>7.1024723644369625E-2</v>
      </c>
      <c r="U900" t="str">
        <f>IF(首页!$B$13="自然对流","按自然对流公式", "按强制对流公式")</f>
        <v>按自然对流公式</v>
      </c>
      <c r="V900" s="6">
        <f t="shared" si="125"/>
        <v>5.2146458228296133</v>
      </c>
    </row>
    <row r="901" spans="1:22" x14ac:dyDescent="0.15">
      <c r="A901">
        <v>896</v>
      </c>
      <c r="B901" s="6">
        <f>首页!$B$4+2*A901/1000</f>
        <v>1.9119999999999999</v>
      </c>
      <c r="C901" s="6">
        <f>首页!$B$7+273.15</f>
        <v>388.15</v>
      </c>
      <c r="D901" s="6">
        <f>首页!$B$6+273.15</f>
        <v>293.14999999999998</v>
      </c>
      <c r="E901" s="6">
        <f>首页!$B$5+273.15</f>
        <v>1373.15</v>
      </c>
      <c r="F901" s="6">
        <f t="shared" ref="F901:F964" si="126">C901-D901</f>
        <v>95</v>
      </c>
      <c r="G901" s="6">
        <f t="shared" ref="G901:G964" si="127">(C901+D901)/2</f>
        <v>340.65</v>
      </c>
      <c r="H901" s="6">
        <f t="shared" ref="H901:H964" si="128">0.0000000042113*G901^2.5/(112+G901)</f>
        <v>1.9926207055139041E-5</v>
      </c>
      <c r="I901" s="7">
        <f t="shared" ref="I901:I964" si="129">9.81*M901^3*F901/(H901^2*G901)</f>
        <v>1158916576932337.8</v>
      </c>
      <c r="J901" s="6">
        <f t="shared" ref="J901:J964" si="130">348.35/G901</f>
        <v>1.0226038455893147</v>
      </c>
      <c r="K901" s="7">
        <f>J901*H901*首页!$B$12/P901</f>
        <v>0.69532757496605813</v>
      </c>
      <c r="L901" s="6">
        <f>首页!$B$9*0.0000000567*((C901^4-D901^4)/(C901-D901))</f>
        <v>7.7687338005019564</v>
      </c>
      <c r="M901" s="6">
        <f>IF(首页!$B$13="自然对流",IF(首页!$B$14="立式圆筒",首页!$B$10,PI()*B901/2),PI()*B901/2)</f>
        <v>55.2</v>
      </c>
      <c r="N901" s="7">
        <f>IF(首页!$B$13="强制对流",首页!$B$11*M901/H901,0)</f>
        <v>0</v>
      </c>
      <c r="O901" s="6">
        <f>IF(首页!$B$13="自然对流",IF(首页!$B$14="立式圆筒",(0.825+0.3063*I901^(1/6))^2+0.87*(M901/B901),(0.752+0.303*I901^(1/6))^2),0.3+SQRT((0.592*N901^0.5)^2+(0.0262*N901^0.8/(1-0.5/N901^0.1))^2))</f>
        <v>10044.324657746616</v>
      </c>
      <c r="P901" s="6">
        <f t="shared" ref="P901:P964" si="131">0.0243+0.000078421*(G901-273)-0.000000020755*(G901-273)^2</f>
        <v>2.9510194925512497E-2</v>
      </c>
      <c r="Q901" s="6">
        <f t="shared" ref="Q901:Q964" si="132">O901*P901/M901</f>
        <v>5.3697459881383018</v>
      </c>
      <c r="R901" s="6">
        <f t="shared" ref="R901:R964" si="133">L901+Q901</f>
        <v>13.138479788640257</v>
      </c>
      <c r="S901" s="6">
        <f>B901*LN(B901/首页!$B$4)</f>
        <v>5.2932063267856222</v>
      </c>
      <c r="T901" s="6">
        <f>2*首页!$B$8*(E901-C901)/(R901*(C901-D901))</f>
        <v>7.1024799653279944E-2</v>
      </c>
      <c r="U901" t="str">
        <f>IF(首页!$B$13="自然对流","按自然对流公式", "按强制对流公式")</f>
        <v>按自然对流公式</v>
      </c>
      <c r="V901" s="6">
        <f t="shared" ref="V901:V964" si="134">ABS(S901-T901)</f>
        <v>5.2221815271323422</v>
      </c>
    </row>
    <row r="902" spans="1:22" x14ac:dyDescent="0.15">
      <c r="A902">
        <v>897</v>
      </c>
      <c r="B902" s="6">
        <f>首页!$B$4+2*A902/1000</f>
        <v>1.9140000000000001</v>
      </c>
      <c r="C902" s="6">
        <f>首页!$B$7+273.15</f>
        <v>388.15</v>
      </c>
      <c r="D902" s="6">
        <f>首页!$B$6+273.15</f>
        <v>293.14999999999998</v>
      </c>
      <c r="E902" s="6">
        <f>首页!$B$5+273.15</f>
        <v>1373.15</v>
      </c>
      <c r="F902" s="6">
        <f t="shared" si="126"/>
        <v>95</v>
      </c>
      <c r="G902" s="6">
        <f t="shared" si="127"/>
        <v>340.65</v>
      </c>
      <c r="H902" s="6">
        <f t="shared" si="128"/>
        <v>1.9926207055139041E-5</v>
      </c>
      <c r="I902" s="7">
        <f t="shared" si="129"/>
        <v>1158916576932337.8</v>
      </c>
      <c r="J902" s="6">
        <f t="shared" si="130"/>
        <v>1.0226038455893147</v>
      </c>
      <c r="K902" s="7">
        <f>J902*H902*首页!$B$12/P902</f>
        <v>0.69532757496605813</v>
      </c>
      <c r="L902" s="6">
        <f>首页!$B$9*0.0000000567*((C902^4-D902^4)/(C902-D902))</f>
        <v>7.7687338005019564</v>
      </c>
      <c r="M902" s="6">
        <f>IF(首页!$B$13="自然对流",IF(首页!$B$14="立式圆筒",首页!$B$10,PI()*B902/2),PI()*B902/2)</f>
        <v>55.2</v>
      </c>
      <c r="N902" s="7">
        <f>IF(首页!$B$13="强制对流",首页!$B$11*M902/H902,0)</f>
        <v>0</v>
      </c>
      <c r="O902" s="6">
        <f>IF(首页!$B$13="自然对流",IF(首页!$B$14="立式圆筒",(0.825+0.3063*I902^(1/6))^2+0.87*(M902/B902),(0.752+0.303*I902^(1/6))^2),0.3+SQRT((0.592*N902^0.5)^2+(0.0262*N902^0.8/(1-0.5/N902^0.1))^2))</f>
        <v>10044.29841202581</v>
      </c>
      <c r="P902" s="6">
        <f t="shared" si="131"/>
        <v>2.9510194925512497E-2</v>
      </c>
      <c r="Q902" s="6">
        <f t="shared" si="132"/>
        <v>5.3697319570452402</v>
      </c>
      <c r="R902" s="6">
        <f t="shared" si="133"/>
        <v>13.138465757547197</v>
      </c>
      <c r="S902" s="6">
        <f>B902*LN(B902/首页!$B$4)</f>
        <v>5.3007441991478537</v>
      </c>
      <c r="T902" s="6">
        <f>2*首页!$B$8*(E902-C902)/(R902*(C902-D902))</f>
        <v>7.102487550350417E-2</v>
      </c>
      <c r="U902" t="str">
        <f>IF(首页!$B$13="自然对流","按自然对流公式", "按强制对流公式")</f>
        <v>按自然对流公式</v>
      </c>
      <c r="V902" s="6">
        <f t="shared" si="134"/>
        <v>5.2297193236443498</v>
      </c>
    </row>
    <row r="903" spans="1:22" x14ac:dyDescent="0.15">
      <c r="A903">
        <v>898</v>
      </c>
      <c r="B903" s="6">
        <f>首页!$B$4+2*A903/1000</f>
        <v>1.9159999999999999</v>
      </c>
      <c r="C903" s="6">
        <f>首页!$B$7+273.15</f>
        <v>388.15</v>
      </c>
      <c r="D903" s="6">
        <f>首页!$B$6+273.15</f>
        <v>293.14999999999998</v>
      </c>
      <c r="E903" s="6">
        <f>首页!$B$5+273.15</f>
        <v>1373.15</v>
      </c>
      <c r="F903" s="6">
        <f t="shared" si="126"/>
        <v>95</v>
      </c>
      <c r="G903" s="6">
        <f t="shared" si="127"/>
        <v>340.65</v>
      </c>
      <c r="H903" s="6">
        <f t="shared" si="128"/>
        <v>1.9926207055139041E-5</v>
      </c>
      <c r="I903" s="7">
        <f t="shared" si="129"/>
        <v>1158916576932337.8</v>
      </c>
      <c r="J903" s="6">
        <f t="shared" si="130"/>
        <v>1.0226038455893147</v>
      </c>
      <c r="K903" s="7">
        <f>J903*H903*首页!$B$12/P903</f>
        <v>0.69532757496605813</v>
      </c>
      <c r="L903" s="6">
        <f>首页!$B$9*0.0000000567*((C903^4-D903^4)/(C903-D903))</f>
        <v>7.7687338005019564</v>
      </c>
      <c r="M903" s="6">
        <f>IF(首页!$B$13="自然对流",IF(首页!$B$14="立式圆筒",首页!$B$10,PI()*B903/2),PI()*B903/2)</f>
        <v>55.2</v>
      </c>
      <c r="N903" s="7">
        <f>IF(首页!$B$13="强制对流",首页!$B$11*M903/H903,0)</f>
        <v>0</v>
      </c>
      <c r="O903" s="6">
        <f>IF(首页!$B$13="自然对流",IF(首页!$B$14="立式圆筒",(0.825+0.3063*I903^(1/6))^2+0.87*(M903/B903),(0.752+0.303*I903^(1/6))^2),0.3+SQRT((0.592*N903^0.5)^2+(0.0262*N903^0.8/(1-0.5/N903^0.1))^2))</f>
        <v>10044.272221097739</v>
      </c>
      <c r="P903" s="6">
        <f t="shared" si="131"/>
        <v>2.9510194925512497E-2</v>
      </c>
      <c r="Q903" s="6">
        <f t="shared" si="132"/>
        <v>5.3697179552446483</v>
      </c>
      <c r="R903" s="6">
        <f t="shared" si="133"/>
        <v>13.138451755746605</v>
      </c>
      <c r="S903" s="6">
        <f>B903*LN(B903/首页!$B$4)</f>
        <v>5.3082841613746234</v>
      </c>
      <c r="T903" s="6">
        <f>2*首页!$B$8*(E903-C903)/(R903*(C903-D903))</f>
        <v>7.1024951195538685E-2</v>
      </c>
      <c r="U903" t="str">
        <f>IF(首页!$B$13="自然对流","按自然对流公式", "按强制对流公式")</f>
        <v>按自然对流公式</v>
      </c>
      <c r="V903" s="6">
        <f t="shared" si="134"/>
        <v>5.2372592101790847</v>
      </c>
    </row>
    <row r="904" spans="1:22" x14ac:dyDescent="0.15">
      <c r="A904">
        <v>899</v>
      </c>
      <c r="B904" s="6">
        <f>首页!$B$4+2*A904/1000</f>
        <v>1.9180000000000001</v>
      </c>
      <c r="C904" s="6">
        <f>首页!$B$7+273.15</f>
        <v>388.15</v>
      </c>
      <c r="D904" s="6">
        <f>首页!$B$6+273.15</f>
        <v>293.14999999999998</v>
      </c>
      <c r="E904" s="6">
        <f>首页!$B$5+273.15</f>
        <v>1373.15</v>
      </c>
      <c r="F904" s="6">
        <f t="shared" si="126"/>
        <v>95</v>
      </c>
      <c r="G904" s="6">
        <f t="shared" si="127"/>
        <v>340.65</v>
      </c>
      <c r="H904" s="6">
        <f t="shared" si="128"/>
        <v>1.9926207055139041E-5</v>
      </c>
      <c r="I904" s="7">
        <f t="shared" si="129"/>
        <v>1158916576932337.8</v>
      </c>
      <c r="J904" s="6">
        <f t="shared" si="130"/>
        <v>1.0226038455893147</v>
      </c>
      <c r="K904" s="7">
        <f>J904*H904*首页!$B$12/P904</f>
        <v>0.69532757496605813</v>
      </c>
      <c r="L904" s="6">
        <f>首页!$B$9*0.0000000567*((C904^4-D904^4)/(C904-D904))</f>
        <v>7.7687338005019564</v>
      </c>
      <c r="M904" s="6">
        <f>IF(首页!$B$13="自然对流",IF(首页!$B$14="立式圆筒",首页!$B$10,PI()*B904/2),PI()*B904/2)</f>
        <v>55.2</v>
      </c>
      <c r="N904" s="7">
        <f>IF(首页!$B$13="强制对流",首页!$B$11*M904/H904,0)</f>
        <v>0</v>
      </c>
      <c r="O904" s="6">
        <f>IF(首页!$B$13="自然对流",IF(首页!$B$14="立式圆筒",(0.825+0.3063*I904^(1/6))^2+0.87*(M904/B904),(0.752+0.303*I904^(1/6))^2),0.3+SQRT((0.592*N904^0.5)^2+(0.0262*N904^0.8/(1-0.5/N904^0.1))^2))</f>
        <v>10044.246084791001</v>
      </c>
      <c r="P904" s="6">
        <f t="shared" si="131"/>
        <v>2.9510194925512497E-2</v>
      </c>
      <c r="Q904" s="6">
        <f t="shared" si="132"/>
        <v>5.3697039826448938</v>
      </c>
      <c r="R904" s="6">
        <f t="shared" si="133"/>
        <v>13.13843778314685</v>
      </c>
      <c r="S904" s="6">
        <f>B904*LN(B904/首页!$B$4)</f>
        <v>5.3158262112844463</v>
      </c>
      <c r="T904" s="6">
        <f>2*首页!$B$8*(E904-C904)/(R904*(C904-D904))</f>
        <v>7.1025026729877858E-2</v>
      </c>
      <c r="U904" t="str">
        <f>IF(首页!$B$13="自然对流","按自然对流公式", "按强制对流公式")</f>
        <v>按自然对流公式</v>
      </c>
      <c r="V904" s="6">
        <f t="shared" si="134"/>
        <v>5.2448011845545688</v>
      </c>
    </row>
    <row r="905" spans="1:22" x14ac:dyDescent="0.15">
      <c r="A905">
        <v>900</v>
      </c>
      <c r="B905" s="6">
        <f>首页!$B$4+2*A905/1000</f>
        <v>1.92</v>
      </c>
      <c r="C905" s="6">
        <f>首页!$B$7+273.15</f>
        <v>388.15</v>
      </c>
      <c r="D905" s="6">
        <f>首页!$B$6+273.15</f>
        <v>293.14999999999998</v>
      </c>
      <c r="E905" s="6">
        <f>首页!$B$5+273.15</f>
        <v>1373.15</v>
      </c>
      <c r="F905" s="6">
        <f t="shared" si="126"/>
        <v>95</v>
      </c>
      <c r="G905" s="6">
        <f t="shared" si="127"/>
        <v>340.65</v>
      </c>
      <c r="H905" s="6">
        <f t="shared" si="128"/>
        <v>1.9926207055139041E-5</v>
      </c>
      <c r="I905" s="7">
        <f t="shared" si="129"/>
        <v>1158916576932337.8</v>
      </c>
      <c r="J905" s="6">
        <f t="shared" si="130"/>
        <v>1.0226038455893147</v>
      </c>
      <c r="K905" s="7">
        <f>J905*H905*首页!$B$12/P905</f>
        <v>0.69532757496605813</v>
      </c>
      <c r="L905" s="6">
        <f>首页!$B$9*0.0000000567*((C905^4-D905^4)/(C905-D905))</f>
        <v>7.7687338005019564</v>
      </c>
      <c r="M905" s="6">
        <f>IF(首页!$B$13="自然对流",IF(首页!$B$14="立式圆筒",首页!$B$10,PI()*B905/2),PI()*B905/2)</f>
        <v>55.2</v>
      </c>
      <c r="N905" s="7">
        <f>IF(首页!$B$13="强制对流",首页!$B$11*M905/H905,0)</f>
        <v>0</v>
      </c>
      <c r="O905" s="6">
        <f>IF(首页!$B$13="自然对流",IF(首页!$B$14="立式圆筒",(0.825+0.3063*I905^(1/6))^2+0.87*(M905/B905),(0.752+0.303*I905^(1/6))^2),0.3+SQRT((0.592*N905^0.5)^2+(0.0262*N905^0.8/(1-0.5/N905^0.1))^2))</f>
        <v>10044.220002934901</v>
      </c>
      <c r="P905" s="6">
        <f t="shared" si="131"/>
        <v>2.9510194925512497E-2</v>
      </c>
      <c r="Q905" s="6">
        <f t="shared" si="132"/>
        <v>5.3696900391547215</v>
      </c>
      <c r="R905" s="6">
        <f t="shared" si="133"/>
        <v>13.138423839656678</v>
      </c>
      <c r="S905" s="6">
        <f>B905*LN(B905/首页!$B$4)</f>
        <v>5.3233703467003792</v>
      </c>
      <c r="T905" s="6">
        <f>2*首页!$B$8*(E905-C905)/(R905*(C905-D905))</f>
        <v>7.1025102107013974E-2</v>
      </c>
      <c r="U905" t="str">
        <f>IF(首页!$B$13="自然对流","按自然对流公式", "按强制对流公式")</f>
        <v>按自然对流公式</v>
      </c>
      <c r="V905" s="6">
        <f t="shared" si="134"/>
        <v>5.2523452445933652</v>
      </c>
    </row>
    <row r="906" spans="1:22" x14ac:dyDescent="0.15">
      <c r="A906">
        <v>901</v>
      </c>
      <c r="B906" s="6">
        <f>首页!$B$4+2*A906/1000</f>
        <v>1.9220000000000002</v>
      </c>
      <c r="C906" s="6">
        <f>首页!$B$7+273.15</f>
        <v>388.15</v>
      </c>
      <c r="D906" s="6">
        <f>首页!$B$6+273.15</f>
        <v>293.14999999999998</v>
      </c>
      <c r="E906" s="6">
        <f>首页!$B$5+273.15</f>
        <v>1373.15</v>
      </c>
      <c r="F906" s="6">
        <f t="shared" si="126"/>
        <v>95</v>
      </c>
      <c r="G906" s="6">
        <f t="shared" si="127"/>
        <v>340.65</v>
      </c>
      <c r="H906" s="6">
        <f t="shared" si="128"/>
        <v>1.9926207055139041E-5</v>
      </c>
      <c r="I906" s="7">
        <f t="shared" si="129"/>
        <v>1158916576932337.8</v>
      </c>
      <c r="J906" s="6">
        <f t="shared" si="130"/>
        <v>1.0226038455893147</v>
      </c>
      <c r="K906" s="7">
        <f>J906*H906*首页!$B$12/P906</f>
        <v>0.69532757496605813</v>
      </c>
      <c r="L906" s="6">
        <f>首页!$B$9*0.0000000567*((C906^4-D906^4)/(C906-D906))</f>
        <v>7.7687338005019564</v>
      </c>
      <c r="M906" s="6">
        <f>IF(首页!$B$13="自然对流",IF(首页!$B$14="立式圆筒",首页!$B$10,PI()*B906/2),PI()*B906/2)</f>
        <v>55.2</v>
      </c>
      <c r="N906" s="7">
        <f>IF(首页!$B$13="强制对流",首页!$B$11*M906/H906,0)</f>
        <v>0</v>
      </c>
      <c r="O906" s="6">
        <f>IF(首页!$B$13="自然对流",IF(首页!$B$14="立式圆筒",(0.825+0.3063*I906^(1/6))^2+0.87*(M906/B906),(0.752+0.303*I906^(1/6))^2),0.3+SQRT((0.592*N906^0.5)^2+(0.0262*N906^0.8/(1-0.5/N906^0.1))^2))</f>
        <v>10044.193975359458</v>
      </c>
      <c r="P906" s="6">
        <f t="shared" si="131"/>
        <v>2.9510194925512497E-2</v>
      </c>
      <c r="Q906" s="6">
        <f t="shared" si="132"/>
        <v>5.3696761246832585</v>
      </c>
      <c r="R906" s="6">
        <f t="shared" si="133"/>
        <v>13.138409925185215</v>
      </c>
      <c r="S906" s="6">
        <f>B906*LN(B906/首页!$B$4)</f>
        <v>5.3309165654500257</v>
      </c>
      <c r="T906" s="6">
        <f>2*首页!$B$8*(E906-C906)/(R906*(C906-D906))</f>
        <v>7.1025177327437308E-2</v>
      </c>
      <c r="U906" t="str">
        <f>IF(首页!$B$13="自然对流","按自然对流公式", "按强制对流公式")</f>
        <v>按自然对流公式</v>
      </c>
      <c r="V906" s="6">
        <f t="shared" si="134"/>
        <v>5.2598913881225879</v>
      </c>
    </row>
    <row r="907" spans="1:22" x14ac:dyDescent="0.15">
      <c r="A907">
        <v>902</v>
      </c>
      <c r="B907" s="6">
        <f>首页!$B$4+2*A907/1000</f>
        <v>1.9239999999999999</v>
      </c>
      <c r="C907" s="6">
        <f>首页!$B$7+273.15</f>
        <v>388.15</v>
      </c>
      <c r="D907" s="6">
        <f>首页!$B$6+273.15</f>
        <v>293.14999999999998</v>
      </c>
      <c r="E907" s="6">
        <f>首页!$B$5+273.15</f>
        <v>1373.15</v>
      </c>
      <c r="F907" s="6">
        <f t="shared" si="126"/>
        <v>95</v>
      </c>
      <c r="G907" s="6">
        <f t="shared" si="127"/>
        <v>340.65</v>
      </c>
      <c r="H907" s="6">
        <f t="shared" si="128"/>
        <v>1.9926207055139041E-5</v>
      </c>
      <c r="I907" s="7">
        <f t="shared" si="129"/>
        <v>1158916576932337.8</v>
      </c>
      <c r="J907" s="6">
        <f t="shared" si="130"/>
        <v>1.0226038455893147</v>
      </c>
      <c r="K907" s="7">
        <f>J907*H907*首页!$B$12/P907</f>
        <v>0.69532757496605813</v>
      </c>
      <c r="L907" s="6">
        <f>首页!$B$9*0.0000000567*((C907^4-D907^4)/(C907-D907))</f>
        <v>7.7687338005019564</v>
      </c>
      <c r="M907" s="6">
        <f>IF(首页!$B$13="自然对流",IF(首页!$B$14="立式圆筒",首页!$B$10,PI()*B907/2),PI()*B907/2)</f>
        <v>55.2</v>
      </c>
      <c r="N907" s="7">
        <f>IF(首页!$B$13="强制对流",首页!$B$11*M907/H907,0)</f>
        <v>0</v>
      </c>
      <c r="O907" s="6">
        <f>IF(首页!$B$13="自然对流",IF(首页!$B$14="立式圆筒",(0.825+0.3063*I907^(1/6))^2+0.87*(M907/B907),(0.752+0.303*I907^(1/6))^2),0.3+SQRT((0.592*N907^0.5)^2+(0.0262*N907^0.8/(1-0.5/N907^0.1))^2))</f>
        <v>10044.168001895399</v>
      </c>
      <c r="P907" s="6">
        <f t="shared" si="131"/>
        <v>2.9510194925512497E-2</v>
      </c>
      <c r="Q907" s="6">
        <f t="shared" si="132"/>
        <v>5.3696622391400108</v>
      </c>
      <c r="R907" s="6">
        <f t="shared" si="133"/>
        <v>13.138396039641968</v>
      </c>
      <c r="S907" s="6">
        <f>B907*LN(B907/首页!$B$4)</f>
        <v>5.3384648653654976</v>
      </c>
      <c r="T907" s="6">
        <f>2*首页!$B$8*(E907-C907)/(R907*(C907-D907))</f>
        <v>7.102525239163604E-2</v>
      </c>
      <c r="U907" t="str">
        <f>IF(首页!$B$13="自然对流","按自然对流公式", "按强制对流公式")</f>
        <v>按自然对流公式</v>
      </c>
      <c r="V907" s="6">
        <f t="shared" si="134"/>
        <v>5.2674396129738614</v>
      </c>
    </row>
    <row r="908" spans="1:22" x14ac:dyDescent="0.15">
      <c r="A908">
        <v>903</v>
      </c>
      <c r="B908" s="6">
        <f>首页!$B$4+2*A908/1000</f>
        <v>1.9260000000000002</v>
      </c>
      <c r="C908" s="6">
        <f>首页!$B$7+273.15</f>
        <v>388.15</v>
      </c>
      <c r="D908" s="6">
        <f>首页!$B$6+273.15</f>
        <v>293.14999999999998</v>
      </c>
      <c r="E908" s="6">
        <f>首页!$B$5+273.15</f>
        <v>1373.15</v>
      </c>
      <c r="F908" s="6">
        <f t="shared" si="126"/>
        <v>95</v>
      </c>
      <c r="G908" s="6">
        <f t="shared" si="127"/>
        <v>340.65</v>
      </c>
      <c r="H908" s="6">
        <f t="shared" si="128"/>
        <v>1.9926207055139041E-5</v>
      </c>
      <c r="I908" s="7">
        <f t="shared" si="129"/>
        <v>1158916576932337.8</v>
      </c>
      <c r="J908" s="6">
        <f t="shared" si="130"/>
        <v>1.0226038455893147</v>
      </c>
      <c r="K908" s="7">
        <f>J908*H908*首页!$B$12/P908</f>
        <v>0.69532757496605813</v>
      </c>
      <c r="L908" s="6">
        <f>首页!$B$9*0.0000000567*((C908^4-D908^4)/(C908-D908))</f>
        <v>7.7687338005019564</v>
      </c>
      <c r="M908" s="6">
        <f>IF(首页!$B$13="自然对流",IF(首页!$B$14="立式圆筒",首页!$B$10,PI()*B908/2),PI()*B908/2)</f>
        <v>55.2</v>
      </c>
      <c r="N908" s="7">
        <f>IF(首页!$B$13="强制对流",首页!$B$11*M908/H908,0)</f>
        <v>0</v>
      </c>
      <c r="O908" s="6">
        <f>IF(首页!$B$13="自然对流",IF(首页!$B$14="立式圆筒",(0.825+0.3063*I908^(1/6))^2+0.87*(M908/B908),(0.752+0.303*I908^(1/6))^2),0.3+SQRT((0.592*N908^0.5)^2+(0.0262*N908^0.8/(1-0.5/N908^0.1))^2))</f>
        <v>10044.142082374152</v>
      </c>
      <c r="P908" s="6">
        <f t="shared" si="131"/>
        <v>2.9510194925512497E-2</v>
      </c>
      <c r="Q908" s="6">
        <f t="shared" si="132"/>
        <v>5.3696483824348586</v>
      </c>
      <c r="R908" s="6">
        <f t="shared" si="133"/>
        <v>13.138382182936816</v>
      </c>
      <c r="S908" s="6">
        <f>B908*LN(B908/首页!$B$4)</f>
        <v>5.3460152442834241</v>
      </c>
      <c r="T908" s="6">
        <f>2*首页!$B$8*(E908-C908)/(R908*(C908-D908))</f>
        <v>7.1025327300096378E-2</v>
      </c>
      <c r="U908" t="str">
        <f>IF(首页!$B$13="自然对流","按自然对流公式", "按强制对流公式")</f>
        <v>按自然对流公式</v>
      </c>
      <c r="V908" s="6">
        <f t="shared" si="134"/>
        <v>5.2749899169833281</v>
      </c>
    </row>
    <row r="909" spans="1:22" x14ac:dyDescent="0.15">
      <c r="A909">
        <v>904</v>
      </c>
      <c r="B909" s="6">
        <f>首页!$B$4+2*A909/1000</f>
        <v>1.9279999999999999</v>
      </c>
      <c r="C909" s="6">
        <f>首页!$B$7+273.15</f>
        <v>388.15</v>
      </c>
      <c r="D909" s="6">
        <f>首页!$B$6+273.15</f>
        <v>293.14999999999998</v>
      </c>
      <c r="E909" s="6">
        <f>首页!$B$5+273.15</f>
        <v>1373.15</v>
      </c>
      <c r="F909" s="6">
        <f t="shared" si="126"/>
        <v>95</v>
      </c>
      <c r="G909" s="6">
        <f t="shared" si="127"/>
        <v>340.65</v>
      </c>
      <c r="H909" s="6">
        <f t="shared" si="128"/>
        <v>1.9926207055139041E-5</v>
      </c>
      <c r="I909" s="7">
        <f t="shared" si="129"/>
        <v>1158916576932337.8</v>
      </c>
      <c r="J909" s="6">
        <f t="shared" si="130"/>
        <v>1.0226038455893147</v>
      </c>
      <c r="K909" s="7">
        <f>J909*H909*首页!$B$12/P909</f>
        <v>0.69532757496605813</v>
      </c>
      <c r="L909" s="6">
        <f>首页!$B$9*0.0000000567*((C909^4-D909^4)/(C909-D909))</f>
        <v>7.7687338005019564</v>
      </c>
      <c r="M909" s="6">
        <f>IF(首页!$B$13="自然对流",IF(首页!$B$14="立式圆筒",首页!$B$10,PI()*B909/2),PI()*B909/2)</f>
        <v>55.2</v>
      </c>
      <c r="N909" s="7">
        <f>IF(首页!$B$13="强制对流",首页!$B$11*M909/H909,0)</f>
        <v>0</v>
      </c>
      <c r="O909" s="6">
        <f>IF(首页!$B$13="自然对流",IF(首页!$B$14="立式圆筒",(0.825+0.3063*I909^(1/6))^2+0.87*(M909/B909),(0.752+0.303*I909^(1/6))^2),0.3+SQRT((0.592*N909^0.5)^2+(0.0262*N909^0.8/(1-0.5/N909^0.1))^2))</f>
        <v>10044.116216627846</v>
      </c>
      <c r="P909" s="6">
        <f t="shared" si="131"/>
        <v>2.9510194925512497E-2</v>
      </c>
      <c r="Q909" s="6">
        <f t="shared" si="132"/>
        <v>5.3696345544780586</v>
      </c>
      <c r="R909" s="6">
        <f t="shared" si="133"/>
        <v>13.138368354980015</v>
      </c>
      <c r="S909" s="6">
        <f>B909*LN(B909/首页!$B$4)</f>
        <v>5.3535677000449216</v>
      </c>
      <c r="T909" s="6">
        <f>2*首页!$B$8*(E909-C909)/(R909*(C909-D909))</f>
        <v>7.1025402053302503E-2</v>
      </c>
      <c r="U909" t="str">
        <f>IF(首页!$B$13="自然对流","按自然对流公式", "按强制对流公式")</f>
        <v>按自然对流公式</v>
      </c>
      <c r="V909" s="6">
        <f t="shared" si="134"/>
        <v>5.2825422979916192</v>
      </c>
    </row>
    <row r="910" spans="1:22" x14ac:dyDescent="0.15">
      <c r="A910">
        <v>905</v>
      </c>
      <c r="B910" s="6">
        <f>首页!$B$4+2*A910/1000</f>
        <v>1.9300000000000002</v>
      </c>
      <c r="C910" s="6">
        <f>首页!$B$7+273.15</f>
        <v>388.15</v>
      </c>
      <c r="D910" s="6">
        <f>首页!$B$6+273.15</f>
        <v>293.14999999999998</v>
      </c>
      <c r="E910" s="6">
        <f>首页!$B$5+273.15</f>
        <v>1373.15</v>
      </c>
      <c r="F910" s="6">
        <f t="shared" si="126"/>
        <v>95</v>
      </c>
      <c r="G910" s="6">
        <f t="shared" si="127"/>
        <v>340.65</v>
      </c>
      <c r="H910" s="6">
        <f t="shared" si="128"/>
        <v>1.9926207055139041E-5</v>
      </c>
      <c r="I910" s="7">
        <f t="shared" si="129"/>
        <v>1158916576932337.8</v>
      </c>
      <c r="J910" s="6">
        <f t="shared" si="130"/>
        <v>1.0226038455893147</v>
      </c>
      <c r="K910" s="7">
        <f>J910*H910*首页!$B$12/P910</f>
        <v>0.69532757496605813</v>
      </c>
      <c r="L910" s="6">
        <f>首页!$B$9*0.0000000567*((C910^4-D910^4)/(C910-D910))</f>
        <v>7.7687338005019564</v>
      </c>
      <c r="M910" s="6">
        <f>IF(首页!$B$13="自然对流",IF(首页!$B$14="立式圆筒",首页!$B$10,PI()*B910/2),PI()*B910/2)</f>
        <v>55.2</v>
      </c>
      <c r="N910" s="7">
        <f>IF(首页!$B$13="强制对流",首页!$B$11*M910/H910,0)</f>
        <v>0</v>
      </c>
      <c r="O910" s="6">
        <f>IF(首页!$B$13="自然对流",IF(首页!$B$14="立式圆筒",(0.825+0.3063*I910^(1/6))^2+0.87*(M910/B910),(0.752+0.303*I910^(1/6))^2),0.3+SQRT((0.592*N910^0.5)^2+(0.0262*N910^0.8/(1-0.5/N910^0.1))^2))</f>
        <v>10044.090404489303</v>
      </c>
      <c r="P910" s="6">
        <f t="shared" si="131"/>
        <v>2.9510194925512497E-2</v>
      </c>
      <c r="Q910" s="6">
        <f t="shared" si="132"/>
        <v>5.3696207551802351</v>
      </c>
      <c r="R910" s="6">
        <f t="shared" si="133"/>
        <v>13.138354555682191</v>
      </c>
      <c r="S910" s="6">
        <f>B910*LN(B910/首页!$B$4)</f>
        <v>5.3611222304955888</v>
      </c>
      <c r="T910" s="6">
        <f>2*首页!$B$8*(E910-C910)/(R910*(C910-D910))</f>
        <v>7.1025476651736558E-2</v>
      </c>
      <c r="U910" t="str">
        <f>IF(首页!$B$13="自然对流","按自然对流公式", "按强制对流公式")</f>
        <v>按自然对流公式</v>
      </c>
      <c r="V910" s="6">
        <f t="shared" si="134"/>
        <v>5.2900967538438524</v>
      </c>
    </row>
    <row r="911" spans="1:22" x14ac:dyDescent="0.15">
      <c r="A911">
        <v>906</v>
      </c>
      <c r="B911" s="6">
        <f>首页!$B$4+2*A911/1000</f>
        <v>1.9319999999999999</v>
      </c>
      <c r="C911" s="6">
        <f>首页!$B$7+273.15</f>
        <v>388.15</v>
      </c>
      <c r="D911" s="6">
        <f>首页!$B$6+273.15</f>
        <v>293.14999999999998</v>
      </c>
      <c r="E911" s="6">
        <f>首页!$B$5+273.15</f>
        <v>1373.15</v>
      </c>
      <c r="F911" s="6">
        <f t="shared" si="126"/>
        <v>95</v>
      </c>
      <c r="G911" s="6">
        <f t="shared" si="127"/>
        <v>340.65</v>
      </c>
      <c r="H911" s="6">
        <f t="shared" si="128"/>
        <v>1.9926207055139041E-5</v>
      </c>
      <c r="I911" s="7">
        <f t="shared" si="129"/>
        <v>1158916576932337.8</v>
      </c>
      <c r="J911" s="6">
        <f t="shared" si="130"/>
        <v>1.0226038455893147</v>
      </c>
      <c r="K911" s="7">
        <f>J911*H911*首页!$B$12/P911</f>
        <v>0.69532757496605813</v>
      </c>
      <c r="L911" s="6">
        <f>首页!$B$9*0.0000000567*((C911^4-D911^4)/(C911-D911))</f>
        <v>7.7687338005019564</v>
      </c>
      <c r="M911" s="6">
        <f>IF(首页!$B$13="自然对流",IF(首页!$B$14="立式圆筒",首页!$B$10,PI()*B911/2),PI()*B911/2)</f>
        <v>55.2</v>
      </c>
      <c r="N911" s="7">
        <f>IF(首页!$B$13="强制对流",首页!$B$11*M911/H911,0)</f>
        <v>0</v>
      </c>
      <c r="O911" s="6">
        <f>IF(首页!$B$13="自然对流",IF(首页!$B$14="立式圆筒",(0.825+0.3063*I911^(1/6))^2+0.87*(M911/B911),(0.752+0.303*I911^(1/6))^2),0.3+SQRT((0.592*N911^0.5)^2+(0.0262*N911^0.8/(1-0.5/N911^0.1))^2))</f>
        <v>10044.064645792043</v>
      </c>
      <c r="P911" s="6">
        <f t="shared" si="131"/>
        <v>2.9510194925512497E-2</v>
      </c>
      <c r="Q911" s="6">
        <f t="shared" si="132"/>
        <v>5.3696069844523873</v>
      </c>
      <c r="R911" s="6">
        <f t="shared" si="133"/>
        <v>13.138340784954345</v>
      </c>
      <c r="S911" s="6">
        <f>B911*LN(B911/首页!$B$4)</f>
        <v>5.368678833485486</v>
      </c>
      <c r="T911" s="6">
        <f>2*首页!$B$8*(E911-C911)/(R911*(C911-D911))</f>
        <v>7.1025551095878728E-2</v>
      </c>
      <c r="U911" t="str">
        <f>IF(首页!$B$13="自然对流","按自然对流公式", "按强制对流公式")</f>
        <v>按自然对流公式</v>
      </c>
      <c r="V911" s="6">
        <f t="shared" si="134"/>
        <v>5.2976532823896072</v>
      </c>
    </row>
    <row r="912" spans="1:22" x14ac:dyDescent="0.15">
      <c r="A912">
        <v>907</v>
      </c>
      <c r="B912" s="6">
        <f>首页!$B$4+2*A912/1000</f>
        <v>1.9340000000000002</v>
      </c>
      <c r="C912" s="6">
        <f>首页!$B$7+273.15</f>
        <v>388.15</v>
      </c>
      <c r="D912" s="6">
        <f>首页!$B$6+273.15</f>
        <v>293.14999999999998</v>
      </c>
      <c r="E912" s="6">
        <f>首页!$B$5+273.15</f>
        <v>1373.15</v>
      </c>
      <c r="F912" s="6">
        <f t="shared" si="126"/>
        <v>95</v>
      </c>
      <c r="G912" s="6">
        <f t="shared" si="127"/>
        <v>340.65</v>
      </c>
      <c r="H912" s="6">
        <f t="shared" si="128"/>
        <v>1.9926207055139041E-5</v>
      </c>
      <c r="I912" s="7">
        <f t="shared" si="129"/>
        <v>1158916576932337.8</v>
      </c>
      <c r="J912" s="6">
        <f t="shared" si="130"/>
        <v>1.0226038455893147</v>
      </c>
      <c r="K912" s="7">
        <f>J912*H912*首页!$B$12/P912</f>
        <v>0.69532757496605813</v>
      </c>
      <c r="L912" s="6">
        <f>首页!$B$9*0.0000000567*((C912^4-D912^4)/(C912-D912))</f>
        <v>7.7687338005019564</v>
      </c>
      <c r="M912" s="6">
        <f>IF(首页!$B$13="自然对流",IF(首页!$B$14="立式圆筒",首页!$B$10,PI()*B912/2),PI()*B912/2)</f>
        <v>55.2</v>
      </c>
      <c r="N912" s="7">
        <f>IF(首页!$B$13="强制对流",首页!$B$11*M912/H912,0)</f>
        <v>0</v>
      </c>
      <c r="O912" s="6">
        <f>IF(首页!$B$13="自然对流",IF(首页!$B$14="立式圆筒",(0.825+0.3063*I912^(1/6))^2+0.87*(M912/B912),(0.752+0.303*I912^(1/6))^2),0.3+SQRT((0.592*N912^0.5)^2+(0.0262*N912^0.8/(1-0.5/N912^0.1))^2))</f>
        <v>10044.038940370267</v>
      </c>
      <c r="P912" s="6">
        <f t="shared" si="131"/>
        <v>2.9510194925512497E-2</v>
      </c>
      <c r="Q912" s="6">
        <f t="shared" si="132"/>
        <v>5.3695932422058794</v>
      </c>
      <c r="R912" s="6">
        <f t="shared" si="133"/>
        <v>13.138327042707836</v>
      </c>
      <c r="S912" s="6">
        <f>B912*LN(B912/首页!$B$4)</f>
        <v>5.3762375068691295</v>
      </c>
      <c r="T912" s="6">
        <f>2*首页!$B$8*(E912-C912)/(R912*(C912-D912))</f>
        <v>7.10256253862072E-2</v>
      </c>
      <c r="U912" t="str">
        <f>IF(首页!$B$13="自然对流","按自然对流公式", "按强制对流公式")</f>
        <v>按自然对流公式</v>
      </c>
      <c r="V912" s="6">
        <f t="shared" si="134"/>
        <v>5.3052118814829221</v>
      </c>
    </row>
    <row r="913" spans="1:22" x14ac:dyDescent="0.15">
      <c r="A913">
        <v>908</v>
      </c>
      <c r="B913" s="6">
        <f>首页!$B$4+2*A913/1000</f>
        <v>1.9359999999999999</v>
      </c>
      <c r="C913" s="6">
        <f>首页!$B$7+273.15</f>
        <v>388.15</v>
      </c>
      <c r="D913" s="6">
        <f>首页!$B$6+273.15</f>
        <v>293.14999999999998</v>
      </c>
      <c r="E913" s="6">
        <f>首页!$B$5+273.15</f>
        <v>1373.15</v>
      </c>
      <c r="F913" s="6">
        <f t="shared" si="126"/>
        <v>95</v>
      </c>
      <c r="G913" s="6">
        <f t="shared" si="127"/>
        <v>340.65</v>
      </c>
      <c r="H913" s="6">
        <f t="shared" si="128"/>
        <v>1.9926207055139041E-5</v>
      </c>
      <c r="I913" s="7">
        <f t="shared" si="129"/>
        <v>1158916576932337.8</v>
      </c>
      <c r="J913" s="6">
        <f t="shared" si="130"/>
        <v>1.0226038455893147</v>
      </c>
      <c r="K913" s="7">
        <f>J913*H913*首页!$B$12/P913</f>
        <v>0.69532757496605813</v>
      </c>
      <c r="L913" s="6">
        <f>首页!$B$9*0.0000000567*((C913^4-D913^4)/(C913-D913))</f>
        <v>7.7687338005019564</v>
      </c>
      <c r="M913" s="6">
        <f>IF(首页!$B$13="自然对流",IF(首页!$B$14="立式圆筒",首页!$B$10,PI()*B913/2),PI()*B913/2)</f>
        <v>55.2</v>
      </c>
      <c r="N913" s="7">
        <f>IF(首页!$B$13="强制对流",首页!$B$11*M913/H913,0)</f>
        <v>0</v>
      </c>
      <c r="O913" s="6">
        <f>IF(首页!$B$13="自然对流",IF(首页!$B$14="立式圆筒",(0.825+0.3063*I913^(1/6))^2+0.87*(M913/B913),(0.752+0.303*I913^(1/6))^2),0.3+SQRT((0.592*N913^0.5)^2+(0.0262*N913^0.8/(1-0.5/N913^0.1))^2))</f>
        <v>10044.013288058866</v>
      </c>
      <c r="P913" s="6">
        <f t="shared" si="131"/>
        <v>2.9510194925512497E-2</v>
      </c>
      <c r="Q913" s="6">
        <f t="shared" si="132"/>
        <v>5.3695795283524426</v>
      </c>
      <c r="R913" s="6">
        <f t="shared" si="133"/>
        <v>13.138313328854398</v>
      </c>
      <c r="S913" s="6">
        <f>B913*LN(B913/首页!$B$4)</f>
        <v>5.3837982485054656</v>
      </c>
      <c r="T913" s="6">
        <f>2*首页!$B$8*(E913-C913)/(R913*(C913-D913))</f>
        <v>7.1025699523198191E-2</v>
      </c>
      <c r="U913" t="str">
        <f>IF(首页!$B$13="自然对流","按自然对流公式", "按强制对流公式")</f>
        <v>按自然对流公式</v>
      </c>
      <c r="V913" s="6">
        <f t="shared" si="134"/>
        <v>5.3127725489822675</v>
      </c>
    </row>
    <row r="914" spans="1:22" x14ac:dyDescent="0.15">
      <c r="A914">
        <v>909</v>
      </c>
      <c r="B914" s="6">
        <f>首页!$B$4+2*A914/1000</f>
        <v>1.9380000000000002</v>
      </c>
      <c r="C914" s="6">
        <f>首页!$B$7+273.15</f>
        <v>388.15</v>
      </c>
      <c r="D914" s="6">
        <f>首页!$B$6+273.15</f>
        <v>293.14999999999998</v>
      </c>
      <c r="E914" s="6">
        <f>首页!$B$5+273.15</f>
        <v>1373.15</v>
      </c>
      <c r="F914" s="6">
        <f t="shared" si="126"/>
        <v>95</v>
      </c>
      <c r="G914" s="6">
        <f t="shared" si="127"/>
        <v>340.65</v>
      </c>
      <c r="H914" s="6">
        <f t="shared" si="128"/>
        <v>1.9926207055139041E-5</v>
      </c>
      <c r="I914" s="7">
        <f t="shared" si="129"/>
        <v>1158916576932337.8</v>
      </c>
      <c r="J914" s="6">
        <f t="shared" si="130"/>
        <v>1.0226038455893147</v>
      </c>
      <c r="K914" s="7">
        <f>J914*H914*首页!$B$12/P914</f>
        <v>0.69532757496605813</v>
      </c>
      <c r="L914" s="6">
        <f>首页!$B$9*0.0000000567*((C914^4-D914^4)/(C914-D914))</f>
        <v>7.7687338005019564</v>
      </c>
      <c r="M914" s="6">
        <f>IF(首页!$B$13="自然对流",IF(首页!$B$14="立式圆筒",首页!$B$10,PI()*B914/2),PI()*B914/2)</f>
        <v>55.2</v>
      </c>
      <c r="N914" s="7">
        <f>IF(首页!$B$13="强制对流",首页!$B$11*M914/H914,0)</f>
        <v>0</v>
      </c>
      <c r="O914" s="6">
        <f>IF(首页!$B$13="自然对流",IF(首页!$B$14="立式圆筒",(0.825+0.3063*I914^(1/6))^2+0.87*(M914/B914),(0.752+0.303*I914^(1/6))^2),0.3+SQRT((0.592*N914^0.5)^2+(0.0262*N914^0.8/(1-0.5/N914^0.1))^2))</f>
        <v>10043.987688693414</v>
      </c>
      <c r="P914" s="6">
        <f t="shared" si="131"/>
        <v>2.9510194925512497E-2</v>
      </c>
      <c r="Q914" s="6">
        <f t="shared" si="132"/>
        <v>5.3695658428041737</v>
      </c>
      <c r="R914" s="6">
        <f t="shared" si="133"/>
        <v>13.13829964330613</v>
      </c>
      <c r="S914" s="6">
        <f>B914*LN(B914/首页!$B$4)</f>
        <v>5.3913610562578747</v>
      </c>
      <c r="T914" s="6">
        <f>2*首页!$B$8*(E914-C914)/(R914*(C914-D914))</f>
        <v>7.1025773507325918E-2</v>
      </c>
      <c r="U914" t="str">
        <f>IF(首页!$B$13="自然对流","按自然对流公式", "按强制对流公式")</f>
        <v>按自然对流公式</v>
      </c>
      <c r="V914" s="6">
        <f t="shared" si="134"/>
        <v>5.3203352827505483</v>
      </c>
    </row>
    <row r="915" spans="1:22" x14ac:dyDescent="0.15">
      <c r="A915">
        <v>910</v>
      </c>
      <c r="B915" s="6">
        <f>首页!$B$4+2*A915/1000</f>
        <v>1.94</v>
      </c>
      <c r="C915" s="6">
        <f>首页!$B$7+273.15</f>
        <v>388.15</v>
      </c>
      <c r="D915" s="6">
        <f>首页!$B$6+273.15</f>
        <v>293.14999999999998</v>
      </c>
      <c r="E915" s="6">
        <f>首页!$B$5+273.15</f>
        <v>1373.15</v>
      </c>
      <c r="F915" s="6">
        <f t="shared" si="126"/>
        <v>95</v>
      </c>
      <c r="G915" s="6">
        <f t="shared" si="127"/>
        <v>340.65</v>
      </c>
      <c r="H915" s="6">
        <f t="shared" si="128"/>
        <v>1.9926207055139041E-5</v>
      </c>
      <c r="I915" s="7">
        <f t="shared" si="129"/>
        <v>1158916576932337.8</v>
      </c>
      <c r="J915" s="6">
        <f t="shared" si="130"/>
        <v>1.0226038455893147</v>
      </c>
      <c r="K915" s="7">
        <f>J915*H915*首页!$B$12/P915</f>
        <v>0.69532757496605813</v>
      </c>
      <c r="L915" s="6">
        <f>首页!$B$9*0.0000000567*((C915^4-D915^4)/(C915-D915))</f>
        <v>7.7687338005019564</v>
      </c>
      <c r="M915" s="6">
        <f>IF(首页!$B$13="自然对流",IF(首页!$B$14="立式圆筒",首页!$B$10,PI()*B915/2),PI()*B915/2)</f>
        <v>55.2</v>
      </c>
      <c r="N915" s="7">
        <f>IF(首页!$B$13="强制对流",首页!$B$11*M915/H915,0)</f>
        <v>0</v>
      </c>
      <c r="O915" s="6">
        <f>IF(首页!$B$13="自然对流",IF(首页!$B$14="立式圆筒",(0.825+0.3063*I915^(1/6))^2+0.87*(M915/B915),(0.752+0.303*I915^(1/6))^2),0.3+SQRT((0.592*N915^0.5)^2+(0.0262*N915^0.8/(1-0.5/N915^0.1))^2))</f>
        <v>10043.962142110158</v>
      </c>
      <c r="P915" s="6">
        <f t="shared" si="131"/>
        <v>2.9510194925512497E-2</v>
      </c>
      <c r="Q915" s="6">
        <f t="shared" si="132"/>
        <v>5.3695521854735286</v>
      </c>
      <c r="R915" s="6">
        <f t="shared" si="133"/>
        <v>13.138285985975486</v>
      </c>
      <c r="S915" s="6">
        <f>B915*LN(B915/首页!$B$4)</f>
        <v>5.398925927994136</v>
      </c>
      <c r="T915" s="6">
        <f>2*首页!$B$8*(E915-C915)/(R915*(C915-D915))</f>
        <v>7.1025847339062739E-2</v>
      </c>
      <c r="U915" t="str">
        <f>IF(首页!$B$13="自然对流","按自然对流公式", "按强制对流公式")</f>
        <v>按自然对流公式</v>
      </c>
      <c r="V915" s="6">
        <f t="shared" si="134"/>
        <v>5.3279000806550734</v>
      </c>
    </row>
    <row r="916" spans="1:22" x14ac:dyDescent="0.15">
      <c r="A916">
        <v>911</v>
      </c>
      <c r="B916" s="6">
        <f>首页!$B$4+2*A916/1000</f>
        <v>1.9420000000000002</v>
      </c>
      <c r="C916" s="6">
        <f>首页!$B$7+273.15</f>
        <v>388.15</v>
      </c>
      <c r="D916" s="6">
        <f>首页!$B$6+273.15</f>
        <v>293.14999999999998</v>
      </c>
      <c r="E916" s="6">
        <f>首页!$B$5+273.15</f>
        <v>1373.15</v>
      </c>
      <c r="F916" s="6">
        <f t="shared" si="126"/>
        <v>95</v>
      </c>
      <c r="G916" s="6">
        <f t="shared" si="127"/>
        <v>340.65</v>
      </c>
      <c r="H916" s="6">
        <f t="shared" si="128"/>
        <v>1.9926207055139041E-5</v>
      </c>
      <c r="I916" s="7">
        <f t="shared" si="129"/>
        <v>1158916576932337.8</v>
      </c>
      <c r="J916" s="6">
        <f t="shared" si="130"/>
        <v>1.0226038455893147</v>
      </c>
      <c r="K916" s="7">
        <f>J916*H916*首页!$B$12/P916</f>
        <v>0.69532757496605813</v>
      </c>
      <c r="L916" s="6">
        <f>首页!$B$9*0.0000000567*((C916^4-D916^4)/(C916-D916))</f>
        <v>7.7687338005019564</v>
      </c>
      <c r="M916" s="6">
        <f>IF(首页!$B$13="自然对流",IF(首页!$B$14="立式圆筒",首页!$B$10,PI()*B916/2),PI()*B916/2)</f>
        <v>55.2</v>
      </c>
      <c r="N916" s="7">
        <f>IF(首页!$B$13="强制对流",首页!$B$11*M916/H916,0)</f>
        <v>0</v>
      </c>
      <c r="O916" s="6">
        <f>IF(首页!$B$13="自然对流",IF(首页!$B$14="立式圆筒",(0.825+0.3063*I916^(1/6))^2+0.87*(M916/B916),(0.752+0.303*I916^(1/6))^2),0.3+SQRT((0.592*N916^0.5)^2+(0.0262*N916^0.8/(1-0.5/N916^0.1))^2))</f>
        <v>10043.936648146022</v>
      </c>
      <c r="P916" s="6">
        <f t="shared" si="131"/>
        <v>2.9510194925512497E-2</v>
      </c>
      <c r="Q916" s="6">
        <f t="shared" si="132"/>
        <v>5.3695385562733282</v>
      </c>
      <c r="R916" s="6">
        <f t="shared" si="133"/>
        <v>13.138272356775285</v>
      </c>
      <c r="S916" s="6">
        <f>B916*LN(B916/首页!$B$4)</f>
        <v>5.4064928615864343</v>
      </c>
      <c r="T916" s="6">
        <f>2*首页!$B$8*(E916-C916)/(R916*(C916-D916))</f>
        <v>7.102592101887896E-2</v>
      </c>
      <c r="U916" t="str">
        <f>IF(首页!$B$13="自然对流","按自然对流公式", "按强制对流公式")</f>
        <v>按自然对流公式</v>
      </c>
      <c r="V916" s="6">
        <f t="shared" si="134"/>
        <v>5.3354669405675557</v>
      </c>
    </row>
    <row r="917" spans="1:22" x14ac:dyDescent="0.15">
      <c r="A917">
        <v>912</v>
      </c>
      <c r="B917" s="6">
        <f>首页!$B$4+2*A917/1000</f>
        <v>1.944</v>
      </c>
      <c r="C917" s="6">
        <f>首页!$B$7+273.15</f>
        <v>388.15</v>
      </c>
      <c r="D917" s="6">
        <f>首页!$B$6+273.15</f>
        <v>293.14999999999998</v>
      </c>
      <c r="E917" s="6">
        <f>首页!$B$5+273.15</f>
        <v>1373.15</v>
      </c>
      <c r="F917" s="6">
        <f t="shared" si="126"/>
        <v>95</v>
      </c>
      <c r="G917" s="6">
        <f t="shared" si="127"/>
        <v>340.65</v>
      </c>
      <c r="H917" s="6">
        <f t="shared" si="128"/>
        <v>1.9926207055139041E-5</v>
      </c>
      <c r="I917" s="7">
        <f t="shared" si="129"/>
        <v>1158916576932337.8</v>
      </c>
      <c r="J917" s="6">
        <f t="shared" si="130"/>
        <v>1.0226038455893147</v>
      </c>
      <c r="K917" s="7">
        <f>J917*H917*首页!$B$12/P917</f>
        <v>0.69532757496605813</v>
      </c>
      <c r="L917" s="6">
        <f>首页!$B$9*0.0000000567*((C917^4-D917^4)/(C917-D917))</f>
        <v>7.7687338005019564</v>
      </c>
      <c r="M917" s="6">
        <f>IF(首页!$B$13="自然对流",IF(首页!$B$14="立式圆筒",首页!$B$10,PI()*B917/2),PI()*B917/2)</f>
        <v>55.2</v>
      </c>
      <c r="N917" s="7">
        <f>IF(首页!$B$13="强制对流",首页!$B$11*M917/H917,0)</f>
        <v>0</v>
      </c>
      <c r="O917" s="6">
        <f>IF(首页!$B$13="自然对流",IF(首页!$B$14="立式圆筒",(0.825+0.3063*I917^(1/6))^2+0.87*(M917/B917),(0.752+0.303*I917^(1/6))^2),0.3+SQRT((0.592*N917^0.5)^2+(0.0262*N917^0.8/(1-0.5/N917^0.1))^2))</f>
        <v>10043.911206638604</v>
      </c>
      <c r="P917" s="6">
        <f t="shared" si="131"/>
        <v>2.9510194925512497E-2</v>
      </c>
      <c r="Q917" s="6">
        <f t="shared" si="132"/>
        <v>5.3695249551167503</v>
      </c>
      <c r="R917" s="6">
        <f t="shared" si="133"/>
        <v>13.138258755618708</v>
      </c>
      <c r="S917" s="6">
        <f>B917*LN(B917/首页!$B$4)</f>
        <v>5.4140618549113295</v>
      </c>
      <c r="T917" s="6">
        <f>2*首页!$B$8*(E917-C917)/(R917*(C917-D917))</f>
        <v>7.102599454724301E-2</v>
      </c>
      <c r="U917" t="str">
        <f>IF(首页!$B$13="自然对流","按自然对流公式", "按强制对流公式")</f>
        <v>按自然对流公式</v>
      </c>
      <c r="V917" s="6">
        <f t="shared" si="134"/>
        <v>5.3430358603640862</v>
      </c>
    </row>
    <row r="918" spans="1:22" x14ac:dyDescent="0.15">
      <c r="A918">
        <v>913</v>
      </c>
      <c r="B918" s="6">
        <f>首页!$B$4+2*A918/1000</f>
        <v>1.9460000000000002</v>
      </c>
      <c r="C918" s="6">
        <f>首页!$B$7+273.15</f>
        <v>388.15</v>
      </c>
      <c r="D918" s="6">
        <f>首页!$B$6+273.15</f>
        <v>293.14999999999998</v>
      </c>
      <c r="E918" s="6">
        <f>首页!$B$5+273.15</f>
        <v>1373.15</v>
      </c>
      <c r="F918" s="6">
        <f t="shared" si="126"/>
        <v>95</v>
      </c>
      <c r="G918" s="6">
        <f t="shared" si="127"/>
        <v>340.65</v>
      </c>
      <c r="H918" s="6">
        <f t="shared" si="128"/>
        <v>1.9926207055139041E-5</v>
      </c>
      <c r="I918" s="7">
        <f t="shared" si="129"/>
        <v>1158916576932337.8</v>
      </c>
      <c r="J918" s="6">
        <f t="shared" si="130"/>
        <v>1.0226038455893147</v>
      </c>
      <c r="K918" s="7">
        <f>J918*H918*首页!$B$12/P918</f>
        <v>0.69532757496605813</v>
      </c>
      <c r="L918" s="6">
        <f>首页!$B$9*0.0000000567*((C918^4-D918^4)/(C918-D918))</f>
        <v>7.7687338005019564</v>
      </c>
      <c r="M918" s="6">
        <f>IF(首页!$B$13="自然对流",IF(首页!$B$14="立式圆筒",首页!$B$10,PI()*B918/2),PI()*B918/2)</f>
        <v>55.2</v>
      </c>
      <c r="N918" s="7">
        <f>IF(首页!$B$13="强制对流",首页!$B$11*M918/H918,0)</f>
        <v>0</v>
      </c>
      <c r="O918" s="6">
        <f>IF(首页!$B$13="自然对流",IF(首页!$B$14="立式圆筒",(0.825+0.3063*I918^(1/6))^2+0.87*(M918/B918),(0.752+0.303*I918^(1/6))^2),0.3+SQRT((0.592*N918^0.5)^2+(0.0262*N918^0.8/(1-0.5/N918^0.1))^2))</f>
        <v>10043.885817426164</v>
      </c>
      <c r="P918" s="6">
        <f t="shared" si="131"/>
        <v>2.9510194925512497E-2</v>
      </c>
      <c r="Q918" s="6">
        <f t="shared" si="132"/>
        <v>5.3695113819173281</v>
      </c>
      <c r="R918" s="6">
        <f t="shared" si="133"/>
        <v>13.138245182419285</v>
      </c>
      <c r="S918" s="6">
        <f>B918*LN(B918/首页!$B$4)</f>
        <v>5.4216329058497585</v>
      </c>
      <c r="T918" s="6">
        <f>2*首页!$B$8*(E918-C918)/(R918*(C918-D918))</f>
        <v>7.1026067924621406E-2</v>
      </c>
      <c r="U918" t="str">
        <f>IF(首页!$B$13="自然对流","按自然对流公式", "按强制对流公式")</f>
        <v>按自然对流公式</v>
      </c>
      <c r="V918" s="6">
        <f t="shared" si="134"/>
        <v>5.3506068379251372</v>
      </c>
    </row>
    <row r="919" spans="1:22" x14ac:dyDescent="0.15">
      <c r="A919">
        <v>914</v>
      </c>
      <c r="B919" s="6">
        <f>首页!$B$4+2*A919/1000</f>
        <v>1.948</v>
      </c>
      <c r="C919" s="6">
        <f>首页!$B$7+273.15</f>
        <v>388.15</v>
      </c>
      <c r="D919" s="6">
        <f>首页!$B$6+273.15</f>
        <v>293.14999999999998</v>
      </c>
      <c r="E919" s="6">
        <f>首页!$B$5+273.15</f>
        <v>1373.15</v>
      </c>
      <c r="F919" s="6">
        <f t="shared" si="126"/>
        <v>95</v>
      </c>
      <c r="G919" s="6">
        <f t="shared" si="127"/>
        <v>340.65</v>
      </c>
      <c r="H919" s="6">
        <f t="shared" si="128"/>
        <v>1.9926207055139041E-5</v>
      </c>
      <c r="I919" s="7">
        <f t="shared" si="129"/>
        <v>1158916576932337.8</v>
      </c>
      <c r="J919" s="6">
        <f t="shared" si="130"/>
        <v>1.0226038455893147</v>
      </c>
      <c r="K919" s="7">
        <f>J919*H919*首页!$B$12/P919</f>
        <v>0.69532757496605813</v>
      </c>
      <c r="L919" s="6">
        <f>首页!$B$9*0.0000000567*((C919^4-D919^4)/(C919-D919))</f>
        <v>7.7687338005019564</v>
      </c>
      <c r="M919" s="6">
        <f>IF(首页!$B$13="自然对流",IF(首页!$B$14="立式圆筒",首页!$B$10,PI()*B919/2),PI()*B919/2)</f>
        <v>55.2</v>
      </c>
      <c r="N919" s="7">
        <f>IF(首页!$B$13="强制对流",首页!$B$11*M919/H919,0)</f>
        <v>0</v>
      </c>
      <c r="O919" s="6">
        <f>IF(首页!$B$13="自然对流",IF(首页!$B$14="立式圆筒",(0.825+0.3063*I919^(1/6))^2+0.87*(M919/B919),(0.752+0.303*I919^(1/6))^2),0.3+SQRT((0.592*N919^0.5)^2+(0.0262*N919^0.8/(1-0.5/N919^0.1))^2))</f>
        <v>10043.86048034763</v>
      </c>
      <c r="P919" s="6">
        <f t="shared" si="131"/>
        <v>2.9510194925512497E-2</v>
      </c>
      <c r="Q919" s="6">
        <f t="shared" si="132"/>
        <v>5.3694978365889519</v>
      </c>
      <c r="R919" s="6">
        <f t="shared" si="133"/>
        <v>13.138231637090907</v>
      </c>
      <c r="S919" s="6">
        <f>B919*LN(B919/首页!$B$4)</f>
        <v>5.4292060122870067</v>
      </c>
      <c r="T919" s="6">
        <f>2*首页!$B$8*(E919-C919)/(R919*(C919-D919))</f>
        <v>7.1026141151478719E-2</v>
      </c>
      <c r="U919" t="str">
        <f>IF(首页!$B$13="自然对流","按自然对流公式", "按强制对流公式")</f>
        <v>按自然对流公式</v>
      </c>
      <c r="V919" s="6">
        <f t="shared" si="134"/>
        <v>5.358179871135528</v>
      </c>
    </row>
    <row r="920" spans="1:22" x14ac:dyDescent="0.15">
      <c r="A920">
        <v>915</v>
      </c>
      <c r="B920" s="6">
        <f>首页!$B$4+2*A920/1000</f>
        <v>1.9500000000000002</v>
      </c>
      <c r="C920" s="6">
        <f>首页!$B$7+273.15</f>
        <v>388.15</v>
      </c>
      <c r="D920" s="6">
        <f>首页!$B$6+273.15</f>
        <v>293.14999999999998</v>
      </c>
      <c r="E920" s="6">
        <f>首页!$B$5+273.15</f>
        <v>1373.15</v>
      </c>
      <c r="F920" s="6">
        <f t="shared" si="126"/>
        <v>95</v>
      </c>
      <c r="G920" s="6">
        <f t="shared" si="127"/>
        <v>340.65</v>
      </c>
      <c r="H920" s="6">
        <f t="shared" si="128"/>
        <v>1.9926207055139041E-5</v>
      </c>
      <c r="I920" s="7">
        <f t="shared" si="129"/>
        <v>1158916576932337.8</v>
      </c>
      <c r="J920" s="6">
        <f t="shared" si="130"/>
        <v>1.0226038455893147</v>
      </c>
      <c r="K920" s="7">
        <f>J920*H920*首页!$B$12/P920</f>
        <v>0.69532757496605813</v>
      </c>
      <c r="L920" s="6">
        <f>首页!$B$9*0.0000000567*((C920^4-D920^4)/(C920-D920))</f>
        <v>7.7687338005019564</v>
      </c>
      <c r="M920" s="6">
        <f>IF(首页!$B$13="自然对流",IF(首页!$B$14="立式圆筒",首页!$B$10,PI()*B920/2),PI()*B920/2)</f>
        <v>55.2</v>
      </c>
      <c r="N920" s="7">
        <f>IF(首页!$B$13="强制对流",首页!$B$11*M920/H920,0)</f>
        <v>0</v>
      </c>
      <c r="O920" s="6">
        <f>IF(首页!$B$13="自然对流",IF(首页!$B$14="立式圆筒",(0.825+0.3063*I920^(1/6))^2+0.87*(M920/B920),(0.752+0.303*I920^(1/6))^2),0.3+SQRT((0.592*N920^0.5)^2+(0.0262*N920^0.8/(1-0.5/N920^0.1))^2))</f>
        <v>10043.835195242593</v>
      </c>
      <c r="P920" s="6">
        <f t="shared" si="131"/>
        <v>2.9510194925512497E-2</v>
      </c>
      <c r="Q920" s="6">
        <f t="shared" si="132"/>
        <v>5.3694843190458652</v>
      </c>
      <c r="R920" s="6">
        <f t="shared" si="133"/>
        <v>13.138218119547822</v>
      </c>
      <c r="S920" s="6">
        <f>B920*LN(B920/首页!$B$4)</f>
        <v>5.4367811721127071</v>
      </c>
      <c r="T920" s="6">
        <f>2*首页!$B$8*(E920-C920)/(R920*(C920-D920))</f>
        <v>7.1026214228277609E-2</v>
      </c>
      <c r="U920" t="str">
        <f>IF(首页!$B$13="自然对流","按自然对流公式", "按强制对流公式")</f>
        <v>按自然对流公式</v>
      </c>
      <c r="V920" s="6">
        <f t="shared" si="134"/>
        <v>5.3657549578844295</v>
      </c>
    </row>
    <row r="921" spans="1:22" x14ac:dyDescent="0.15">
      <c r="A921">
        <v>916</v>
      </c>
      <c r="B921" s="6">
        <f>首页!$B$4+2*A921/1000</f>
        <v>1.952</v>
      </c>
      <c r="C921" s="6">
        <f>首页!$B$7+273.15</f>
        <v>388.15</v>
      </c>
      <c r="D921" s="6">
        <f>首页!$B$6+273.15</f>
        <v>293.14999999999998</v>
      </c>
      <c r="E921" s="6">
        <f>首页!$B$5+273.15</f>
        <v>1373.15</v>
      </c>
      <c r="F921" s="6">
        <f t="shared" si="126"/>
        <v>95</v>
      </c>
      <c r="G921" s="6">
        <f t="shared" si="127"/>
        <v>340.65</v>
      </c>
      <c r="H921" s="6">
        <f t="shared" si="128"/>
        <v>1.9926207055139041E-5</v>
      </c>
      <c r="I921" s="7">
        <f t="shared" si="129"/>
        <v>1158916576932337.8</v>
      </c>
      <c r="J921" s="6">
        <f t="shared" si="130"/>
        <v>1.0226038455893147</v>
      </c>
      <c r="K921" s="7">
        <f>J921*H921*首页!$B$12/P921</f>
        <v>0.69532757496605813</v>
      </c>
      <c r="L921" s="6">
        <f>首页!$B$9*0.0000000567*((C921^4-D921^4)/(C921-D921))</f>
        <v>7.7687338005019564</v>
      </c>
      <c r="M921" s="6">
        <f>IF(首页!$B$13="自然对流",IF(首页!$B$14="立式圆筒",首页!$B$10,PI()*B921/2),PI()*B921/2)</f>
        <v>55.2</v>
      </c>
      <c r="N921" s="7">
        <f>IF(首页!$B$13="强制对流",首页!$B$11*M921/H921,0)</f>
        <v>0</v>
      </c>
      <c r="O921" s="6">
        <f>IF(首页!$B$13="自然对流",IF(首页!$B$14="立式圆筒",(0.825+0.3063*I921^(1/6))^2+0.87*(M921/B921),(0.752+0.303*I921^(1/6))^2),0.3+SQRT((0.592*N921^0.5)^2+(0.0262*N921^0.8/(1-0.5/N921^0.1))^2))</f>
        <v>10043.809961951294</v>
      </c>
      <c r="P921" s="6">
        <f t="shared" si="131"/>
        <v>2.9510194925512497E-2</v>
      </c>
      <c r="Q921" s="6">
        <f t="shared" si="132"/>
        <v>5.3694708292026618</v>
      </c>
      <c r="R921" s="6">
        <f t="shared" si="133"/>
        <v>13.138204629704617</v>
      </c>
      <c r="S921" s="6">
        <f>B921*LN(B921/首页!$B$4)</f>
        <v>5.4443583832208153</v>
      </c>
      <c r="T921" s="6">
        <f>2*首页!$B$8*(E921-C921)/(R921*(C921-D921))</f>
        <v>7.1026287155478873E-2</v>
      </c>
      <c r="U921" t="str">
        <f>IF(首页!$B$13="自然对流","按自然对流公式", "按强制对流公式")</f>
        <v>按自然对流公式</v>
      </c>
      <c r="V921" s="6">
        <f t="shared" si="134"/>
        <v>5.3733320960653366</v>
      </c>
    </row>
    <row r="922" spans="1:22" x14ac:dyDescent="0.15">
      <c r="A922">
        <v>917</v>
      </c>
      <c r="B922" s="6">
        <f>首页!$B$4+2*A922/1000</f>
        <v>1.9540000000000002</v>
      </c>
      <c r="C922" s="6">
        <f>首页!$B$7+273.15</f>
        <v>388.15</v>
      </c>
      <c r="D922" s="6">
        <f>首页!$B$6+273.15</f>
        <v>293.14999999999998</v>
      </c>
      <c r="E922" s="6">
        <f>首页!$B$5+273.15</f>
        <v>1373.15</v>
      </c>
      <c r="F922" s="6">
        <f t="shared" si="126"/>
        <v>95</v>
      </c>
      <c r="G922" s="6">
        <f t="shared" si="127"/>
        <v>340.65</v>
      </c>
      <c r="H922" s="6">
        <f t="shared" si="128"/>
        <v>1.9926207055139041E-5</v>
      </c>
      <c r="I922" s="7">
        <f t="shared" si="129"/>
        <v>1158916576932337.8</v>
      </c>
      <c r="J922" s="6">
        <f t="shared" si="130"/>
        <v>1.0226038455893147</v>
      </c>
      <c r="K922" s="7">
        <f>J922*H922*首页!$B$12/P922</f>
        <v>0.69532757496605813</v>
      </c>
      <c r="L922" s="6">
        <f>首页!$B$9*0.0000000567*((C922^4-D922^4)/(C922-D922))</f>
        <v>7.7687338005019564</v>
      </c>
      <c r="M922" s="6">
        <f>IF(首页!$B$13="自然对流",IF(首页!$B$14="立式圆筒",首页!$B$10,PI()*B922/2),PI()*B922/2)</f>
        <v>55.2</v>
      </c>
      <c r="N922" s="7">
        <f>IF(首页!$B$13="强制对流",首页!$B$11*M922/H922,0)</f>
        <v>0</v>
      </c>
      <c r="O922" s="6">
        <f>IF(首页!$B$13="自然对流",IF(首页!$B$14="立式圆筒",(0.825+0.3063*I922^(1/6))^2+0.87*(M922/B922),(0.752+0.303*I922^(1/6))^2),0.3+SQRT((0.592*N922^0.5)^2+(0.0262*N922^0.8/(1-0.5/N922^0.1))^2))</f>
        <v>10043.784780314634</v>
      </c>
      <c r="P922" s="6">
        <f t="shared" si="131"/>
        <v>2.9510194925512497E-2</v>
      </c>
      <c r="Q922" s="6">
        <f t="shared" si="132"/>
        <v>5.3694573669742853</v>
      </c>
      <c r="R922" s="6">
        <f t="shared" si="133"/>
        <v>13.138191167476242</v>
      </c>
      <c r="S922" s="6">
        <f>B922*LN(B922/首页!$B$4)</f>
        <v>5.4519376435096136</v>
      </c>
      <c r="T922" s="6">
        <f>2*首页!$B$8*(E922-C922)/(R922*(C922-D922))</f>
        <v>7.1026359933541408E-2</v>
      </c>
      <c r="U922" t="str">
        <f>IF(首页!$B$13="自然对流","按自然对流公式", "按强制对流公式")</f>
        <v>按自然对流公式</v>
      </c>
      <c r="V922" s="6">
        <f t="shared" si="134"/>
        <v>5.3809112835760722</v>
      </c>
    </row>
    <row r="923" spans="1:22" x14ac:dyDescent="0.15">
      <c r="A923">
        <v>918</v>
      </c>
      <c r="B923" s="6">
        <f>首页!$B$4+2*A923/1000</f>
        <v>1.956</v>
      </c>
      <c r="C923" s="6">
        <f>首页!$B$7+273.15</f>
        <v>388.15</v>
      </c>
      <c r="D923" s="6">
        <f>首页!$B$6+273.15</f>
        <v>293.14999999999998</v>
      </c>
      <c r="E923" s="6">
        <f>首页!$B$5+273.15</f>
        <v>1373.15</v>
      </c>
      <c r="F923" s="6">
        <f t="shared" si="126"/>
        <v>95</v>
      </c>
      <c r="G923" s="6">
        <f t="shared" si="127"/>
        <v>340.65</v>
      </c>
      <c r="H923" s="6">
        <f t="shared" si="128"/>
        <v>1.9926207055139041E-5</v>
      </c>
      <c r="I923" s="7">
        <f t="shared" si="129"/>
        <v>1158916576932337.8</v>
      </c>
      <c r="J923" s="6">
        <f t="shared" si="130"/>
        <v>1.0226038455893147</v>
      </c>
      <c r="K923" s="7">
        <f>J923*H923*首页!$B$12/P923</f>
        <v>0.69532757496605813</v>
      </c>
      <c r="L923" s="6">
        <f>首页!$B$9*0.0000000567*((C923^4-D923^4)/(C923-D923))</f>
        <v>7.7687338005019564</v>
      </c>
      <c r="M923" s="6">
        <f>IF(首页!$B$13="自然对流",IF(首页!$B$14="立式圆筒",首页!$B$10,PI()*B923/2),PI()*B923/2)</f>
        <v>55.2</v>
      </c>
      <c r="N923" s="7">
        <f>IF(首页!$B$13="强制对流",首页!$B$11*M923/H923,0)</f>
        <v>0</v>
      </c>
      <c r="O923" s="6">
        <f>IF(首页!$B$13="自然对流",IF(首页!$B$14="立式圆筒",(0.825+0.3063*I923^(1/6))^2+0.87*(M923/B923),(0.752+0.303*I923^(1/6))^2),0.3+SQRT((0.592*N923^0.5)^2+(0.0262*N923^0.8/(1-0.5/N923^0.1))^2))</f>
        <v>10043.759650174163</v>
      </c>
      <c r="P923" s="6">
        <f t="shared" si="131"/>
        <v>2.9510194925512497E-2</v>
      </c>
      <c r="Q923" s="6">
        <f t="shared" si="132"/>
        <v>5.3694439322760275</v>
      </c>
      <c r="R923" s="6">
        <f t="shared" si="133"/>
        <v>13.138177732777983</v>
      </c>
      <c r="S923" s="6">
        <f>B923*LN(B923/首页!$B$4)</f>
        <v>5.4595189508816739</v>
      </c>
      <c r="T923" s="6">
        <f>2*首页!$B$8*(E923-C923)/(R923*(C923-D923))</f>
        <v>7.1026432562922251E-2</v>
      </c>
      <c r="U923" t="str">
        <f>IF(首页!$B$13="自然对流","按自然对流公式", "按强制对流公式")</f>
        <v>按自然对流公式</v>
      </c>
      <c r="V923" s="6">
        <f t="shared" si="134"/>
        <v>5.3884925183187518</v>
      </c>
    </row>
    <row r="924" spans="1:22" x14ac:dyDescent="0.15">
      <c r="A924">
        <v>919</v>
      </c>
      <c r="B924" s="6">
        <f>首页!$B$4+2*A924/1000</f>
        <v>1.9580000000000002</v>
      </c>
      <c r="C924" s="6">
        <f>首页!$B$7+273.15</f>
        <v>388.15</v>
      </c>
      <c r="D924" s="6">
        <f>首页!$B$6+273.15</f>
        <v>293.14999999999998</v>
      </c>
      <c r="E924" s="6">
        <f>首页!$B$5+273.15</f>
        <v>1373.15</v>
      </c>
      <c r="F924" s="6">
        <f t="shared" si="126"/>
        <v>95</v>
      </c>
      <c r="G924" s="6">
        <f t="shared" si="127"/>
        <v>340.65</v>
      </c>
      <c r="H924" s="6">
        <f t="shared" si="128"/>
        <v>1.9926207055139041E-5</v>
      </c>
      <c r="I924" s="7">
        <f t="shared" si="129"/>
        <v>1158916576932337.8</v>
      </c>
      <c r="J924" s="6">
        <f t="shared" si="130"/>
        <v>1.0226038455893147</v>
      </c>
      <c r="K924" s="7">
        <f>J924*H924*首页!$B$12/P924</f>
        <v>0.69532757496605813</v>
      </c>
      <c r="L924" s="6">
        <f>首页!$B$9*0.0000000567*((C924^4-D924^4)/(C924-D924))</f>
        <v>7.7687338005019564</v>
      </c>
      <c r="M924" s="6">
        <f>IF(首页!$B$13="自然对流",IF(首页!$B$14="立式圆筒",首页!$B$10,PI()*B924/2),PI()*B924/2)</f>
        <v>55.2</v>
      </c>
      <c r="N924" s="7">
        <f>IF(首页!$B$13="强制对流",首页!$B$11*M924/H924,0)</f>
        <v>0</v>
      </c>
      <c r="O924" s="6">
        <f>IF(首页!$B$13="自然对流",IF(首页!$B$14="立式圆筒",(0.825+0.3063*I924^(1/6))^2+0.87*(M924/B924),(0.752+0.303*I924^(1/6))^2),0.3+SQRT((0.592*N924^0.5)^2+(0.0262*N924^0.8/(1-0.5/N924^0.1))^2))</f>
        <v>10043.734571372081</v>
      </c>
      <c r="P924" s="6">
        <f t="shared" si="131"/>
        <v>2.9510194925512497E-2</v>
      </c>
      <c r="Q924" s="6">
        <f t="shared" si="132"/>
        <v>5.3694305250235281</v>
      </c>
      <c r="R924" s="6">
        <f t="shared" si="133"/>
        <v>13.138164325525484</v>
      </c>
      <c r="S924" s="6">
        <f>B924*LN(B924/首页!$B$4)</f>
        <v>5.467102303243867</v>
      </c>
      <c r="T924" s="6">
        <f>2*首页!$B$8*(E924-C924)/(R924*(C924-D924))</f>
        <v>7.1026505044076538E-2</v>
      </c>
      <c r="U924" t="str">
        <f>IF(首页!$B$13="自然对流","按自然对流公式", "按强制对流公式")</f>
        <v>按自然对流公式</v>
      </c>
      <c r="V924" s="6">
        <f t="shared" si="134"/>
        <v>5.3960757981997904</v>
      </c>
    </row>
    <row r="925" spans="1:22" x14ac:dyDescent="0.15">
      <c r="A925">
        <v>920</v>
      </c>
      <c r="B925" s="6">
        <f>首页!$B$4+2*A925/1000</f>
        <v>1.96</v>
      </c>
      <c r="C925" s="6">
        <f>首页!$B$7+273.15</f>
        <v>388.15</v>
      </c>
      <c r="D925" s="6">
        <f>首页!$B$6+273.15</f>
        <v>293.14999999999998</v>
      </c>
      <c r="E925" s="6">
        <f>首页!$B$5+273.15</f>
        <v>1373.15</v>
      </c>
      <c r="F925" s="6">
        <f t="shared" si="126"/>
        <v>95</v>
      </c>
      <c r="G925" s="6">
        <f t="shared" si="127"/>
        <v>340.65</v>
      </c>
      <c r="H925" s="6">
        <f t="shared" si="128"/>
        <v>1.9926207055139041E-5</v>
      </c>
      <c r="I925" s="7">
        <f t="shared" si="129"/>
        <v>1158916576932337.8</v>
      </c>
      <c r="J925" s="6">
        <f t="shared" si="130"/>
        <v>1.0226038455893147</v>
      </c>
      <c r="K925" s="7">
        <f>J925*H925*首页!$B$12/P925</f>
        <v>0.69532757496605813</v>
      </c>
      <c r="L925" s="6">
        <f>首页!$B$9*0.0000000567*((C925^4-D925^4)/(C925-D925))</f>
        <v>7.7687338005019564</v>
      </c>
      <c r="M925" s="6">
        <f>IF(首页!$B$13="自然对流",IF(首页!$B$14="立式圆筒",首页!$B$10,PI()*B925/2),PI()*B925/2)</f>
        <v>55.2</v>
      </c>
      <c r="N925" s="7">
        <f>IF(首页!$B$13="强制对流",首页!$B$11*M925/H925,0)</f>
        <v>0</v>
      </c>
      <c r="O925" s="6">
        <f>IF(首页!$B$13="自然对流",IF(首页!$B$14="立式圆筒",(0.825+0.3063*I925^(1/6))^2+0.87*(M925/B925),(0.752+0.303*I925^(1/6))^2),0.3+SQRT((0.592*N925^0.5)^2+(0.0262*N925^0.8/(1-0.5/N925^0.1))^2))</f>
        <v>10043.709543751227</v>
      </c>
      <c r="P925" s="6">
        <f t="shared" si="131"/>
        <v>2.9510194925512497E-2</v>
      </c>
      <c r="Q925" s="6">
        <f t="shared" si="132"/>
        <v>5.3694171451327701</v>
      </c>
      <c r="R925" s="6">
        <f t="shared" si="133"/>
        <v>13.138150945634727</v>
      </c>
      <c r="S925" s="6">
        <f>B925*LN(B925/首页!$B$4)</f>
        <v>5.4746876985073332</v>
      </c>
      <c r="T925" s="6">
        <f>2*首页!$B$8*(E925-C925)/(R925*(C925-D925))</f>
        <v>7.1026577377457559E-2</v>
      </c>
      <c r="U925" t="str">
        <f>IF(首页!$B$13="自然对流","按自然对流公式", "按强制对流公式")</f>
        <v>按自然对流公式</v>
      </c>
      <c r="V925" s="6">
        <f t="shared" si="134"/>
        <v>5.4036611211298755</v>
      </c>
    </row>
    <row r="926" spans="1:22" x14ac:dyDescent="0.15">
      <c r="A926">
        <v>921</v>
      </c>
      <c r="B926" s="6">
        <f>首页!$B$4+2*A926/1000</f>
        <v>1.9620000000000002</v>
      </c>
      <c r="C926" s="6">
        <f>首页!$B$7+273.15</f>
        <v>388.15</v>
      </c>
      <c r="D926" s="6">
        <f>首页!$B$6+273.15</f>
        <v>293.14999999999998</v>
      </c>
      <c r="E926" s="6">
        <f>首页!$B$5+273.15</f>
        <v>1373.15</v>
      </c>
      <c r="F926" s="6">
        <f t="shared" si="126"/>
        <v>95</v>
      </c>
      <c r="G926" s="6">
        <f t="shared" si="127"/>
        <v>340.65</v>
      </c>
      <c r="H926" s="6">
        <f t="shared" si="128"/>
        <v>1.9926207055139041E-5</v>
      </c>
      <c r="I926" s="7">
        <f t="shared" si="129"/>
        <v>1158916576932337.8</v>
      </c>
      <c r="J926" s="6">
        <f t="shared" si="130"/>
        <v>1.0226038455893147</v>
      </c>
      <c r="K926" s="7">
        <f>J926*H926*首页!$B$12/P926</f>
        <v>0.69532757496605813</v>
      </c>
      <c r="L926" s="6">
        <f>首页!$B$9*0.0000000567*((C926^4-D926^4)/(C926-D926))</f>
        <v>7.7687338005019564</v>
      </c>
      <c r="M926" s="6">
        <f>IF(首页!$B$13="自然对流",IF(首页!$B$14="立式圆筒",首页!$B$10,PI()*B926/2),PI()*B926/2)</f>
        <v>55.2</v>
      </c>
      <c r="N926" s="7">
        <f>IF(首页!$B$13="强制对流",首页!$B$11*M926/H926,0)</f>
        <v>0</v>
      </c>
      <c r="O926" s="6">
        <f>IF(首页!$B$13="自然对流",IF(首页!$B$14="立式圆筒",(0.825+0.3063*I926^(1/6))^2+0.87*(M926/B926),(0.752+0.303*I926^(1/6))^2),0.3+SQRT((0.592*N926^0.5)^2+(0.0262*N926^0.8/(1-0.5/N926^0.1))^2))</f>
        <v>10043.684567155084</v>
      </c>
      <c r="P926" s="6">
        <f t="shared" si="131"/>
        <v>2.9510194925512497E-2</v>
      </c>
      <c r="Q926" s="6">
        <f t="shared" si="132"/>
        <v>5.3694037925200737</v>
      </c>
      <c r="R926" s="6">
        <f t="shared" si="133"/>
        <v>13.13813759302203</v>
      </c>
      <c r="S926" s="6">
        <f>B926*LN(B926/首页!$B$4)</f>
        <v>5.4822751345874821</v>
      </c>
      <c r="T926" s="6">
        <f>2*首页!$B$8*(E926-C926)/(R926*(C926-D926))</f>
        <v>7.1026649563516828E-2</v>
      </c>
      <c r="U926" t="str">
        <f>IF(首页!$B$13="自然对流","按自然对流公式", "按强制对流公式")</f>
        <v>按自然对流公式</v>
      </c>
      <c r="V926" s="6">
        <f t="shared" si="134"/>
        <v>5.4112484850239655</v>
      </c>
    </row>
    <row r="927" spans="1:22" x14ac:dyDescent="0.15">
      <c r="A927">
        <v>922</v>
      </c>
      <c r="B927" s="6">
        <f>首页!$B$4+2*A927/1000</f>
        <v>1.964</v>
      </c>
      <c r="C927" s="6">
        <f>首页!$B$7+273.15</f>
        <v>388.15</v>
      </c>
      <c r="D927" s="6">
        <f>首页!$B$6+273.15</f>
        <v>293.14999999999998</v>
      </c>
      <c r="E927" s="6">
        <f>首页!$B$5+273.15</f>
        <v>1373.15</v>
      </c>
      <c r="F927" s="6">
        <f t="shared" si="126"/>
        <v>95</v>
      </c>
      <c r="G927" s="6">
        <f t="shared" si="127"/>
        <v>340.65</v>
      </c>
      <c r="H927" s="6">
        <f t="shared" si="128"/>
        <v>1.9926207055139041E-5</v>
      </c>
      <c r="I927" s="7">
        <f t="shared" si="129"/>
        <v>1158916576932337.8</v>
      </c>
      <c r="J927" s="6">
        <f t="shared" si="130"/>
        <v>1.0226038455893147</v>
      </c>
      <c r="K927" s="7">
        <f>J927*H927*首页!$B$12/P927</f>
        <v>0.69532757496605813</v>
      </c>
      <c r="L927" s="6">
        <f>首页!$B$9*0.0000000567*((C927^4-D927^4)/(C927-D927))</f>
        <v>7.7687338005019564</v>
      </c>
      <c r="M927" s="6">
        <f>IF(首页!$B$13="自然对流",IF(首页!$B$14="立式圆筒",首页!$B$10,PI()*B927/2),PI()*B927/2)</f>
        <v>55.2</v>
      </c>
      <c r="N927" s="7">
        <f>IF(首页!$B$13="强制对流",首页!$B$11*M927/H927,0)</f>
        <v>0</v>
      </c>
      <c r="O927" s="6">
        <f>IF(首页!$B$13="自然对流",IF(首页!$B$14="立式圆筒",(0.825+0.3063*I927^(1/6))^2+0.87*(M927/B927),(0.752+0.303*I927^(1/6))^2),0.3+SQRT((0.592*N927^0.5)^2+(0.0262*N927^0.8/(1-0.5/N927^0.1))^2))</f>
        <v>10043.659641427772</v>
      </c>
      <c r="P927" s="6">
        <f t="shared" si="131"/>
        <v>2.9510194925512497E-2</v>
      </c>
      <c r="Q927" s="6">
        <f t="shared" si="132"/>
        <v>5.36939046710211</v>
      </c>
      <c r="R927" s="6">
        <f t="shared" si="133"/>
        <v>13.138124267604066</v>
      </c>
      <c r="S927" s="6">
        <f>B927*LN(B927/首页!$B$4)</f>
        <v>5.4898646094039654</v>
      </c>
      <c r="T927" s="6">
        <f>2*首页!$B$8*(E927-C927)/(R927*(C927-D927))</f>
        <v>7.1026721602703902E-2</v>
      </c>
      <c r="U927" t="str">
        <f>IF(首页!$B$13="自然对流","按自然对流公式", "按强制对流公式")</f>
        <v>按自然对流公式</v>
      </c>
      <c r="V927" s="6">
        <f t="shared" si="134"/>
        <v>5.4188378878012617</v>
      </c>
    </row>
    <row r="928" spans="1:22" x14ac:dyDescent="0.15">
      <c r="A928">
        <v>923</v>
      </c>
      <c r="B928" s="6">
        <f>首页!$B$4+2*A928/1000</f>
        <v>1.9660000000000002</v>
      </c>
      <c r="C928" s="6">
        <f>首页!$B$7+273.15</f>
        <v>388.15</v>
      </c>
      <c r="D928" s="6">
        <f>首页!$B$6+273.15</f>
        <v>293.14999999999998</v>
      </c>
      <c r="E928" s="6">
        <f>首页!$B$5+273.15</f>
        <v>1373.15</v>
      </c>
      <c r="F928" s="6">
        <f t="shared" si="126"/>
        <v>95</v>
      </c>
      <c r="G928" s="6">
        <f t="shared" si="127"/>
        <v>340.65</v>
      </c>
      <c r="H928" s="6">
        <f t="shared" si="128"/>
        <v>1.9926207055139041E-5</v>
      </c>
      <c r="I928" s="7">
        <f t="shared" si="129"/>
        <v>1158916576932337.8</v>
      </c>
      <c r="J928" s="6">
        <f t="shared" si="130"/>
        <v>1.0226038455893147</v>
      </c>
      <c r="K928" s="7">
        <f>J928*H928*首页!$B$12/P928</f>
        <v>0.69532757496605813</v>
      </c>
      <c r="L928" s="6">
        <f>首页!$B$9*0.0000000567*((C928^4-D928^4)/(C928-D928))</f>
        <v>7.7687338005019564</v>
      </c>
      <c r="M928" s="6">
        <f>IF(首页!$B$13="自然对流",IF(首页!$B$14="立式圆筒",首页!$B$10,PI()*B928/2),PI()*B928/2)</f>
        <v>55.2</v>
      </c>
      <c r="N928" s="7">
        <f>IF(首页!$B$13="强制对流",首页!$B$11*M928/H928,0)</f>
        <v>0</v>
      </c>
      <c r="O928" s="6">
        <f>IF(首页!$B$13="自然对流",IF(首页!$B$14="立式圆筒",(0.825+0.3063*I928^(1/6))^2+0.87*(M928/B928),(0.752+0.303*I928^(1/6))^2),0.3+SQRT((0.592*N928^0.5)^2+(0.0262*N928^0.8/(1-0.5/N928^0.1))^2))</f>
        <v>10043.634766414045</v>
      </c>
      <c r="P928" s="6">
        <f t="shared" si="131"/>
        <v>2.9510194925512497E-2</v>
      </c>
      <c r="Q928" s="6">
        <f t="shared" si="132"/>
        <v>5.3693771687958805</v>
      </c>
      <c r="R928" s="6">
        <f t="shared" si="133"/>
        <v>13.138110969297838</v>
      </c>
      <c r="S928" s="6">
        <f>B928*LN(B928/首页!$B$4)</f>
        <v>5.4974561208806803</v>
      </c>
      <c r="T928" s="6">
        <f>2*首页!$B$8*(E928-C928)/(R928*(C928-D928))</f>
        <v>7.1026793495466603E-2</v>
      </c>
      <c r="U928" t="str">
        <f>IF(首页!$B$13="自然对流","按自然对流公式", "按强制对流公式")</f>
        <v>按自然对流公式</v>
      </c>
      <c r="V928" s="6">
        <f t="shared" si="134"/>
        <v>5.4264293273852138</v>
      </c>
    </row>
    <row r="929" spans="1:22" x14ac:dyDescent="0.15">
      <c r="A929">
        <v>924</v>
      </c>
      <c r="B929" s="6">
        <f>首页!$B$4+2*A929/1000</f>
        <v>1.968</v>
      </c>
      <c r="C929" s="6">
        <f>首页!$B$7+273.15</f>
        <v>388.15</v>
      </c>
      <c r="D929" s="6">
        <f>首页!$B$6+273.15</f>
        <v>293.14999999999998</v>
      </c>
      <c r="E929" s="6">
        <f>首页!$B$5+273.15</f>
        <v>1373.15</v>
      </c>
      <c r="F929" s="6">
        <f t="shared" si="126"/>
        <v>95</v>
      </c>
      <c r="G929" s="6">
        <f t="shared" si="127"/>
        <v>340.65</v>
      </c>
      <c r="H929" s="6">
        <f t="shared" si="128"/>
        <v>1.9926207055139041E-5</v>
      </c>
      <c r="I929" s="7">
        <f t="shared" si="129"/>
        <v>1158916576932337.8</v>
      </c>
      <c r="J929" s="6">
        <f t="shared" si="130"/>
        <v>1.0226038455893147</v>
      </c>
      <c r="K929" s="7">
        <f>J929*H929*首页!$B$12/P929</f>
        <v>0.69532757496605813</v>
      </c>
      <c r="L929" s="6">
        <f>首页!$B$9*0.0000000567*((C929^4-D929^4)/(C929-D929))</f>
        <v>7.7687338005019564</v>
      </c>
      <c r="M929" s="6">
        <f>IF(首页!$B$13="自然对流",IF(首页!$B$14="立式圆筒",首页!$B$10,PI()*B929/2),PI()*B929/2)</f>
        <v>55.2</v>
      </c>
      <c r="N929" s="7">
        <f>IF(首页!$B$13="强制对流",首页!$B$11*M929/H929,0)</f>
        <v>0</v>
      </c>
      <c r="O929" s="6">
        <f>IF(首页!$B$13="自然对流",IF(首页!$B$14="立式圆筒",(0.825+0.3063*I929^(1/6))^2+0.87*(M929/B929),(0.752+0.303*I929^(1/6))^2),0.3+SQRT((0.592*N929^0.5)^2+(0.0262*N929^0.8/(1-0.5/N929^0.1))^2))</f>
        <v>10043.60994195929</v>
      </c>
      <c r="P929" s="6">
        <f t="shared" si="131"/>
        <v>2.9510194925512497E-2</v>
      </c>
      <c r="Q929" s="6">
        <f t="shared" si="132"/>
        <v>5.3693638975187303</v>
      </c>
      <c r="R929" s="6">
        <f t="shared" si="133"/>
        <v>13.138097698020687</v>
      </c>
      <c r="S929" s="6">
        <f>B929*LN(B929/首页!$B$4)</f>
        <v>5.5050496669457409</v>
      </c>
      <c r="T929" s="6">
        <f>2*首页!$B$8*(E929-C929)/(R929*(C929-D929))</f>
        <v>7.1026865242250908E-2</v>
      </c>
      <c r="U929" t="str">
        <f>IF(首页!$B$13="自然对流","按自然对流公式", "按强制对流公式")</f>
        <v>按自然对流公式</v>
      </c>
      <c r="V929" s="6">
        <f t="shared" si="134"/>
        <v>5.4340228017034899</v>
      </c>
    </row>
    <row r="930" spans="1:22" x14ac:dyDescent="0.15">
      <c r="A930">
        <v>925</v>
      </c>
      <c r="B930" s="6">
        <f>首页!$B$4+2*A930/1000</f>
        <v>1.9700000000000002</v>
      </c>
      <c r="C930" s="6">
        <f>首页!$B$7+273.15</f>
        <v>388.15</v>
      </c>
      <c r="D930" s="6">
        <f>首页!$B$6+273.15</f>
        <v>293.14999999999998</v>
      </c>
      <c r="E930" s="6">
        <f>首页!$B$5+273.15</f>
        <v>1373.15</v>
      </c>
      <c r="F930" s="6">
        <f t="shared" si="126"/>
        <v>95</v>
      </c>
      <c r="G930" s="6">
        <f t="shared" si="127"/>
        <v>340.65</v>
      </c>
      <c r="H930" s="6">
        <f t="shared" si="128"/>
        <v>1.9926207055139041E-5</v>
      </c>
      <c r="I930" s="7">
        <f t="shared" si="129"/>
        <v>1158916576932337.8</v>
      </c>
      <c r="J930" s="6">
        <f t="shared" si="130"/>
        <v>1.0226038455893147</v>
      </c>
      <c r="K930" s="7">
        <f>J930*H930*首页!$B$12/P930</f>
        <v>0.69532757496605813</v>
      </c>
      <c r="L930" s="6">
        <f>首页!$B$9*0.0000000567*((C930^4-D930^4)/(C930-D930))</f>
        <v>7.7687338005019564</v>
      </c>
      <c r="M930" s="6">
        <f>IF(首页!$B$13="自然对流",IF(首页!$B$14="立式圆筒",首页!$B$10,PI()*B930/2),PI()*B930/2)</f>
        <v>55.2</v>
      </c>
      <c r="N930" s="7">
        <f>IF(首页!$B$13="强制对流",首页!$B$11*M930/H930,0)</f>
        <v>0</v>
      </c>
      <c r="O930" s="6">
        <f>IF(首页!$B$13="自然对流",IF(首页!$B$14="立式圆筒",(0.825+0.3063*I930^(1/6))^2+0.87*(M930/B930),(0.752+0.303*I930^(1/6))^2),0.3+SQRT((0.592*N930^0.5)^2+(0.0262*N930^0.8/(1-0.5/N930^0.1))^2))</f>
        <v>10043.585167909519</v>
      </c>
      <c r="P930" s="6">
        <f t="shared" si="131"/>
        <v>2.9510194925512497E-2</v>
      </c>
      <c r="Q930" s="6">
        <f t="shared" si="132"/>
        <v>5.3693506531883344</v>
      </c>
      <c r="R930" s="6">
        <f t="shared" si="133"/>
        <v>13.13808445369029</v>
      </c>
      <c r="S930" s="6">
        <f>B930*LN(B930/首页!$B$4)</f>
        <v>5.5126452455314769</v>
      </c>
      <c r="T930" s="6">
        <f>2*首页!$B$8*(E930-C930)/(R930*(C930-D930))</f>
        <v>7.1026936843500962E-2</v>
      </c>
      <c r="U930" t="str">
        <f>IF(首页!$B$13="自然对流","按自然对流公式", "按强制对流公式")</f>
        <v>按自然对流公式</v>
      </c>
      <c r="V930" s="6">
        <f t="shared" si="134"/>
        <v>5.4416183086879757</v>
      </c>
    </row>
    <row r="931" spans="1:22" x14ac:dyDescent="0.15">
      <c r="A931">
        <v>926</v>
      </c>
      <c r="B931" s="6">
        <f>首页!$B$4+2*A931/1000</f>
        <v>1.972</v>
      </c>
      <c r="C931" s="6">
        <f>首页!$B$7+273.15</f>
        <v>388.15</v>
      </c>
      <c r="D931" s="6">
        <f>首页!$B$6+273.15</f>
        <v>293.14999999999998</v>
      </c>
      <c r="E931" s="6">
        <f>首页!$B$5+273.15</f>
        <v>1373.15</v>
      </c>
      <c r="F931" s="6">
        <f t="shared" si="126"/>
        <v>95</v>
      </c>
      <c r="G931" s="6">
        <f t="shared" si="127"/>
        <v>340.65</v>
      </c>
      <c r="H931" s="6">
        <f t="shared" si="128"/>
        <v>1.9926207055139041E-5</v>
      </c>
      <c r="I931" s="7">
        <f t="shared" si="129"/>
        <v>1158916576932337.8</v>
      </c>
      <c r="J931" s="6">
        <f t="shared" si="130"/>
        <v>1.0226038455893147</v>
      </c>
      <c r="K931" s="7">
        <f>J931*H931*首页!$B$12/P931</f>
        <v>0.69532757496605813</v>
      </c>
      <c r="L931" s="6">
        <f>首页!$B$9*0.0000000567*((C931^4-D931^4)/(C931-D931))</f>
        <v>7.7687338005019564</v>
      </c>
      <c r="M931" s="6">
        <f>IF(首页!$B$13="自然对流",IF(首页!$B$14="立式圆筒",首页!$B$10,PI()*B931/2),PI()*B931/2)</f>
        <v>55.2</v>
      </c>
      <c r="N931" s="7">
        <f>IF(首页!$B$13="强制对流",首页!$B$11*M931/H931,0)</f>
        <v>0</v>
      </c>
      <c r="O931" s="6">
        <f>IF(首页!$B$13="自然对流",IF(首页!$B$14="立式圆筒",(0.825+0.3063*I931^(1/6))^2+0.87*(M931/B931),(0.752+0.303*I931^(1/6))^2),0.3+SQRT((0.592*N931^0.5)^2+(0.0262*N931^0.8/(1-0.5/N931^0.1))^2))</f>
        <v>10043.56044411137</v>
      </c>
      <c r="P931" s="6">
        <f t="shared" si="131"/>
        <v>2.9510194925512497E-2</v>
      </c>
      <c r="Q931" s="6">
        <f t="shared" si="132"/>
        <v>5.3693374357227057</v>
      </c>
      <c r="R931" s="6">
        <f t="shared" si="133"/>
        <v>13.138071236224661</v>
      </c>
      <c r="S931" s="6">
        <f>B931*LN(B931/首页!$B$4)</f>
        <v>5.5202428545744144</v>
      </c>
      <c r="T931" s="6">
        <f>2*首页!$B$8*(E931-C931)/(R931*(C931-D931))</f>
        <v>7.1027008299659161E-2</v>
      </c>
      <c r="U931" t="str">
        <f>IF(首页!$B$13="自然对流","按自然对流公式", "按强制对流公式")</f>
        <v>按自然对流公式</v>
      </c>
      <c r="V931" s="6">
        <f t="shared" si="134"/>
        <v>5.4492158462747549</v>
      </c>
    </row>
    <row r="932" spans="1:22" x14ac:dyDescent="0.15">
      <c r="A932">
        <v>927</v>
      </c>
      <c r="B932" s="6">
        <f>首页!$B$4+2*A932/1000</f>
        <v>1.9740000000000002</v>
      </c>
      <c r="C932" s="6">
        <f>首页!$B$7+273.15</f>
        <v>388.15</v>
      </c>
      <c r="D932" s="6">
        <f>首页!$B$6+273.15</f>
        <v>293.14999999999998</v>
      </c>
      <c r="E932" s="6">
        <f>首页!$B$5+273.15</f>
        <v>1373.15</v>
      </c>
      <c r="F932" s="6">
        <f t="shared" si="126"/>
        <v>95</v>
      </c>
      <c r="G932" s="6">
        <f t="shared" si="127"/>
        <v>340.65</v>
      </c>
      <c r="H932" s="6">
        <f t="shared" si="128"/>
        <v>1.9926207055139041E-5</v>
      </c>
      <c r="I932" s="7">
        <f t="shared" si="129"/>
        <v>1158916576932337.8</v>
      </c>
      <c r="J932" s="6">
        <f t="shared" si="130"/>
        <v>1.0226038455893147</v>
      </c>
      <c r="K932" s="7">
        <f>J932*H932*首页!$B$12/P932</f>
        <v>0.69532757496605813</v>
      </c>
      <c r="L932" s="6">
        <f>首页!$B$9*0.0000000567*((C932^4-D932^4)/(C932-D932))</f>
        <v>7.7687338005019564</v>
      </c>
      <c r="M932" s="6">
        <f>IF(首页!$B$13="自然对流",IF(首页!$B$14="立式圆筒",首页!$B$10,PI()*B932/2),PI()*B932/2)</f>
        <v>55.2</v>
      </c>
      <c r="N932" s="7">
        <f>IF(首页!$B$13="强制对流",首页!$B$11*M932/H932,0)</f>
        <v>0</v>
      </c>
      <c r="O932" s="6">
        <f>IF(首页!$B$13="自然对流",IF(首页!$B$14="立式圆筒",(0.825+0.3063*I932^(1/6))^2+0.87*(M932/B932),(0.752+0.303*I932^(1/6))^2),0.3+SQRT((0.592*N932^0.5)^2+(0.0262*N932^0.8/(1-0.5/N932^0.1))^2))</f>
        <v>10043.535770412103</v>
      </c>
      <c r="P932" s="6">
        <f t="shared" si="131"/>
        <v>2.9510194925512497E-2</v>
      </c>
      <c r="Q932" s="6">
        <f t="shared" si="132"/>
        <v>5.3693242450401897</v>
      </c>
      <c r="R932" s="6">
        <f t="shared" si="133"/>
        <v>13.138058045542145</v>
      </c>
      <c r="S932" s="6">
        <f>B932*LN(B932/首页!$B$4)</f>
        <v>5.5278424920152665</v>
      </c>
      <c r="T932" s="6">
        <f>2*首页!$B$8*(E932-C932)/(R932*(C932-D932))</f>
        <v>7.1027079611166014E-2</v>
      </c>
      <c r="U932" t="str">
        <f>IF(首页!$B$13="自然对流","按自然对流公式", "按强制对流公式")</f>
        <v>按自然对流公式</v>
      </c>
      <c r="V932" s="6">
        <f t="shared" si="134"/>
        <v>5.4568154124041008</v>
      </c>
    </row>
    <row r="933" spans="1:22" x14ac:dyDescent="0.15">
      <c r="A933">
        <v>928</v>
      </c>
      <c r="B933" s="6">
        <f>首页!$B$4+2*A933/1000</f>
        <v>1.976</v>
      </c>
      <c r="C933" s="6">
        <f>首页!$B$7+273.15</f>
        <v>388.15</v>
      </c>
      <c r="D933" s="6">
        <f>首页!$B$6+273.15</f>
        <v>293.14999999999998</v>
      </c>
      <c r="E933" s="6">
        <f>首页!$B$5+273.15</f>
        <v>1373.15</v>
      </c>
      <c r="F933" s="6">
        <f t="shared" si="126"/>
        <v>95</v>
      </c>
      <c r="G933" s="6">
        <f t="shared" si="127"/>
        <v>340.65</v>
      </c>
      <c r="H933" s="6">
        <f t="shared" si="128"/>
        <v>1.9926207055139041E-5</v>
      </c>
      <c r="I933" s="7">
        <f t="shared" si="129"/>
        <v>1158916576932337.8</v>
      </c>
      <c r="J933" s="6">
        <f t="shared" si="130"/>
        <v>1.0226038455893147</v>
      </c>
      <c r="K933" s="7">
        <f>J933*H933*首页!$B$12/P933</f>
        <v>0.69532757496605813</v>
      </c>
      <c r="L933" s="6">
        <f>首页!$B$9*0.0000000567*((C933^4-D933^4)/(C933-D933))</f>
        <v>7.7687338005019564</v>
      </c>
      <c r="M933" s="6">
        <f>IF(首页!$B$13="自然对流",IF(首页!$B$14="立式圆筒",首页!$B$10,PI()*B933/2),PI()*B933/2)</f>
        <v>55.2</v>
      </c>
      <c r="N933" s="7">
        <f>IF(首页!$B$13="强制对流",首页!$B$11*M933/H933,0)</f>
        <v>0</v>
      </c>
      <c r="O933" s="6">
        <f>IF(首页!$B$13="自然对流",IF(首页!$B$14="立式圆筒",(0.825+0.3063*I933^(1/6))^2+0.87*(M933/B933),(0.752+0.303*I933^(1/6))^2),0.3+SQRT((0.592*N933^0.5)^2+(0.0262*N933^0.8/(1-0.5/N933^0.1))^2))</f>
        <v>10043.511146659595</v>
      </c>
      <c r="P933" s="6">
        <f t="shared" si="131"/>
        <v>2.9510194925512497E-2</v>
      </c>
      <c r="Q933" s="6">
        <f t="shared" si="132"/>
        <v>5.3693110810594593</v>
      </c>
      <c r="R933" s="6">
        <f t="shared" si="133"/>
        <v>13.138044881561417</v>
      </c>
      <c r="S933" s="6">
        <f>B933*LN(B933/首页!$B$4)</f>
        <v>5.535444155798916</v>
      </c>
      <c r="T933" s="6">
        <f>2*首页!$B$8*(E933-C933)/(R933*(C933-D933))</f>
        <v>7.1027150778460363E-2</v>
      </c>
      <c r="U933" t="str">
        <f>IF(首页!$B$13="自然对流","按自然对流公式", "按强制对流公式")</f>
        <v>按自然对流公式</v>
      </c>
      <c r="V933" s="6">
        <f t="shared" si="134"/>
        <v>5.4644170050204552</v>
      </c>
    </row>
    <row r="934" spans="1:22" x14ac:dyDescent="0.15">
      <c r="A934">
        <v>929</v>
      </c>
      <c r="B934" s="6">
        <f>首页!$B$4+2*A934/1000</f>
        <v>1.9780000000000002</v>
      </c>
      <c r="C934" s="6">
        <f>首页!$B$7+273.15</f>
        <v>388.15</v>
      </c>
      <c r="D934" s="6">
        <f>首页!$B$6+273.15</f>
        <v>293.14999999999998</v>
      </c>
      <c r="E934" s="6">
        <f>首页!$B$5+273.15</f>
        <v>1373.15</v>
      </c>
      <c r="F934" s="6">
        <f t="shared" si="126"/>
        <v>95</v>
      </c>
      <c r="G934" s="6">
        <f t="shared" si="127"/>
        <v>340.65</v>
      </c>
      <c r="H934" s="6">
        <f t="shared" si="128"/>
        <v>1.9926207055139041E-5</v>
      </c>
      <c r="I934" s="7">
        <f t="shared" si="129"/>
        <v>1158916576932337.8</v>
      </c>
      <c r="J934" s="6">
        <f t="shared" si="130"/>
        <v>1.0226038455893147</v>
      </c>
      <c r="K934" s="7">
        <f>J934*H934*首页!$B$12/P934</f>
        <v>0.69532757496605813</v>
      </c>
      <c r="L934" s="6">
        <f>首页!$B$9*0.0000000567*((C934^4-D934^4)/(C934-D934))</f>
        <v>7.7687338005019564</v>
      </c>
      <c r="M934" s="6">
        <f>IF(首页!$B$13="自然对流",IF(首页!$B$14="立式圆筒",首页!$B$10,PI()*B934/2),PI()*B934/2)</f>
        <v>55.2</v>
      </c>
      <c r="N934" s="7">
        <f>IF(首页!$B$13="强制对流",首页!$B$11*M934/H934,0)</f>
        <v>0</v>
      </c>
      <c r="O934" s="6">
        <f>IF(首页!$B$13="自然对流",IF(首页!$B$14="立式圆筒",(0.825+0.3063*I934^(1/6))^2+0.87*(M934/B934),(0.752+0.303*I934^(1/6))^2),0.3+SQRT((0.592*N934^0.5)^2+(0.0262*N934^0.8/(1-0.5/N934^0.1))^2))</f>
        <v>10043.486572702343</v>
      </c>
      <c r="P934" s="6">
        <f t="shared" si="131"/>
        <v>2.9510194925512497E-2</v>
      </c>
      <c r="Q934" s="6">
        <f t="shared" si="132"/>
        <v>5.3692979436995207</v>
      </c>
      <c r="R934" s="6">
        <f t="shared" si="133"/>
        <v>13.138031744201477</v>
      </c>
      <c r="S934" s="6">
        <f>B934*LN(B934/首页!$B$4)</f>
        <v>5.54304784387441</v>
      </c>
      <c r="T934" s="6">
        <f>2*首页!$B$8*(E934-C934)/(R934*(C934-D934))</f>
        <v>7.1027221801979221E-2</v>
      </c>
      <c r="U934" t="str">
        <f>IF(首页!$B$13="自然对流","按自然对流公式", "按强制对流公式")</f>
        <v>按自然对流公式</v>
      </c>
      <c r="V934" s="6">
        <f t="shared" si="134"/>
        <v>5.4720206220724306</v>
      </c>
    </row>
    <row r="935" spans="1:22" x14ac:dyDescent="0.15">
      <c r="A935">
        <v>930</v>
      </c>
      <c r="B935" s="6">
        <f>首页!$B$4+2*A935/1000</f>
        <v>1.98</v>
      </c>
      <c r="C935" s="6">
        <f>首页!$B$7+273.15</f>
        <v>388.15</v>
      </c>
      <c r="D935" s="6">
        <f>首页!$B$6+273.15</f>
        <v>293.14999999999998</v>
      </c>
      <c r="E935" s="6">
        <f>首页!$B$5+273.15</f>
        <v>1373.15</v>
      </c>
      <c r="F935" s="6">
        <f t="shared" si="126"/>
        <v>95</v>
      </c>
      <c r="G935" s="6">
        <f t="shared" si="127"/>
        <v>340.65</v>
      </c>
      <c r="H935" s="6">
        <f t="shared" si="128"/>
        <v>1.9926207055139041E-5</v>
      </c>
      <c r="I935" s="7">
        <f t="shared" si="129"/>
        <v>1158916576932337.8</v>
      </c>
      <c r="J935" s="6">
        <f t="shared" si="130"/>
        <v>1.0226038455893147</v>
      </c>
      <c r="K935" s="7">
        <f>J935*H935*首页!$B$12/P935</f>
        <v>0.69532757496605813</v>
      </c>
      <c r="L935" s="6">
        <f>首页!$B$9*0.0000000567*((C935^4-D935^4)/(C935-D935))</f>
        <v>7.7687338005019564</v>
      </c>
      <c r="M935" s="6">
        <f>IF(首页!$B$13="自然对流",IF(首页!$B$14="立式圆筒",首页!$B$10,PI()*B935/2),PI()*B935/2)</f>
        <v>55.2</v>
      </c>
      <c r="N935" s="7">
        <f>IF(首页!$B$13="强制对流",首页!$B$11*M935/H935,0)</f>
        <v>0</v>
      </c>
      <c r="O935" s="6">
        <f>IF(首页!$B$13="自然对流",IF(首页!$B$14="立式圆筒",(0.825+0.3063*I935^(1/6))^2+0.87*(M935/B935),(0.752+0.303*I935^(1/6))^2),0.3+SQRT((0.592*N935^0.5)^2+(0.0262*N935^0.8/(1-0.5/N935^0.1))^2))</f>
        <v>10043.462048389445</v>
      </c>
      <c r="P935" s="6">
        <f t="shared" si="131"/>
        <v>2.9510194925512497E-2</v>
      </c>
      <c r="Q935" s="6">
        <f t="shared" si="132"/>
        <v>5.3692848328797016</v>
      </c>
      <c r="R935" s="6">
        <f t="shared" si="133"/>
        <v>13.138018633381659</v>
      </c>
      <c r="S935" s="6">
        <f>B935*LN(B935/首页!$B$4)</f>
        <v>5.5506535541949393</v>
      </c>
      <c r="T935" s="6">
        <f>2*首页!$B$8*(E935-C935)/(R935*(C935-D935))</f>
        <v>7.1027292682157822E-2</v>
      </c>
      <c r="U935" t="str">
        <f>IF(首页!$B$13="自然对流","按自然对流公式", "按强制对流公式")</f>
        <v>按自然对流公式</v>
      </c>
      <c r="V935" s="6">
        <f t="shared" si="134"/>
        <v>5.4796262615127818</v>
      </c>
    </row>
    <row r="936" spans="1:22" x14ac:dyDescent="0.15">
      <c r="A936">
        <v>931</v>
      </c>
      <c r="B936" s="6">
        <f>首页!$B$4+2*A936/1000</f>
        <v>1.9820000000000002</v>
      </c>
      <c r="C936" s="6">
        <f>首页!$B$7+273.15</f>
        <v>388.15</v>
      </c>
      <c r="D936" s="6">
        <f>首页!$B$6+273.15</f>
        <v>293.14999999999998</v>
      </c>
      <c r="E936" s="6">
        <f>首页!$B$5+273.15</f>
        <v>1373.15</v>
      </c>
      <c r="F936" s="6">
        <f t="shared" si="126"/>
        <v>95</v>
      </c>
      <c r="G936" s="6">
        <f t="shared" si="127"/>
        <v>340.65</v>
      </c>
      <c r="H936" s="6">
        <f t="shared" si="128"/>
        <v>1.9926207055139041E-5</v>
      </c>
      <c r="I936" s="7">
        <f t="shared" si="129"/>
        <v>1158916576932337.8</v>
      </c>
      <c r="J936" s="6">
        <f t="shared" si="130"/>
        <v>1.0226038455893147</v>
      </c>
      <c r="K936" s="7">
        <f>J936*H936*首页!$B$12/P936</f>
        <v>0.69532757496605813</v>
      </c>
      <c r="L936" s="6">
        <f>首页!$B$9*0.0000000567*((C936^4-D936^4)/(C936-D936))</f>
        <v>7.7687338005019564</v>
      </c>
      <c r="M936" s="6">
        <f>IF(首页!$B$13="自然对流",IF(首页!$B$14="立式圆筒",首页!$B$10,PI()*B936/2),PI()*B936/2)</f>
        <v>55.2</v>
      </c>
      <c r="N936" s="7">
        <f>IF(首页!$B$13="强制对流",首页!$B$11*M936/H936,0)</f>
        <v>0</v>
      </c>
      <c r="O936" s="6">
        <f>IF(首页!$B$13="自然对流",IF(首页!$B$14="立式圆筒",(0.825+0.3063*I936^(1/6))^2+0.87*(M936/B936),(0.752+0.303*I936^(1/6))^2),0.3+SQRT((0.592*N936^0.5)^2+(0.0262*N936^0.8/(1-0.5/N936^0.1))^2))</f>
        <v>10043.437573570622</v>
      </c>
      <c r="P936" s="6">
        <f t="shared" si="131"/>
        <v>2.9510194925512497E-2</v>
      </c>
      <c r="Q936" s="6">
        <f t="shared" si="132"/>
        <v>5.3692717485196608</v>
      </c>
      <c r="R936" s="6">
        <f t="shared" si="133"/>
        <v>13.138005549021617</v>
      </c>
      <c r="S936" s="6">
        <f>B936*LN(B936/首页!$B$4)</f>
        <v>5.5582612847178332</v>
      </c>
      <c r="T936" s="6">
        <f>2*首页!$B$8*(E936-C936)/(R936*(C936-D936))</f>
        <v>7.1027363419429682E-2</v>
      </c>
      <c r="U936" t="str">
        <f>IF(首页!$B$13="自然对流","按自然对流公式", "按强制对流公式")</f>
        <v>按自然对流公式</v>
      </c>
      <c r="V936" s="6">
        <f t="shared" si="134"/>
        <v>5.4872339212984036</v>
      </c>
    </row>
    <row r="937" spans="1:22" x14ac:dyDescent="0.15">
      <c r="A937">
        <v>932</v>
      </c>
      <c r="B937" s="6">
        <f>首页!$B$4+2*A937/1000</f>
        <v>1.984</v>
      </c>
      <c r="C937" s="6">
        <f>首页!$B$7+273.15</f>
        <v>388.15</v>
      </c>
      <c r="D937" s="6">
        <f>首页!$B$6+273.15</f>
        <v>293.14999999999998</v>
      </c>
      <c r="E937" s="6">
        <f>首页!$B$5+273.15</f>
        <v>1373.15</v>
      </c>
      <c r="F937" s="6">
        <f t="shared" si="126"/>
        <v>95</v>
      </c>
      <c r="G937" s="6">
        <f t="shared" si="127"/>
        <v>340.65</v>
      </c>
      <c r="H937" s="6">
        <f t="shared" si="128"/>
        <v>1.9926207055139041E-5</v>
      </c>
      <c r="I937" s="7">
        <f t="shared" si="129"/>
        <v>1158916576932337.8</v>
      </c>
      <c r="J937" s="6">
        <f t="shared" si="130"/>
        <v>1.0226038455893147</v>
      </c>
      <c r="K937" s="7">
        <f>J937*H937*首页!$B$12/P937</f>
        <v>0.69532757496605813</v>
      </c>
      <c r="L937" s="6">
        <f>首页!$B$9*0.0000000567*((C937^4-D937^4)/(C937-D937))</f>
        <v>7.7687338005019564</v>
      </c>
      <c r="M937" s="6">
        <f>IF(首页!$B$13="自然对流",IF(首页!$B$14="立式圆筒",首页!$B$10,PI()*B937/2),PI()*B937/2)</f>
        <v>55.2</v>
      </c>
      <c r="N937" s="7">
        <f>IF(首页!$B$13="强制对流",首页!$B$11*M937/H937,0)</f>
        <v>0</v>
      </c>
      <c r="O937" s="6">
        <f>IF(首页!$B$13="自然对流",IF(首页!$B$14="立式圆筒",(0.825+0.3063*I937^(1/6))^2+0.87*(M937/B937),(0.752+0.303*I937^(1/6))^2),0.3+SQRT((0.592*N937^0.5)^2+(0.0262*N937^0.8/(1-0.5/N937^0.1))^2))</f>
        <v>10043.41314809619</v>
      </c>
      <c r="P937" s="6">
        <f t="shared" si="131"/>
        <v>2.9510194925512497E-2</v>
      </c>
      <c r="Q937" s="6">
        <f t="shared" si="132"/>
        <v>5.369258690539378</v>
      </c>
      <c r="R937" s="6">
        <f t="shared" si="133"/>
        <v>13.137992491041334</v>
      </c>
      <c r="S937" s="6">
        <f>B937*LN(B937/首页!$B$4)</f>
        <v>5.56587103340454</v>
      </c>
      <c r="T937" s="6">
        <f>2*首页!$B$8*(E937-C937)/(R937*(C937-D937))</f>
        <v>7.1027434014226537E-2</v>
      </c>
      <c r="U937" t="str">
        <f>IF(首页!$B$13="自然对流","按自然对流公式", "按强制对流公式")</f>
        <v>按自然对流公式</v>
      </c>
      <c r="V937" s="6">
        <f t="shared" si="134"/>
        <v>5.4948435993903137</v>
      </c>
    </row>
    <row r="938" spans="1:22" x14ac:dyDescent="0.15">
      <c r="A938">
        <v>933</v>
      </c>
      <c r="B938" s="6">
        <f>首页!$B$4+2*A938/1000</f>
        <v>1.9860000000000002</v>
      </c>
      <c r="C938" s="6">
        <f>首页!$B$7+273.15</f>
        <v>388.15</v>
      </c>
      <c r="D938" s="6">
        <f>首页!$B$6+273.15</f>
        <v>293.14999999999998</v>
      </c>
      <c r="E938" s="6">
        <f>首页!$B$5+273.15</f>
        <v>1373.15</v>
      </c>
      <c r="F938" s="6">
        <f t="shared" si="126"/>
        <v>95</v>
      </c>
      <c r="G938" s="6">
        <f t="shared" si="127"/>
        <v>340.65</v>
      </c>
      <c r="H938" s="6">
        <f t="shared" si="128"/>
        <v>1.9926207055139041E-5</v>
      </c>
      <c r="I938" s="7">
        <f t="shared" si="129"/>
        <v>1158916576932337.8</v>
      </c>
      <c r="J938" s="6">
        <f t="shared" si="130"/>
        <v>1.0226038455893147</v>
      </c>
      <c r="K938" s="7">
        <f>J938*H938*首页!$B$12/P938</f>
        <v>0.69532757496605813</v>
      </c>
      <c r="L938" s="6">
        <f>首页!$B$9*0.0000000567*((C938^4-D938^4)/(C938-D938))</f>
        <v>7.7687338005019564</v>
      </c>
      <c r="M938" s="6">
        <f>IF(首页!$B$13="自然对流",IF(首页!$B$14="立式圆筒",首页!$B$10,PI()*B938/2),PI()*B938/2)</f>
        <v>55.2</v>
      </c>
      <c r="N938" s="7">
        <f>IF(首页!$B$13="强制对流",首页!$B$11*M938/H938,0)</f>
        <v>0</v>
      </c>
      <c r="O938" s="6">
        <f>IF(首页!$B$13="自然对流",IF(首页!$B$14="立式圆筒",(0.825+0.3063*I938^(1/6))^2+0.87*(M938/B938),(0.752+0.303*I938^(1/6))^2),0.3+SQRT((0.592*N938^0.5)^2+(0.0262*N938^0.8/(1-0.5/N938^0.1))^2))</f>
        <v>10043.388771817075</v>
      </c>
      <c r="P938" s="6">
        <f t="shared" si="131"/>
        <v>2.9510194925512497E-2</v>
      </c>
      <c r="Q938" s="6">
        <f t="shared" si="132"/>
        <v>5.3692456588591559</v>
      </c>
      <c r="R938" s="6">
        <f t="shared" si="133"/>
        <v>13.137979459361112</v>
      </c>
      <c r="S938" s="6">
        <f>B938*LN(B938/首页!$B$4)</f>
        <v>5.5734827982206214</v>
      </c>
      <c r="T938" s="6">
        <f>2*首页!$B$8*(E938-C938)/(R938*(C938-D938))</f>
        <v>7.1027504466978419E-2</v>
      </c>
      <c r="U938" t="str">
        <f>IF(首页!$B$13="自然对流","按自然对流公式", "按强制对流公式")</f>
        <v>按自然对流公式</v>
      </c>
      <c r="V938" s="6">
        <f t="shared" si="134"/>
        <v>5.5024552937536431</v>
      </c>
    </row>
    <row r="939" spans="1:22" x14ac:dyDescent="0.15">
      <c r="A939">
        <v>934</v>
      </c>
      <c r="B939" s="6">
        <f>首页!$B$4+2*A939/1000</f>
        <v>1.988</v>
      </c>
      <c r="C939" s="6">
        <f>首页!$B$7+273.15</f>
        <v>388.15</v>
      </c>
      <c r="D939" s="6">
        <f>首页!$B$6+273.15</f>
        <v>293.14999999999998</v>
      </c>
      <c r="E939" s="6">
        <f>首页!$B$5+273.15</f>
        <v>1373.15</v>
      </c>
      <c r="F939" s="6">
        <f t="shared" si="126"/>
        <v>95</v>
      </c>
      <c r="G939" s="6">
        <f t="shared" si="127"/>
        <v>340.65</v>
      </c>
      <c r="H939" s="6">
        <f t="shared" si="128"/>
        <v>1.9926207055139041E-5</v>
      </c>
      <c r="I939" s="7">
        <f t="shared" si="129"/>
        <v>1158916576932337.8</v>
      </c>
      <c r="J939" s="6">
        <f t="shared" si="130"/>
        <v>1.0226038455893147</v>
      </c>
      <c r="K939" s="7">
        <f>J939*H939*首页!$B$12/P939</f>
        <v>0.69532757496605813</v>
      </c>
      <c r="L939" s="6">
        <f>首页!$B$9*0.0000000567*((C939^4-D939^4)/(C939-D939))</f>
        <v>7.7687338005019564</v>
      </c>
      <c r="M939" s="6">
        <f>IF(首页!$B$13="自然对流",IF(首页!$B$14="立式圆筒",首页!$B$10,PI()*B939/2),PI()*B939/2)</f>
        <v>55.2</v>
      </c>
      <c r="N939" s="7">
        <f>IF(首页!$B$13="强制对流",首页!$B$11*M939/H939,0)</f>
        <v>0</v>
      </c>
      <c r="O939" s="6">
        <f>IF(首页!$B$13="自然对流",IF(首页!$B$14="立式圆筒",(0.825+0.3063*I939^(1/6))^2+0.87*(M939/B939),(0.752+0.303*I939^(1/6))^2),0.3+SQRT((0.592*N939^0.5)^2+(0.0262*N939^0.8/(1-0.5/N939^0.1))^2))</f>
        <v>10043.364444584799</v>
      </c>
      <c r="P939" s="6">
        <f t="shared" si="131"/>
        <v>2.9510194925512497E-2</v>
      </c>
      <c r="Q939" s="6">
        <f t="shared" si="132"/>
        <v>5.3692326533996182</v>
      </c>
      <c r="R939" s="6">
        <f t="shared" si="133"/>
        <v>13.137966453901575</v>
      </c>
      <c r="S939" s="6">
        <f>B939*LN(B939/首页!$B$4)</f>
        <v>5.5810965771357335</v>
      </c>
      <c r="T939" s="6">
        <f>2*首页!$B$8*(E939-C939)/(R939*(C939-D939))</f>
        <v>7.1027574778113611E-2</v>
      </c>
      <c r="U939" t="str">
        <f>IF(首页!$B$13="自然对流","按自然对流公式", "按强制对流公式")</f>
        <v>按自然对流公式</v>
      </c>
      <c r="V939" s="6">
        <f t="shared" si="134"/>
        <v>5.5100690023576195</v>
      </c>
    </row>
    <row r="940" spans="1:22" x14ac:dyDescent="0.15">
      <c r="A940">
        <v>935</v>
      </c>
      <c r="B940" s="6">
        <f>首页!$B$4+2*A940/1000</f>
        <v>1.9900000000000002</v>
      </c>
      <c r="C940" s="6">
        <f>首页!$B$7+273.15</f>
        <v>388.15</v>
      </c>
      <c r="D940" s="6">
        <f>首页!$B$6+273.15</f>
        <v>293.14999999999998</v>
      </c>
      <c r="E940" s="6">
        <f>首页!$B$5+273.15</f>
        <v>1373.15</v>
      </c>
      <c r="F940" s="6">
        <f t="shared" si="126"/>
        <v>95</v>
      </c>
      <c r="G940" s="6">
        <f t="shared" si="127"/>
        <v>340.65</v>
      </c>
      <c r="H940" s="6">
        <f t="shared" si="128"/>
        <v>1.9926207055139041E-5</v>
      </c>
      <c r="I940" s="7">
        <f t="shared" si="129"/>
        <v>1158916576932337.8</v>
      </c>
      <c r="J940" s="6">
        <f t="shared" si="130"/>
        <v>1.0226038455893147</v>
      </c>
      <c r="K940" s="7">
        <f>J940*H940*首页!$B$12/P940</f>
        <v>0.69532757496605813</v>
      </c>
      <c r="L940" s="6">
        <f>首页!$B$9*0.0000000567*((C940^4-D940^4)/(C940-D940))</f>
        <v>7.7687338005019564</v>
      </c>
      <c r="M940" s="6">
        <f>IF(首页!$B$13="自然对流",IF(首页!$B$14="立式圆筒",首页!$B$10,PI()*B940/2),PI()*B940/2)</f>
        <v>55.2</v>
      </c>
      <c r="N940" s="7">
        <f>IF(首页!$B$13="强制对流",首页!$B$11*M940/H940,0)</f>
        <v>0</v>
      </c>
      <c r="O940" s="6">
        <f>IF(首页!$B$13="自然对流",IF(首页!$B$14="立式圆筒",(0.825+0.3063*I940^(1/6))^2+0.87*(M940/B940),(0.752+0.303*I940^(1/6))^2),0.3+SQRT((0.592*N940^0.5)^2+(0.0262*N940^0.8/(1-0.5/N940^0.1))^2))</f>
        <v>10043.340166251483</v>
      </c>
      <c r="P940" s="6">
        <f t="shared" si="131"/>
        <v>2.9510194925512497E-2</v>
      </c>
      <c r="Q940" s="6">
        <f t="shared" si="132"/>
        <v>5.369219674081708</v>
      </c>
      <c r="R940" s="6">
        <f t="shared" si="133"/>
        <v>13.137953474583664</v>
      </c>
      <c r="S940" s="6">
        <f>B940*LN(B940/首页!$B$4)</f>
        <v>5.5887123681236206</v>
      </c>
      <c r="T940" s="6">
        <f>2*首页!$B$8*(E940-C940)/(R940*(C940-D940))</f>
        <v>7.102764494805866E-2</v>
      </c>
      <c r="U940" t="str">
        <f>IF(首页!$B$13="自然对流","按自然对流公式", "按强制对流公式")</f>
        <v>按自然对流公式</v>
      </c>
      <c r="V940" s="6">
        <f t="shared" si="134"/>
        <v>5.5176847231755621</v>
      </c>
    </row>
    <row r="941" spans="1:22" x14ac:dyDescent="0.15">
      <c r="A941">
        <v>936</v>
      </c>
      <c r="B941" s="6">
        <f>首页!$B$4+2*A941/1000</f>
        <v>1.992</v>
      </c>
      <c r="C941" s="6">
        <f>首页!$B$7+273.15</f>
        <v>388.15</v>
      </c>
      <c r="D941" s="6">
        <f>首页!$B$6+273.15</f>
        <v>293.14999999999998</v>
      </c>
      <c r="E941" s="6">
        <f>首页!$B$5+273.15</f>
        <v>1373.15</v>
      </c>
      <c r="F941" s="6">
        <f t="shared" si="126"/>
        <v>95</v>
      </c>
      <c r="G941" s="6">
        <f t="shared" si="127"/>
        <v>340.65</v>
      </c>
      <c r="H941" s="6">
        <f t="shared" si="128"/>
        <v>1.9926207055139041E-5</v>
      </c>
      <c r="I941" s="7">
        <f t="shared" si="129"/>
        <v>1158916576932337.8</v>
      </c>
      <c r="J941" s="6">
        <f t="shared" si="130"/>
        <v>1.0226038455893147</v>
      </c>
      <c r="K941" s="7">
        <f>J941*H941*首页!$B$12/P941</f>
        <v>0.69532757496605813</v>
      </c>
      <c r="L941" s="6">
        <f>首页!$B$9*0.0000000567*((C941^4-D941^4)/(C941-D941))</f>
        <v>7.7687338005019564</v>
      </c>
      <c r="M941" s="6">
        <f>IF(首页!$B$13="自然对流",IF(首页!$B$14="立式圆筒",首页!$B$10,PI()*B941/2),PI()*B941/2)</f>
        <v>55.2</v>
      </c>
      <c r="N941" s="7">
        <f>IF(首页!$B$13="强制对流",首页!$B$11*M941/H941,0)</f>
        <v>0</v>
      </c>
      <c r="O941" s="6">
        <f>IF(首页!$B$13="自然对流",IF(首页!$B$14="立式圆筒",(0.825+0.3063*I941^(1/6))^2+0.87*(M941/B941),(0.752+0.303*I941^(1/6))^2),0.3+SQRT((0.592*N941^0.5)^2+(0.0262*N941^0.8/(1-0.5/N941^0.1))^2))</f>
        <v>10043.31593666984</v>
      </c>
      <c r="P941" s="6">
        <f t="shared" si="131"/>
        <v>2.9510194925512497E-2</v>
      </c>
      <c r="Q941" s="6">
        <f t="shared" si="132"/>
        <v>5.3692067208266865</v>
      </c>
      <c r="R941" s="6">
        <f t="shared" si="133"/>
        <v>13.137940521328643</v>
      </c>
      <c r="S941" s="6">
        <f>B941*LN(B941/首页!$B$4)</f>
        <v>5.5963301691620959</v>
      </c>
      <c r="T941" s="6">
        <f>2*首页!$B$8*(E941-C941)/(R941*(C941-D941))</f>
        <v>7.1027714977238435E-2</v>
      </c>
      <c r="U941" t="str">
        <f>IF(首页!$B$13="自然对流","按自然对流公式", "按强制对流公式")</f>
        <v>按自然对流公式</v>
      </c>
      <c r="V941" s="6">
        <f t="shared" si="134"/>
        <v>5.5253024541848577</v>
      </c>
    </row>
    <row r="942" spans="1:22" x14ac:dyDescent="0.15">
      <c r="A942">
        <v>937</v>
      </c>
      <c r="B942" s="6">
        <f>首页!$B$4+2*A942/1000</f>
        <v>1.9940000000000002</v>
      </c>
      <c r="C942" s="6">
        <f>首页!$B$7+273.15</f>
        <v>388.15</v>
      </c>
      <c r="D942" s="6">
        <f>首页!$B$6+273.15</f>
        <v>293.14999999999998</v>
      </c>
      <c r="E942" s="6">
        <f>首页!$B$5+273.15</f>
        <v>1373.15</v>
      </c>
      <c r="F942" s="6">
        <f t="shared" si="126"/>
        <v>95</v>
      </c>
      <c r="G942" s="6">
        <f t="shared" si="127"/>
        <v>340.65</v>
      </c>
      <c r="H942" s="6">
        <f t="shared" si="128"/>
        <v>1.9926207055139041E-5</v>
      </c>
      <c r="I942" s="7">
        <f t="shared" si="129"/>
        <v>1158916576932337.8</v>
      </c>
      <c r="J942" s="6">
        <f t="shared" si="130"/>
        <v>1.0226038455893147</v>
      </c>
      <c r="K942" s="7">
        <f>J942*H942*首页!$B$12/P942</f>
        <v>0.69532757496605813</v>
      </c>
      <c r="L942" s="6">
        <f>首页!$B$9*0.0000000567*((C942^4-D942^4)/(C942-D942))</f>
        <v>7.7687338005019564</v>
      </c>
      <c r="M942" s="6">
        <f>IF(首页!$B$13="自然对流",IF(首页!$B$14="立式圆筒",首页!$B$10,PI()*B942/2),PI()*B942/2)</f>
        <v>55.2</v>
      </c>
      <c r="N942" s="7">
        <f>IF(首页!$B$13="强制对流",首页!$B$11*M942/H942,0)</f>
        <v>0</v>
      </c>
      <c r="O942" s="6">
        <f>IF(首页!$B$13="自然对流",IF(首页!$B$14="立式圆筒",(0.825+0.3063*I942^(1/6))^2+0.87*(M942/B942),(0.752+0.303*I942^(1/6))^2),0.3+SQRT((0.592*N942^0.5)^2+(0.0262*N942^0.8/(1-0.5/N942^0.1))^2))</f>
        <v>10043.291755693175</v>
      </c>
      <c r="P942" s="6">
        <f t="shared" si="131"/>
        <v>2.9510194925512497E-2</v>
      </c>
      <c r="Q942" s="6">
        <f t="shared" si="132"/>
        <v>5.3691937935561267</v>
      </c>
      <c r="R942" s="6">
        <f t="shared" si="133"/>
        <v>13.137927594058084</v>
      </c>
      <c r="S942" s="6">
        <f>B942*LN(B942/首页!$B$4)</f>
        <v>5.6039499782330378</v>
      </c>
      <c r="T942" s="6">
        <f>2*首页!$B$8*(E942-C942)/(R942*(C942-D942))</f>
        <v>7.1027784866076082E-2</v>
      </c>
      <c r="U942" t="str">
        <f>IF(首页!$B$13="自然对流","按自然对流公式", "按强制对流公式")</f>
        <v>按自然对流公式</v>
      </c>
      <c r="V942" s="6">
        <f t="shared" si="134"/>
        <v>5.5329221933669617</v>
      </c>
    </row>
    <row r="943" spans="1:22" x14ac:dyDescent="0.15">
      <c r="A943">
        <v>938</v>
      </c>
      <c r="B943" s="6">
        <f>首页!$B$4+2*A943/1000</f>
        <v>1.996</v>
      </c>
      <c r="C943" s="6">
        <f>首页!$B$7+273.15</f>
        <v>388.15</v>
      </c>
      <c r="D943" s="6">
        <f>首页!$B$6+273.15</f>
        <v>293.14999999999998</v>
      </c>
      <c r="E943" s="6">
        <f>首页!$B$5+273.15</f>
        <v>1373.15</v>
      </c>
      <c r="F943" s="6">
        <f t="shared" si="126"/>
        <v>95</v>
      </c>
      <c r="G943" s="6">
        <f t="shared" si="127"/>
        <v>340.65</v>
      </c>
      <c r="H943" s="6">
        <f t="shared" si="128"/>
        <v>1.9926207055139041E-5</v>
      </c>
      <c r="I943" s="7">
        <f t="shared" si="129"/>
        <v>1158916576932337.8</v>
      </c>
      <c r="J943" s="6">
        <f t="shared" si="130"/>
        <v>1.0226038455893147</v>
      </c>
      <c r="K943" s="7">
        <f>J943*H943*首页!$B$12/P943</f>
        <v>0.69532757496605813</v>
      </c>
      <c r="L943" s="6">
        <f>首页!$B$9*0.0000000567*((C943^4-D943^4)/(C943-D943))</f>
        <v>7.7687338005019564</v>
      </c>
      <c r="M943" s="6">
        <f>IF(首页!$B$13="自然对流",IF(首页!$B$14="立式圆筒",首页!$B$10,PI()*B943/2),PI()*B943/2)</f>
        <v>55.2</v>
      </c>
      <c r="N943" s="7">
        <f>IF(首页!$B$13="强制对流",首页!$B$11*M943/H943,0)</f>
        <v>0</v>
      </c>
      <c r="O943" s="6">
        <f>IF(首页!$B$13="自然对流",IF(首页!$B$14="立式圆筒",(0.825+0.3063*I943^(1/6))^2+0.87*(M943/B943),(0.752+0.303*I943^(1/6))^2),0.3+SQRT((0.592*N943^0.5)^2+(0.0262*N943^0.8/(1-0.5/N943^0.1))^2))</f>
        <v>10043.267623175381</v>
      </c>
      <c r="P943" s="6">
        <f t="shared" si="131"/>
        <v>2.9510194925512497E-2</v>
      </c>
      <c r="Q943" s="6">
        <f t="shared" si="132"/>
        <v>5.3691808921919213</v>
      </c>
      <c r="R943" s="6">
        <f t="shared" si="133"/>
        <v>13.137914692693878</v>
      </c>
      <c r="S943" s="6">
        <f>B943*LN(B943/首页!$B$4)</f>
        <v>5.6115717933223692</v>
      </c>
      <c r="T943" s="6">
        <f>2*首页!$B$8*(E943-C943)/(R943*(C943-D943))</f>
        <v>7.1027854614993086E-2</v>
      </c>
      <c r="U943" t="str">
        <f>IF(首页!$B$13="自然对流","按自然对流公式", "按强制对流公式")</f>
        <v>按自然对流公式</v>
      </c>
      <c r="V943" s="6">
        <f t="shared" si="134"/>
        <v>5.5405439387073763</v>
      </c>
    </row>
    <row r="944" spans="1:22" x14ac:dyDescent="0.15">
      <c r="A944">
        <v>939</v>
      </c>
      <c r="B944" s="6">
        <f>首页!$B$4+2*A944/1000</f>
        <v>1.9979999999999998</v>
      </c>
      <c r="C944" s="6">
        <f>首页!$B$7+273.15</f>
        <v>388.15</v>
      </c>
      <c r="D944" s="6">
        <f>首页!$B$6+273.15</f>
        <v>293.14999999999998</v>
      </c>
      <c r="E944" s="6">
        <f>首页!$B$5+273.15</f>
        <v>1373.15</v>
      </c>
      <c r="F944" s="6">
        <f t="shared" si="126"/>
        <v>95</v>
      </c>
      <c r="G944" s="6">
        <f t="shared" si="127"/>
        <v>340.65</v>
      </c>
      <c r="H944" s="6">
        <f t="shared" si="128"/>
        <v>1.9926207055139041E-5</v>
      </c>
      <c r="I944" s="7">
        <f t="shared" si="129"/>
        <v>1158916576932337.8</v>
      </c>
      <c r="J944" s="6">
        <f t="shared" si="130"/>
        <v>1.0226038455893147</v>
      </c>
      <c r="K944" s="7">
        <f>J944*H944*首页!$B$12/P944</f>
        <v>0.69532757496605813</v>
      </c>
      <c r="L944" s="6">
        <f>首页!$B$9*0.0000000567*((C944^4-D944^4)/(C944-D944))</f>
        <v>7.7687338005019564</v>
      </c>
      <c r="M944" s="6">
        <f>IF(首页!$B$13="自然对流",IF(首页!$B$14="立式圆筒",首页!$B$10,PI()*B944/2),PI()*B944/2)</f>
        <v>55.2</v>
      </c>
      <c r="N944" s="7">
        <f>IF(首页!$B$13="强制对流",首页!$B$11*M944/H944,0)</f>
        <v>0</v>
      </c>
      <c r="O944" s="6">
        <f>IF(首页!$B$13="自然对流",IF(首页!$B$14="立式圆筒",(0.825+0.3063*I944^(1/6))^2+0.87*(M944/B944),(0.752+0.303*I944^(1/6))^2),0.3+SQRT((0.592*N944^0.5)^2+(0.0262*N944^0.8/(1-0.5/N944^0.1))^2))</f>
        <v>10043.243538970935</v>
      </c>
      <c r="P944" s="6">
        <f t="shared" si="131"/>
        <v>2.9510194925512497E-2</v>
      </c>
      <c r="Q944" s="6">
        <f t="shared" si="132"/>
        <v>5.369168016656273</v>
      </c>
      <c r="R944" s="6">
        <f t="shared" si="133"/>
        <v>13.13790181715823</v>
      </c>
      <c r="S944" s="6">
        <f>B944*LN(B944/首页!$B$4)</f>
        <v>5.6191956124200519</v>
      </c>
      <c r="T944" s="6">
        <f>2*首页!$B$8*(E944-C944)/(R944*(C944-D944))</f>
        <v>7.1027924224409164E-2</v>
      </c>
      <c r="U944" t="str">
        <f>IF(首页!$B$13="自然对流","按自然对流公式", "按强制对流公式")</f>
        <v>按自然对流公式</v>
      </c>
      <c r="V944" s="6">
        <f t="shared" si="134"/>
        <v>5.548167688195643</v>
      </c>
    </row>
    <row r="945" spans="1:22" x14ac:dyDescent="0.15">
      <c r="A945">
        <v>940</v>
      </c>
      <c r="B945" s="6">
        <f>首页!$B$4+2*A945/1000</f>
        <v>2</v>
      </c>
      <c r="C945" s="6">
        <f>首页!$B$7+273.15</f>
        <v>388.15</v>
      </c>
      <c r="D945" s="6">
        <f>首页!$B$6+273.15</f>
        <v>293.14999999999998</v>
      </c>
      <c r="E945" s="6">
        <f>首页!$B$5+273.15</f>
        <v>1373.15</v>
      </c>
      <c r="F945" s="6">
        <f t="shared" si="126"/>
        <v>95</v>
      </c>
      <c r="G945" s="6">
        <f t="shared" si="127"/>
        <v>340.65</v>
      </c>
      <c r="H945" s="6">
        <f t="shared" si="128"/>
        <v>1.9926207055139041E-5</v>
      </c>
      <c r="I945" s="7">
        <f t="shared" si="129"/>
        <v>1158916576932337.8</v>
      </c>
      <c r="J945" s="6">
        <f t="shared" si="130"/>
        <v>1.0226038455893147</v>
      </c>
      <c r="K945" s="7">
        <f>J945*H945*首页!$B$12/P945</f>
        <v>0.69532757496605813</v>
      </c>
      <c r="L945" s="6">
        <f>首页!$B$9*0.0000000567*((C945^4-D945^4)/(C945-D945))</f>
        <v>7.7687338005019564</v>
      </c>
      <c r="M945" s="6">
        <f>IF(首页!$B$13="自然对流",IF(首页!$B$14="立式圆筒",首页!$B$10,PI()*B945/2),PI()*B945/2)</f>
        <v>55.2</v>
      </c>
      <c r="N945" s="7">
        <f>IF(首页!$B$13="强制对流",首页!$B$11*M945/H945,0)</f>
        <v>0</v>
      </c>
      <c r="O945" s="6">
        <f>IF(首页!$B$13="自然对流",IF(首页!$B$14="立式圆筒",(0.825+0.3063*I945^(1/6))^2+0.87*(M945/B945),(0.752+0.303*I945^(1/6))^2),0.3+SQRT((0.592*N945^0.5)^2+(0.0262*N945^0.8/(1-0.5/N945^0.1))^2))</f>
        <v>10043.2195029349</v>
      </c>
      <c r="P945" s="6">
        <f t="shared" si="131"/>
        <v>2.9510194925512497E-2</v>
      </c>
      <c r="Q945" s="6">
        <f t="shared" si="132"/>
        <v>5.3691551668716961</v>
      </c>
      <c r="R945" s="6">
        <f t="shared" si="133"/>
        <v>13.137888967373652</v>
      </c>
      <c r="S945" s="6">
        <f>B945*LN(B945/首页!$B$4)</f>
        <v>5.6268214335200728</v>
      </c>
      <c r="T945" s="6">
        <f>2*首页!$B$8*(E945-C945)/(R945*(C945-D945))</f>
        <v>7.1027993694742456E-2</v>
      </c>
      <c r="U945" t="str">
        <f>IF(首页!$B$13="自然对流","按自然对流公式", "按强制对流公式")</f>
        <v>按自然对流公式</v>
      </c>
      <c r="V945" s="6">
        <f t="shared" si="134"/>
        <v>5.5557934398253304</v>
      </c>
    </row>
    <row r="946" spans="1:22" x14ac:dyDescent="0.15">
      <c r="A946">
        <v>941</v>
      </c>
      <c r="B946" s="6">
        <f>首页!$B$4+2*A946/1000</f>
        <v>2.0019999999999998</v>
      </c>
      <c r="C946" s="6">
        <f>首页!$B$7+273.15</f>
        <v>388.15</v>
      </c>
      <c r="D946" s="6">
        <f>首页!$B$6+273.15</f>
        <v>293.14999999999998</v>
      </c>
      <c r="E946" s="6">
        <f>首页!$B$5+273.15</f>
        <v>1373.15</v>
      </c>
      <c r="F946" s="6">
        <f t="shared" si="126"/>
        <v>95</v>
      </c>
      <c r="G946" s="6">
        <f t="shared" si="127"/>
        <v>340.65</v>
      </c>
      <c r="H946" s="6">
        <f t="shared" si="128"/>
        <v>1.9926207055139041E-5</v>
      </c>
      <c r="I946" s="7">
        <f t="shared" si="129"/>
        <v>1158916576932337.8</v>
      </c>
      <c r="J946" s="6">
        <f t="shared" si="130"/>
        <v>1.0226038455893147</v>
      </c>
      <c r="K946" s="7">
        <f>J946*H946*首页!$B$12/P946</f>
        <v>0.69532757496605813</v>
      </c>
      <c r="L946" s="6">
        <f>首页!$B$9*0.0000000567*((C946^4-D946^4)/(C946-D946))</f>
        <v>7.7687338005019564</v>
      </c>
      <c r="M946" s="6">
        <f>IF(首页!$B$13="自然对流",IF(首页!$B$14="立式圆筒",首页!$B$10,PI()*B946/2),PI()*B946/2)</f>
        <v>55.2</v>
      </c>
      <c r="N946" s="7">
        <f>IF(首页!$B$13="强制对流",首页!$B$11*M946/H946,0)</f>
        <v>0</v>
      </c>
      <c r="O946" s="6">
        <f>IF(首页!$B$13="自然对流",IF(首页!$B$14="立式圆筒",(0.825+0.3063*I946^(1/6))^2+0.87*(M946/B946),(0.752+0.303*I946^(1/6))^2),0.3+SQRT((0.592*N946^0.5)^2+(0.0262*N946^0.8/(1-0.5/N946^0.1))^2))</f>
        <v>10043.195514922912</v>
      </c>
      <c r="P946" s="6">
        <f t="shared" si="131"/>
        <v>2.9510194925512497E-2</v>
      </c>
      <c r="Q946" s="6">
        <f t="shared" si="132"/>
        <v>5.3691423427610143</v>
      </c>
      <c r="R946" s="6">
        <f t="shared" si="133"/>
        <v>13.137876143262972</v>
      </c>
      <c r="S946" s="6">
        <f>B946*LN(B946/首页!$B$4)</f>
        <v>5.6344492546204252</v>
      </c>
      <c r="T946" s="6">
        <f>2*首页!$B$8*(E946-C946)/(R946*(C946-D946))</f>
        <v>7.1028063026409349E-2</v>
      </c>
      <c r="U946" t="str">
        <f>IF(首页!$B$13="自然对流","按自然对流公式", "按强制对流公式")</f>
        <v>按自然对流公式</v>
      </c>
      <c r="V946" s="6">
        <f t="shared" si="134"/>
        <v>5.5634211915940162</v>
      </c>
    </row>
    <row r="947" spans="1:22" x14ac:dyDescent="0.15">
      <c r="A947">
        <v>942</v>
      </c>
      <c r="B947" s="6">
        <f>首页!$B$4+2*A947/1000</f>
        <v>2.004</v>
      </c>
      <c r="C947" s="6">
        <f>首页!$B$7+273.15</f>
        <v>388.15</v>
      </c>
      <c r="D947" s="6">
        <f>首页!$B$6+273.15</f>
        <v>293.14999999999998</v>
      </c>
      <c r="E947" s="6">
        <f>首页!$B$5+273.15</f>
        <v>1373.15</v>
      </c>
      <c r="F947" s="6">
        <f t="shared" si="126"/>
        <v>95</v>
      </c>
      <c r="G947" s="6">
        <f t="shared" si="127"/>
        <v>340.65</v>
      </c>
      <c r="H947" s="6">
        <f t="shared" si="128"/>
        <v>1.9926207055139041E-5</v>
      </c>
      <c r="I947" s="7">
        <f t="shared" si="129"/>
        <v>1158916576932337.8</v>
      </c>
      <c r="J947" s="6">
        <f t="shared" si="130"/>
        <v>1.0226038455893147</v>
      </c>
      <c r="K947" s="7">
        <f>J947*H947*首页!$B$12/P947</f>
        <v>0.69532757496605813</v>
      </c>
      <c r="L947" s="6">
        <f>首页!$B$9*0.0000000567*((C947^4-D947^4)/(C947-D947))</f>
        <v>7.7687338005019564</v>
      </c>
      <c r="M947" s="6">
        <f>IF(首页!$B$13="自然对流",IF(首页!$B$14="立式圆筒",首页!$B$10,PI()*B947/2),PI()*B947/2)</f>
        <v>55.2</v>
      </c>
      <c r="N947" s="7">
        <f>IF(首页!$B$13="强制对流",首页!$B$11*M947/H947,0)</f>
        <v>0</v>
      </c>
      <c r="O947" s="6">
        <f>IF(首页!$B$13="自然对流",IF(首页!$B$14="立式圆筒",(0.825+0.3063*I947^(1/6))^2+0.87*(M947/B947),(0.752+0.303*I947^(1/6))^2),0.3+SQRT((0.592*N947^0.5)^2+(0.0262*N947^0.8/(1-0.5/N947^0.1))^2))</f>
        <v>10043.171574791188</v>
      </c>
      <c r="P947" s="6">
        <f t="shared" si="131"/>
        <v>2.9510194925512497E-2</v>
      </c>
      <c r="Q947" s="6">
        <f t="shared" si="132"/>
        <v>5.3691295442473592</v>
      </c>
      <c r="R947" s="6">
        <f t="shared" si="133"/>
        <v>13.137863344749316</v>
      </c>
      <c r="S947" s="6">
        <f>B947*LN(B947/首页!$B$4)</f>
        <v>5.6420790737231101</v>
      </c>
      <c r="T947" s="6">
        <f>2*首页!$B$8*(E947-C947)/(R947*(C947-D947))</f>
        <v>7.1028132219824638E-2</v>
      </c>
      <c r="U947" t="str">
        <f>IF(首页!$B$13="自然对流","按自然对流公式", "按强制对流公式")</f>
        <v>按自然对流公式</v>
      </c>
      <c r="V947" s="6">
        <f t="shared" si="134"/>
        <v>5.5710509415032856</v>
      </c>
    </row>
    <row r="948" spans="1:22" x14ac:dyDescent="0.15">
      <c r="A948">
        <v>943</v>
      </c>
      <c r="B948" s="6">
        <f>首页!$B$4+2*A948/1000</f>
        <v>2.0059999999999998</v>
      </c>
      <c r="C948" s="6">
        <f>首页!$B$7+273.15</f>
        <v>388.15</v>
      </c>
      <c r="D948" s="6">
        <f>首页!$B$6+273.15</f>
        <v>293.14999999999998</v>
      </c>
      <c r="E948" s="6">
        <f>首页!$B$5+273.15</f>
        <v>1373.15</v>
      </c>
      <c r="F948" s="6">
        <f t="shared" si="126"/>
        <v>95</v>
      </c>
      <c r="G948" s="6">
        <f t="shared" si="127"/>
        <v>340.65</v>
      </c>
      <c r="H948" s="6">
        <f t="shared" si="128"/>
        <v>1.9926207055139041E-5</v>
      </c>
      <c r="I948" s="7">
        <f t="shared" si="129"/>
        <v>1158916576932337.8</v>
      </c>
      <c r="J948" s="6">
        <f t="shared" si="130"/>
        <v>1.0226038455893147</v>
      </c>
      <c r="K948" s="7">
        <f>J948*H948*首页!$B$12/P948</f>
        <v>0.69532757496605813</v>
      </c>
      <c r="L948" s="6">
        <f>首页!$B$9*0.0000000567*((C948^4-D948^4)/(C948-D948))</f>
        <v>7.7687338005019564</v>
      </c>
      <c r="M948" s="6">
        <f>IF(首页!$B$13="自然对流",IF(首页!$B$14="立式圆筒",首页!$B$10,PI()*B948/2),PI()*B948/2)</f>
        <v>55.2</v>
      </c>
      <c r="N948" s="7">
        <f>IF(首页!$B$13="强制对流",首页!$B$11*M948/H948,0)</f>
        <v>0</v>
      </c>
      <c r="O948" s="6">
        <f>IF(首页!$B$13="自然对流",IF(首页!$B$14="立式圆筒",(0.825+0.3063*I948^(1/6))^2+0.87*(M948/B948),(0.752+0.303*I948^(1/6))^2),0.3+SQRT((0.592*N948^0.5)^2+(0.0262*N948^0.8/(1-0.5/N948^0.1))^2))</f>
        <v>10043.147682396515</v>
      </c>
      <c r="P948" s="6">
        <f t="shared" si="131"/>
        <v>2.9510194925512497E-2</v>
      </c>
      <c r="Q948" s="6">
        <f t="shared" si="132"/>
        <v>5.3691167712541708</v>
      </c>
      <c r="R948" s="6">
        <f t="shared" si="133"/>
        <v>13.137850571756127</v>
      </c>
      <c r="S948" s="6">
        <f>B948*LN(B948/首页!$B$4)</f>
        <v>5.6497108888341074</v>
      </c>
      <c r="T948" s="6">
        <f>2*首页!$B$8*(E948-C948)/(R948*(C948-D948))</f>
        <v>7.1028201275401451E-2</v>
      </c>
      <c r="U948" t="str">
        <f>IF(首页!$B$13="自然对流","按自然对流公式", "按强制对流公式")</f>
        <v>按自然对流公式</v>
      </c>
      <c r="V948" s="6">
        <f t="shared" si="134"/>
        <v>5.5786826875587057</v>
      </c>
    </row>
    <row r="949" spans="1:22" x14ac:dyDescent="0.15">
      <c r="A949">
        <v>944</v>
      </c>
      <c r="B949" s="6">
        <f>首页!$B$4+2*A949/1000</f>
        <v>2.008</v>
      </c>
      <c r="C949" s="6">
        <f>首页!$B$7+273.15</f>
        <v>388.15</v>
      </c>
      <c r="D949" s="6">
        <f>首页!$B$6+273.15</f>
        <v>293.14999999999998</v>
      </c>
      <c r="E949" s="6">
        <f>首页!$B$5+273.15</f>
        <v>1373.15</v>
      </c>
      <c r="F949" s="6">
        <f t="shared" si="126"/>
        <v>95</v>
      </c>
      <c r="G949" s="6">
        <f t="shared" si="127"/>
        <v>340.65</v>
      </c>
      <c r="H949" s="6">
        <f t="shared" si="128"/>
        <v>1.9926207055139041E-5</v>
      </c>
      <c r="I949" s="7">
        <f t="shared" si="129"/>
        <v>1158916576932337.8</v>
      </c>
      <c r="J949" s="6">
        <f t="shared" si="130"/>
        <v>1.0226038455893147</v>
      </c>
      <c r="K949" s="7">
        <f>J949*H949*首页!$B$12/P949</f>
        <v>0.69532757496605813</v>
      </c>
      <c r="L949" s="6">
        <f>首页!$B$9*0.0000000567*((C949^4-D949^4)/(C949-D949))</f>
        <v>7.7687338005019564</v>
      </c>
      <c r="M949" s="6">
        <f>IF(首页!$B$13="自然对流",IF(首页!$B$14="立式圆筒",首页!$B$10,PI()*B949/2),PI()*B949/2)</f>
        <v>55.2</v>
      </c>
      <c r="N949" s="7">
        <f>IF(首页!$B$13="强制对流",首页!$B$11*M949/H949,0)</f>
        <v>0</v>
      </c>
      <c r="O949" s="6">
        <f>IF(首页!$B$13="自然对流",IF(首页!$B$14="立式圆筒",(0.825+0.3063*I949^(1/6))^2+0.87*(M949/B949),(0.752+0.303*I949^(1/6))^2),0.3+SQRT((0.592*N949^0.5)^2+(0.0262*N949^0.8/(1-0.5/N949^0.1))^2))</f>
        <v>10043.123837596255</v>
      </c>
      <c r="P949" s="6">
        <f t="shared" si="131"/>
        <v>2.9510194925512497E-2</v>
      </c>
      <c r="Q949" s="6">
        <f t="shared" si="132"/>
        <v>5.3691040237051917</v>
      </c>
      <c r="R949" s="6">
        <f t="shared" si="133"/>
        <v>13.137837824207148</v>
      </c>
      <c r="S949" s="6">
        <f>B949*LN(B949/首页!$B$4)</f>
        <v>5.6573446979633841</v>
      </c>
      <c r="T949" s="6">
        <f>2*首页!$B$8*(E949-C949)/(R949*(C949-D949))</f>
        <v>7.1028270193551207E-2</v>
      </c>
      <c r="U949" t="str">
        <f>IF(首页!$B$13="自然对流","按自然对流公式", "按强制对流公式")</f>
        <v>按自然对流公式</v>
      </c>
      <c r="V949" s="6">
        <f t="shared" si="134"/>
        <v>5.5863164277698329</v>
      </c>
    </row>
    <row r="950" spans="1:22" x14ac:dyDescent="0.15">
      <c r="A950">
        <v>945</v>
      </c>
      <c r="B950" s="6">
        <f>首页!$B$4+2*A950/1000</f>
        <v>2.0099999999999998</v>
      </c>
      <c r="C950" s="6">
        <f>首页!$B$7+273.15</f>
        <v>388.15</v>
      </c>
      <c r="D950" s="6">
        <f>首页!$B$6+273.15</f>
        <v>293.14999999999998</v>
      </c>
      <c r="E950" s="6">
        <f>首页!$B$5+273.15</f>
        <v>1373.15</v>
      </c>
      <c r="F950" s="6">
        <f t="shared" si="126"/>
        <v>95</v>
      </c>
      <c r="G950" s="6">
        <f t="shared" si="127"/>
        <v>340.65</v>
      </c>
      <c r="H950" s="6">
        <f t="shared" si="128"/>
        <v>1.9926207055139041E-5</v>
      </c>
      <c r="I950" s="7">
        <f t="shared" si="129"/>
        <v>1158916576932337.8</v>
      </c>
      <c r="J950" s="6">
        <f t="shared" si="130"/>
        <v>1.0226038455893147</v>
      </c>
      <c r="K950" s="7">
        <f>J950*H950*首页!$B$12/P950</f>
        <v>0.69532757496605813</v>
      </c>
      <c r="L950" s="6">
        <f>首页!$B$9*0.0000000567*((C950^4-D950^4)/(C950-D950))</f>
        <v>7.7687338005019564</v>
      </c>
      <c r="M950" s="6">
        <f>IF(首页!$B$13="自然对流",IF(首页!$B$14="立式圆筒",首页!$B$10,PI()*B950/2),PI()*B950/2)</f>
        <v>55.2</v>
      </c>
      <c r="N950" s="7">
        <f>IF(首页!$B$13="强制对流",首页!$B$11*M950/H950,0)</f>
        <v>0</v>
      </c>
      <c r="O950" s="6">
        <f>IF(首页!$B$13="自然对流",IF(首页!$B$14="立式圆筒",(0.825+0.3063*I950^(1/6))^2+0.87*(M950/B950),(0.752+0.303*I950^(1/6))^2),0.3+SQRT((0.592*N950^0.5)^2+(0.0262*N950^0.8/(1-0.5/N950^0.1))^2))</f>
        <v>10043.100040248333</v>
      </c>
      <c r="P950" s="6">
        <f t="shared" si="131"/>
        <v>2.9510194925512497E-2</v>
      </c>
      <c r="Q950" s="6">
        <f t="shared" si="132"/>
        <v>5.3690913015244695</v>
      </c>
      <c r="R950" s="6">
        <f t="shared" si="133"/>
        <v>13.137825102026426</v>
      </c>
      <c r="S950" s="6">
        <f>B950*LN(B950/首页!$B$4)</f>
        <v>5.6649804991248605</v>
      </c>
      <c r="T950" s="6">
        <f>2*首页!$B$8*(E950-C950)/(R950*(C950-D950))</f>
        <v>7.1028338974683761E-2</v>
      </c>
      <c r="U950" t="str">
        <f>IF(首页!$B$13="自然对流","按自然对流公式", "按强制对流公式")</f>
        <v>按自然对流公式</v>
      </c>
      <c r="V950" s="6">
        <f t="shared" si="134"/>
        <v>5.5939521601501765</v>
      </c>
    </row>
    <row r="951" spans="1:22" x14ac:dyDescent="0.15">
      <c r="A951">
        <v>946</v>
      </c>
      <c r="B951" s="6">
        <f>首页!$B$4+2*A951/1000</f>
        <v>2.012</v>
      </c>
      <c r="C951" s="6">
        <f>首页!$B$7+273.15</f>
        <v>388.15</v>
      </c>
      <c r="D951" s="6">
        <f>首页!$B$6+273.15</f>
        <v>293.14999999999998</v>
      </c>
      <c r="E951" s="6">
        <f>首页!$B$5+273.15</f>
        <v>1373.15</v>
      </c>
      <c r="F951" s="6">
        <f t="shared" si="126"/>
        <v>95</v>
      </c>
      <c r="G951" s="6">
        <f t="shared" si="127"/>
        <v>340.65</v>
      </c>
      <c r="H951" s="6">
        <f t="shared" si="128"/>
        <v>1.9926207055139041E-5</v>
      </c>
      <c r="I951" s="7">
        <f t="shared" si="129"/>
        <v>1158916576932337.8</v>
      </c>
      <c r="J951" s="6">
        <f t="shared" si="130"/>
        <v>1.0226038455893147</v>
      </c>
      <c r="K951" s="7">
        <f>J951*H951*首页!$B$12/P951</f>
        <v>0.69532757496605813</v>
      </c>
      <c r="L951" s="6">
        <f>首页!$B$9*0.0000000567*((C951^4-D951^4)/(C951-D951))</f>
        <v>7.7687338005019564</v>
      </c>
      <c r="M951" s="6">
        <f>IF(首页!$B$13="自然对流",IF(首页!$B$14="立式圆筒",首页!$B$10,PI()*B951/2),PI()*B951/2)</f>
        <v>55.2</v>
      </c>
      <c r="N951" s="7">
        <f>IF(首页!$B$13="强制对流",首页!$B$11*M951/H951,0)</f>
        <v>0</v>
      </c>
      <c r="O951" s="6">
        <f>IF(首页!$B$13="自然对流",IF(首页!$B$14="立式圆筒",(0.825+0.3063*I951^(1/6))^2+0.87*(M951/B951),(0.752+0.303*I951^(1/6))^2),0.3+SQRT((0.592*N951^0.5)^2+(0.0262*N951^0.8/(1-0.5/N951^0.1))^2))</f>
        <v>10043.076290211242</v>
      </c>
      <c r="P951" s="6">
        <f t="shared" si="131"/>
        <v>2.9510194925512497E-2</v>
      </c>
      <c r="Q951" s="6">
        <f t="shared" si="132"/>
        <v>5.3690786046363526</v>
      </c>
      <c r="R951" s="6">
        <f t="shared" si="133"/>
        <v>13.137812405138309</v>
      </c>
      <c r="S951" s="6">
        <f>B951*LN(B951/首页!$B$4)</f>
        <v>5.6726182903364188</v>
      </c>
      <c r="T951" s="6">
        <f>2*首页!$B$8*(E951-C951)/(R951*(C951-D951))</f>
        <v>7.1028407619207312E-2</v>
      </c>
      <c r="U951" t="str">
        <f>IF(首页!$B$13="自然对流","按自然对流公式", "按强制对流公式")</f>
        <v>按自然对流公式</v>
      </c>
      <c r="V951" s="6">
        <f t="shared" si="134"/>
        <v>5.6015898827172119</v>
      </c>
    </row>
    <row r="952" spans="1:22" x14ac:dyDescent="0.15">
      <c r="A952">
        <v>947</v>
      </c>
      <c r="B952" s="6">
        <f>首页!$B$4+2*A952/1000</f>
        <v>2.0139999999999998</v>
      </c>
      <c r="C952" s="6">
        <f>首页!$B$7+273.15</f>
        <v>388.15</v>
      </c>
      <c r="D952" s="6">
        <f>首页!$B$6+273.15</f>
        <v>293.14999999999998</v>
      </c>
      <c r="E952" s="6">
        <f>首页!$B$5+273.15</f>
        <v>1373.15</v>
      </c>
      <c r="F952" s="6">
        <f t="shared" si="126"/>
        <v>95</v>
      </c>
      <c r="G952" s="6">
        <f t="shared" si="127"/>
        <v>340.65</v>
      </c>
      <c r="H952" s="6">
        <f t="shared" si="128"/>
        <v>1.9926207055139041E-5</v>
      </c>
      <c r="I952" s="7">
        <f t="shared" si="129"/>
        <v>1158916576932337.8</v>
      </c>
      <c r="J952" s="6">
        <f t="shared" si="130"/>
        <v>1.0226038455893147</v>
      </c>
      <c r="K952" s="7">
        <f>J952*H952*首页!$B$12/P952</f>
        <v>0.69532757496605813</v>
      </c>
      <c r="L952" s="6">
        <f>首页!$B$9*0.0000000567*((C952^4-D952^4)/(C952-D952))</f>
        <v>7.7687338005019564</v>
      </c>
      <c r="M952" s="6">
        <f>IF(首页!$B$13="自然对流",IF(首页!$B$14="立式圆筒",首页!$B$10,PI()*B952/2),PI()*B952/2)</f>
        <v>55.2</v>
      </c>
      <c r="N952" s="7">
        <f>IF(首页!$B$13="强制对流",首页!$B$11*M952/H952,0)</f>
        <v>0</v>
      </c>
      <c r="O952" s="6">
        <f>IF(首页!$B$13="自然对流",IF(首页!$B$14="立式圆筒",(0.825+0.3063*I952^(1/6))^2+0.87*(M952/B952),(0.752+0.303*I952^(1/6))^2),0.3+SQRT((0.592*N952^0.5)^2+(0.0262*N952^0.8/(1-0.5/N952^0.1))^2))</f>
        <v>10043.052587344037</v>
      </c>
      <c r="P952" s="6">
        <f t="shared" si="131"/>
        <v>2.9510194925512497E-2</v>
      </c>
      <c r="Q952" s="6">
        <f t="shared" si="132"/>
        <v>5.3690659329654915</v>
      </c>
      <c r="R952" s="6">
        <f t="shared" si="133"/>
        <v>13.137799733467448</v>
      </c>
      <c r="S952" s="6">
        <f>B952*LN(B952/首页!$B$4)</f>
        <v>5.6802580696198728</v>
      </c>
      <c r="T952" s="6">
        <f>2*首页!$B$8*(E952-C952)/(R952*(C952-D952))</f>
        <v>7.1028476127528439E-2</v>
      </c>
      <c r="U952" t="str">
        <f>IF(首页!$B$13="自然对流","按自然对流公式", "按强制对流公式")</f>
        <v>按自然对流公式</v>
      </c>
      <c r="V952" s="6">
        <f t="shared" si="134"/>
        <v>5.6092295934923442</v>
      </c>
    </row>
    <row r="953" spans="1:22" x14ac:dyDescent="0.15">
      <c r="A953">
        <v>948</v>
      </c>
      <c r="B953" s="6">
        <f>首页!$B$4+2*A953/1000</f>
        <v>2.016</v>
      </c>
      <c r="C953" s="6">
        <f>首页!$B$7+273.15</f>
        <v>388.15</v>
      </c>
      <c r="D953" s="6">
        <f>首页!$B$6+273.15</f>
        <v>293.14999999999998</v>
      </c>
      <c r="E953" s="6">
        <f>首页!$B$5+273.15</f>
        <v>1373.15</v>
      </c>
      <c r="F953" s="6">
        <f t="shared" si="126"/>
        <v>95</v>
      </c>
      <c r="G953" s="6">
        <f t="shared" si="127"/>
        <v>340.65</v>
      </c>
      <c r="H953" s="6">
        <f t="shared" si="128"/>
        <v>1.9926207055139041E-5</v>
      </c>
      <c r="I953" s="7">
        <f t="shared" si="129"/>
        <v>1158916576932337.8</v>
      </c>
      <c r="J953" s="6">
        <f t="shared" si="130"/>
        <v>1.0226038455893147</v>
      </c>
      <c r="K953" s="7">
        <f>J953*H953*首页!$B$12/P953</f>
        <v>0.69532757496605813</v>
      </c>
      <c r="L953" s="6">
        <f>首页!$B$9*0.0000000567*((C953^4-D953^4)/(C953-D953))</f>
        <v>7.7687338005019564</v>
      </c>
      <c r="M953" s="6">
        <f>IF(首页!$B$13="自然对流",IF(首页!$B$14="立式圆筒",首页!$B$10,PI()*B953/2),PI()*B953/2)</f>
        <v>55.2</v>
      </c>
      <c r="N953" s="7">
        <f>IF(首页!$B$13="强制对流",首页!$B$11*M953/H953,0)</f>
        <v>0</v>
      </c>
      <c r="O953" s="6">
        <f>IF(首页!$B$13="自然对流",IF(首页!$B$14="立式圆筒",(0.825+0.3063*I953^(1/6))^2+0.87*(M953/B953),(0.752+0.303*I953^(1/6))^2),0.3+SQRT((0.592*N953^0.5)^2+(0.0262*N953^0.8/(1-0.5/N953^0.1))^2))</f>
        <v>10043.028931506329</v>
      </c>
      <c r="P953" s="6">
        <f t="shared" si="131"/>
        <v>2.9510194925512497E-2</v>
      </c>
      <c r="Q953" s="6">
        <f t="shared" si="132"/>
        <v>5.3690532864368343</v>
      </c>
      <c r="R953" s="6">
        <f t="shared" si="133"/>
        <v>13.13778708693879</v>
      </c>
      <c r="S953" s="6">
        <f>B953*LN(B953/首页!$B$4)</f>
        <v>5.687899835000974</v>
      </c>
      <c r="T953" s="6">
        <f>2*首页!$B$8*(E953-C953)/(R953*(C953-D953))</f>
        <v>7.1028544500052138E-2</v>
      </c>
      <c r="U953" t="str">
        <f>IF(首页!$B$13="自然对流","按自然对流公式", "按强制对流公式")</f>
        <v>按自然对流公式</v>
      </c>
      <c r="V953" s="6">
        <f t="shared" si="134"/>
        <v>5.6168712905009217</v>
      </c>
    </row>
    <row r="954" spans="1:22" x14ac:dyDescent="0.15">
      <c r="A954">
        <v>949</v>
      </c>
      <c r="B954" s="6">
        <f>首页!$B$4+2*A954/1000</f>
        <v>2.0179999999999998</v>
      </c>
      <c r="C954" s="6">
        <f>首页!$B$7+273.15</f>
        <v>388.15</v>
      </c>
      <c r="D954" s="6">
        <f>首页!$B$6+273.15</f>
        <v>293.14999999999998</v>
      </c>
      <c r="E954" s="6">
        <f>首页!$B$5+273.15</f>
        <v>1373.15</v>
      </c>
      <c r="F954" s="6">
        <f t="shared" si="126"/>
        <v>95</v>
      </c>
      <c r="G954" s="6">
        <f t="shared" si="127"/>
        <v>340.65</v>
      </c>
      <c r="H954" s="6">
        <f t="shared" si="128"/>
        <v>1.9926207055139041E-5</v>
      </c>
      <c r="I954" s="7">
        <f t="shared" si="129"/>
        <v>1158916576932337.8</v>
      </c>
      <c r="J954" s="6">
        <f t="shared" si="130"/>
        <v>1.0226038455893147</v>
      </c>
      <c r="K954" s="7">
        <f>J954*H954*首页!$B$12/P954</f>
        <v>0.69532757496605813</v>
      </c>
      <c r="L954" s="6">
        <f>首页!$B$9*0.0000000567*((C954^4-D954^4)/(C954-D954))</f>
        <v>7.7687338005019564</v>
      </c>
      <c r="M954" s="6">
        <f>IF(首页!$B$13="自然对流",IF(首页!$B$14="立式圆筒",首页!$B$10,PI()*B954/2),PI()*B954/2)</f>
        <v>55.2</v>
      </c>
      <c r="N954" s="7">
        <f>IF(首页!$B$13="强制对流",首页!$B$11*M954/H954,0)</f>
        <v>0</v>
      </c>
      <c r="O954" s="6">
        <f>IF(首页!$B$13="自然对流",IF(首页!$B$14="立式圆筒",(0.825+0.3063*I954^(1/6))^2+0.87*(M954/B954),(0.752+0.303*I954^(1/6))^2),0.3+SQRT((0.592*N954^0.5)^2+(0.0262*N954^0.8/(1-0.5/N954^0.1))^2))</f>
        <v>10043.005322558289</v>
      </c>
      <c r="P954" s="6">
        <f t="shared" si="131"/>
        <v>2.9510194925512497E-2</v>
      </c>
      <c r="Q954" s="6">
        <f t="shared" si="132"/>
        <v>5.3690406649756275</v>
      </c>
      <c r="R954" s="6">
        <f t="shared" si="133"/>
        <v>13.137774465477584</v>
      </c>
      <c r="S954" s="6">
        <f>B954*LN(B954/首页!$B$4)</f>
        <v>5.6955435845093829</v>
      </c>
      <c r="T954" s="6">
        <f>2*首页!$B$8*(E954-C954)/(R954*(C954-D954))</f>
        <v>7.1028612737181737E-2</v>
      </c>
      <c r="U954" t="str">
        <f>IF(首页!$B$13="自然对流","按自然对流公式", "按强制对流公式")</f>
        <v>按自然对流公式</v>
      </c>
      <c r="V954" s="6">
        <f t="shared" si="134"/>
        <v>5.6245149717722009</v>
      </c>
    </row>
    <row r="955" spans="1:22" x14ac:dyDescent="0.15">
      <c r="A955">
        <v>950</v>
      </c>
      <c r="B955" s="6">
        <f>首页!$B$4+2*A955/1000</f>
        <v>2.02</v>
      </c>
      <c r="C955" s="6">
        <f>首页!$B$7+273.15</f>
        <v>388.15</v>
      </c>
      <c r="D955" s="6">
        <f>首页!$B$6+273.15</f>
        <v>293.14999999999998</v>
      </c>
      <c r="E955" s="6">
        <f>首页!$B$5+273.15</f>
        <v>1373.15</v>
      </c>
      <c r="F955" s="6">
        <f t="shared" si="126"/>
        <v>95</v>
      </c>
      <c r="G955" s="6">
        <f t="shared" si="127"/>
        <v>340.65</v>
      </c>
      <c r="H955" s="6">
        <f t="shared" si="128"/>
        <v>1.9926207055139041E-5</v>
      </c>
      <c r="I955" s="7">
        <f t="shared" si="129"/>
        <v>1158916576932337.8</v>
      </c>
      <c r="J955" s="6">
        <f t="shared" si="130"/>
        <v>1.0226038455893147</v>
      </c>
      <c r="K955" s="7">
        <f>J955*H955*首页!$B$12/P955</f>
        <v>0.69532757496605813</v>
      </c>
      <c r="L955" s="6">
        <f>首页!$B$9*0.0000000567*((C955^4-D955^4)/(C955-D955))</f>
        <v>7.7687338005019564</v>
      </c>
      <c r="M955" s="6">
        <f>IF(首页!$B$13="自然对流",IF(首页!$B$14="立式圆筒",首页!$B$10,PI()*B955/2),PI()*B955/2)</f>
        <v>55.2</v>
      </c>
      <c r="N955" s="7">
        <f>IF(首页!$B$13="强制对流",首页!$B$11*M955/H955,0)</f>
        <v>0</v>
      </c>
      <c r="O955" s="6">
        <f>IF(首页!$B$13="自然对流",IF(首页!$B$14="立式圆筒",(0.825+0.3063*I955^(1/6))^2+0.87*(M955/B955),(0.752+0.303*I955^(1/6))^2),0.3+SQRT((0.592*N955^0.5)^2+(0.0262*N955^0.8/(1-0.5/N955^0.1))^2))</f>
        <v>10042.981760360643</v>
      </c>
      <c r="P955" s="6">
        <f t="shared" si="131"/>
        <v>2.9510194925512497E-2</v>
      </c>
      <c r="Q955" s="6">
        <f t="shared" si="132"/>
        <v>5.3690280685074123</v>
      </c>
      <c r="R955" s="6">
        <f t="shared" si="133"/>
        <v>13.137761869009369</v>
      </c>
      <c r="S955" s="6">
        <f>B955*LN(B955/首页!$B$4)</f>
        <v>5.7031893161786735</v>
      </c>
      <c r="T955" s="6">
        <f>2*首页!$B$8*(E955-C955)/(R955*(C955-D955))</f>
        <v>7.1028680839319042E-2</v>
      </c>
      <c r="U955" t="str">
        <f>IF(首页!$B$13="自然对流","按自然对流公式", "按强制对流公式")</f>
        <v>按自然对流公式</v>
      </c>
      <c r="V955" s="6">
        <f t="shared" si="134"/>
        <v>5.6321606353393543</v>
      </c>
    </row>
    <row r="956" spans="1:22" x14ac:dyDescent="0.15">
      <c r="A956">
        <v>951</v>
      </c>
      <c r="B956" s="6">
        <f>首页!$B$4+2*A956/1000</f>
        <v>2.0219999999999998</v>
      </c>
      <c r="C956" s="6">
        <f>首页!$B$7+273.15</f>
        <v>388.15</v>
      </c>
      <c r="D956" s="6">
        <f>首页!$B$6+273.15</f>
        <v>293.14999999999998</v>
      </c>
      <c r="E956" s="6">
        <f>首页!$B$5+273.15</f>
        <v>1373.15</v>
      </c>
      <c r="F956" s="6">
        <f t="shared" si="126"/>
        <v>95</v>
      </c>
      <c r="G956" s="6">
        <f t="shared" si="127"/>
        <v>340.65</v>
      </c>
      <c r="H956" s="6">
        <f t="shared" si="128"/>
        <v>1.9926207055139041E-5</v>
      </c>
      <c r="I956" s="7">
        <f t="shared" si="129"/>
        <v>1158916576932337.8</v>
      </c>
      <c r="J956" s="6">
        <f t="shared" si="130"/>
        <v>1.0226038455893147</v>
      </c>
      <c r="K956" s="7">
        <f>J956*H956*首页!$B$12/P956</f>
        <v>0.69532757496605813</v>
      </c>
      <c r="L956" s="6">
        <f>首页!$B$9*0.0000000567*((C956^4-D956^4)/(C956-D956))</f>
        <v>7.7687338005019564</v>
      </c>
      <c r="M956" s="6">
        <f>IF(首页!$B$13="自然对流",IF(首页!$B$14="立式圆筒",首页!$B$10,PI()*B956/2),PI()*B956/2)</f>
        <v>55.2</v>
      </c>
      <c r="N956" s="7">
        <f>IF(首页!$B$13="强制对流",首页!$B$11*M956/H956,0)</f>
        <v>0</v>
      </c>
      <c r="O956" s="6">
        <f>IF(首页!$B$13="自然对流",IF(首页!$B$14="立式圆筒",(0.825+0.3063*I956^(1/6))^2+0.87*(M956/B956),(0.752+0.303*I956^(1/6))^2),0.3+SQRT((0.592*N956^0.5)^2+(0.0262*N956^0.8/(1-0.5/N956^0.1))^2))</f>
        <v>10042.958244774662</v>
      </c>
      <c r="P956" s="6">
        <f t="shared" si="131"/>
        <v>2.9510194925512497E-2</v>
      </c>
      <c r="Q956" s="6">
        <f t="shared" si="132"/>
        <v>5.3690154969580268</v>
      </c>
      <c r="R956" s="6">
        <f t="shared" si="133"/>
        <v>13.137749297459983</v>
      </c>
      <c r="S956" s="6">
        <f>B956*LN(B956/首页!$B$4)</f>
        <v>5.7108370280463054</v>
      </c>
      <c r="T956" s="6">
        <f>2*首页!$B$8*(E956-C956)/(R956*(C956-D956))</f>
        <v>7.1028748806864231E-2</v>
      </c>
      <c r="U956" t="str">
        <f>IF(首页!$B$13="自然对流","按自然对流公式", "按强制对流公式")</f>
        <v>按自然对流公式</v>
      </c>
      <c r="V956" s="6">
        <f t="shared" si="134"/>
        <v>5.6398082792394408</v>
      </c>
    </row>
    <row r="957" spans="1:22" x14ac:dyDescent="0.15">
      <c r="A957">
        <v>952</v>
      </c>
      <c r="B957" s="6">
        <f>首页!$B$4+2*A957/1000</f>
        <v>2.024</v>
      </c>
      <c r="C957" s="6">
        <f>首页!$B$7+273.15</f>
        <v>388.15</v>
      </c>
      <c r="D957" s="6">
        <f>首页!$B$6+273.15</f>
        <v>293.14999999999998</v>
      </c>
      <c r="E957" s="6">
        <f>首页!$B$5+273.15</f>
        <v>1373.15</v>
      </c>
      <c r="F957" s="6">
        <f t="shared" si="126"/>
        <v>95</v>
      </c>
      <c r="G957" s="6">
        <f t="shared" si="127"/>
        <v>340.65</v>
      </c>
      <c r="H957" s="6">
        <f t="shared" si="128"/>
        <v>1.9926207055139041E-5</v>
      </c>
      <c r="I957" s="7">
        <f t="shared" si="129"/>
        <v>1158916576932337.8</v>
      </c>
      <c r="J957" s="6">
        <f t="shared" si="130"/>
        <v>1.0226038455893147</v>
      </c>
      <c r="K957" s="7">
        <f>J957*H957*首页!$B$12/P957</f>
        <v>0.69532757496605813</v>
      </c>
      <c r="L957" s="6">
        <f>首页!$B$9*0.0000000567*((C957^4-D957^4)/(C957-D957))</f>
        <v>7.7687338005019564</v>
      </c>
      <c r="M957" s="6">
        <f>IF(首页!$B$13="自然对流",IF(首页!$B$14="立式圆筒",首页!$B$10,PI()*B957/2),PI()*B957/2)</f>
        <v>55.2</v>
      </c>
      <c r="N957" s="7">
        <f>IF(首页!$B$13="强制对流",首页!$B$11*M957/H957,0)</f>
        <v>0</v>
      </c>
      <c r="O957" s="6">
        <f>IF(首页!$B$13="自然对流",IF(首页!$B$14="立式圆筒",(0.825+0.3063*I957^(1/6))^2+0.87*(M957/B957),(0.752+0.303*I957^(1/6))^2),0.3+SQRT((0.592*N957^0.5)^2+(0.0262*N957^0.8/(1-0.5/N957^0.1))^2))</f>
        <v>10042.934775662172</v>
      </c>
      <c r="P957" s="6">
        <f t="shared" si="131"/>
        <v>2.9510194925512497E-2</v>
      </c>
      <c r="Q957" s="6">
        <f t="shared" si="132"/>
        <v>5.3690029502536012</v>
      </c>
      <c r="R957" s="6">
        <f t="shared" si="133"/>
        <v>13.137736750755558</v>
      </c>
      <c r="S957" s="6">
        <f>B957*LN(B957/首页!$B$4)</f>
        <v>5.7184867181536276</v>
      </c>
      <c r="T957" s="6">
        <f>2*首页!$B$8*(E957-C957)/(R957*(C957-D957))</f>
        <v>7.1028816640215889E-2</v>
      </c>
      <c r="U957" t="str">
        <f>IF(首页!$B$13="自然对流","按自然对流公式", "按强制对流公式")</f>
        <v>按自然对流公式</v>
      </c>
      <c r="V957" s="6">
        <f t="shared" si="134"/>
        <v>5.6474579015134116</v>
      </c>
    </row>
    <row r="958" spans="1:22" x14ac:dyDescent="0.15">
      <c r="A958">
        <v>953</v>
      </c>
      <c r="B958" s="6">
        <f>首页!$B$4+2*A958/1000</f>
        <v>2.0259999999999998</v>
      </c>
      <c r="C958" s="6">
        <f>首页!$B$7+273.15</f>
        <v>388.15</v>
      </c>
      <c r="D958" s="6">
        <f>首页!$B$6+273.15</f>
        <v>293.14999999999998</v>
      </c>
      <c r="E958" s="6">
        <f>首页!$B$5+273.15</f>
        <v>1373.15</v>
      </c>
      <c r="F958" s="6">
        <f t="shared" si="126"/>
        <v>95</v>
      </c>
      <c r="G958" s="6">
        <f t="shared" si="127"/>
        <v>340.65</v>
      </c>
      <c r="H958" s="6">
        <f t="shared" si="128"/>
        <v>1.9926207055139041E-5</v>
      </c>
      <c r="I958" s="7">
        <f t="shared" si="129"/>
        <v>1158916576932337.8</v>
      </c>
      <c r="J958" s="6">
        <f t="shared" si="130"/>
        <v>1.0226038455893147</v>
      </c>
      <c r="K958" s="7">
        <f>J958*H958*首页!$B$12/P958</f>
        <v>0.69532757496605813</v>
      </c>
      <c r="L958" s="6">
        <f>首页!$B$9*0.0000000567*((C958^4-D958^4)/(C958-D958))</f>
        <v>7.7687338005019564</v>
      </c>
      <c r="M958" s="6">
        <f>IF(首页!$B$13="自然对流",IF(首页!$B$14="立式圆筒",首页!$B$10,PI()*B958/2),PI()*B958/2)</f>
        <v>55.2</v>
      </c>
      <c r="N958" s="7">
        <f>IF(首页!$B$13="强制对流",首页!$B$11*M958/H958,0)</f>
        <v>0</v>
      </c>
      <c r="O958" s="6">
        <f>IF(首页!$B$13="自然对流",IF(首页!$B$14="立式圆筒",(0.825+0.3063*I958^(1/6))^2+0.87*(M958/B958),(0.752+0.303*I958^(1/6))^2),0.3+SQRT((0.592*N958^0.5)^2+(0.0262*N958^0.8/(1-0.5/N958^0.1))^2))</f>
        <v>10042.911352885541</v>
      </c>
      <c r="P958" s="6">
        <f t="shared" si="131"/>
        <v>2.9510194925512497E-2</v>
      </c>
      <c r="Q958" s="6">
        <f t="shared" si="132"/>
        <v>5.368990428320557</v>
      </c>
      <c r="R958" s="6">
        <f t="shared" si="133"/>
        <v>13.137724228822513</v>
      </c>
      <c r="S958" s="6">
        <f>B958*LN(B958/首页!$B$4)</f>
        <v>5.7261383845458562</v>
      </c>
      <c r="T958" s="6">
        <f>2*首页!$B$8*(E958-C958)/(R958*(C958-D958))</f>
        <v>7.1028884339771045E-2</v>
      </c>
      <c r="U958" t="str">
        <f>IF(首页!$B$13="自然对流","按自然对流公式", "按强制对流公式")</f>
        <v>按自然对流公式</v>
      </c>
      <c r="V958" s="6">
        <f t="shared" si="134"/>
        <v>5.6551095002060849</v>
      </c>
    </row>
    <row r="959" spans="1:22" x14ac:dyDescent="0.15">
      <c r="A959">
        <v>954</v>
      </c>
      <c r="B959" s="6">
        <f>首页!$B$4+2*A959/1000</f>
        <v>2.028</v>
      </c>
      <c r="C959" s="6">
        <f>首页!$B$7+273.15</f>
        <v>388.15</v>
      </c>
      <c r="D959" s="6">
        <f>首页!$B$6+273.15</f>
        <v>293.14999999999998</v>
      </c>
      <c r="E959" s="6">
        <f>首页!$B$5+273.15</f>
        <v>1373.15</v>
      </c>
      <c r="F959" s="6">
        <f t="shared" si="126"/>
        <v>95</v>
      </c>
      <c r="G959" s="6">
        <f t="shared" si="127"/>
        <v>340.65</v>
      </c>
      <c r="H959" s="6">
        <f t="shared" si="128"/>
        <v>1.9926207055139041E-5</v>
      </c>
      <c r="I959" s="7">
        <f t="shared" si="129"/>
        <v>1158916576932337.8</v>
      </c>
      <c r="J959" s="6">
        <f t="shared" si="130"/>
        <v>1.0226038455893147</v>
      </c>
      <c r="K959" s="7">
        <f>J959*H959*首页!$B$12/P959</f>
        <v>0.69532757496605813</v>
      </c>
      <c r="L959" s="6">
        <f>首页!$B$9*0.0000000567*((C959^4-D959^4)/(C959-D959))</f>
        <v>7.7687338005019564</v>
      </c>
      <c r="M959" s="6">
        <f>IF(首页!$B$13="自然对流",IF(首页!$B$14="立式圆筒",首页!$B$10,PI()*B959/2),PI()*B959/2)</f>
        <v>55.2</v>
      </c>
      <c r="N959" s="7">
        <f>IF(首页!$B$13="强制对流",首页!$B$11*M959/H959,0)</f>
        <v>0</v>
      </c>
      <c r="O959" s="6">
        <f>IF(首页!$B$13="自然对流",IF(首页!$B$14="立式圆筒",(0.825+0.3063*I959^(1/6))^2+0.87*(M959/B959),(0.752+0.303*I959^(1/6))^2),0.3+SQRT((0.592*N959^0.5)^2+(0.0262*N959^0.8/(1-0.5/N959^0.1))^2))</f>
        <v>10042.88797630768</v>
      </c>
      <c r="P959" s="6">
        <f t="shared" si="131"/>
        <v>2.9510194925512497E-2</v>
      </c>
      <c r="Q959" s="6">
        <f t="shared" si="132"/>
        <v>5.3689779310856043</v>
      </c>
      <c r="R959" s="6">
        <f t="shared" si="133"/>
        <v>13.137711731587562</v>
      </c>
      <c r="S959" s="6">
        <f>B959*LN(B959/首页!$B$4)</f>
        <v>5.7337920252720691</v>
      </c>
      <c r="T959" s="6">
        <f>2*首页!$B$8*(E959-C959)/(R959*(C959-D959))</f>
        <v>7.1028951905925189E-2</v>
      </c>
      <c r="U959" t="str">
        <f>IF(首页!$B$13="自然对流","按自然对流公式", "按强制对流公式")</f>
        <v>按自然对流公式</v>
      </c>
      <c r="V959" s="6">
        <f t="shared" si="134"/>
        <v>5.6627630733661443</v>
      </c>
    </row>
    <row r="960" spans="1:22" x14ac:dyDescent="0.15">
      <c r="A960">
        <v>955</v>
      </c>
      <c r="B960" s="6">
        <f>首页!$B$4+2*A960/1000</f>
        <v>2.0299999999999998</v>
      </c>
      <c r="C960" s="6">
        <f>首页!$B$7+273.15</f>
        <v>388.15</v>
      </c>
      <c r="D960" s="6">
        <f>首页!$B$6+273.15</f>
        <v>293.14999999999998</v>
      </c>
      <c r="E960" s="6">
        <f>首页!$B$5+273.15</f>
        <v>1373.15</v>
      </c>
      <c r="F960" s="6">
        <f t="shared" si="126"/>
        <v>95</v>
      </c>
      <c r="G960" s="6">
        <f t="shared" si="127"/>
        <v>340.65</v>
      </c>
      <c r="H960" s="6">
        <f t="shared" si="128"/>
        <v>1.9926207055139041E-5</v>
      </c>
      <c r="I960" s="7">
        <f t="shared" si="129"/>
        <v>1158916576932337.8</v>
      </c>
      <c r="J960" s="6">
        <f t="shared" si="130"/>
        <v>1.0226038455893147</v>
      </c>
      <c r="K960" s="7">
        <f>J960*H960*首页!$B$12/P960</f>
        <v>0.69532757496605813</v>
      </c>
      <c r="L960" s="6">
        <f>首页!$B$9*0.0000000567*((C960^4-D960^4)/(C960-D960))</f>
        <v>7.7687338005019564</v>
      </c>
      <c r="M960" s="6">
        <f>IF(首页!$B$13="自然对流",IF(首页!$B$14="立式圆筒",首页!$B$10,PI()*B960/2),PI()*B960/2)</f>
        <v>55.2</v>
      </c>
      <c r="N960" s="7">
        <f>IF(首页!$B$13="强制对流",首页!$B$11*M960/H960,0)</f>
        <v>0</v>
      </c>
      <c r="O960" s="6">
        <f>IF(首页!$B$13="自然对流",IF(首页!$B$14="立式圆筒",(0.825+0.3063*I960^(1/6))^2+0.87*(M960/B960),(0.752+0.303*I960^(1/6))^2),0.3+SQRT((0.592*N960^0.5)^2+(0.0262*N960^0.8/(1-0.5/N960^0.1))^2))</f>
        <v>10042.864645792042</v>
      </c>
      <c r="P960" s="6">
        <f t="shared" si="131"/>
        <v>2.9510194925512497E-2</v>
      </c>
      <c r="Q960" s="6">
        <f t="shared" si="132"/>
        <v>5.3689654584757456</v>
      </c>
      <c r="R960" s="6">
        <f t="shared" si="133"/>
        <v>13.137699258977701</v>
      </c>
      <c r="S960" s="6">
        <f>B960*LN(B960/首页!$B$4)</f>
        <v>5.7414476383851865</v>
      </c>
      <c r="T960" s="6">
        <f>2*首页!$B$8*(E960-C960)/(R960*(C960-D960))</f>
        <v>7.1029019339072241E-2</v>
      </c>
      <c r="U960" t="str">
        <f>IF(首页!$B$13="自然对流","按自然对流公式", "按强制对流公式")</f>
        <v>按自然对流公式</v>
      </c>
      <c r="V960" s="6">
        <f t="shared" si="134"/>
        <v>5.6704186190461146</v>
      </c>
    </row>
    <row r="961" spans="1:22" x14ac:dyDescent="0.15">
      <c r="A961">
        <v>956</v>
      </c>
      <c r="B961" s="6">
        <f>首页!$B$4+2*A961/1000</f>
        <v>2.032</v>
      </c>
      <c r="C961" s="6">
        <f>首页!$B$7+273.15</f>
        <v>388.15</v>
      </c>
      <c r="D961" s="6">
        <f>首页!$B$6+273.15</f>
        <v>293.14999999999998</v>
      </c>
      <c r="E961" s="6">
        <f>首页!$B$5+273.15</f>
        <v>1373.15</v>
      </c>
      <c r="F961" s="6">
        <f t="shared" si="126"/>
        <v>95</v>
      </c>
      <c r="G961" s="6">
        <f t="shared" si="127"/>
        <v>340.65</v>
      </c>
      <c r="H961" s="6">
        <f t="shared" si="128"/>
        <v>1.9926207055139041E-5</v>
      </c>
      <c r="I961" s="7">
        <f t="shared" si="129"/>
        <v>1158916576932337.8</v>
      </c>
      <c r="J961" s="6">
        <f t="shared" si="130"/>
        <v>1.0226038455893147</v>
      </c>
      <c r="K961" s="7">
        <f>J961*H961*首页!$B$12/P961</f>
        <v>0.69532757496605813</v>
      </c>
      <c r="L961" s="6">
        <f>首页!$B$9*0.0000000567*((C961^4-D961^4)/(C961-D961))</f>
        <v>7.7687338005019564</v>
      </c>
      <c r="M961" s="6">
        <f>IF(首页!$B$13="自然对流",IF(首页!$B$14="立式圆筒",首页!$B$10,PI()*B961/2),PI()*B961/2)</f>
        <v>55.2</v>
      </c>
      <c r="N961" s="7">
        <f>IF(首页!$B$13="强制对流",首页!$B$11*M961/H961,0)</f>
        <v>0</v>
      </c>
      <c r="O961" s="6">
        <f>IF(首页!$B$13="自然对流",IF(首页!$B$14="立式圆筒",(0.825+0.3063*I961^(1/6))^2+0.87*(M961/B961),(0.752+0.303*I961^(1/6))^2),0.3+SQRT((0.592*N961^0.5)^2+(0.0262*N961^0.8/(1-0.5/N961^0.1))^2))</f>
        <v>10042.841361202616</v>
      </c>
      <c r="P961" s="6">
        <f t="shared" si="131"/>
        <v>2.9510194925512497E-2</v>
      </c>
      <c r="Q961" s="6">
        <f t="shared" si="132"/>
        <v>5.3689530104182683</v>
      </c>
      <c r="R961" s="6">
        <f t="shared" si="133"/>
        <v>13.137686810920226</v>
      </c>
      <c r="S961" s="6">
        <f>B961*LN(B961/首页!$B$4)</f>
        <v>5.7491052219419752</v>
      </c>
      <c r="T961" s="6">
        <f>2*首页!$B$8*(E961-C961)/(R961*(C961-D961))</f>
        <v>7.10290866396045E-2</v>
      </c>
      <c r="U961" t="str">
        <f>IF(首页!$B$13="自然对流","按自然对流公式", "按强制对流公式")</f>
        <v>按自然对流公式</v>
      </c>
      <c r="V961" s="6">
        <f t="shared" si="134"/>
        <v>5.678076135302371</v>
      </c>
    </row>
    <row r="962" spans="1:22" x14ac:dyDescent="0.15">
      <c r="A962">
        <v>957</v>
      </c>
      <c r="B962" s="6">
        <f>首页!$B$4+2*A962/1000</f>
        <v>2.0339999999999998</v>
      </c>
      <c r="C962" s="6">
        <f>首页!$B$7+273.15</f>
        <v>388.15</v>
      </c>
      <c r="D962" s="6">
        <f>首页!$B$6+273.15</f>
        <v>293.14999999999998</v>
      </c>
      <c r="E962" s="6">
        <f>首页!$B$5+273.15</f>
        <v>1373.15</v>
      </c>
      <c r="F962" s="6">
        <f t="shared" si="126"/>
        <v>95</v>
      </c>
      <c r="G962" s="6">
        <f t="shared" si="127"/>
        <v>340.65</v>
      </c>
      <c r="H962" s="6">
        <f t="shared" si="128"/>
        <v>1.9926207055139041E-5</v>
      </c>
      <c r="I962" s="7">
        <f t="shared" si="129"/>
        <v>1158916576932337.8</v>
      </c>
      <c r="J962" s="6">
        <f t="shared" si="130"/>
        <v>1.0226038455893147</v>
      </c>
      <c r="K962" s="7">
        <f>J962*H962*首页!$B$12/P962</f>
        <v>0.69532757496605813</v>
      </c>
      <c r="L962" s="6">
        <f>首页!$B$9*0.0000000567*((C962^4-D962^4)/(C962-D962))</f>
        <v>7.7687338005019564</v>
      </c>
      <c r="M962" s="6">
        <f>IF(首页!$B$13="自然对流",IF(首页!$B$14="立式圆筒",首页!$B$10,PI()*B962/2),PI()*B962/2)</f>
        <v>55.2</v>
      </c>
      <c r="N962" s="7">
        <f>IF(首页!$B$13="强制对流",首页!$B$11*M962/H962,0)</f>
        <v>0</v>
      </c>
      <c r="O962" s="6">
        <f>IF(首页!$B$13="自然对流",IF(首页!$B$14="立式圆筒",(0.825+0.3063*I962^(1/6))^2+0.87*(M962/B962),(0.752+0.303*I962^(1/6))^2),0.3+SQRT((0.592*N962^0.5)^2+(0.0262*N962^0.8/(1-0.5/N962^0.1))^2))</f>
        <v>10042.818122403927</v>
      </c>
      <c r="P962" s="6">
        <f t="shared" si="131"/>
        <v>2.9510194925512497E-2</v>
      </c>
      <c r="Q962" s="6">
        <f t="shared" si="132"/>
        <v>5.3689405868407478</v>
      </c>
      <c r="R962" s="6">
        <f t="shared" si="133"/>
        <v>13.137674387342704</v>
      </c>
      <c r="S962" s="6">
        <f>B962*LN(B962/首页!$B$4)</f>
        <v>5.7567647740030168</v>
      </c>
      <c r="T962" s="6">
        <f>2*首页!$B$8*(E962-C962)/(R962*(C962-D962))</f>
        <v>7.1029153807912859E-2</v>
      </c>
      <c r="U962" t="str">
        <f>IF(首页!$B$13="自然对流","按自然对流公式", "按强制对流公式")</f>
        <v>按自然对流公式</v>
      </c>
      <c r="V962" s="6">
        <f t="shared" si="134"/>
        <v>5.6857356201951035</v>
      </c>
    </row>
    <row r="963" spans="1:22" x14ac:dyDescent="0.15">
      <c r="A963">
        <v>958</v>
      </c>
      <c r="B963" s="6">
        <f>首页!$B$4+2*A963/1000</f>
        <v>2.036</v>
      </c>
      <c r="C963" s="6">
        <f>首页!$B$7+273.15</f>
        <v>388.15</v>
      </c>
      <c r="D963" s="6">
        <f>首页!$B$6+273.15</f>
        <v>293.14999999999998</v>
      </c>
      <c r="E963" s="6">
        <f>首页!$B$5+273.15</f>
        <v>1373.15</v>
      </c>
      <c r="F963" s="6">
        <f t="shared" si="126"/>
        <v>95</v>
      </c>
      <c r="G963" s="6">
        <f t="shared" si="127"/>
        <v>340.65</v>
      </c>
      <c r="H963" s="6">
        <f t="shared" si="128"/>
        <v>1.9926207055139041E-5</v>
      </c>
      <c r="I963" s="7">
        <f t="shared" si="129"/>
        <v>1158916576932337.8</v>
      </c>
      <c r="J963" s="6">
        <f t="shared" si="130"/>
        <v>1.0226038455893147</v>
      </c>
      <c r="K963" s="7">
        <f>J963*H963*首页!$B$12/P963</f>
        <v>0.69532757496605813</v>
      </c>
      <c r="L963" s="6">
        <f>首页!$B$9*0.0000000567*((C963^4-D963^4)/(C963-D963))</f>
        <v>7.7687338005019564</v>
      </c>
      <c r="M963" s="6">
        <f>IF(首页!$B$13="自然对流",IF(首页!$B$14="立式圆筒",首页!$B$10,PI()*B963/2),PI()*B963/2)</f>
        <v>55.2</v>
      </c>
      <c r="N963" s="7">
        <f>IF(首页!$B$13="强制对流",首页!$B$11*M963/H963,0)</f>
        <v>0</v>
      </c>
      <c r="O963" s="6">
        <f>IF(首页!$B$13="自然对流",IF(首页!$B$14="立式圆筒",(0.825+0.3063*I963^(1/6))^2+0.87*(M963/B963),(0.752+0.303*I963^(1/6))^2),0.3+SQRT((0.592*N963^0.5)^2+(0.0262*N963^0.8/(1-0.5/N963^0.1))^2))</f>
        <v>10042.79492926103</v>
      </c>
      <c r="P963" s="6">
        <f t="shared" si="131"/>
        <v>2.9510194925512497E-2</v>
      </c>
      <c r="Q963" s="6">
        <f t="shared" si="132"/>
        <v>5.3689281876710417</v>
      </c>
      <c r="R963" s="6">
        <f t="shared" si="133"/>
        <v>13.137661988172997</v>
      </c>
      <c r="S963" s="6">
        <f>B963*LN(B963/首页!$B$4)</f>
        <v>5.7644262926327166</v>
      </c>
      <c r="T963" s="6">
        <f>2*首页!$B$8*(E963-C963)/(R963*(C963-D963))</f>
        <v>7.1029220844386537E-2</v>
      </c>
      <c r="U963" t="str">
        <f>IF(首页!$B$13="自然对流","按自然对流公式", "按强制对流公式")</f>
        <v>按自然对流公式</v>
      </c>
      <c r="V963" s="6">
        <f t="shared" si="134"/>
        <v>5.69339707178833</v>
      </c>
    </row>
    <row r="964" spans="1:22" x14ac:dyDescent="0.15">
      <c r="A964">
        <v>959</v>
      </c>
      <c r="B964" s="6">
        <f>首页!$B$4+2*A964/1000</f>
        <v>2.0379999999999998</v>
      </c>
      <c r="C964" s="6">
        <f>首页!$B$7+273.15</f>
        <v>388.15</v>
      </c>
      <c r="D964" s="6">
        <f>首页!$B$6+273.15</f>
        <v>293.14999999999998</v>
      </c>
      <c r="E964" s="6">
        <f>首页!$B$5+273.15</f>
        <v>1373.15</v>
      </c>
      <c r="F964" s="6">
        <f t="shared" si="126"/>
        <v>95</v>
      </c>
      <c r="G964" s="6">
        <f t="shared" si="127"/>
        <v>340.65</v>
      </c>
      <c r="H964" s="6">
        <f t="shared" si="128"/>
        <v>1.9926207055139041E-5</v>
      </c>
      <c r="I964" s="7">
        <f t="shared" si="129"/>
        <v>1158916576932337.8</v>
      </c>
      <c r="J964" s="6">
        <f t="shared" si="130"/>
        <v>1.0226038455893147</v>
      </c>
      <c r="K964" s="7">
        <f>J964*H964*首页!$B$12/P964</f>
        <v>0.69532757496605813</v>
      </c>
      <c r="L964" s="6">
        <f>首页!$B$9*0.0000000567*((C964^4-D964^4)/(C964-D964))</f>
        <v>7.7687338005019564</v>
      </c>
      <c r="M964" s="6">
        <f>IF(首页!$B$13="自然对流",IF(首页!$B$14="立式圆筒",首页!$B$10,PI()*B964/2),PI()*B964/2)</f>
        <v>55.2</v>
      </c>
      <c r="N964" s="7">
        <f>IF(首页!$B$13="强制对流",首页!$B$11*M964/H964,0)</f>
        <v>0</v>
      </c>
      <c r="O964" s="6">
        <f>IF(首页!$B$13="自然对流",IF(首页!$B$14="立式圆筒",(0.825+0.3063*I964^(1/6))^2+0.87*(M964/B964),(0.752+0.303*I964^(1/6))^2),0.3+SQRT((0.592*N964^0.5)^2+(0.0262*N964^0.8/(1-0.5/N964^0.1))^2))</f>
        <v>10042.771781639512</v>
      </c>
      <c r="P964" s="6">
        <f t="shared" si="131"/>
        <v>2.9510194925512497E-2</v>
      </c>
      <c r="Q964" s="6">
        <f t="shared" si="132"/>
        <v>5.3689158128372902</v>
      </c>
      <c r="R964" s="6">
        <f t="shared" si="133"/>
        <v>13.137649613339246</v>
      </c>
      <c r="S964" s="6">
        <f>B964*LN(B964/首页!$B$4)</f>
        <v>5.7720897758992713</v>
      </c>
      <c r="T964" s="6">
        <f>2*首页!$B$8*(E964-C964)/(R964*(C964-D964))</f>
        <v>7.1029287749413333E-2</v>
      </c>
      <c r="U964" t="str">
        <f>IF(首页!$B$13="自然对流","按自然对流公式", "按强制对流公式")</f>
        <v>按自然对流公式</v>
      </c>
      <c r="V964" s="6">
        <f t="shared" si="134"/>
        <v>5.7010604881498583</v>
      </c>
    </row>
    <row r="965" spans="1:22" x14ac:dyDescent="0.15">
      <c r="A965">
        <v>960</v>
      </c>
      <c r="B965" s="6">
        <f>首页!$B$4+2*A965/1000</f>
        <v>2.04</v>
      </c>
      <c r="C965" s="6">
        <f>首页!$B$7+273.15</f>
        <v>388.15</v>
      </c>
      <c r="D965" s="6">
        <f>首页!$B$6+273.15</f>
        <v>293.14999999999998</v>
      </c>
      <c r="E965" s="6">
        <f>首页!$B$5+273.15</f>
        <v>1373.15</v>
      </c>
      <c r="F965" s="6">
        <f t="shared" ref="F965:F1004" si="135">C965-D965</f>
        <v>95</v>
      </c>
      <c r="G965" s="6">
        <f t="shared" ref="G965:G1004" si="136">(C965+D965)/2</f>
        <v>340.65</v>
      </c>
      <c r="H965" s="6">
        <f t="shared" ref="H965:H1004" si="137">0.0000000042113*G965^2.5/(112+G965)</f>
        <v>1.9926207055139041E-5</v>
      </c>
      <c r="I965" s="7">
        <f t="shared" ref="I965:I1004" si="138">9.81*M965^3*F965/(H965^2*G965)</f>
        <v>1158916576932337.8</v>
      </c>
      <c r="J965" s="6">
        <f t="shared" ref="J965:J1004" si="139">348.35/G965</f>
        <v>1.0226038455893147</v>
      </c>
      <c r="K965" s="7">
        <f>J965*H965*首页!$B$12/P965</f>
        <v>0.69532757496605813</v>
      </c>
      <c r="L965" s="6">
        <f>首页!$B$9*0.0000000567*((C965^4-D965^4)/(C965-D965))</f>
        <v>7.7687338005019564</v>
      </c>
      <c r="M965" s="6">
        <f>IF(首页!$B$13="自然对流",IF(首页!$B$14="立式圆筒",首页!$B$10,PI()*B965/2),PI()*B965/2)</f>
        <v>55.2</v>
      </c>
      <c r="N965" s="7">
        <f>IF(首页!$B$13="强制对流",首页!$B$11*M965/H965,0)</f>
        <v>0</v>
      </c>
      <c r="O965" s="6">
        <f>IF(首页!$B$13="自然对流",IF(首页!$B$14="立式圆筒",(0.825+0.3063*I965^(1/6))^2+0.87*(M965/B965),(0.752+0.303*I965^(1/6))^2),0.3+SQRT((0.592*N965^0.5)^2+(0.0262*N965^0.8/(1-0.5/N965^0.1))^2))</f>
        <v>10042.748679405488</v>
      </c>
      <c r="P965" s="6">
        <f t="shared" ref="P965:P1004" si="140">0.0243+0.000078421*(G965-273)-0.000000020755*(G965-273)^2</f>
        <v>2.9510194925512497E-2</v>
      </c>
      <c r="Q965" s="6">
        <f t="shared" ref="Q965:Q1004" si="141">O965*P965/M965</f>
        <v>5.3689034622679186</v>
      </c>
      <c r="R965" s="6">
        <f t="shared" ref="R965:R1004" si="142">L965+Q965</f>
        <v>13.137637262769875</v>
      </c>
      <c r="S965" s="6">
        <f>B965*LN(B965/首页!$B$4)</f>
        <v>5.779755221874681</v>
      </c>
      <c r="T965" s="6">
        <f>2*首页!$B$8*(E965-C965)/(R965*(C965-D965))</f>
        <v>7.1029354523379468E-2</v>
      </c>
      <c r="U965" t="str">
        <f>IF(首页!$B$13="自然对流","按自然对流公式", "按强制对流公式")</f>
        <v>按自然对流公式</v>
      </c>
      <c r="V965" s="6">
        <f t="shared" ref="V965:V1004" si="143">ABS(S965-T965)</f>
        <v>5.7087258673513013</v>
      </c>
    </row>
    <row r="966" spans="1:22" x14ac:dyDescent="0.15">
      <c r="A966">
        <v>961</v>
      </c>
      <c r="B966" s="6">
        <f>首页!$B$4+2*A966/1000</f>
        <v>2.0419999999999998</v>
      </c>
      <c r="C966" s="6">
        <f>首页!$B$7+273.15</f>
        <v>388.15</v>
      </c>
      <c r="D966" s="6">
        <f>首页!$B$6+273.15</f>
        <v>293.14999999999998</v>
      </c>
      <c r="E966" s="6">
        <f>首页!$B$5+273.15</f>
        <v>1373.15</v>
      </c>
      <c r="F966" s="6">
        <f t="shared" si="135"/>
        <v>95</v>
      </c>
      <c r="G966" s="6">
        <f t="shared" si="136"/>
        <v>340.65</v>
      </c>
      <c r="H966" s="6">
        <f t="shared" si="137"/>
        <v>1.9926207055139041E-5</v>
      </c>
      <c r="I966" s="7">
        <f t="shared" si="138"/>
        <v>1158916576932337.8</v>
      </c>
      <c r="J966" s="6">
        <f t="shared" si="139"/>
        <v>1.0226038455893147</v>
      </c>
      <c r="K966" s="7">
        <f>J966*H966*首页!$B$12/P966</f>
        <v>0.69532757496605813</v>
      </c>
      <c r="L966" s="6">
        <f>首页!$B$9*0.0000000567*((C966^4-D966^4)/(C966-D966))</f>
        <v>7.7687338005019564</v>
      </c>
      <c r="M966" s="6">
        <f>IF(首页!$B$13="自然对流",IF(首页!$B$14="立式圆筒",首页!$B$10,PI()*B966/2),PI()*B966/2)</f>
        <v>55.2</v>
      </c>
      <c r="N966" s="7">
        <f>IF(首页!$B$13="强制对流",首页!$B$11*M966/H966,0)</f>
        <v>0</v>
      </c>
      <c r="O966" s="6">
        <f>IF(首页!$B$13="自然对流",IF(首页!$B$14="立式圆筒",(0.825+0.3063*I966^(1/6))^2+0.87*(M966/B966),(0.752+0.303*I966^(1/6))^2),0.3+SQRT((0.592*N966^0.5)^2+(0.0262*N966^0.8/(1-0.5/N966^0.1))^2))</f>
        <v>10042.725622425594</v>
      </c>
      <c r="P966" s="6">
        <f t="shared" si="140"/>
        <v>2.9510194925512497E-2</v>
      </c>
      <c r="Q966" s="6">
        <f t="shared" si="141"/>
        <v>5.3688911358916318</v>
      </c>
      <c r="R966" s="6">
        <f t="shared" si="142"/>
        <v>13.137624936393589</v>
      </c>
      <c r="S966" s="6">
        <f>B966*LN(B966/首页!$B$4)</f>
        <v>5.787422628634717</v>
      </c>
      <c r="T966" s="6">
        <f>2*首页!$B$8*(E966-C966)/(R966*(C966-D966))</f>
        <v>7.1029421166669673E-2</v>
      </c>
      <c r="U966" t="str">
        <f>IF(首页!$B$13="自然对流","按自然对流公式", "按强制对流公式")</f>
        <v>按自然对流公式</v>
      </c>
      <c r="V966" s="6">
        <f t="shared" si="143"/>
        <v>5.7163932074680472</v>
      </c>
    </row>
    <row r="967" spans="1:22" x14ac:dyDescent="0.15">
      <c r="A967">
        <v>962</v>
      </c>
      <c r="B967" s="6">
        <f>首页!$B$4+2*A967/1000</f>
        <v>2.044</v>
      </c>
      <c r="C967" s="6">
        <f>首页!$B$7+273.15</f>
        <v>388.15</v>
      </c>
      <c r="D967" s="6">
        <f>首页!$B$6+273.15</f>
        <v>293.14999999999998</v>
      </c>
      <c r="E967" s="6">
        <f>首页!$B$5+273.15</f>
        <v>1373.15</v>
      </c>
      <c r="F967" s="6">
        <f t="shared" si="135"/>
        <v>95</v>
      </c>
      <c r="G967" s="6">
        <f t="shared" si="136"/>
        <v>340.65</v>
      </c>
      <c r="H967" s="6">
        <f t="shared" si="137"/>
        <v>1.9926207055139041E-5</v>
      </c>
      <c r="I967" s="7">
        <f t="shared" si="138"/>
        <v>1158916576932337.8</v>
      </c>
      <c r="J967" s="6">
        <f t="shared" si="139"/>
        <v>1.0226038455893147</v>
      </c>
      <c r="K967" s="7">
        <f>J967*H967*首页!$B$12/P967</f>
        <v>0.69532757496605813</v>
      </c>
      <c r="L967" s="6">
        <f>首页!$B$9*0.0000000567*((C967^4-D967^4)/(C967-D967))</f>
        <v>7.7687338005019564</v>
      </c>
      <c r="M967" s="6">
        <f>IF(首页!$B$13="自然对流",IF(首页!$B$14="立式圆筒",首页!$B$10,PI()*B967/2),PI()*B967/2)</f>
        <v>55.2</v>
      </c>
      <c r="N967" s="7">
        <f>IF(首页!$B$13="强制对流",首页!$B$11*M967/H967,0)</f>
        <v>0</v>
      </c>
      <c r="O967" s="6">
        <f>IF(首页!$B$13="自然对流",IF(首页!$B$14="立式圆筒",(0.825+0.3063*I967^(1/6))^2+0.87*(M967/B967),(0.752+0.303*I967^(1/6))^2),0.3+SQRT((0.592*N967^0.5)^2+(0.0262*N967^0.8/(1-0.5/N967^0.1))^2))</f>
        <v>10042.702610566994</v>
      </c>
      <c r="P967" s="6">
        <f t="shared" si="140"/>
        <v>2.9510194925512497E-2</v>
      </c>
      <c r="Q967" s="6">
        <f t="shared" si="141"/>
        <v>5.3688788336374129</v>
      </c>
      <c r="R967" s="6">
        <f t="shared" si="142"/>
        <v>13.137612634139369</v>
      </c>
      <c r="S967" s="6">
        <f>B967*LN(B967/首页!$B$4)</f>
        <v>5.7950919942589261</v>
      </c>
      <c r="T967" s="6">
        <f>2*首页!$B$8*(E967-C967)/(R967*(C967-D967))</f>
        <v>7.1029487679667172E-2</v>
      </c>
      <c r="U967" t="str">
        <f>IF(首页!$B$13="自然对流","按自然对流公式", "按强制对流公式")</f>
        <v>按自然对流公式</v>
      </c>
      <c r="V967" s="6">
        <f t="shared" si="143"/>
        <v>5.7240625065792585</v>
      </c>
    </row>
    <row r="968" spans="1:22" x14ac:dyDescent="0.15">
      <c r="A968">
        <v>963</v>
      </c>
      <c r="B968" s="6">
        <f>首页!$B$4+2*A968/1000</f>
        <v>2.0459999999999998</v>
      </c>
      <c r="C968" s="6">
        <f>首页!$B$7+273.15</f>
        <v>388.15</v>
      </c>
      <c r="D968" s="6">
        <f>首页!$B$6+273.15</f>
        <v>293.14999999999998</v>
      </c>
      <c r="E968" s="6">
        <f>首页!$B$5+273.15</f>
        <v>1373.15</v>
      </c>
      <c r="F968" s="6">
        <f t="shared" si="135"/>
        <v>95</v>
      </c>
      <c r="G968" s="6">
        <f t="shared" si="136"/>
        <v>340.65</v>
      </c>
      <c r="H968" s="6">
        <f t="shared" si="137"/>
        <v>1.9926207055139041E-5</v>
      </c>
      <c r="I968" s="7">
        <f t="shared" si="138"/>
        <v>1158916576932337.8</v>
      </c>
      <c r="J968" s="6">
        <f t="shared" si="139"/>
        <v>1.0226038455893147</v>
      </c>
      <c r="K968" s="7">
        <f>J968*H968*首页!$B$12/P968</f>
        <v>0.69532757496605813</v>
      </c>
      <c r="L968" s="6">
        <f>首页!$B$9*0.0000000567*((C968^4-D968^4)/(C968-D968))</f>
        <v>7.7687338005019564</v>
      </c>
      <c r="M968" s="6">
        <f>IF(首页!$B$13="自然对流",IF(首页!$B$14="立式圆筒",首页!$B$10,PI()*B968/2),PI()*B968/2)</f>
        <v>55.2</v>
      </c>
      <c r="N968" s="7">
        <f>IF(首页!$B$13="强制对流",首页!$B$11*M968/H968,0)</f>
        <v>0</v>
      </c>
      <c r="O968" s="6">
        <f>IF(首页!$B$13="自然对流",IF(首页!$B$14="立式圆筒",(0.825+0.3063*I968^(1/6))^2+0.87*(M968/B968),(0.752+0.303*I968^(1/6))^2),0.3+SQRT((0.592*N968^0.5)^2+(0.0262*N968^0.8/(1-0.5/N968^0.1))^2))</f>
        <v>10042.679643697364</v>
      </c>
      <c r="P968" s="6">
        <f t="shared" si="140"/>
        <v>2.9510194925512497E-2</v>
      </c>
      <c r="Q968" s="6">
        <f t="shared" si="141"/>
        <v>5.3688665554345212</v>
      </c>
      <c r="R968" s="6">
        <f t="shared" si="142"/>
        <v>13.137600355936478</v>
      </c>
      <c r="S968" s="6">
        <f>B968*LN(B968/首页!$B$4)</f>
        <v>5.8027633168306085</v>
      </c>
      <c r="T968" s="6">
        <f>2*首页!$B$8*(E968-C968)/(R968*(C968-D968))</f>
        <v>7.1029554062753686E-2</v>
      </c>
      <c r="U968" t="str">
        <f>IF(首页!$B$13="自然对流","按自然对流公式", "按强制对流公式")</f>
        <v>按自然对流公式</v>
      </c>
      <c r="V968" s="6">
        <f t="shared" si="143"/>
        <v>5.7317337627678544</v>
      </c>
    </row>
    <row r="969" spans="1:22" x14ac:dyDescent="0.15">
      <c r="A969">
        <v>964</v>
      </c>
      <c r="B969" s="6">
        <f>首页!$B$4+2*A969/1000</f>
        <v>2.048</v>
      </c>
      <c r="C969" s="6">
        <f>首页!$B$7+273.15</f>
        <v>388.15</v>
      </c>
      <c r="D969" s="6">
        <f>首页!$B$6+273.15</f>
        <v>293.14999999999998</v>
      </c>
      <c r="E969" s="6">
        <f>首页!$B$5+273.15</f>
        <v>1373.15</v>
      </c>
      <c r="F969" s="6">
        <f t="shared" si="135"/>
        <v>95</v>
      </c>
      <c r="G969" s="6">
        <f t="shared" si="136"/>
        <v>340.65</v>
      </c>
      <c r="H969" s="6">
        <f t="shared" si="137"/>
        <v>1.9926207055139041E-5</v>
      </c>
      <c r="I969" s="7">
        <f t="shared" si="138"/>
        <v>1158916576932337.8</v>
      </c>
      <c r="J969" s="6">
        <f t="shared" si="139"/>
        <v>1.0226038455893147</v>
      </c>
      <c r="K969" s="7">
        <f>J969*H969*首页!$B$12/P969</f>
        <v>0.69532757496605813</v>
      </c>
      <c r="L969" s="6">
        <f>首页!$B$9*0.0000000567*((C969^4-D969^4)/(C969-D969))</f>
        <v>7.7687338005019564</v>
      </c>
      <c r="M969" s="6">
        <f>IF(首页!$B$13="自然对流",IF(首页!$B$14="立式圆筒",首页!$B$10,PI()*B969/2),PI()*B969/2)</f>
        <v>55.2</v>
      </c>
      <c r="N969" s="7">
        <f>IF(首页!$B$13="强制对流",首页!$B$11*M969/H969,0)</f>
        <v>0</v>
      </c>
      <c r="O969" s="6">
        <f>IF(首页!$B$13="自然对流",IF(首页!$B$14="立式圆筒",(0.825+0.3063*I969^(1/6))^2+0.87*(M969/B969),(0.752+0.303*I969^(1/6))^2),0.3+SQRT((0.592*N969^0.5)^2+(0.0262*N969^0.8/(1-0.5/N969^0.1))^2))</f>
        <v>10042.6567216849</v>
      </c>
      <c r="P969" s="6">
        <f t="shared" si="140"/>
        <v>2.9510194925512497E-2</v>
      </c>
      <c r="Q969" s="6">
        <f t="shared" si="141"/>
        <v>5.3688543012124939</v>
      </c>
      <c r="R969" s="6">
        <f t="shared" si="142"/>
        <v>13.137588101714449</v>
      </c>
      <c r="S969" s="6">
        <f>B969*LN(B969/首页!$B$4)</f>
        <v>5.8104365944368173</v>
      </c>
      <c r="T969" s="6">
        <f>2*首页!$B$8*(E969-C969)/(R969*(C969-D969))</f>
        <v>7.1029620316309466E-2</v>
      </c>
      <c r="U969" t="str">
        <f>IF(首页!$B$13="自然对流","按自然对流公式", "按强制对流公式")</f>
        <v>按自然对流公式</v>
      </c>
      <c r="V969" s="6">
        <f t="shared" si="143"/>
        <v>5.7394069741205076</v>
      </c>
    </row>
    <row r="970" spans="1:22" x14ac:dyDescent="0.15">
      <c r="A970">
        <v>965</v>
      </c>
      <c r="B970" s="6">
        <f>首页!$B$4+2*A970/1000</f>
        <v>2.0499999999999998</v>
      </c>
      <c r="C970" s="6">
        <f>首页!$B$7+273.15</f>
        <v>388.15</v>
      </c>
      <c r="D970" s="6">
        <f>首页!$B$6+273.15</f>
        <v>293.14999999999998</v>
      </c>
      <c r="E970" s="6">
        <f>首页!$B$5+273.15</f>
        <v>1373.15</v>
      </c>
      <c r="F970" s="6">
        <f t="shared" si="135"/>
        <v>95</v>
      </c>
      <c r="G970" s="6">
        <f t="shared" si="136"/>
        <v>340.65</v>
      </c>
      <c r="H970" s="6">
        <f t="shared" si="137"/>
        <v>1.9926207055139041E-5</v>
      </c>
      <c r="I970" s="7">
        <f t="shared" si="138"/>
        <v>1158916576932337.8</v>
      </c>
      <c r="J970" s="6">
        <f t="shared" si="139"/>
        <v>1.0226038455893147</v>
      </c>
      <c r="K970" s="7">
        <f>J970*H970*首页!$B$12/P970</f>
        <v>0.69532757496605813</v>
      </c>
      <c r="L970" s="6">
        <f>首页!$B$9*0.0000000567*((C970^4-D970^4)/(C970-D970))</f>
        <v>7.7687338005019564</v>
      </c>
      <c r="M970" s="6">
        <f>IF(首页!$B$13="自然对流",IF(首页!$B$14="立式圆筒",首页!$B$10,PI()*B970/2),PI()*B970/2)</f>
        <v>55.2</v>
      </c>
      <c r="N970" s="7">
        <f>IF(首页!$B$13="强制对流",首页!$B$11*M970/H970,0)</f>
        <v>0</v>
      </c>
      <c r="O970" s="6">
        <f>IF(首页!$B$13="自然对流",IF(首页!$B$14="立式圆筒",(0.825+0.3063*I970^(1/6))^2+0.87*(M970/B970),(0.752+0.303*I970^(1/6))^2),0.3+SQRT((0.592*N970^0.5)^2+(0.0262*N970^0.8/(1-0.5/N970^0.1))^2))</f>
        <v>10042.633844398315</v>
      </c>
      <c r="P970" s="6">
        <f t="shared" si="140"/>
        <v>2.9510194925512497E-2</v>
      </c>
      <c r="Q970" s="6">
        <f t="shared" si="141"/>
        <v>5.3688420709011444</v>
      </c>
      <c r="R970" s="6">
        <f t="shared" si="142"/>
        <v>13.137575871403101</v>
      </c>
      <c r="S970" s="6">
        <f>B970*LN(B970/首页!$B$4)</f>
        <v>5.8181118251683355</v>
      </c>
      <c r="T970" s="6">
        <f>2*首页!$B$8*(E970-C970)/(R970*(C970-D970))</f>
        <v>7.1029686440713224E-2</v>
      </c>
      <c r="U970" t="str">
        <f>IF(首页!$B$13="自然对流","按自然对流公式", "按强制对流公式")</f>
        <v>按自然对流公式</v>
      </c>
      <c r="V970" s="6">
        <f t="shared" si="143"/>
        <v>5.7470821387276221</v>
      </c>
    </row>
    <row r="971" spans="1:22" x14ac:dyDescent="0.15">
      <c r="A971">
        <v>966</v>
      </c>
      <c r="B971" s="6">
        <f>首页!$B$4+2*A971/1000</f>
        <v>2.052</v>
      </c>
      <c r="C971" s="6">
        <f>首页!$B$7+273.15</f>
        <v>388.15</v>
      </c>
      <c r="D971" s="6">
        <f>首页!$B$6+273.15</f>
        <v>293.14999999999998</v>
      </c>
      <c r="E971" s="6">
        <f>首页!$B$5+273.15</f>
        <v>1373.15</v>
      </c>
      <c r="F971" s="6">
        <f t="shared" si="135"/>
        <v>95</v>
      </c>
      <c r="G971" s="6">
        <f t="shared" si="136"/>
        <v>340.65</v>
      </c>
      <c r="H971" s="6">
        <f t="shared" si="137"/>
        <v>1.9926207055139041E-5</v>
      </c>
      <c r="I971" s="7">
        <f t="shared" si="138"/>
        <v>1158916576932337.8</v>
      </c>
      <c r="J971" s="6">
        <f t="shared" si="139"/>
        <v>1.0226038455893147</v>
      </c>
      <c r="K971" s="7">
        <f>J971*H971*首页!$B$12/P971</f>
        <v>0.69532757496605813</v>
      </c>
      <c r="L971" s="6">
        <f>首页!$B$9*0.0000000567*((C971^4-D971^4)/(C971-D971))</f>
        <v>7.7687338005019564</v>
      </c>
      <c r="M971" s="6">
        <f>IF(首页!$B$13="自然对流",IF(首页!$B$14="立式圆筒",首页!$B$10,PI()*B971/2),PI()*B971/2)</f>
        <v>55.2</v>
      </c>
      <c r="N971" s="7">
        <f>IF(首页!$B$13="强制对流",首页!$B$11*M971/H971,0)</f>
        <v>0</v>
      </c>
      <c r="O971" s="6">
        <f>IF(首页!$B$13="自然对流",IF(首页!$B$14="立式圆筒",(0.825+0.3063*I971^(1/6))^2+0.87*(M971/B971),(0.752+0.303*I971^(1/6))^2),0.3+SQRT((0.592*N971^0.5)^2+(0.0262*N971^0.8/(1-0.5/N971^0.1))^2))</f>
        <v>10042.611011706829</v>
      </c>
      <c r="P971" s="6">
        <f t="shared" si="140"/>
        <v>2.9510194925512497E-2</v>
      </c>
      <c r="Q971" s="6">
        <f t="shared" si="141"/>
        <v>5.3688298644305581</v>
      </c>
      <c r="R971" s="6">
        <f t="shared" si="142"/>
        <v>13.137563664932514</v>
      </c>
      <c r="S971" s="6">
        <f>B971*LN(B971/首页!$B$4)</f>
        <v>5.8257890071196767</v>
      </c>
      <c r="T971" s="6">
        <f>2*首页!$B$8*(E971-C971)/(R971*(C971-D971))</f>
        <v>7.1029752436342283E-2</v>
      </c>
      <c r="U971" t="str">
        <f>IF(首页!$B$13="自然对流","按自然对流公式", "按强制对流公式")</f>
        <v>按自然对流公式</v>
      </c>
      <c r="V971" s="6">
        <f t="shared" si="143"/>
        <v>5.7547592546833348</v>
      </c>
    </row>
    <row r="972" spans="1:22" x14ac:dyDescent="0.15">
      <c r="A972">
        <v>967</v>
      </c>
      <c r="B972" s="6">
        <f>首页!$B$4+2*A972/1000</f>
        <v>2.0539999999999998</v>
      </c>
      <c r="C972" s="6">
        <f>首页!$B$7+273.15</f>
        <v>388.15</v>
      </c>
      <c r="D972" s="6">
        <f>首页!$B$6+273.15</f>
        <v>293.14999999999998</v>
      </c>
      <c r="E972" s="6">
        <f>首页!$B$5+273.15</f>
        <v>1373.15</v>
      </c>
      <c r="F972" s="6">
        <f t="shared" si="135"/>
        <v>95</v>
      </c>
      <c r="G972" s="6">
        <f t="shared" si="136"/>
        <v>340.65</v>
      </c>
      <c r="H972" s="6">
        <f t="shared" si="137"/>
        <v>1.9926207055139041E-5</v>
      </c>
      <c r="I972" s="7">
        <f t="shared" si="138"/>
        <v>1158916576932337.8</v>
      </c>
      <c r="J972" s="6">
        <f t="shared" si="139"/>
        <v>1.0226038455893147</v>
      </c>
      <c r="K972" s="7">
        <f>J972*H972*首页!$B$12/P972</f>
        <v>0.69532757496605813</v>
      </c>
      <c r="L972" s="6">
        <f>首页!$B$9*0.0000000567*((C972^4-D972^4)/(C972-D972))</f>
        <v>7.7687338005019564</v>
      </c>
      <c r="M972" s="6">
        <f>IF(首页!$B$13="自然对流",IF(首页!$B$14="立式圆筒",首页!$B$10,PI()*B972/2),PI()*B972/2)</f>
        <v>55.2</v>
      </c>
      <c r="N972" s="7">
        <f>IF(首页!$B$13="强制对流",首页!$B$11*M972/H972,0)</f>
        <v>0</v>
      </c>
      <c r="O972" s="6">
        <f>IF(首页!$B$13="自然对流",IF(首页!$B$14="立式圆筒",(0.825+0.3063*I972^(1/6))^2+0.87*(M972/B972),(0.752+0.303*I972^(1/6))^2),0.3+SQRT((0.592*N972^0.5)^2+(0.0262*N972^0.8/(1-0.5/N972^0.1))^2))</f>
        <v>10042.588223480177</v>
      </c>
      <c r="P972" s="6">
        <f t="shared" si="140"/>
        <v>2.9510194925512497E-2</v>
      </c>
      <c r="Q972" s="6">
        <f t="shared" si="141"/>
        <v>5.368817681731092</v>
      </c>
      <c r="R972" s="6">
        <f t="shared" si="142"/>
        <v>13.137551482233048</v>
      </c>
      <c r="S972" s="6">
        <f>B972*LN(B972/首页!$B$4)</f>
        <v>5.8334681383890628</v>
      </c>
      <c r="T972" s="6">
        <f>2*首页!$B$8*(E972-C972)/(R972*(C972-D972))</f>
        <v>7.102981830357244E-2</v>
      </c>
      <c r="U972" t="str">
        <f>IF(首页!$B$13="自然对流","按自然对流公式", "按强制对流公式")</f>
        <v>按自然对流公式</v>
      </c>
      <c r="V972" s="6">
        <f t="shared" si="143"/>
        <v>5.7624383200854901</v>
      </c>
    </row>
    <row r="973" spans="1:22" x14ac:dyDescent="0.15">
      <c r="A973">
        <v>968</v>
      </c>
      <c r="B973" s="6">
        <f>首页!$B$4+2*A973/1000</f>
        <v>2.056</v>
      </c>
      <c r="C973" s="6">
        <f>首页!$B$7+273.15</f>
        <v>388.15</v>
      </c>
      <c r="D973" s="6">
        <f>首页!$B$6+273.15</f>
        <v>293.14999999999998</v>
      </c>
      <c r="E973" s="6">
        <f>首页!$B$5+273.15</f>
        <v>1373.15</v>
      </c>
      <c r="F973" s="6">
        <f t="shared" si="135"/>
        <v>95</v>
      </c>
      <c r="G973" s="6">
        <f t="shared" si="136"/>
        <v>340.65</v>
      </c>
      <c r="H973" s="6">
        <f t="shared" si="137"/>
        <v>1.9926207055139041E-5</v>
      </c>
      <c r="I973" s="7">
        <f t="shared" si="138"/>
        <v>1158916576932337.8</v>
      </c>
      <c r="J973" s="6">
        <f t="shared" si="139"/>
        <v>1.0226038455893147</v>
      </c>
      <c r="K973" s="7">
        <f>J973*H973*首页!$B$12/P973</f>
        <v>0.69532757496605813</v>
      </c>
      <c r="L973" s="6">
        <f>首页!$B$9*0.0000000567*((C973^4-D973^4)/(C973-D973))</f>
        <v>7.7687338005019564</v>
      </c>
      <c r="M973" s="6">
        <f>IF(首页!$B$13="自然对流",IF(首页!$B$14="立式圆筒",首页!$B$10,PI()*B973/2),PI()*B973/2)</f>
        <v>55.2</v>
      </c>
      <c r="N973" s="7">
        <f>IF(首页!$B$13="强制对流",首页!$B$11*M973/H973,0)</f>
        <v>0</v>
      </c>
      <c r="O973" s="6">
        <f>IF(首页!$B$13="自然对流",IF(首页!$B$14="立式圆筒",(0.825+0.3063*I973^(1/6))^2+0.87*(M973/B973),(0.752+0.303*I973^(1/6))^2),0.3+SQRT((0.592*N973^0.5)^2+(0.0262*N973^0.8/(1-0.5/N973^0.1))^2))</f>
        <v>10042.565479588597</v>
      </c>
      <c r="P973" s="6">
        <f t="shared" si="140"/>
        <v>2.9510194925512497E-2</v>
      </c>
      <c r="Q973" s="6">
        <f t="shared" si="141"/>
        <v>5.3688055227333766</v>
      </c>
      <c r="R973" s="6">
        <f t="shared" si="142"/>
        <v>13.137539323235334</v>
      </c>
      <c r="S973" s="6">
        <f>B973*LN(B973/首页!$B$4)</f>
        <v>5.8411492170784278</v>
      </c>
      <c r="T973" s="6">
        <f>2*首页!$B$8*(E973-C973)/(R973*(C973-D973))</f>
        <v>7.1029884042778019E-2</v>
      </c>
      <c r="U973" t="str">
        <f>IF(首页!$B$13="自然对流","按自然对流公式", "按强制对流公式")</f>
        <v>按自然对流公式</v>
      </c>
      <c r="V973" s="6">
        <f t="shared" si="143"/>
        <v>5.7701193330356499</v>
      </c>
    </row>
    <row r="974" spans="1:22" x14ac:dyDescent="0.15">
      <c r="A974">
        <v>969</v>
      </c>
      <c r="B974" s="6">
        <f>首页!$B$4+2*A974/1000</f>
        <v>2.0579999999999998</v>
      </c>
      <c r="C974" s="6">
        <f>首页!$B$7+273.15</f>
        <v>388.15</v>
      </c>
      <c r="D974" s="6">
        <f>首页!$B$6+273.15</f>
        <v>293.14999999999998</v>
      </c>
      <c r="E974" s="6">
        <f>首页!$B$5+273.15</f>
        <v>1373.15</v>
      </c>
      <c r="F974" s="6">
        <f t="shared" si="135"/>
        <v>95</v>
      </c>
      <c r="G974" s="6">
        <f t="shared" si="136"/>
        <v>340.65</v>
      </c>
      <c r="H974" s="6">
        <f t="shared" si="137"/>
        <v>1.9926207055139041E-5</v>
      </c>
      <c r="I974" s="7">
        <f t="shared" si="138"/>
        <v>1158916576932337.8</v>
      </c>
      <c r="J974" s="6">
        <f t="shared" si="139"/>
        <v>1.0226038455893147</v>
      </c>
      <c r="K974" s="7">
        <f>J974*H974*首页!$B$12/P974</f>
        <v>0.69532757496605813</v>
      </c>
      <c r="L974" s="6">
        <f>首页!$B$9*0.0000000567*((C974^4-D974^4)/(C974-D974))</f>
        <v>7.7687338005019564</v>
      </c>
      <c r="M974" s="6">
        <f>IF(首页!$B$13="自然对流",IF(首页!$B$14="立式圆筒",首页!$B$10,PI()*B974/2),PI()*B974/2)</f>
        <v>55.2</v>
      </c>
      <c r="N974" s="7">
        <f>IF(首页!$B$13="强制对流",首页!$B$11*M974/H974,0)</f>
        <v>0</v>
      </c>
      <c r="O974" s="6">
        <f>IF(首页!$B$13="自然对流",IF(首页!$B$14="立式圆筒",(0.825+0.3063*I974^(1/6))^2+0.87*(M974/B974),(0.752+0.303*I974^(1/6))^2),0.3+SQRT((0.592*N974^0.5)^2+(0.0262*N974^0.8/(1-0.5/N974^0.1))^2))</f>
        <v>10042.542779902829</v>
      </c>
      <c r="P974" s="6">
        <f t="shared" si="140"/>
        <v>2.9510194925512497E-2</v>
      </c>
      <c r="Q974" s="6">
        <f t="shared" si="141"/>
        <v>5.3687933873683082</v>
      </c>
      <c r="R974" s="6">
        <f t="shared" si="142"/>
        <v>13.137527187870266</v>
      </c>
      <c r="S974" s="6">
        <f>B974*LN(B974/首页!$B$4)</f>
        <v>5.8488322412933895</v>
      </c>
      <c r="T974" s="6">
        <f>2*首页!$B$8*(E974-C974)/(R974*(C974-D974))</f>
        <v>7.1029949654331945E-2</v>
      </c>
      <c r="U974" t="str">
        <f>IF(首页!$B$13="自然对流","按自然对流公式", "按强制对流公式")</f>
        <v>按自然对流公式</v>
      </c>
      <c r="V974" s="6">
        <f t="shared" si="143"/>
        <v>5.7778022916390572</v>
      </c>
    </row>
    <row r="975" spans="1:22" x14ac:dyDescent="0.15">
      <c r="A975">
        <v>970</v>
      </c>
      <c r="B975" s="6">
        <f>首页!$B$4+2*A975/1000</f>
        <v>2.06</v>
      </c>
      <c r="C975" s="6">
        <f>首页!$B$7+273.15</f>
        <v>388.15</v>
      </c>
      <c r="D975" s="6">
        <f>首页!$B$6+273.15</f>
        <v>293.14999999999998</v>
      </c>
      <c r="E975" s="6">
        <f>首页!$B$5+273.15</f>
        <v>1373.15</v>
      </c>
      <c r="F975" s="6">
        <f t="shared" si="135"/>
        <v>95</v>
      </c>
      <c r="G975" s="6">
        <f t="shared" si="136"/>
        <v>340.65</v>
      </c>
      <c r="H975" s="6">
        <f t="shared" si="137"/>
        <v>1.9926207055139041E-5</v>
      </c>
      <c r="I975" s="7">
        <f t="shared" si="138"/>
        <v>1158916576932337.8</v>
      </c>
      <c r="J975" s="6">
        <f t="shared" si="139"/>
        <v>1.0226038455893147</v>
      </c>
      <c r="K975" s="7">
        <f>J975*H975*首页!$B$12/P975</f>
        <v>0.69532757496605813</v>
      </c>
      <c r="L975" s="6">
        <f>首页!$B$9*0.0000000567*((C975^4-D975^4)/(C975-D975))</f>
        <v>7.7687338005019564</v>
      </c>
      <c r="M975" s="6">
        <f>IF(首页!$B$13="自然对流",IF(首页!$B$14="立式圆筒",首页!$B$10,PI()*B975/2),PI()*B975/2)</f>
        <v>55.2</v>
      </c>
      <c r="N975" s="7">
        <f>IF(首页!$B$13="强制对流",首页!$B$11*M975/H975,0)</f>
        <v>0</v>
      </c>
      <c r="O975" s="6">
        <f>IF(首页!$B$13="自然对流",IF(首页!$B$14="立式圆筒",(0.825+0.3063*I975^(1/6))^2+0.87*(M975/B975),(0.752+0.303*I975^(1/6))^2),0.3+SQRT((0.592*N975^0.5)^2+(0.0262*N975^0.8/(1-0.5/N975^0.1))^2))</f>
        <v>10042.520124294124</v>
      </c>
      <c r="P975" s="6">
        <f t="shared" si="140"/>
        <v>2.9510194925512497E-2</v>
      </c>
      <c r="Q975" s="6">
        <f t="shared" si="141"/>
        <v>5.3687812755670574</v>
      </c>
      <c r="R975" s="6">
        <f t="shared" si="142"/>
        <v>13.137515076069015</v>
      </c>
      <c r="S975" s="6">
        <f>B975*LN(B975/首页!$B$4)</f>
        <v>5.8565172091432567</v>
      </c>
      <c r="T975" s="6">
        <f>2*首页!$B$8*(E975-C975)/(R975*(C975-D975))</f>
        <v>7.1030015138605657E-2</v>
      </c>
      <c r="U975" t="str">
        <f>IF(首页!$B$13="自然对流","按自然对流公式", "按强制对流公式")</f>
        <v>按自然对流公式</v>
      </c>
      <c r="V975" s="6">
        <f t="shared" si="143"/>
        <v>5.7854871940046513</v>
      </c>
    </row>
    <row r="976" spans="1:22" x14ac:dyDescent="0.15">
      <c r="A976">
        <v>971</v>
      </c>
      <c r="B976" s="6">
        <f>首页!$B$4+2*A976/1000</f>
        <v>2.0619999999999998</v>
      </c>
      <c r="C976" s="6">
        <f>首页!$B$7+273.15</f>
        <v>388.15</v>
      </c>
      <c r="D976" s="6">
        <f>首页!$B$6+273.15</f>
        <v>293.14999999999998</v>
      </c>
      <c r="E976" s="6">
        <f>首页!$B$5+273.15</f>
        <v>1373.15</v>
      </c>
      <c r="F976" s="6">
        <f t="shared" si="135"/>
        <v>95</v>
      </c>
      <c r="G976" s="6">
        <f t="shared" si="136"/>
        <v>340.65</v>
      </c>
      <c r="H976" s="6">
        <f t="shared" si="137"/>
        <v>1.9926207055139041E-5</v>
      </c>
      <c r="I976" s="7">
        <f t="shared" si="138"/>
        <v>1158916576932337.8</v>
      </c>
      <c r="J976" s="6">
        <f t="shared" si="139"/>
        <v>1.0226038455893147</v>
      </c>
      <c r="K976" s="7">
        <f>J976*H976*首页!$B$12/P976</f>
        <v>0.69532757496605813</v>
      </c>
      <c r="L976" s="6">
        <f>首页!$B$9*0.0000000567*((C976^4-D976^4)/(C976-D976))</f>
        <v>7.7687338005019564</v>
      </c>
      <c r="M976" s="6">
        <f>IF(首页!$B$13="自然对流",IF(首页!$B$14="立式圆筒",首页!$B$10,PI()*B976/2),PI()*B976/2)</f>
        <v>55.2</v>
      </c>
      <c r="N976" s="7">
        <f>IF(首页!$B$13="强制对流",首页!$B$11*M976/H976,0)</f>
        <v>0</v>
      </c>
      <c r="O976" s="6">
        <f>IF(首页!$B$13="自然对流",IF(首页!$B$14="立式圆筒",(0.825+0.3063*I976^(1/6))^2+0.87*(M976/B976),(0.752+0.303*I976^(1/6))^2),0.3+SQRT((0.592*N976^0.5)^2+(0.0262*N976^0.8/(1-0.5/N976^0.1))^2))</f>
        <v>10042.497512634221</v>
      </c>
      <c r="P976" s="6">
        <f t="shared" si="140"/>
        <v>2.9510194925512497E-2</v>
      </c>
      <c r="Q976" s="6">
        <f t="shared" si="141"/>
        <v>5.368769187261055</v>
      </c>
      <c r="R976" s="6">
        <f t="shared" si="142"/>
        <v>13.137502987763011</v>
      </c>
      <c r="S976" s="6">
        <f>B976*LN(B976/首页!$B$4)</f>
        <v>5.8642041187409992</v>
      </c>
      <c r="T976" s="6">
        <f>2*首页!$B$8*(E976-C976)/(R976*(C976-D976))</f>
        <v>7.1030080495969178E-2</v>
      </c>
      <c r="U976" t="str">
        <f>IF(首页!$B$13="自然对流","按自然对流公式", "按强制对流公式")</f>
        <v>按自然对流公式</v>
      </c>
      <c r="V976" s="6">
        <f t="shared" si="143"/>
        <v>5.7931740382450299</v>
      </c>
    </row>
    <row r="977" spans="1:22" x14ac:dyDescent="0.15">
      <c r="A977">
        <v>972</v>
      </c>
      <c r="B977" s="6">
        <f>首页!$B$4+2*A977/1000</f>
        <v>2.0640000000000001</v>
      </c>
      <c r="C977" s="6">
        <f>首页!$B$7+273.15</f>
        <v>388.15</v>
      </c>
      <c r="D977" s="6">
        <f>首页!$B$6+273.15</f>
        <v>293.14999999999998</v>
      </c>
      <c r="E977" s="6">
        <f>首页!$B$5+273.15</f>
        <v>1373.15</v>
      </c>
      <c r="F977" s="6">
        <f t="shared" si="135"/>
        <v>95</v>
      </c>
      <c r="G977" s="6">
        <f t="shared" si="136"/>
        <v>340.65</v>
      </c>
      <c r="H977" s="6">
        <f t="shared" si="137"/>
        <v>1.9926207055139041E-5</v>
      </c>
      <c r="I977" s="7">
        <f t="shared" si="138"/>
        <v>1158916576932337.8</v>
      </c>
      <c r="J977" s="6">
        <f t="shared" si="139"/>
        <v>1.0226038455893147</v>
      </c>
      <c r="K977" s="7">
        <f>J977*H977*首页!$B$12/P977</f>
        <v>0.69532757496605813</v>
      </c>
      <c r="L977" s="6">
        <f>首页!$B$9*0.0000000567*((C977^4-D977^4)/(C977-D977))</f>
        <v>7.7687338005019564</v>
      </c>
      <c r="M977" s="6">
        <f>IF(首页!$B$13="自然对流",IF(首页!$B$14="立式圆筒",首页!$B$10,PI()*B977/2),PI()*B977/2)</f>
        <v>55.2</v>
      </c>
      <c r="N977" s="7">
        <f>IF(首页!$B$13="强制对流",首页!$B$11*M977/H977,0)</f>
        <v>0</v>
      </c>
      <c r="O977" s="6">
        <f>IF(首页!$B$13="自然对流",IF(首页!$B$14="立式圆筒",(0.825+0.3063*I977^(1/6))^2+0.87*(M977/B977),(0.752+0.303*I977^(1/6))^2),0.3+SQRT((0.592*N977^0.5)^2+(0.0262*N977^0.8/(1-0.5/N977^0.1))^2))</f>
        <v>10042.474944795365</v>
      </c>
      <c r="P977" s="6">
        <f t="shared" si="140"/>
        <v>2.9510194925512497E-2</v>
      </c>
      <c r="Q977" s="6">
        <f t="shared" si="141"/>
        <v>5.3687571223820028</v>
      </c>
      <c r="R977" s="6">
        <f t="shared" si="142"/>
        <v>13.137490922883959</v>
      </c>
      <c r="S977" s="6">
        <f>B977*LN(B977/首页!$B$4)</f>
        <v>5.8718929682032579</v>
      </c>
      <c r="T977" s="6">
        <f>2*首页!$B$8*(E977-C977)/(R977*(C977-D977))</f>
        <v>7.1030145726791047E-2</v>
      </c>
      <c r="U977" t="str">
        <f>IF(首页!$B$13="自然对流","按自然对流公式", "按强制对流公式")</f>
        <v>按自然对流公式</v>
      </c>
      <c r="V977" s="6">
        <f t="shared" si="143"/>
        <v>5.8008628224764669</v>
      </c>
    </row>
    <row r="978" spans="1:22" x14ac:dyDescent="0.15">
      <c r="A978">
        <v>973</v>
      </c>
      <c r="B978" s="6">
        <f>首页!$B$4+2*A978/1000</f>
        <v>2.0659999999999998</v>
      </c>
      <c r="C978" s="6">
        <f>首页!$B$7+273.15</f>
        <v>388.15</v>
      </c>
      <c r="D978" s="6">
        <f>首页!$B$6+273.15</f>
        <v>293.14999999999998</v>
      </c>
      <c r="E978" s="6">
        <f>首页!$B$5+273.15</f>
        <v>1373.15</v>
      </c>
      <c r="F978" s="6">
        <f t="shared" si="135"/>
        <v>95</v>
      </c>
      <c r="G978" s="6">
        <f t="shared" si="136"/>
        <v>340.65</v>
      </c>
      <c r="H978" s="6">
        <f t="shared" si="137"/>
        <v>1.9926207055139041E-5</v>
      </c>
      <c r="I978" s="7">
        <f t="shared" si="138"/>
        <v>1158916576932337.8</v>
      </c>
      <c r="J978" s="6">
        <f t="shared" si="139"/>
        <v>1.0226038455893147</v>
      </c>
      <c r="K978" s="7">
        <f>J978*H978*首页!$B$12/P978</f>
        <v>0.69532757496605813</v>
      </c>
      <c r="L978" s="6">
        <f>首页!$B$9*0.0000000567*((C978^4-D978^4)/(C978-D978))</f>
        <v>7.7687338005019564</v>
      </c>
      <c r="M978" s="6">
        <f>IF(首页!$B$13="自然对流",IF(首页!$B$14="立式圆筒",首页!$B$10,PI()*B978/2),PI()*B978/2)</f>
        <v>55.2</v>
      </c>
      <c r="N978" s="7">
        <f>IF(首页!$B$13="强制对流",首页!$B$11*M978/H978,0)</f>
        <v>0</v>
      </c>
      <c r="O978" s="6">
        <f>IF(首页!$B$13="自然对流",IF(首页!$B$14="立式圆筒",(0.825+0.3063*I978^(1/6))^2+0.87*(M978/B978),(0.752+0.303*I978^(1/6))^2),0.3+SQRT((0.592*N978^0.5)^2+(0.0262*N978^0.8/(1-0.5/N978^0.1))^2))</f>
        <v>10042.452420650292</v>
      </c>
      <c r="P978" s="6">
        <f t="shared" si="140"/>
        <v>2.9510194925512497E-2</v>
      </c>
      <c r="Q978" s="6">
        <f t="shared" si="141"/>
        <v>5.3687450808618644</v>
      </c>
      <c r="R978" s="6">
        <f t="shared" si="142"/>
        <v>13.137478881363821</v>
      </c>
      <c r="S978" s="6">
        <f>B978*LN(B978/首页!$B$4)</f>
        <v>5.8795837556503123</v>
      </c>
      <c r="T978" s="6">
        <f>2*首页!$B$8*(E978-C978)/(R978*(C978-D978))</f>
        <v>7.1030210831438442E-2</v>
      </c>
      <c r="U978" t="str">
        <f>IF(首页!$B$13="自然对流","按自然对流公式", "按强制对流公式")</f>
        <v>按自然对流公式</v>
      </c>
      <c r="V978" s="6">
        <f t="shared" si="143"/>
        <v>5.8085535448188743</v>
      </c>
    </row>
    <row r="979" spans="1:22" x14ac:dyDescent="0.15">
      <c r="A979">
        <v>974</v>
      </c>
      <c r="B979" s="6">
        <f>首页!$B$4+2*A979/1000</f>
        <v>2.0680000000000001</v>
      </c>
      <c r="C979" s="6">
        <f>首页!$B$7+273.15</f>
        <v>388.15</v>
      </c>
      <c r="D979" s="6">
        <f>首页!$B$6+273.15</f>
        <v>293.14999999999998</v>
      </c>
      <c r="E979" s="6">
        <f>首页!$B$5+273.15</f>
        <v>1373.15</v>
      </c>
      <c r="F979" s="6">
        <f t="shared" si="135"/>
        <v>95</v>
      </c>
      <c r="G979" s="6">
        <f t="shared" si="136"/>
        <v>340.65</v>
      </c>
      <c r="H979" s="6">
        <f t="shared" si="137"/>
        <v>1.9926207055139041E-5</v>
      </c>
      <c r="I979" s="7">
        <f t="shared" si="138"/>
        <v>1158916576932337.8</v>
      </c>
      <c r="J979" s="6">
        <f t="shared" si="139"/>
        <v>1.0226038455893147</v>
      </c>
      <c r="K979" s="7">
        <f>J979*H979*首页!$B$12/P979</f>
        <v>0.69532757496605813</v>
      </c>
      <c r="L979" s="6">
        <f>首页!$B$9*0.0000000567*((C979^4-D979^4)/(C979-D979))</f>
        <v>7.7687338005019564</v>
      </c>
      <c r="M979" s="6">
        <f>IF(首页!$B$13="自然对流",IF(首页!$B$14="立式圆筒",首页!$B$10,PI()*B979/2),PI()*B979/2)</f>
        <v>55.2</v>
      </c>
      <c r="N979" s="7">
        <f>IF(首页!$B$13="强制对流",首页!$B$11*M979/H979,0)</f>
        <v>0</v>
      </c>
      <c r="O979" s="6">
        <f>IF(首页!$B$13="自然对流",IF(首页!$B$14="立式圆筒",(0.825+0.3063*I979^(1/6))^2+0.87*(M979/B979),(0.752+0.303*I979^(1/6))^2),0.3+SQRT((0.592*N979^0.5)^2+(0.0262*N979^0.8/(1-0.5/N979^0.1))^2))</f>
        <v>10042.42994007223</v>
      </c>
      <c r="P979" s="6">
        <f t="shared" si="140"/>
        <v>2.9510194925512497E-2</v>
      </c>
      <c r="Q979" s="6">
        <f t="shared" si="141"/>
        <v>5.3687330626328675</v>
      </c>
      <c r="R979" s="6">
        <f t="shared" si="142"/>
        <v>13.137466863134824</v>
      </c>
      <c r="S979" s="6">
        <f>B979*LN(B979/首页!$B$4)</f>
        <v>5.8872764792060943</v>
      </c>
      <c r="T979" s="6">
        <f>2*首页!$B$8*(E979-C979)/(R979*(C979-D979))</f>
        <v>7.1030275810277071E-2</v>
      </c>
      <c r="U979" t="str">
        <f>IF(首页!$B$13="自然对流","按自然对流公式", "按强制对流公式")</f>
        <v>按自然对流公式</v>
      </c>
      <c r="V979" s="6">
        <f t="shared" si="143"/>
        <v>5.8162462033958171</v>
      </c>
    </row>
    <row r="980" spans="1:22" x14ac:dyDescent="0.15">
      <c r="A980">
        <v>975</v>
      </c>
      <c r="B980" s="6">
        <f>首页!$B$4+2*A980/1000</f>
        <v>2.0699999999999998</v>
      </c>
      <c r="C980" s="6">
        <f>首页!$B$7+273.15</f>
        <v>388.15</v>
      </c>
      <c r="D980" s="6">
        <f>首页!$B$6+273.15</f>
        <v>293.14999999999998</v>
      </c>
      <c r="E980" s="6">
        <f>首页!$B$5+273.15</f>
        <v>1373.15</v>
      </c>
      <c r="F980" s="6">
        <f t="shared" si="135"/>
        <v>95</v>
      </c>
      <c r="G980" s="6">
        <f t="shared" si="136"/>
        <v>340.65</v>
      </c>
      <c r="H980" s="6">
        <f t="shared" si="137"/>
        <v>1.9926207055139041E-5</v>
      </c>
      <c r="I980" s="7">
        <f t="shared" si="138"/>
        <v>1158916576932337.8</v>
      </c>
      <c r="J980" s="6">
        <f t="shared" si="139"/>
        <v>1.0226038455893147</v>
      </c>
      <c r="K980" s="7">
        <f>J980*H980*首页!$B$12/P980</f>
        <v>0.69532757496605813</v>
      </c>
      <c r="L980" s="6">
        <f>首页!$B$9*0.0000000567*((C980^4-D980^4)/(C980-D980))</f>
        <v>7.7687338005019564</v>
      </c>
      <c r="M980" s="6">
        <f>IF(首页!$B$13="自然对流",IF(首页!$B$14="立式圆筒",首页!$B$10,PI()*B980/2),PI()*B980/2)</f>
        <v>55.2</v>
      </c>
      <c r="N980" s="7">
        <f>IF(首页!$B$13="强制对流",首页!$B$11*M980/H980,0)</f>
        <v>0</v>
      </c>
      <c r="O980" s="6">
        <f>IF(首页!$B$13="自然对流",IF(首页!$B$14="立式圆筒",(0.825+0.3063*I980^(1/6))^2+0.87*(M980/B980),(0.752+0.303*I980^(1/6))^2),0.3+SQRT((0.592*N980^0.5)^2+(0.0262*N980^0.8/(1-0.5/N980^0.1))^2))</f>
        <v>10042.407502934901</v>
      </c>
      <c r="P980" s="6">
        <f t="shared" si="140"/>
        <v>2.9510194925512497E-2</v>
      </c>
      <c r="Q980" s="6">
        <f t="shared" si="141"/>
        <v>5.3687210676275017</v>
      </c>
      <c r="R980" s="6">
        <f t="shared" si="142"/>
        <v>13.137454868129458</v>
      </c>
      <c r="S980" s="6">
        <f>B980*LN(B980/首页!$B$4)</f>
        <v>5.8949711369981532</v>
      </c>
      <c r="T980" s="6">
        <f>2*首页!$B$8*(E980-C980)/(R980*(C980-D980))</f>
        <v>7.1030340663671296E-2</v>
      </c>
      <c r="U980" t="str">
        <f>IF(首页!$B$13="自然对流","按自然对流公式", "按强制对流公式")</f>
        <v>按自然对流公式</v>
      </c>
      <c r="V980" s="6">
        <f t="shared" si="143"/>
        <v>5.8239407963344823</v>
      </c>
    </row>
    <row r="981" spans="1:22" x14ac:dyDescent="0.15">
      <c r="A981">
        <v>976</v>
      </c>
      <c r="B981" s="6">
        <f>首页!$B$4+2*A981/1000</f>
        <v>2.0720000000000001</v>
      </c>
      <c r="C981" s="6">
        <f>首页!$B$7+273.15</f>
        <v>388.15</v>
      </c>
      <c r="D981" s="6">
        <f>首页!$B$6+273.15</f>
        <v>293.14999999999998</v>
      </c>
      <c r="E981" s="6">
        <f>首页!$B$5+273.15</f>
        <v>1373.15</v>
      </c>
      <c r="F981" s="6">
        <f t="shared" si="135"/>
        <v>95</v>
      </c>
      <c r="G981" s="6">
        <f t="shared" si="136"/>
        <v>340.65</v>
      </c>
      <c r="H981" s="6">
        <f t="shared" si="137"/>
        <v>1.9926207055139041E-5</v>
      </c>
      <c r="I981" s="7">
        <f t="shared" si="138"/>
        <v>1158916576932337.8</v>
      </c>
      <c r="J981" s="6">
        <f t="shared" si="139"/>
        <v>1.0226038455893147</v>
      </c>
      <c r="K981" s="7">
        <f>J981*H981*首页!$B$12/P981</f>
        <v>0.69532757496605813</v>
      </c>
      <c r="L981" s="6">
        <f>首页!$B$9*0.0000000567*((C981^4-D981^4)/(C981-D981))</f>
        <v>7.7687338005019564</v>
      </c>
      <c r="M981" s="6">
        <f>IF(首页!$B$13="自然对流",IF(首页!$B$14="立式圆筒",首页!$B$10,PI()*B981/2),PI()*B981/2)</f>
        <v>55.2</v>
      </c>
      <c r="N981" s="7">
        <f>IF(首页!$B$13="强制对流",首页!$B$11*M981/H981,0)</f>
        <v>0</v>
      </c>
      <c r="O981" s="6">
        <f>IF(首页!$B$13="自然对流",IF(首页!$B$14="立式圆筒",(0.825+0.3063*I981^(1/6))^2+0.87*(M981/B981),(0.752+0.303*I981^(1/6))^2),0.3+SQRT((0.592*N981^0.5)^2+(0.0262*N981^0.8/(1-0.5/N981^0.1))^2))</f>
        <v>10042.385109112505</v>
      </c>
      <c r="P981" s="6">
        <f t="shared" si="140"/>
        <v>2.9510194925512497E-2</v>
      </c>
      <c r="Q981" s="6">
        <f t="shared" si="141"/>
        <v>5.3687090957785157</v>
      </c>
      <c r="R981" s="6">
        <f t="shared" si="142"/>
        <v>13.137442896280472</v>
      </c>
      <c r="S981" s="6">
        <f>B981*LN(B981/首页!$B$4)</f>
        <v>5.9026677271576631</v>
      </c>
      <c r="T981" s="6">
        <f>2*首页!$B$8*(E981-C981)/(R981*(C981-D981))</f>
        <v>7.1030405391983992E-2</v>
      </c>
      <c r="U981" t="str">
        <f>IF(首页!$B$13="自然对流","按自然对流公式", "按强制对流公式")</f>
        <v>按自然对流公式</v>
      </c>
      <c r="V981" s="6">
        <f t="shared" si="143"/>
        <v>5.8316373217656787</v>
      </c>
    </row>
    <row r="982" spans="1:22" x14ac:dyDescent="0.15">
      <c r="A982">
        <v>977</v>
      </c>
      <c r="B982" s="6">
        <f>首页!$B$4+2*A982/1000</f>
        <v>2.0739999999999998</v>
      </c>
      <c r="C982" s="6">
        <f>首页!$B$7+273.15</f>
        <v>388.15</v>
      </c>
      <c r="D982" s="6">
        <f>首页!$B$6+273.15</f>
        <v>293.14999999999998</v>
      </c>
      <c r="E982" s="6">
        <f>首页!$B$5+273.15</f>
        <v>1373.15</v>
      </c>
      <c r="F982" s="6">
        <f t="shared" si="135"/>
        <v>95</v>
      </c>
      <c r="G982" s="6">
        <f t="shared" si="136"/>
        <v>340.65</v>
      </c>
      <c r="H982" s="6">
        <f t="shared" si="137"/>
        <v>1.9926207055139041E-5</v>
      </c>
      <c r="I982" s="7">
        <f t="shared" si="138"/>
        <v>1158916576932337.8</v>
      </c>
      <c r="J982" s="6">
        <f t="shared" si="139"/>
        <v>1.0226038455893147</v>
      </c>
      <c r="K982" s="7">
        <f>J982*H982*首页!$B$12/P982</f>
        <v>0.69532757496605813</v>
      </c>
      <c r="L982" s="6">
        <f>首页!$B$9*0.0000000567*((C982^4-D982^4)/(C982-D982))</f>
        <v>7.7687338005019564</v>
      </c>
      <c r="M982" s="6">
        <f>IF(首页!$B$13="自然对流",IF(首页!$B$14="立式圆筒",首页!$B$10,PI()*B982/2),PI()*B982/2)</f>
        <v>55.2</v>
      </c>
      <c r="N982" s="7">
        <f>IF(首页!$B$13="强制对流",首页!$B$11*M982/H982,0)</f>
        <v>0</v>
      </c>
      <c r="O982" s="6">
        <f>IF(首页!$B$13="自然对流",IF(首页!$B$14="立式圆筒",(0.825+0.3063*I982^(1/6))^2+0.87*(M982/B982),(0.752+0.303*I982^(1/6))^2),0.3+SQRT((0.592*N982^0.5)^2+(0.0262*N982^0.8/(1-0.5/N982^0.1))^2))</f>
        <v>10042.362758479741</v>
      </c>
      <c r="P982" s="6">
        <f t="shared" si="140"/>
        <v>2.9510194925512497E-2</v>
      </c>
      <c r="Q982" s="6">
        <f t="shared" si="141"/>
        <v>5.3686971470189224</v>
      </c>
      <c r="R982" s="6">
        <f t="shared" si="142"/>
        <v>13.13743094752088</v>
      </c>
      <c r="S982" s="6">
        <f>B982*LN(B982/首页!$B$4)</f>
        <v>5.9103662478194021</v>
      </c>
      <c r="T982" s="6">
        <f>2*首页!$B$8*(E982-C982)/(R982*(C982-D982))</f>
        <v>7.1030469995576662E-2</v>
      </c>
      <c r="U982" t="str">
        <f>IF(首页!$B$13="自然对流","按自然对流公式", "按强制对流公式")</f>
        <v>按自然对流公式</v>
      </c>
      <c r="V982" s="6">
        <f t="shared" si="143"/>
        <v>5.8393357778238251</v>
      </c>
    </row>
    <row r="983" spans="1:22" x14ac:dyDescent="0.15">
      <c r="A983">
        <v>978</v>
      </c>
      <c r="B983" s="6">
        <f>首页!$B$4+2*A983/1000</f>
        <v>2.0760000000000001</v>
      </c>
      <c r="C983" s="6">
        <f>首页!$B$7+273.15</f>
        <v>388.15</v>
      </c>
      <c r="D983" s="6">
        <f>首页!$B$6+273.15</f>
        <v>293.14999999999998</v>
      </c>
      <c r="E983" s="6">
        <f>首页!$B$5+273.15</f>
        <v>1373.15</v>
      </c>
      <c r="F983" s="6">
        <f t="shared" si="135"/>
        <v>95</v>
      </c>
      <c r="G983" s="6">
        <f t="shared" si="136"/>
        <v>340.65</v>
      </c>
      <c r="H983" s="6">
        <f t="shared" si="137"/>
        <v>1.9926207055139041E-5</v>
      </c>
      <c r="I983" s="7">
        <f t="shared" si="138"/>
        <v>1158916576932337.8</v>
      </c>
      <c r="J983" s="6">
        <f t="shared" si="139"/>
        <v>1.0226038455893147</v>
      </c>
      <c r="K983" s="7">
        <f>J983*H983*首页!$B$12/P983</f>
        <v>0.69532757496605813</v>
      </c>
      <c r="L983" s="6">
        <f>首页!$B$9*0.0000000567*((C983^4-D983^4)/(C983-D983))</f>
        <v>7.7687338005019564</v>
      </c>
      <c r="M983" s="6">
        <f>IF(首页!$B$13="自然对流",IF(首页!$B$14="立式圆筒",首页!$B$10,PI()*B983/2),PI()*B983/2)</f>
        <v>55.2</v>
      </c>
      <c r="N983" s="7">
        <f>IF(首页!$B$13="强制对流",首页!$B$11*M983/H983,0)</f>
        <v>0</v>
      </c>
      <c r="O983" s="6">
        <f>IF(首页!$B$13="自然对流",IF(首页!$B$14="立式圆筒",(0.825+0.3063*I983^(1/6))^2+0.87*(M983/B983),(0.752+0.303*I983^(1/6))^2),0.3+SQRT((0.592*N983^0.5)^2+(0.0262*N983^0.8/(1-0.5/N983^0.1))^2))</f>
        <v>10042.340450911779</v>
      </c>
      <c r="P983" s="6">
        <f t="shared" si="140"/>
        <v>2.9510194925512497E-2</v>
      </c>
      <c r="Q983" s="6">
        <f t="shared" si="141"/>
        <v>5.3686852212819858</v>
      </c>
      <c r="R983" s="6">
        <f t="shared" si="142"/>
        <v>13.137419021783941</v>
      </c>
      <c r="S983" s="6">
        <f>B983*LN(B983/首页!$B$4)</f>
        <v>5.918066697121751</v>
      </c>
      <c r="T983" s="6">
        <f>2*首页!$B$8*(E983-C983)/(R983*(C983-D983))</f>
        <v>7.103053447480949E-2</v>
      </c>
      <c r="U983" t="str">
        <f>IF(首页!$B$13="自然对流","按自然对流公式", "按强制对流公式")</f>
        <v>按自然对流公式</v>
      </c>
      <c r="V983" s="6">
        <f t="shared" si="143"/>
        <v>5.8470361626469414</v>
      </c>
    </row>
    <row r="984" spans="1:22" x14ac:dyDescent="0.15">
      <c r="A984">
        <v>979</v>
      </c>
      <c r="B984" s="6">
        <f>首页!$B$4+2*A984/1000</f>
        <v>2.0779999999999998</v>
      </c>
      <c r="C984" s="6">
        <f>首页!$B$7+273.15</f>
        <v>388.15</v>
      </c>
      <c r="D984" s="6">
        <f>首页!$B$6+273.15</f>
        <v>293.14999999999998</v>
      </c>
      <c r="E984" s="6">
        <f>首页!$B$5+273.15</f>
        <v>1373.15</v>
      </c>
      <c r="F984" s="6">
        <f t="shared" si="135"/>
        <v>95</v>
      </c>
      <c r="G984" s="6">
        <f t="shared" si="136"/>
        <v>340.65</v>
      </c>
      <c r="H984" s="6">
        <f t="shared" si="137"/>
        <v>1.9926207055139041E-5</v>
      </c>
      <c r="I984" s="7">
        <f t="shared" si="138"/>
        <v>1158916576932337.8</v>
      </c>
      <c r="J984" s="6">
        <f t="shared" si="139"/>
        <v>1.0226038455893147</v>
      </c>
      <c r="K984" s="7">
        <f>J984*H984*首页!$B$12/P984</f>
        <v>0.69532757496605813</v>
      </c>
      <c r="L984" s="6">
        <f>首页!$B$9*0.0000000567*((C984^4-D984^4)/(C984-D984))</f>
        <v>7.7687338005019564</v>
      </c>
      <c r="M984" s="6">
        <f>IF(首页!$B$13="自然对流",IF(首页!$B$14="立式圆筒",首页!$B$10,PI()*B984/2),PI()*B984/2)</f>
        <v>55.2</v>
      </c>
      <c r="N984" s="7">
        <f>IF(首页!$B$13="强制对流",首页!$B$11*M984/H984,0)</f>
        <v>0</v>
      </c>
      <c r="O984" s="6">
        <f>IF(首页!$B$13="自然对流",IF(首页!$B$14="立式圆筒",(0.825+0.3063*I984^(1/6))^2+0.87*(M984/B984),(0.752+0.303*I984^(1/6))^2),0.3+SQRT((0.592*N984^0.5)^2+(0.0262*N984^0.8/(1-0.5/N984^0.1))^2))</f>
        <v>10042.318186284274</v>
      </c>
      <c r="P984" s="6">
        <f t="shared" si="140"/>
        <v>2.9510194925512497E-2</v>
      </c>
      <c r="Q984" s="6">
        <f t="shared" si="141"/>
        <v>5.3686733185012327</v>
      </c>
      <c r="R984" s="6">
        <f t="shared" si="142"/>
        <v>13.137407119003189</v>
      </c>
      <c r="S984" s="6">
        <f>B984*LN(B984/首页!$B$4)</f>
        <v>5.9257690732066681</v>
      </c>
      <c r="T984" s="6">
        <f>2*首页!$B$8*(E984-C984)/(R984*(C984-D984))</f>
        <v>7.1030598830041147E-2</v>
      </c>
      <c r="U984" t="str">
        <f>IF(首页!$B$13="自然对流","按自然对流公式", "按强制对流公式")</f>
        <v>按自然对流公式</v>
      </c>
      <c r="V984" s="6">
        <f t="shared" si="143"/>
        <v>5.8547384743766271</v>
      </c>
    </row>
    <row r="985" spans="1:22" x14ac:dyDescent="0.15">
      <c r="A985">
        <v>980</v>
      </c>
      <c r="B985" s="6">
        <f>首页!$B$4+2*A985/1000</f>
        <v>2.08</v>
      </c>
      <c r="C985" s="6">
        <f>首页!$B$7+273.15</f>
        <v>388.15</v>
      </c>
      <c r="D985" s="6">
        <f>首页!$B$6+273.15</f>
        <v>293.14999999999998</v>
      </c>
      <c r="E985" s="6">
        <f>首页!$B$5+273.15</f>
        <v>1373.15</v>
      </c>
      <c r="F985" s="6">
        <f t="shared" si="135"/>
        <v>95</v>
      </c>
      <c r="G985" s="6">
        <f t="shared" si="136"/>
        <v>340.65</v>
      </c>
      <c r="H985" s="6">
        <f t="shared" si="137"/>
        <v>1.9926207055139041E-5</v>
      </c>
      <c r="I985" s="7">
        <f t="shared" si="138"/>
        <v>1158916576932337.8</v>
      </c>
      <c r="J985" s="6">
        <f t="shared" si="139"/>
        <v>1.0226038455893147</v>
      </c>
      <c r="K985" s="7">
        <f>J985*H985*首页!$B$12/P985</f>
        <v>0.69532757496605813</v>
      </c>
      <c r="L985" s="6">
        <f>首页!$B$9*0.0000000567*((C985^4-D985^4)/(C985-D985))</f>
        <v>7.7687338005019564</v>
      </c>
      <c r="M985" s="6">
        <f>IF(首页!$B$13="自然对流",IF(首页!$B$14="立式圆筒",首页!$B$10,PI()*B985/2),PI()*B985/2)</f>
        <v>55.2</v>
      </c>
      <c r="N985" s="7">
        <f>IF(首页!$B$13="强制对流",首页!$B$11*M985/H985,0)</f>
        <v>0</v>
      </c>
      <c r="O985" s="6">
        <f>IF(首页!$B$13="自然对流",IF(首页!$B$14="立式圆筒",(0.825+0.3063*I985^(1/6))^2+0.87*(M985/B985),(0.752+0.303*I985^(1/6))^2),0.3+SQRT((0.592*N985^0.5)^2+(0.0262*N985^0.8/(1-0.5/N985^0.1))^2))</f>
        <v>10042.295964473362</v>
      </c>
      <c r="P985" s="6">
        <f t="shared" si="140"/>
        <v>2.9510194925512497E-2</v>
      </c>
      <c r="Q985" s="6">
        <f t="shared" si="141"/>
        <v>5.3686614386104425</v>
      </c>
      <c r="R985" s="6">
        <f t="shared" si="142"/>
        <v>13.137395239112399</v>
      </c>
      <c r="S985" s="6">
        <f>B985*LN(B985/首页!$B$4)</f>
        <v>5.9334733742197017</v>
      </c>
      <c r="T985" s="6">
        <f>2*首页!$B$8*(E985-C985)/(R985*(C985-D985))</f>
        <v>7.1030663061629029E-2</v>
      </c>
      <c r="U985" t="str">
        <f>IF(首页!$B$13="自然对流","按自然对流公式", "按强制对流公式")</f>
        <v>按自然对流公式</v>
      </c>
      <c r="V985" s="6">
        <f t="shared" si="143"/>
        <v>5.8624427111580726</v>
      </c>
    </row>
    <row r="986" spans="1:22" x14ac:dyDescent="0.15">
      <c r="A986">
        <v>981</v>
      </c>
      <c r="B986" s="6">
        <f>首页!$B$4+2*A986/1000</f>
        <v>2.0819999999999999</v>
      </c>
      <c r="C986" s="6">
        <f>首页!$B$7+273.15</f>
        <v>388.15</v>
      </c>
      <c r="D986" s="6">
        <f>首页!$B$6+273.15</f>
        <v>293.14999999999998</v>
      </c>
      <c r="E986" s="6">
        <f>首页!$B$5+273.15</f>
        <v>1373.15</v>
      </c>
      <c r="F986" s="6">
        <f t="shared" si="135"/>
        <v>95</v>
      </c>
      <c r="G986" s="6">
        <f t="shared" si="136"/>
        <v>340.65</v>
      </c>
      <c r="H986" s="6">
        <f t="shared" si="137"/>
        <v>1.9926207055139041E-5</v>
      </c>
      <c r="I986" s="7">
        <f t="shared" si="138"/>
        <v>1158916576932337.8</v>
      </c>
      <c r="J986" s="6">
        <f t="shared" si="139"/>
        <v>1.0226038455893147</v>
      </c>
      <c r="K986" s="7">
        <f>J986*H986*首页!$B$12/P986</f>
        <v>0.69532757496605813</v>
      </c>
      <c r="L986" s="6">
        <f>首页!$B$9*0.0000000567*((C986^4-D986^4)/(C986-D986))</f>
        <v>7.7687338005019564</v>
      </c>
      <c r="M986" s="6">
        <f>IF(首页!$B$13="自然对流",IF(首页!$B$14="立式圆筒",首页!$B$10,PI()*B986/2),PI()*B986/2)</f>
        <v>55.2</v>
      </c>
      <c r="N986" s="7">
        <f>IF(首页!$B$13="强制对流",首页!$B$11*M986/H986,0)</f>
        <v>0</v>
      </c>
      <c r="O986" s="6">
        <f>IF(首页!$B$13="自然对流",IF(首页!$B$14="立式圆筒",(0.825+0.3063*I986^(1/6))^2+0.87*(M986/B986),(0.752+0.303*I986^(1/6))^2),0.3+SQRT((0.592*N986^0.5)^2+(0.0262*N986^0.8/(1-0.5/N986^0.1))^2))</f>
        <v>10042.273785355648</v>
      </c>
      <c r="P986" s="6">
        <f t="shared" si="140"/>
        <v>2.9510194925512497E-2</v>
      </c>
      <c r="Q986" s="6">
        <f t="shared" si="141"/>
        <v>5.3686495815436484</v>
      </c>
      <c r="R986" s="6">
        <f t="shared" si="142"/>
        <v>13.137383382045606</v>
      </c>
      <c r="S986" s="6">
        <f>B986*LN(B986/首页!$B$4)</f>
        <v>5.9411795983099509</v>
      </c>
      <c r="T986" s="6">
        <f>2*首页!$B$8*(E986-C986)/(R986*(C986-D986))</f>
        <v>7.1030727169929114E-2</v>
      </c>
      <c r="U986" t="str">
        <f>IF(首页!$B$13="自然对流","按自然对流公式", "按强制对流公式")</f>
        <v>按自然对流公式</v>
      </c>
      <c r="V986" s="6">
        <f t="shared" si="143"/>
        <v>5.8701488711400218</v>
      </c>
    </row>
    <row r="987" spans="1:22" x14ac:dyDescent="0.15">
      <c r="A987">
        <v>982</v>
      </c>
      <c r="B987" s="6">
        <f>首页!$B$4+2*A987/1000</f>
        <v>2.0840000000000001</v>
      </c>
      <c r="C987" s="6">
        <f>首页!$B$7+273.15</f>
        <v>388.15</v>
      </c>
      <c r="D987" s="6">
        <f>首页!$B$6+273.15</f>
        <v>293.14999999999998</v>
      </c>
      <c r="E987" s="6">
        <f>首页!$B$5+273.15</f>
        <v>1373.15</v>
      </c>
      <c r="F987" s="6">
        <f t="shared" si="135"/>
        <v>95</v>
      </c>
      <c r="G987" s="6">
        <f t="shared" si="136"/>
        <v>340.65</v>
      </c>
      <c r="H987" s="6">
        <f t="shared" si="137"/>
        <v>1.9926207055139041E-5</v>
      </c>
      <c r="I987" s="7">
        <f t="shared" si="138"/>
        <v>1158916576932337.8</v>
      </c>
      <c r="J987" s="6">
        <f t="shared" si="139"/>
        <v>1.0226038455893147</v>
      </c>
      <c r="K987" s="7">
        <f>J987*H987*首页!$B$12/P987</f>
        <v>0.69532757496605813</v>
      </c>
      <c r="L987" s="6">
        <f>首页!$B$9*0.0000000567*((C987^4-D987^4)/(C987-D987))</f>
        <v>7.7687338005019564</v>
      </c>
      <c r="M987" s="6">
        <f>IF(首页!$B$13="自然对流",IF(首页!$B$14="立式圆筒",首页!$B$10,PI()*B987/2),PI()*B987/2)</f>
        <v>55.2</v>
      </c>
      <c r="N987" s="7">
        <f>IF(首页!$B$13="强制对流",首页!$B$11*M987/H987,0)</f>
        <v>0</v>
      </c>
      <c r="O987" s="6">
        <f>IF(首页!$B$13="自然对流",IF(首页!$B$14="立式圆筒",(0.825+0.3063*I987^(1/6))^2+0.87*(M987/B987),(0.752+0.303*I987^(1/6))^2),0.3+SQRT((0.592*N987^0.5)^2+(0.0262*N987^0.8/(1-0.5/N987^0.1))^2))</f>
        <v>10042.25164880822</v>
      </c>
      <c r="P987" s="6">
        <f t="shared" si="140"/>
        <v>2.9510194925512497E-2</v>
      </c>
      <c r="Q987" s="6">
        <f t="shared" si="141"/>
        <v>5.3686377472351419</v>
      </c>
      <c r="R987" s="6">
        <f t="shared" si="142"/>
        <v>13.137371547737098</v>
      </c>
      <c r="S987" s="6">
        <f>B987*LN(B987/首页!$B$4)</f>
        <v>5.9488877436300847</v>
      </c>
      <c r="T987" s="6">
        <f>2*首页!$B$8*(E987-C987)/(R987*(C987-D987))</f>
        <v>7.1030791155296036E-2</v>
      </c>
      <c r="U987" t="str">
        <f>IF(首页!$B$13="自然对流","按自然对流公式", "按强制对流公式")</f>
        <v>按自然对流公式</v>
      </c>
      <c r="V987" s="6">
        <f t="shared" si="143"/>
        <v>5.8778569524747883</v>
      </c>
    </row>
    <row r="988" spans="1:22" x14ac:dyDescent="0.15">
      <c r="A988">
        <v>983</v>
      </c>
      <c r="B988" s="6">
        <f>首页!$B$4+2*A988/1000</f>
        <v>2.0859999999999999</v>
      </c>
      <c r="C988" s="6">
        <f>首页!$B$7+273.15</f>
        <v>388.15</v>
      </c>
      <c r="D988" s="6">
        <f>首页!$B$6+273.15</f>
        <v>293.14999999999998</v>
      </c>
      <c r="E988" s="6">
        <f>首页!$B$5+273.15</f>
        <v>1373.15</v>
      </c>
      <c r="F988" s="6">
        <f t="shared" si="135"/>
        <v>95</v>
      </c>
      <c r="G988" s="6">
        <f t="shared" si="136"/>
        <v>340.65</v>
      </c>
      <c r="H988" s="6">
        <f t="shared" si="137"/>
        <v>1.9926207055139041E-5</v>
      </c>
      <c r="I988" s="7">
        <f t="shared" si="138"/>
        <v>1158916576932337.8</v>
      </c>
      <c r="J988" s="6">
        <f t="shared" si="139"/>
        <v>1.0226038455893147</v>
      </c>
      <c r="K988" s="7">
        <f>J988*H988*首页!$B$12/P988</f>
        <v>0.69532757496605813</v>
      </c>
      <c r="L988" s="6">
        <f>首页!$B$9*0.0000000567*((C988^4-D988^4)/(C988-D988))</f>
        <v>7.7687338005019564</v>
      </c>
      <c r="M988" s="6">
        <f>IF(首页!$B$13="自然对流",IF(首页!$B$14="立式圆筒",首页!$B$10,PI()*B988/2),PI()*B988/2)</f>
        <v>55.2</v>
      </c>
      <c r="N988" s="7">
        <f>IF(首页!$B$13="强制对流",首页!$B$11*M988/H988,0)</f>
        <v>0</v>
      </c>
      <c r="O988" s="6">
        <f>IF(首页!$B$13="自然对流",IF(首页!$B$14="立式圆筒",(0.825+0.3063*I988^(1/6))^2+0.87*(M988/B988),(0.752+0.303*I988^(1/6))^2),0.3+SQRT((0.592*N988^0.5)^2+(0.0262*N988^0.8/(1-0.5/N988^0.1))^2))</f>
        <v>10042.229554708629</v>
      </c>
      <c r="P988" s="6">
        <f t="shared" si="140"/>
        <v>2.9510194925512497E-2</v>
      </c>
      <c r="Q988" s="6">
        <f t="shared" si="141"/>
        <v>5.3686259356194599</v>
      </c>
      <c r="R988" s="6">
        <f t="shared" si="142"/>
        <v>13.137359736121416</v>
      </c>
      <c r="S988" s="6">
        <f>B988*LN(B988/首页!$B$4)</f>
        <v>5.9565978083363094</v>
      </c>
      <c r="T988" s="6">
        <f>2*首页!$B$8*(E988-C988)/(R988*(C988-D988))</f>
        <v>7.1030855018083053E-2</v>
      </c>
      <c r="U988" t="str">
        <f>IF(首页!$B$13="自然对流","按自然对流公式", "按强制对流公式")</f>
        <v>按自然对流公式</v>
      </c>
      <c r="V988" s="6">
        <f t="shared" si="143"/>
        <v>5.885566953318226</v>
      </c>
    </row>
    <row r="989" spans="1:22" x14ac:dyDescent="0.15">
      <c r="A989">
        <v>984</v>
      </c>
      <c r="B989" s="6">
        <f>首页!$B$4+2*A989/1000</f>
        <v>2.0880000000000001</v>
      </c>
      <c r="C989" s="6">
        <f>首页!$B$7+273.15</f>
        <v>388.15</v>
      </c>
      <c r="D989" s="6">
        <f>首页!$B$6+273.15</f>
        <v>293.14999999999998</v>
      </c>
      <c r="E989" s="6">
        <f>首页!$B$5+273.15</f>
        <v>1373.15</v>
      </c>
      <c r="F989" s="6">
        <f t="shared" si="135"/>
        <v>95</v>
      </c>
      <c r="G989" s="6">
        <f t="shared" si="136"/>
        <v>340.65</v>
      </c>
      <c r="H989" s="6">
        <f t="shared" si="137"/>
        <v>1.9926207055139041E-5</v>
      </c>
      <c r="I989" s="7">
        <f t="shared" si="138"/>
        <v>1158916576932337.8</v>
      </c>
      <c r="J989" s="6">
        <f t="shared" si="139"/>
        <v>1.0226038455893147</v>
      </c>
      <c r="K989" s="7">
        <f>J989*H989*首页!$B$12/P989</f>
        <v>0.69532757496605813</v>
      </c>
      <c r="L989" s="6">
        <f>首页!$B$9*0.0000000567*((C989^4-D989^4)/(C989-D989))</f>
        <v>7.7687338005019564</v>
      </c>
      <c r="M989" s="6">
        <f>IF(首页!$B$13="自然对流",IF(首页!$B$14="立式圆筒",首页!$B$10,PI()*B989/2),PI()*B989/2)</f>
        <v>55.2</v>
      </c>
      <c r="N989" s="7">
        <f>IF(首页!$B$13="强制对流",首页!$B$11*M989/H989,0)</f>
        <v>0</v>
      </c>
      <c r="O989" s="6">
        <f>IF(首页!$B$13="自然对流",IF(首页!$B$14="立式圆筒",(0.825+0.3063*I989^(1/6))^2+0.87*(M989/B989),(0.752+0.303*I989^(1/6))^2),0.3+SQRT((0.592*N989^0.5)^2+(0.0262*N989^0.8/(1-0.5/N989^0.1))^2))</f>
        <v>10042.2075029349</v>
      </c>
      <c r="P989" s="6">
        <f t="shared" si="140"/>
        <v>2.9510194925512497E-2</v>
      </c>
      <c r="Q989" s="6">
        <f t="shared" si="141"/>
        <v>5.3686141466313941</v>
      </c>
      <c r="R989" s="6">
        <f t="shared" si="142"/>
        <v>13.13734794713335</v>
      </c>
      <c r="S989" s="6">
        <f>B989*LN(B989/首页!$B$4)</f>
        <v>5.96430979058837</v>
      </c>
      <c r="T989" s="6">
        <f>2*首页!$B$8*(E989-C989)/(R989*(C989-D989))</f>
        <v>7.1030918758642064E-2</v>
      </c>
      <c r="U989" t="str">
        <f>IF(首页!$B$13="自然对流","按自然对流公式", "按强制对流公式")</f>
        <v>按自然对流公式</v>
      </c>
      <c r="V989" s="6">
        <f t="shared" si="143"/>
        <v>5.893278871829728</v>
      </c>
    </row>
    <row r="990" spans="1:22" x14ac:dyDescent="0.15">
      <c r="A990">
        <v>985</v>
      </c>
      <c r="B990" s="6">
        <f>首页!$B$4+2*A990/1000</f>
        <v>2.09</v>
      </c>
      <c r="C990" s="6">
        <f>首页!$B$7+273.15</f>
        <v>388.15</v>
      </c>
      <c r="D990" s="6">
        <f>首页!$B$6+273.15</f>
        <v>293.14999999999998</v>
      </c>
      <c r="E990" s="6">
        <f>首页!$B$5+273.15</f>
        <v>1373.15</v>
      </c>
      <c r="F990" s="6">
        <f t="shared" si="135"/>
        <v>95</v>
      </c>
      <c r="G990" s="6">
        <f t="shared" si="136"/>
        <v>340.65</v>
      </c>
      <c r="H990" s="6">
        <f t="shared" si="137"/>
        <v>1.9926207055139041E-5</v>
      </c>
      <c r="I990" s="7">
        <f t="shared" si="138"/>
        <v>1158916576932337.8</v>
      </c>
      <c r="J990" s="6">
        <f t="shared" si="139"/>
        <v>1.0226038455893147</v>
      </c>
      <c r="K990" s="7">
        <f>J990*H990*首页!$B$12/P990</f>
        <v>0.69532757496605813</v>
      </c>
      <c r="L990" s="6">
        <f>首页!$B$9*0.0000000567*((C990^4-D990^4)/(C990-D990))</f>
        <v>7.7687338005019564</v>
      </c>
      <c r="M990" s="6">
        <f>IF(首页!$B$13="自然对流",IF(首页!$B$14="立式圆筒",首页!$B$10,PI()*B990/2),PI()*B990/2)</f>
        <v>55.2</v>
      </c>
      <c r="N990" s="7">
        <f>IF(首页!$B$13="强制对流",首页!$B$11*M990/H990,0)</f>
        <v>0</v>
      </c>
      <c r="O990" s="6">
        <f>IF(首页!$B$13="自然对流",IF(首页!$B$14="立式圆筒",(0.825+0.3063*I990^(1/6))^2+0.87*(M990/B990),(0.752+0.303*I990^(1/6))^2),0.3+SQRT((0.592*N990^0.5)^2+(0.0262*N990^0.8/(1-0.5/N990^0.1))^2))</f>
        <v>10042.185493365521</v>
      </c>
      <c r="P990" s="6">
        <f t="shared" si="140"/>
        <v>2.9510194925512497E-2</v>
      </c>
      <c r="Q990" s="6">
        <f t="shared" si="141"/>
        <v>5.368602380205985</v>
      </c>
      <c r="R990" s="6">
        <f t="shared" si="142"/>
        <v>13.137336180707941</v>
      </c>
      <c r="S990" s="6">
        <f>B990*LN(B990/首页!$B$4)</f>
        <v>5.9720236885495339</v>
      </c>
      <c r="T990" s="6">
        <f>2*首页!$B$8*(E990-C990)/(R990*(C990-D990))</f>
        <v>7.1030982377323651E-2</v>
      </c>
      <c r="U990" t="str">
        <f>IF(首页!$B$13="自然对流","按自然对流公式", "按强制对流公式")</f>
        <v>按自然对流公式</v>
      </c>
      <c r="V990" s="6">
        <f t="shared" si="143"/>
        <v>5.9009927061722101</v>
      </c>
    </row>
    <row r="991" spans="1:22" x14ac:dyDescent="0.15">
      <c r="A991">
        <v>986</v>
      </c>
      <c r="B991" s="6">
        <f>首页!$B$4+2*A991/1000</f>
        <v>2.0920000000000001</v>
      </c>
      <c r="C991" s="6">
        <f>首页!$B$7+273.15</f>
        <v>388.15</v>
      </c>
      <c r="D991" s="6">
        <f>首页!$B$6+273.15</f>
        <v>293.14999999999998</v>
      </c>
      <c r="E991" s="6">
        <f>首页!$B$5+273.15</f>
        <v>1373.15</v>
      </c>
      <c r="F991" s="6">
        <f t="shared" si="135"/>
        <v>95</v>
      </c>
      <c r="G991" s="6">
        <f t="shared" si="136"/>
        <v>340.65</v>
      </c>
      <c r="H991" s="6">
        <f t="shared" si="137"/>
        <v>1.9926207055139041E-5</v>
      </c>
      <c r="I991" s="7">
        <f t="shared" si="138"/>
        <v>1158916576932337.8</v>
      </c>
      <c r="J991" s="6">
        <f t="shared" si="139"/>
        <v>1.0226038455893147</v>
      </c>
      <c r="K991" s="7">
        <f>J991*H991*首页!$B$12/P991</f>
        <v>0.69532757496605813</v>
      </c>
      <c r="L991" s="6">
        <f>首页!$B$9*0.0000000567*((C991^4-D991^4)/(C991-D991))</f>
        <v>7.7687338005019564</v>
      </c>
      <c r="M991" s="6">
        <f>IF(首页!$B$13="自然对流",IF(首页!$B$14="立式圆筒",首页!$B$10,PI()*B991/2),PI()*B991/2)</f>
        <v>55.2</v>
      </c>
      <c r="N991" s="7">
        <f>IF(首页!$B$13="强制对流",首页!$B$11*M991/H991,0)</f>
        <v>0</v>
      </c>
      <c r="O991" s="6">
        <f>IF(首页!$B$13="自然对流",IF(首页!$B$14="立式圆筒",(0.825+0.3063*I991^(1/6))^2+0.87*(M991/B991),(0.752+0.303*I991^(1/6))^2),0.3+SQRT((0.592*N991^0.5)^2+(0.0262*N991^0.8/(1-0.5/N991^0.1))^2))</f>
        <v>10042.16352587945</v>
      </c>
      <c r="P991" s="6">
        <f t="shared" si="140"/>
        <v>2.9510194925512497E-2</v>
      </c>
      <c r="Q991" s="6">
        <f t="shared" si="141"/>
        <v>5.3685906362785216</v>
      </c>
      <c r="R991" s="6">
        <f t="shared" si="142"/>
        <v>13.137324436780478</v>
      </c>
      <c r="S991" s="6">
        <f>B991*LN(B991/首页!$B$4)</f>
        <v>5.9797395003865903</v>
      </c>
      <c r="T991" s="6">
        <f>2*首页!$B$8*(E991-C991)/(R991*(C991-D991))</f>
        <v>7.103104587447702E-2</v>
      </c>
      <c r="U991" t="str">
        <f>IF(首页!$B$13="自然对流","按自然对流公式", "按强制对流公式")</f>
        <v>按自然对流公式</v>
      </c>
      <c r="V991" s="6">
        <f t="shared" si="143"/>
        <v>5.9087084545121131</v>
      </c>
    </row>
    <row r="992" spans="1:22" x14ac:dyDescent="0.15">
      <c r="A992">
        <v>987</v>
      </c>
      <c r="B992" s="6">
        <f>首页!$B$4+2*A992/1000</f>
        <v>2.0939999999999999</v>
      </c>
      <c r="C992" s="6">
        <f>首页!$B$7+273.15</f>
        <v>388.15</v>
      </c>
      <c r="D992" s="6">
        <f>首页!$B$6+273.15</f>
        <v>293.14999999999998</v>
      </c>
      <c r="E992" s="6">
        <f>首页!$B$5+273.15</f>
        <v>1373.15</v>
      </c>
      <c r="F992" s="6">
        <f t="shared" si="135"/>
        <v>95</v>
      </c>
      <c r="G992" s="6">
        <f t="shared" si="136"/>
        <v>340.65</v>
      </c>
      <c r="H992" s="6">
        <f t="shared" si="137"/>
        <v>1.9926207055139041E-5</v>
      </c>
      <c r="I992" s="7">
        <f t="shared" si="138"/>
        <v>1158916576932337.8</v>
      </c>
      <c r="J992" s="6">
        <f t="shared" si="139"/>
        <v>1.0226038455893147</v>
      </c>
      <c r="K992" s="7">
        <f>J992*H992*首页!$B$12/P992</f>
        <v>0.69532757496605813</v>
      </c>
      <c r="L992" s="6">
        <f>首页!$B$9*0.0000000567*((C992^4-D992^4)/(C992-D992))</f>
        <v>7.7687338005019564</v>
      </c>
      <c r="M992" s="6">
        <f>IF(首页!$B$13="自然对流",IF(首页!$B$14="立式圆筒",首页!$B$10,PI()*B992/2),PI()*B992/2)</f>
        <v>55.2</v>
      </c>
      <c r="N992" s="7">
        <f>IF(首页!$B$13="强制对流",首页!$B$11*M992/H992,0)</f>
        <v>0</v>
      </c>
      <c r="O992" s="6">
        <f>IF(首页!$B$13="自然对流",IF(首页!$B$14="立式圆筒",(0.825+0.3063*I992^(1/6))^2+0.87*(M992/B992),(0.752+0.303*I992^(1/6))^2),0.3+SQRT((0.592*N992^0.5)^2+(0.0262*N992^0.8/(1-0.5/N992^0.1))^2))</f>
        <v>10042.141600356103</v>
      </c>
      <c r="P992" s="6">
        <f t="shared" si="140"/>
        <v>2.9510194925512497E-2</v>
      </c>
      <c r="Q992" s="6">
        <f t="shared" si="141"/>
        <v>5.3685789147845391</v>
      </c>
      <c r="R992" s="6">
        <f t="shared" si="142"/>
        <v>13.137312715286495</v>
      </c>
      <c r="S992" s="6">
        <f>B992*LN(B992/首页!$B$4)</f>
        <v>5.987457224269825</v>
      </c>
      <c r="T992" s="6">
        <f>2*首页!$B$8*(E992-C992)/(R992*(C992-D992))</f>
        <v>7.1031109250450086E-2</v>
      </c>
      <c r="U992" t="str">
        <f>IF(首页!$B$13="自然对流","按自然对流公式", "按强制对流公式")</f>
        <v>按自然对流公式</v>
      </c>
      <c r="V992" s="6">
        <f t="shared" si="143"/>
        <v>5.9164261150193749</v>
      </c>
    </row>
    <row r="993" spans="1:22" x14ac:dyDescent="0.15">
      <c r="A993">
        <v>988</v>
      </c>
      <c r="B993" s="6">
        <f>首页!$B$4+2*A993/1000</f>
        <v>2.0960000000000001</v>
      </c>
      <c r="C993" s="6">
        <f>首页!$B$7+273.15</f>
        <v>388.15</v>
      </c>
      <c r="D993" s="6">
        <f>首页!$B$6+273.15</f>
        <v>293.14999999999998</v>
      </c>
      <c r="E993" s="6">
        <f>首页!$B$5+273.15</f>
        <v>1373.15</v>
      </c>
      <c r="F993" s="6">
        <f t="shared" si="135"/>
        <v>95</v>
      </c>
      <c r="G993" s="6">
        <f t="shared" si="136"/>
        <v>340.65</v>
      </c>
      <c r="H993" s="6">
        <f t="shared" si="137"/>
        <v>1.9926207055139041E-5</v>
      </c>
      <c r="I993" s="7">
        <f t="shared" si="138"/>
        <v>1158916576932337.8</v>
      </c>
      <c r="J993" s="6">
        <f t="shared" si="139"/>
        <v>1.0226038455893147</v>
      </c>
      <c r="K993" s="7">
        <f>J993*H993*首页!$B$12/P993</f>
        <v>0.69532757496605813</v>
      </c>
      <c r="L993" s="6">
        <f>首页!$B$9*0.0000000567*((C993^4-D993^4)/(C993-D993))</f>
        <v>7.7687338005019564</v>
      </c>
      <c r="M993" s="6">
        <f>IF(首页!$B$13="自然对流",IF(首页!$B$14="立式圆筒",首页!$B$10,PI()*B993/2),PI()*B993/2)</f>
        <v>55.2</v>
      </c>
      <c r="N993" s="7">
        <f>IF(首页!$B$13="强制对流",首页!$B$11*M993/H993,0)</f>
        <v>0</v>
      </c>
      <c r="O993" s="6">
        <f>IF(首页!$B$13="自然对流",IF(首页!$B$14="立式圆筒",(0.825+0.3063*I993^(1/6))^2+0.87*(M993/B993),(0.752+0.303*I993^(1/6))^2),0.3+SQRT((0.592*N993^0.5)^2+(0.0262*N993^0.8/(1-0.5/N993^0.1))^2))</f>
        <v>10042.119716675357</v>
      </c>
      <c r="P993" s="6">
        <f t="shared" si="140"/>
        <v>2.9510194925512497E-2</v>
      </c>
      <c r="Q993" s="6">
        <f t="shared" si="141"/>
        <v>5.3685672156598203</v>
      </c>
      <c r="R993" s="6">
        <f t="shared" si="142"/>
        <v>13.137301016161777</v>
      </c>
      <c r="S993" s="6">
        <f>B993*LN(B993/首页!$B$4)</f>
        <v>5.9951768583730276</v>
      </c>
      <c r="T993" s="6">
        <f>2*首页!$B$8*(E993-C993)/(R993*(C993-D993))</f>
        <v>7.1031172505589407E-2</v>
      </c>
      <c r="U993" t="str">
        <f>IF(首页!$B$13="自然对流","按自然对流公式", "按强制对流公式")</f>
        <v>按自然对流公式</v>
      </c>
      <c r="V993" s="6">
        <f t="shared" si="143"/>
        <v>5.9241456858674386</v>
      </c>
    </row>
    <row r="994" spans="1:22" x14ac:dyDescent="0.15">
      <c r="A994">
        <v>989</v>
      </c>
      <c r="B994" s="6">
        <f>首页!$B$4+2*A994/1000</f>
        <v>2.0979999999999999</v>
      </c>
      <c r="C994" s="6">
        <f>首页!$B$7+273.15</f>
        <v>388.15</v>
      </c>
      <c r="D994" s="6">
        <f>首页!$B$6+273.15</f>
        <v>293.14999999999998</v>
      </c>
      <c r="E994" s="6">
        <f>首页!$B$5+273.15</f>
        <v>1373.15</v>
      </c>
      <c r="F994" s="6">
        <f t="shared" si="135"/>
        <v>95</v>
      </c>
      <c r="G994" s="6">
        <f t="shared" si="136"/>
        <v>340.65</v>
      </c>
      <c r="H994" s="6">
        <f t="shared" si="137"/>
        <v>1.9926207055139041E-5</v>
      </c>
      <c r="I994" s="7">
        <f t="shared" si="138"/>
        <v>1158916576932337.8</v>
      </c>
      <c r="J994" s="6">
        <f t="shared" si="139"/>
        <v>1.0226038455893147</v>
      </c>
      <c r="K994" s="7">
        <f>J994*H994*首页!$B$12/P994</f>
        <v>0.69532757496605813</v>
      </c>
      <c r="L994" s="6">
        <f>首页!$B$9*0.0000000567*((C994^4-D994^4)/(C994-D994))</f>
        <v>7.7687338005019564</v>
      </c>
      <c r="M994" s="6">
        <f>IF(首页!$B$13="自然对流",IF(首页!$B$14="立式圆筒",首页!$B$10,PI()*B994/2),PI()*B994/2)</f>
        <v>55.2</v>
      </c>
      <c r="N994" s="7">
        <f>IF(首页!$B$13="强制对流",首页!$B$11*M994/H994,0)</f>
        <v>0</v>
      </c>
      <c r="O994" s="6">
        <f>IF(首页!$B$13="自然对流",IF(首页!$B$14="立式圆筒",(0.825+0.3063*I994^(1/6))^2+0.87*(M994/B994),(0.752+0.303*I994^(1/6))^2),0.3+SQRT((0.592*N994^0.5)^2+(0.0262*N994^0.8/(1-0.5/N994^0.1))^2))</f>
        <v>10042.09787471755</v>
      </c>
      <c r="P994" s="6">
        <f t="shared" si="140"/>
        <v>2.9510194925512497E-2</v>
      </c>
      <c r="Q994" s="6">
        <f t="shared" si="141"/>
        <v>5.3685555388403925</v>
      </c>
      <c r="R994" s="6">
        <f t="shared" si="142"/>
        <v>13.137289339342349</v>
      </c>
      <c r="S994" s="6">
        <f>B994*LN(B994/首页!$B$4)</f>
        <v>6.0028984008734643</v>
      </c>
      <c r="T994" s="6">
        <f>2*首页!$B$8*(E994-C994)/(R994*(C994-D994))</f>
        <v>7.103123564024022E-2</v>
      </c>
      <c r="U994" t="str">
        <f>IF(首页!$B$13="自然对流","按自然对流公式", "按强制对流公式")</f>
        <v>按自然对流公式</v>
      </c>
      <c r="V994" s="6">
        <f t="shared" si="143"/>
        <v>5.931867165233224</v>
      </c>
    </row>
    <row r="995" spans="1:22" x14ac:dyDescent="0.15">
      <c r="A995">
        <v>990</v>
      </c>
      <c r="B995" s="6">
        <f>首页!$B$4+2*A995/1000</f>
        <v>2.1</v>
      </c>
      <c r="C995" s="6">
        <f>首页!$B$7+273.15</f>
        <v>388.15</v>
      </c>
      <c r="D995" s="6">
        <f>首页!$B$6+273.15</f>
        <v>293.14999999999998</v>
      </c>
      <c r="E995" s="6">
        <f>首页!$B$5+273.15</f>
        <v>1373.15</v>
      </c>
      <c r="F995" s="6">
        <f t="shared" si="135"/>
        <v>95</v>
      </c>
      <c r="G995" s="6">
        <f t="shared" si="136"/>
        <v>340.65</v>
      </c>
      <c r="H995" s="6">
        <f t="shared" si="137"/>
        <v>1.9926207055139041E-5</v>
      </c>
      <c r="I995" s="7">
        <f t="shared" si="138"/>
        <v>1158916576932337.8</v>
      </c>
      <c r="J995" s="6">
        <f t="shared" si="139"/>
        <v>1.0226038455893147</v>
      </c>
      <c r="K995" s="7">
        <f>J995*H995*首页!$B$12/P995</f>
        <v>0.69532757496605813</v>
      </c>
      <c r="L995" s="6">
        <f>首页!$B$9*0.0000000567*((C995^4-D995^4)/(C995-D995))</f>
        <v>7.7687338005019564</v>
      </c>
      <c r="M995" s="6">
        <f>IF(首页!$B$13="自然对流",IF(首页!$B$14="立式圆筒",首页!$B$10,PI()*B995/2),PI()*B995/2)</f>
        <v>55.2</v>
      </c>
      <c r="N995" s="7">
        <f>IF(首页!$B$13="强制对流",首页!$B$11*M995/H995,0)</f>
        <v>0</v>
      </c>
      <c r="O995" s="6">
        <f>IF(首页!$B$13="自然对流",IF(首页!$B$14="立式圆筒",(0.825+0.3063*I995^(1/6))^2+0.87*(M995/B995),(0.752+0.303*I995^(1/6))^2),0.3+SQRT((0.592*N995^0.5)^2+(0.0262*N995^0.8/(1-0.5/N995^0.1))^2))</f>
        <v>10042.076074363471</v>
      </c>
      <c r="P995" s="6">
        <f t="shared" si="140"/>
        <v>2.9510194925512497E-2</v>
      </c>
      <c r="Q995" s="6">
        <f t="shared" si="141"/>
        <v>5.3685438842625235</v>
      </c>
      <c r="R995" s="6">
        <f t="shared" si="142"/>
        <v>13.137277684764481</v>
      </c>
      <c r="S995" s="6">
        <f>B995*LN(B995/首页!$B$4)</f>
        <v>6.0106218499518844</v>
      </c>
      <c r="T995" s="6">
        <f>2*首页!$B$8*(E995-C995)/(R995*(C995-D995))</f>
        <v>7.1031298654746472E-2</v>
      </c>
      <c r="U995" t="str">
        <f>IF(首页!$B$13="自然对流","按自然对流公式", "按强制对流公式")</f>
        <v>按自然对流公式</v>
      </c>
      <c r="V995" s="6">
        <f t="shared" si="143"/>
        <v>5.9395905512971376</v>
      </c>
    </row>
    <row r="996" spans="1:22" x14ac:dyDescent="0.15">
      <c r="A996">
        <v>991</v>
      </c>
      <c r="B996" s="6">
        <f>首页!$B$4+2*A996/1000</f>
        <v>2.1019999999999999</v>
      </c>
      <c r="C996" s="6">
        <f>首页!$B$7+273.15</f>
        <v>388.15</v>
      </c>
      <c r="D996" s="6">
        <f>首页!$B$6+273.15</f>
        <v>293.14999999999998</v>
      </c>
      <c r="E996" s="6">
        <f>首页!$B$5+273.15</f>
        <v>1373.15</v>
      </c>
      <c r="F996" s="6">
        <f t="shared" si="135"/>
        <v>95</v>
      </c>
      <c r="G996" s="6">
        <f t="shared" si="136"/>
        <v>340.65</v>
      </c>
      <c r="H996" s="6">
        <f t="shared" si="137"/>
        <v>1.9926207055139041E-5</v>
      </c>
      <c r="I996" s="7">
        <f t="shared" si="138"/>
        <v>1158916576932337.8</v>
      </c>
      <c r="J996" s="6">
        <f t="shared" si="139"/>
        <v>1.0226038455893147</v>
      </c>
      <c r="K996" s="7">
        <f>J996*H996*首页!$B$12/P996</f>
        <v>0.69532757496605813</v>
      </c>
      <c r="L996" s="6">
        <f>首页!$B$9*0.0000000567*((C996^4-D996^4)/(C996-D996))</f>
        <v>7.7687338005019564</v>
      </c>
      <c r="M996" s="6">
        <f>IF(首页!$B$13="自然对流",IF(首页!$B$14="立式圆筒",首页!$B$10,PI()*B996/2),PI()*B996/2)</f>
        <v>55.2</v>
      </c>
      <c r="N996" s="7">
        <f>IF(首页!$B$13="强制对流",首页!$B$11*M996/H996,0)</f>
        <v>0</v>
      </c>
      <c r="O996" s="6">
        <f>IF(首页!$B$13="自然对流",IF(首页!$B$14="立式圆筒",(0.825+0.3063*I996^(1/6))^2+0.87*(M996/B996),(0.752+0.303*I996^(1/6))^2),0.3+SQRT((0.592*N996^0.5)^2+(0.0262*N996^0.8/(1-0.5/N996^0.1))^2))</f>
        <v>10042.054315494366</v>
      </c>
      <c r="P996" s="6">
        <f t="shared" si="140"/>
        <v>2.9510194925512497E-2</v>
      </c>
      <c r="Q996" s="6">
        <f t="shared" si="141"/>
        <v>5.3685322518627299</v>
      </c>
      <c r="R996" s="6">
        <f t="shared" si="142"/>
        <v>13.137266052364687</v>
      </c>
      <c r="S996" s="6">
        <f>B996*LN(B996/首页!$B$4)</f>
        <v>6.0183472037924952</v>
      </c>
      <c r="T996" s="6">
        <f>2*首页!$B$8*(E996-C996)/(R996*(C996-D996))</f>
        <v>7.1031361549450792E-2</v>
      </c>
      <c r="U996" t="str">
        <f>IF(首页!$B$13="自然对流","按自然对流公式", "按强制对流公式")</f>
        <v>按自然对流公式</v>
      </c>
      <c r="V996" s="6">
        <f t="shared" si="143"/>
        <v>5.9473158422430448</v>
      </c>
    </row>
    <row r="997" spans="1:22" x14ac:dyDescent="0.15">
      <c r="A997">
        <v>992</v>
      </c>
      <c r="B997" s="6">
        <f>首页!$B$4+2*A997/1000</f>
        <v>2.1040000000000001</v>
      </c>
      <c r="C997" s="6">
        <f>首页!$B$7+273.15</f>
        <v>388.15</v>
      </c>
      <c r="D997" s="6">
        <f>首页!$B$6+273.15</f>
        <v>293.14999999999998</v>
      </c>
      <c r="E997" s="6">
        <f>首页!$B$5+273.15</f>
        <v>1373.15</v>
      </c>
      <c r="F997" s="6">
        <f t="shared" si="135"/>
        <v>95</v>
      </c>
      <c r="G997" s="6">
        <f t="shared" si="136"/>
        <v>340.65</v>
      </c>
      <c r="H997" s="6">
        <f t="shared" si="137"/>
        <v>1.9926207055139041E-5</v>
      </c>
      <c r="I997" s="7">
        <f t="shared" si="138"/>
        <v>1158916576932337.8</v>
      </c>
      <c r="J997" s="6">
        <f t="shared" si="139"/>
        <v>1.0226038455893147</v>
      </c>
      <c r="K997" s="7">
        <f>J997*H997*首页!$B$12/P997</f>
        <v>0.69532757496605813</v>
      </c>
      <c r="L997" s="6">
        <f>首页!$B$9*0.0000000567*((C997^4-D997^4)/(C997-D997))</f>
        <v>7.7687338005019564</v>
      </c>
      <c r="M997" s="6">
        <f>IF(首页!$B$13="自然对流",IF(首页!$B$14="立式圆筒",首页!$B$10,PI()*B997/2),PI()*B997/2)</f>
        <v>55.2</v>
      </c>
      <c r="N997" s="7">
        <f>IF(首页!$B$13="强制对流",首页!$B$11*M997/H997,0)</f>
        <v>0</v>
      </c>
      <c r="O997" s="6">
        <f>IF(首页!$B$13="自然对流",IF(首页!$B$14="立式圆筒",(0.825+0.3063*I997^(1/6))^2+0.87*(M997/B997),(0.752+0.303*I997^(1/6))^2),0.3+SQRT((0.592*N997^0.5)^2+(0.0262*N997^0.8/(1-0.5/N997^0.1))^2))</f>
        <v>10042.032597991934</v>
      </c>
      <c r="P997" s="6">
        <f t="shared" si="140"/>
        <v>2.9510194925512497E-2</v>
      </c>
      <c r="Q997" s="6">
        <f t="shared" si="141"/>
        <v>5.3685206415777653</v>
      </c>
      <c r="R997" s="6">
        <f t="shared" si="142"/>
        <v>13.137254442079723</v>
      </c>
      <c r="S997" s="6">
        <f>B997*LN(B997/首页!$B$4)</f>
        <v>6.0260744605829677</v>
      </c>
      <c r="T997" s="6">
        <f>2*首页!$B$8*(E997-C997)/(R997*(C997-D997))</f>
        <v>7.1031424324694475E-2</v>
      </c>
      <c r="U997" t="str">
        <f>IF(首页!$B$13="自然对流","按自然对流公式", "按强制对流公式")</f>
        <v>按自然对流公式</v>
      </c>
      <c r="V997" s="6">
        <f t="shared" si="143"/>
        <v>5.9550430362582736</v>
      </c>
    </row>
    <row r="998" spans="1:22" x14ac:dyDescent="0.15">
      <c r="A998">
        <v>993</v>
      </c>
      <c r="B998" s="6">
        <f>首页!$B$4+2*A998/1000</f>
        <v>2.1059999999999999</v>
      </c>
      <c r="C998" s="6">
        <f>首页!$B$7+273.15</f>
        <v>388.15</v>
      </c>
      <c r="D998" s="6">
        <f>首页!$B$6+273.15</f>
        <v>293.14999999999998</v>
      </c>
      <c r="E998" s="6">
        <f>首页!$B$5+273.15</f>
        <v>1373.15</v>
      </c>
      <c r="F998" s="6">
        <f t="shared" si="135"/>
        <v>95</v>
      </c>
      <c r="G998" s="6">
        <f t="shared" si="136"/>
        <v>340.65</v>
      </c>
      <c r="H998" s="6">
        <f t="shared" si="137"/>
        <v>1.9926207055139041E-5</v>
      </c>
      <c r="I998" s="7">
        <f t="shared" si="138"/>
        <v>1158916576932337.8</v>
      </c>
      <c r="J998" s="6">
        <f t="shared" si="139"/>
        <v>1.0226038455893147</v>
      </c>
      <c r="K998" s="7">
        <f>J998*H998*首页!$B$12/P998</f>
        <v>0.69532757496605813</v>
      </c>
      <c r="L998" s="6">
        <f>首页!$B$9*0.0000000567*((C998^4-D998^4)/(C998-D998))</f>
        <v>7.7687338005019564</v>
      </c>
      <c r="M998" s="6">
        <f>IF(首页!$B$13="自然对流",IF(首页!$B$14="立式圆筒",首页!$B$10,PI()*B998/2),PI()*B998/2)</f>
        <v>55.2</v>
      </c>
      <c r="N998" s="7">
        <f>IF(首页!$B$13="强制对流",首页!$B$11*M998/H998,0)</f>
        <v>0</v>
      </c>
      <c r="O998" s="6">
        <f>IF(首页!$B$13="自然对流",IF(首页!$B$14="立式圆筒",(0.825+0.3063*I998^(1/6))^2+0.87*(M998/B998),(0.752+0.303*I998^(1/6))^2),0.3+SQRT((0.592*N998^0.5)^2+(0.0262*N998^0.8/(1-0.5/N998^0.1))^2))</f>
        <v>10042.010921738318</v>
      </c>
      <c r="P998" s="6">
        <f t="shared" si="140"/>
        <v>2.9510194925512497E-2</v>
      </c>
      <c r="Q998" s="6">
        <f t="shared" si="141"/>
        <v>5.3685090533446225</v>
      </c>
      <c r="R998" s="6">
        <f t="shared" si="142"/>
        <v>13.13724285384658</v>
      </c>
      <c r="S998" s="6">
        <f>B998*LN(B998/首页!$B$4)</f>
        <v>6.0338036185144084</v>
      </c>
      <c r="T998" s="6">
        <f>2*首页!$B$8*(E998-C998)/(R998*(C998-D998))</f>
        <v>7.1031486980817585E-2</v>
      </c>
      <c r="U998" t="str">
        <f>IF(首页!$B$13="自然对流","按自然对流公式", "按强制对流公式")</f>
        <v>按自然对流公式</v>
      </c>
      <c r="V998" s="6">
        <f t="shared" si="143"/>
        <v>5.9627721315335904</v>
      </c>
    </row>
    <row r="999" spans="1:22" x14ac:dyDescent="0.15">
      <c r="A999">
        <v>994</v>
      </c>
      <c r="B999" s="6">
        <f>首页!$B$4+2*A999/1000</f>
        <v>2.1080000000000001</v>
      </c>
      <c r="C999" s="6">
        <f>首页!$B$7+273.15</f>
        <v>388.15</v>
      </c>
      <c r="D999" s="6">
        <f>首页!$B$6+273.15</f>
        <v>293.14999999999998</v>
      </c>
      <c r="E999" s="6">
        <f>首页!$B$5+273.15</f>
        <v>1373.15</v>
      </c>
      <c r="F999" s="6">
        <f t="shared" si="135"/>
        <v>95</v>
      </c>
      <c r="G999" s="6">
        <f t="shared" si="136"/>
        <v>340.65</v>
      </c>
      <c r="H999" s="6">
        <f t="shared" si="137"/>
        <v>1.9926207055139041E-5</v>
      </c>
      <c r="I999" s="7">
        <f t="shared" si="138"/>
        <v>1158916576932337.8</v>
      </c>
      <c r="J999" s="6">
        <f t="shared" si="139"/>
        <v>1.0226038455893147</v>
      </c>
      <c r="K999" s="7">
        <f>J999*H999*首页!$B$12/P999</f>
        <v>0.69532757496605813</v>
      </c>
      <c r="L999" s="6">
        <f>首页!$B$9*0.0000000567*((C999^4-D999^4)/(C999-D999))</f>
        <v>7.7687338005019564</v>
      </c>
      <c r="M999" s="6">
        <f>IF(首页!$B$13="自然对流",IF(首页!$B$14="立式圆筒",首页!$B$10,PI()*B999/2),PI()*B999/2)</f>
        <v>55.2</v>
      </c>
      <c r="N999" s="7">
        <f>IF(首页!$B$13="强制对流",首页!$B$11*M999/H999,0)</f>
        <v>0</v>
      </c>
      <c r="O999" s="6">
        <f>IF(首页!$B$13="自然对流",IF(首页!$B$14="立式圆筒",(0.825+0.3063*I999^(1/6))^2+0.87*(M999/B999),(0.752+0.303*I999^(1/6))^2),0.3+SQRT((0.592*N999^0.5)^2+(0.0262*N999^0.8/(1-0.5/N999^0.1))^2))</f>
        <v>10041.989286616114</v>
      </c>
      <c r="P999" s="6">
        <f t="shared" si="140"/>
        <v>2.9510194925512497E-2</v>
      </c>
      <c r="Q999" s="6">
        <f t="shared" si="141"/>
        <v>5.3684974871005373</v>
      </c>
      <c r="R999" s="6">
        <f t="shared" si="142"/>
        <v>13.137231287602493</v>
      </c>
      <c r="S999" s="6">
        <f>B999*LN(B999/首页!$B$4)</f>
        <v>6.0415346757813682</v>
      </c>
      <c r="T999" s="6">
        <f>2*首页!$B$8*(E999-C999)/(R999*(C999-D999))</f>
        <v>7.1031549518158849E-2</v>
      </c>
      <c r="U999" t="str">
        <f>IF(首页!$B$13="自然对流","按自然对流公式", "按强制对流公式")</f>
        <v>按自然对流公式</v>
      </c>
      <c r="V999" s="6">
        <f t="shared" si="143"/>
        <v>5.9705031262632096</v>
      </c>
    </row>
    <row r="1000" spans="1:22" x14ac:dyDescent="0.15">
      <c r="A1000">
        <v>995</v>
      </c>
      <c r="B1000" s="6">
        <f>首页!$B$4+2*A1000/1000</f>
        <v>2.11</v>
      </c>
      <c r="C1000" s="6">
        <f>首页!$B$7+273.15</f>
        <v>388.15</v>
      </c>
      <c r="D1000" s="6">
        <f>首页!$B$6+273.15</f>
        <v>293.14999999999998</v>
      </c>
      <c r="E1000" s="6">
        <f>首页!$B$5+273.15</f>
        <v>1373.15</v>
      </c>
      <c r="F1000" s="6">
        <f t="shared" si="135"/>
        <v>95</v>
      </c>
      <c r="G1000" s="6">
        <f t="shared" si="136"/>
        <v>340.65</v>
      </c>
      <c r="H1000" s="6">
        <f t="shared" si="137"/>
        <v>1.9926207055139041E-5</v>
      </c>
      <c r="I1000" s="7">
        <f t="shared" si="138"/>
        <v>1158916576932337.8</v>
      </c>
      <c r="J1000" s="6">
        <f t="shared" si="139"/>
        <v>1.0226038455893147</v>
      </c>
      <c r="K1000" s="7">
        <f>J1000*H1000*首页!$B$12/P1000</f>
        <v>0.69532757496605813</v>
      </c>
      <c r="L1000" s="6">
        <f>首页!$B$9*0.0000000567*((C1000^4-D1000^4)/(C1000-D1000))</f>
        <v>7.7687338005019564</v>
      </c>
      <c r="M1000" s="6">
        <f>IF(首页!$B$13="自然对流",IF(首页!$B$14="立式圆筒",首页!$B$10,PI()*B1000/2),PI()*B1000/2)</f>
        <v>55.2</v>
      </c>
      <c r="N1000" s="7">
        <f>IF(首页!$B$13="强制对流",首页!$B$11*M1000/H1000,0)</f>
        <v>0</v>
      </c>
      <c r="O1000" s="6">
        <f>IF(首页!$B$13="自然对流",IF(首页!$B$14="立式圆筒",(0.825+0.3063*I1000^(1/6))^2+0.87*(M1000/B1000),(0.752+0.303*I1000^(1/6))^2),0.3+SQRT((0.592*N1000^0.5)^2+(0.0262*N1000^0.8/(1-0.5/N1000^0.1))^2))</f>
        <v>10041.96769250836</v>
      </c>
      <c r="P1000" s="6">
        <f t="shared" si="140"/>
        <v>2.9510194925512497E-2</v>
      </c>
      <c r="Q1000" s="6">
        <f t="shared" si="141"/>
        <v>5.368485942782983</v>
      </c>
      <c r="R1000" s="6">
        <f t="shared" si="142"/>
        <v>13.137219743284939</v>
      </c>
      <c r="S1000" s="6">
        <f>B1000*LN(B1000/首页!$B$4)</f>
        <v>6.0492676305818192</v>
      </c>
      <c r="T1000" s="6">
        <f>2*首页!$B$8*(E1000-C1000)/(R1000*(C1000-D1000))</f>
        <v>7.1031611937055691E-2</v>
      </c>
      <c r="U1000" t="str">
        <f>IF(首页!$B$13="自然对流","按自然对流公式", "按强制对流公式")</f>
        <v>按自然对流公式</v>
      </c>
      <c r="V1000" s="6">
        <f t="shared" si="143"/>
        <v>5.9782360186447638</v>
      </c>
    </row>
    <row r="1001" spans="1:22" x14ac:dyDescent="0.15">
      <c r="A1001">
        <v>996</v>
      </c>
      <c r="B1001" s="6">
        <f>首页!$B$4+2*A1001/1000</f>
        <v>2.1120000000000001</v>
      </c>
      <c r="C1001" s="6">
        <f>首页!$B$7+273.15</f>
        <v>388.15</v>
      </c>
      <c r="D1001" s="6">
        <f>首页!$B$6+273.15</f>
        <v>293.14999999999998</v>
      </c>
      <c r="E1001" s="6">
        <f>首页!$B$5+273.15</f>
        <v>1373.15</v>
      </c>
      <c r="F1001" s="6">
        <f t="shared" si="135"/>
        <v>95</v>
      </c>
      <c r="G1001" s="6">
        <f t="shared" si="136"/>
        <v>340.65</v>
      </c>
      <c r="H1001" s="6">
        <f t="shared" si="137"/>
        <v>1.9926207055139041E-5</v>
      </c>
      <c r="I1001" s="7">
        <f t="shared" si="138"/>
        <v>1158916576932337.8</v>
      </c>
      <c r="J1001" s="6">
        <f t="shared" si="139"/>
        <v>1.0226038455893147</v>
      </c>
      <c r="K1001" s="7">
        <f>J1001*H1001*首页!$B$12/P1001</f>
        <v>0.69532757496605813</v>
      </c>
      <c r="L1001" s="6">
        <f>首页!$B$9*0.0000000567*((C1001^4-D1001^4)/(C1001-D1001))</f>
        <v>7.7687338005019564</v>
      </c>
      <c r="M1001" s="6">
        <f>IF(首页!$B$13="自然对流",IF(首页!$B$14="立式圆筒",首页!$B$10,PI()*B1001/2),PI()*B1001/2)</f>
        <v>55.2</v>
      </c>
      <c r="N1001" s="7">
        <f>IF(首页!$B$13="强制对流",首页!$B$11*M1001/H1001,0)</f>
        <v>0</v>
      </c>
      <c r="O1001" s="6">
        <f>IF(首页!$B$13="自然对流",IF(首页!$B$14="立式圆筒",(0.825+0.3063*I1001^(1/6))^2+0.87*(M1001/B1001),(0.752+0.303*I1001^(1/6))^2),0.3+SQRT((0.592*N1001^0.5)^2+(0.0262*N1001^0.8/(1-0.5/N1001^0.1))^2))</f>
        <v>10041.946139298536</v>
      </c>
      <c r="P1001" s="6">
        <f t="shared" si="140"/>
        <v>2.9510194925512497E-2</v>
      </c>
      <c r="Q1001" s="6">
        <f t="shared" si="141"/>
        <v>5.3684744203296635</v>
      </c>
      <c r="R1001" s="6">
        <f t="shared" si="142"/>
        <v>13.137208220831621</v>
      </c>
      <c r="S1001" s="6">
        <f>B1001*LN(B1001/首页!$B$4)</f>
        <v>6.057002481117153</v>
      </c>
      <c r="T1001" s="6">
        <f>2*首页!$B$8*(E1001-C1001)/(R1001*(C1001-D1001))</f>
        <v>7.1031674237844331E-2</v>
      </c>
      <c r="U1001" t="str">
        <f>IF(首页!$B$13="自然对流","按自然对流公式", "按强制对流公式")</f>
        <v>按自然对流公式</v>
      </c>
      <c r="V1001" s="6">
        <f t="shared" si="143"/>
        <v>5.9859708068793083</v>
      </c>
    </row>
    <row r="1002" spans="1:22" x14ac:dyDescent="0.15">
      <c r="A1002">
        <v>997</v>
      </c>
      <c r="B1002" s="6">
        <f>首页!$B$4+2*A1002/1000</f>
        <v>2.1139999999999999</v>
      </c>
      <c r="C1002" s="6">
        <f>首页!$B$7+273.15</f>
        <v>388.15</v>
      </c>
      <c r="D1002" s="6">
        <f>首页!$B$6+273.15</f>
        <v>293.14999999999998</v>
      </c>
      <c r="E1002" s="6">
        <f>首页!$B$5+273.15</f>
        <v>1373.15</v>
      </c>
      <c r="F1002" s="6">
        <f t="shared" si="135"/>
        <v>95</v>
      </c>
      <c r="G1002" s="6">
        <f t="shared" si="136"/>
        <v>340.65</v>
      </c>
      <c r="H1002" s="6">
        <f t="shared" si="137"/>
        <v>1.9926207055139041E-5</v>
      </c>
      <c r="I1002" s="7">
        <f t="shared" si="138"/>
        <v>1158916576932337.8</v>
      </c>
      <c r="J1002" s="6">
        <f t="shared" si="139"/>
        <v>1.0226038455893147</v>
      </c>
      <c r="K1002" s="7">
        <f>J1002*H1002*首页!$B$12/P1002</f>
        <v>0.69532757496605813</v>
      </c>
      <c r="L1002" s="6">
        <f>首页!$B$9*0.0000000567*((C1002^4-D1002^4)/(C1002-D1002))</f>
        <v>7.7687338005019564</v>
      </c>
      <c r="M1002" s="6">
        <f>IF(首页!$B$13="自然对流",IF(首页!$B$14="立式圆筒",首页!$B$10,PI()*B1002/2),PI()*B1002/2)</f>
        <v>55.2</v>
      </c>
      <c r="N1002" s="7">
        <f>IF(首页!$B$13="强制对流",首页!$B$11*M1002/H1002,0)</f>
        <v>0</v>
      </c>
      <c r="O1002" s="6">
        <f>IF(首页!$B$13="自然对流",IF(首页!$B$14="立式圆筒",(0.825+0.3063*I1002^(1/6))^2+0.87*(M1002/B1002),(0.752+0.303*I1002^(1/6))^2),0.3+SQRT((0.592*N1002^0.5)^2+(0.0262*N1002^0.8/(1-0.5/N1002^0.1))^2))</f>
        <v>10041.924626870566</v>
      </c>
      <c r="P1002" s="6">
        <f t="shared" si="140"/>
        <v>2.9510194925512497E-2</v>
      </c>
      <c r="Q1002" s="6">
        <f t="shared" si="141"/>
        <v>5.368462919678529</v>
      </c>
      <c r="R1002" s="6">
        <f t="shared" si="142"/>
        <v>13.137196720180485</v>
      </c>
      <c r="S1002" s="6">
        <f>B1002*LN(B1002/首页!$B$4)</f>
        <v>6.0647392255921613</v>
      </c>
      <c r="T1002" s="6">
        <f>2*首页!$B$8*(E1002-C1002)/(R1002*(C1002-D1002))</f>
        <v>7.1031736420859651E-2</v>
      </c>
      <c r="U1002" t="str">
        <f>IF(首页!$B$13="自然对流","按自然对流公式", "按强制对流公式")</f>
        <v>按自然对流公式</v>
      </c>
      <c r="V1002" s="6">
        <f t="shared" si="143"/>
        <v>5.9937074891713014</v>
      </c>
    </row>
    <row r="1003" spans="1:22" x14ac:dyDescent="0.15">
      <c r="A1003">
        <v>998</v>
      </c>
      <c r="B1003" s="6">
        <f>首页!$B$4+2*A1003/1000</f>
        <v>2.1160000000000001</v>
      </c>
      <c r="C1003" s="6">
        <f>首页!$B$7+273.15</f>
        <v>388.15</v>
      </c>
      <c r="D1003" s="6">
        <f>首页!$B$6+273.15</f>
        <v>293.14999999999998</v>
      </c>
      <c r="E1003" s="6">
        <f>首页!$B$5+273.15</f>
        <v>1373.15</v>
      </c>
      <c r="F1003" s="6">
        <f t="shared" si="135"/>
        <v>95</v>
      </c>
      <c r="G1003" s="6">
        <f t="shared" si="136"/>
        <v>340.65</v>
      </c>
      <c r="H1003" s="6">
        <f t="shared" si="137"/>
        <v>1.9926207055139041E-5</v>
      </c>
      <c r="I1003" s="7">
        <f t="shared" si="138"/>
        <v>1158916576932337.8</v>
      </c>
      <c r="J1003" s="6">
        <f t="shared" si="139"/>
        <v>1.0226038455893147</v>
      </c>
      <c r="K1003" s="7">
        <f>J1003*H1003*首页!$B$12/P1003</f>
        <v>0.69532757496605813</v>
      </c>
      <c r="L1003" s="6">
        <f>首页!$B$9*0.0000000567*((C1003^4-D1003^4)/(C1003-D1003))</f>
        <v>7.7687338005019564</v>
      </c>
      <c r="M1003" s="6">
        <f>IF(首页!$B$13="自然对流",IF(首页!$B$14="立式圆筒",首页!$B$10,PI()*B1003/2),PI()*B1003/2)</f>
        <v>55.2</v>
      </c>
      <c r="N1003" s="7">
        <f>IF(首页!$B$13="强制对流",首页!$B$11*M1003/H1003,0)</f>
        <v>0</v>
      </c>
      <c r="O1003" s="6">
        <f>IF(首页!$B$13="自然对流",IF(首页!$B$14="立式圆筒",(0.825+0.3063*I1003^(1/6))^2+0.87*(M1003/B1003),(0.752+0.303*I1003^(1/6))^2),0.3+SQRT((0.592*N1003^0.5)^2+(0.0262*N1003^0.8/(1-0.5/N1003^0.1))^2))</f>
        <v>10041.903155108814</v>
      </c>
      <c r="P1003" s="6">
        <f t="shared" si="140"/>
        <v>2.9510194925512497E-2</v>
      </c>
      <c r="Q1003" s="6">
        <f t="shared" si="141"/>
        <v>5.3684514407677542</v>
      </c>
      <c r="R1003" s="6">
        <f t="shared" si="142"/>
        <v>13.137185241269711</v>
      </c>
      <c r="S1003" s="6">
        <f>B1003*LN(B1003/首页!$B$4)</f>
        <v>6.0724778622150417</v>
      </c>
      <c r="T1003" s="6">
        <f>2*首页!$B$8*(E1003-C1003)/(R1003*(C1003-D1003))</f>
        <v>7.1031798486435316E-2</v>
      </c>
      <c r="U1003" t="str">
        <f>IF(首页!$B$13="自然对流","按自然对流公式", "按强制对流公式")</f>
        <v>按自然对流公式</v>
      </c>
      <c r="V1003" s="6">
        <f t="shared" si="143"/>
        <v>6.001446063728606</v>
      </c>
    </row>
    <row r="1004" spans="1:22" x14ac:dyDescent="0.15">
      <c r="A1004">
        <v>999</v>
      </c>
      <c r="B1004" s="6">
        <f>首页!$B$4+2*A1004/1000</f>
        <v>2.1179999999999999</v>
      </c>
      <c r="C1004" s="6">
        <f>首页!$B$7+273.15</f>
        <v>388.15</v>
      </c>
      <c r="D1004" s="6">
        <f>首页!$B$6+273.15</f>
        <v>293.14999999999998</v>
      </c>
      <c r="E1004" s="6">
        <f>首页!$B$5+273.15</f>
        <v>1373.15</v>
      </c>
      <c r="F1004" s="6">
        <f t="shared" si="135"/>
        <v>95</v>
      </c>
      <c r="G1004" s="6">
        <f t="shared" si="136"/>
        <v>340.65</v>
      </c>
      <c r="H1004" s="6">
        <f t="shared" si="137"/>
        <v>1.9926207055139041E-5</v>
      </c>
      <c r="I1004" s="7">
        <f t="shared" si="138"/>
        <v>1158916576932337.8</v>
      </c>
      <c r="J1004" s="6">
        <f t="shared" si="139"/>
        <v>1.0226038455893147</v>
      </c>
      <c r="K1004" s="7">
        <f>J1004*H1004*首页!$B$12/P1004</f>
        <v>0.69532757496605813</v>
      </c>
      <c r="L1004" s="6">
        <f>首页!$B$9*0.0000000567*((C1004^4-D1004^4)/(C1004-D1004))</f>
        <v>7.7687338005019564</v>
      </c>
      <c r="M1004" s="6">
        <f>IF(首页!$B$13="自然对流",IF(首页!$B$14="立式圆筒",首页!$B$10,PI()*B1004/2),PI()*B1004/2)</f>
        <v>55.2</v>
      </c>
      <c r="N1004" s="7">
        <f>IF(首页!$B$13="强制对流",首页!$B$11*M1004/H1004,0)</f>
        <v>0</v>
      </c>
      <c r="O1004" s="6">
        <f>IF(首页!$B$13="自然对流",IF(首页!$B$14="立式圆筒",(0.825+0.3063*I1004^(1/6))^2+0.87*(M1004/B1004),(0.752+0.303*I1004^(1/6))^2),0.3+SQRT((0.592*N1004^0.5)^2+(0.0262*N1004^0.8/(1-0.5/N1004^0.1))^2))</f>
        <v>10041.881723898072</v>
      </c>
      <c r="P1004" s="6">
        <f t="shared" si="140"/>
        <v>2.9510194925512497E-2</v>
      </c>
      <c r="Q1004" s="6">
        <f t="shared" si="141"/>
        <v>5.3684399835357528</v>
      </c>
      <c r="R1004" s="6">
        <f t="shared" si="142"/>
        <v>13.13717378403771</v>
      </c>
      <c r="S1004" s="6">
        <f>B1004*LN(B1004/首页!$B$4)</f>
        <v>6.0802183891973689</v>
      </c>
      <c r="T1004" s="6">
        <f>2*首页!$B$8*(E1004-C1004)/(R1004*(C1004-D1004))</f>
        <v>7.1031860434903685E-2</v>
      </c>
      <c r="U1004" t="str">
        <f>IF(首页!$B$13="自然对流","按自然对流公式", "按强制对流公式")</f>
        <v>按自然对流公式</v>
      </c>
      <c r="V1004" s="6">
        <f t="shared" si="143"/>
        <v>6.0091865287624655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pane ySplit="3" topLeftCell="A4" activePane="bottomLeft" state="frozen"/>
      <selection pane="bottomLeft"/>
    </sheetView>
  </sheetViews>
  <sheetFormatPr defaultRowHeight="13.5" x14ac:dyDescent="0.15"/>
  <cols>
    <col min="1" max="1" width="28" customWidth="1"/>
    <col min="2" max="2" width="20" customWidth="1"/>
    <col min="3" max="4" width="16" customWidth="1"/>
    <col min="5" max="5" width="26" customWidth="1"/>
    <col min="6" max="6" width="24" customWidth="1"/>
    <col min="7" max="10" width="16" customWidth="1"/>
    <col min="11" max="11" width="14" customWidth="1"/>
    <col min="12" max="13" width="16" customWidth="1"/>
    <col min="14" max="14" width="14" customWidth="1"/>
    <col min="15" max="15" width="16" customWidth="1"/>
    <col min="16" max="16" width="18" customWidth="1"/>
    <col min="17" max="18" width="16" customWidth="1"/>
    <col min="19" max="21" width="18" customWidth="1"/>
    <col min="22" max="22" width="14" customWidth="1"/>
  </cols>
  <sheetData>
    <row r="1" spans="1:5" x14ac:dyDescent="0.15">
      <c r="A1" s="12" t="s">
        <v>75</v>
      </c>
      <c r="B1" s="10"/>
      <c r="C1" s="10"/>
      <c r="D1" s="10"/>
      <c r="E1" s="11"/>
    </row>
    <row r="3" spans="1:5" x14ac:dyDescent="0.15">
      <c r="A3" s="1" t="s">
        <v>76</v>
      </c>
      <c r="B3" s="1" t="s">
        <v>77</v>
      </c>
      <c r="C3" s="1" t="s">
        <v>78</v>
      </c>
      <c r="D3" s="1" t="s">
        <v>79</v>
      </c>
      <c r="E3" s="1" t="s">
        <v>80</v>
      </c>
    </row>
    <row r="4" spans="1:5" ht="40.5" x14ac:dyDescent="0.15">
      <c r="A4" s="8" t="s">
        <v>81</v>
      </c>
      <c r="B4" s="8" t="s">
        <v>82</v>
      </c>
      <c r="C4" s="8" t="s">
        <v>83</v>
      </c>
      <c r="D4" s="8" t="s">
        <v>84</v>
      </c>
      <c r="E4" s="8" t="s">
        <v>85</v>
      </c>
    </row>
    <row r="5" spans="1:5" x14ac:dyDescent="0.15">
      <c r="A5" s="8" t="s">
        <v>86</v>
      </c>
      <c r="B5" s="8" t="s">
        <v>87</v>
      </c>
      <c r="C5" s="8" t="s">
        <v>88</v>
      </c>
      <c r="D5" s="8" t="s">
        <v>89</v>
      </c>
      <c r="E5" s="8" t="s">
        <v>90</v>
      </c>
    </row>
    <row r="6" spans="1:5" x14ac:dyDescent="0.15">
      <c r="A6" s="8" t="s">
        <v>91</v>
      </c>
      <c r="B6" s="8" t="s">
        <v>92</v>
      </c>
      <c r="C6" s="8" t="s">
        <v>93</v>
      </c>
      <c r="D6" s="8" t="s">
        <v>94</v>
      </c>
      <c r="E6" s="8" t="s">
        <v>95</v>
      </c>
    </row>
    <row r="7" spans="1:5" ht="40.5" x14ac:dyDescent="0.15">
      <c r="A7" s="8" t="s">
        <v>96</v>
      </c>
      <c r="B7" s="8" t="s">
        <v>97</v>
      </c>
      <c r="C7" s="8" t="s">
        <v>98</v>
      </c>
      <c r="D7" s="8" t="s">
        <v>99</v>
      </c>
      <c r="E7" s="8" t="s">
        <v>100</v>
      </c>
    </row>
    <row r="8" spans="1:5" x14ac:dyDescent="0.15">
      <c r="A8" s="8" t="s">
        <v>101</v>
      </c>
      <c r="B8" s="8" t="s">
        <v>102</v>
      </c>
      <c r="C8" s="8" t="s">
        <v>103</v>
      </c>
      <c r="D8" s="8" t="s">
        <v>104</v>
      </c>
      <c r="E8" s="8" t="s">
        <v>105</v>
      </c>
    </row>
    <row r="9" spans="1:5" ht="27" x14ac:dyDescent="0.15">
      <c r="A9" s="8" t="s">
        <v>106</v>
      </c>
      <c r="B9" s="8" t="s">
        <v>107</v>
      </c>
      <c r="C9" s="8" t="s">
        <v>108</v>
      </c>
      <c r="D9" s="8" t="s">
        <v>109</v>
      </c>
      <c r="E9" s="8" t="s">
        <v>30</v>
      </c>
    </row>
    <row r="10" spans="1:5" ht="40.5" x14ac:dyDescent="0.15">
      <c r="A10" s="8" t="s">
        <v>110</v>
      </c>
      <c r="B10" s="8" t="s">
        <v>111</v>
      </c>
      <c r="C10" s="8" t="s">
        <v>112</v>
      </c>
      <c r="D10" s="8" t="s">
        <v>109</v>
      </c>
      <c r="E10" s="8"/>
    </row>
    <row r="11" spans="1:5" x14ac:dyDescent="0.15">
      <c r="A11" s="8" t="s">
        <v>113</v>
      </c>
      <c r="B11" s="8" t="s">
        <v>114</v>
      </c>
      <c r="C11" s="8" t="s">
        <v>115</v>
      </c>
      <c r="D11" s="8" t="s">
        <v>116</v>
      </c>
      <c r="E11" s="8"/>
    </row>
    <row r="12" spans="1:5" ht="67.5" x14ac:dyDescent="0.15">
      <c r="A12" s="8" t="s">
        <v>117</v>
      </c>
      <c r="B12" s="8" t="s">
        <v>118</v>
      </c>
      <c r="C12" s="8" t="s">
        <v>119</v>
      </c>
      <c r="D12" s="8" t="s">
        <v>116</v>
      </c>
      <c r="E12" s="8" t="s">
        <v>120</v>
      </c>
    </row>
    <row r="13" spans="1:5" ht="27" x14ac:dyDescent="0.15">
      <c r="A13" s="8" t="s">
        <v>121</v>
      </c>
      <c r="B13" s="8" t="s">
        <v>122</v>
      </c>
      <c r="C13" s="8" t="s">
        <v>123</v>
      </c>
      <c r="D13" s="8" t="s">
        <v>116</v>
      </c>
      <c r="E13" s="8"/>
    </row>
    <row r="14" spans="1:5" x14ac:dyDescent="0.15">
      <c r="A14" s="8" t="s">
        <v>124</v>
      </c>
      <c r="B14" s="8" t="s">
        <v>125</v>
      </c>
      <c r="C14" s="8" t="s">
        <v>126</v>
      </c>
      <c r="D14" s="8" t="s">
        <v>127</v>
      </c>
      <c r="E14" s="8" t="s">
        <v>128</v>
      </c>
    </row>
    <row r="15" spans="1:5" ht="40.5" x14ac:dyDescent="0.15">
      <c r="A15" s="8" t="s">
        <v>129</v>
      </c>
      <c r="B15" s="8" t="s">
        <v>130</v>
      </c>
      <c r="C15" s="8" t="s">
        <v>131</v>
      </c>
      <c r="D15" s="8" t="s">
        <v>132</v>
      </c>
      <c r="E15" s="8"/>
    </row>
    <row r="16" spans="1:5" ht="27" x14ac:dyDescent="0.15">
      <c r="A16" s="8" t="s">
        <v>133</v>
      </c>
      <c r="B16" s="8" t="s">
        <v>134</v>
      </c>
      <c r="C16" s="8" t="s">
        <v>135</v>
      </c>
      <c r="D16" s="8" t="s">
        <v>132</v>
      </c>
      <c r="E16" s="8"/>
    </row>
    <row r="17" spans="1:5" ht="67.5" x14ac:dyDescent="0.15">
      <c r="A17" s="8" t="s">
        <v>136</v>
      </c>
      <c r="B17" s="8" t="s">
        <v>137</v>
      </c>
      <c r="C17" s="8" t="s">
        <v>138</v>
      </c>
      <c r="D17" s="8" t="s">
        <v>132</v>
      </c>
      <c r="E17" s="8"/>
    </row>
    <row r="19" spans="1:5" ht="40.5" x14ac:dyDescent="0.15">
      <c r="A19" s="8" t="s">
        <v>139</v>
      </c>
      <c r="B19" s="8" t="s">
        <v>140</v>
      </c>
      <c r="C19" s="8" t="s">
        <v>141</v>
      </c>
      <c r="D19" s="8" t="s">
        <v>142</v>
      </c>
      <c r="E19" s="8" t="s">
        <v>143</v>
      </c>
    </row>
    <row r="20" spans="1:5" ht="67.5" x14ac:dyDescent="0.15">
      <c r="A20" s="8" t="s">
        <v>144</v>
      </c>
      <c r="B20" s="8" t="s">
        <v>145</v>
      </c>
      <c r="C20" s="8" t="s">
        <v>146</v>
      </c>
      <c r="D20" s="8" t="s">
        <v>142</v>
      </c>
      <c r="E20" s="8" t="s">
        <v>147</v>
      </c>
    </row>
  </sheetData>
  <mergeCells count="1">
    <mergeCell ref="A1:E1"/>
  </mergeCells>
  <phoneticPr fontId="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4"/>
  <sheetViews>
    <sheetView workbookViewId="0">
      <pane ySplit="4" topLeftCell="A5" activePane="bottomLeft" state="frozen"/>
      <selection pane="bottomLeft"/>
    </sheetView>
  </sheetViews>
  <sheetFormatPr defaultRowHeight="13.5" x14ac:dyDescent="0.15"/>
  <cols>
    <col min="1" max="1" width="28" customWidth="1"/>
    <col min="2" max="2" width="20" customWidth="1"/>
    <col min="3" max="4" width="16" customWidth="1"/>
    <col min="5" max="5" width="26" customWidth="1"/>
    <col min="6" max="6" width="24" customWidth="1"/>
    <col min="7" max="10" width="16" customWidth="1"/>
    <col min="11" max="11" width="14" customWidth="1"/>
    <col min="12" max="13" width="16" customWidth="1"/>
    <col min="14" max="14" width="14" customWidth="1"/>
    <col min="15" max="15" width="16" customWidth="1"/>
    <col min="16" max="16" width="18" customWidth="1"/>
    <col min="17" max="18" width="16" customWidth="1"/>
    <col min="19" max="21" width="18" customWidth="1"/>
    <col min="22" max="22" width="14" customWidth="1"/>
  </cols>
  <sheetData>
    <row r="1" spans="1:25" x14ac:dyDescent="0.15">
      <c r="X1" s="2" t="s">
        <v>42</v>
      </c>
      <c r="Y1" s="3" t="s">
        <v>148</v>
      </c>
    </row>
    <row r="2" spans="1:25" ht="40.5" x14ac:dyDescent="0.15">
      <c r="X2" s="2" t="s">
        <v>149</v>
      </c>
      <c r="Y2" s="3" t="str">
        <f>首页!$B$24</f>
        <v>按单位面积散热损失 qp</v>
      </c>
    </row>
    <row r="3" spans="1:25" x14ac:dyDescent="0.15">
      <c r="X3" s="2" t="s">
        <v>150</v>
      </c>
      <c r="Y3" s="3">
        <f>首页!$B$25</f>
        <v>4901.5109285547478</v>
      </c>
    </row>
    <row r="4" spans="1:25" x14ac:dyDescent="0.15">
      <c r="A4" s="1" t="s">
        <v>53</v>
      </c>
      <c r="B4" s="1" t="s">
        <v>54</v>
      </c>
      <c r="C4" s="1" t="s">
        <v>55</v>
      </c>
      <c r="D4" s="1" t="s">
        <v>56</v>
      </c>
      <c r="E4" s="1" t="s">
        <v>57</v>
      </c>
      <c r="F4" s="1" t="s">
        <v>58</v>
      </c>
      <c r="G4" s="1" t="s">
        <v>59</v>
      </c>
      <c r="H4" s="1" t="s">
        <v>60</v>
      </c>
      <c r="I4" s="1" t="s">
        <v>61</v>
      </c>
      <c r="J4" s="1" t="s">
        <v>62</v>
      </c>
      <c r="K4" s="1" t="s">
        <v>63</v>
      </c>
      <c r="L4" s="1" t="s">
        <v>64</v>
      </c>
      <c r="M4" s="1" t="s">
        <v>65</v>
      </c>
      <c r="N4" s="1" t="s">
        <v>66</v>
      </c>
      <c r="O4" s="1" t="s">
        <v>67</v>
      </c>
      <c r="P4" s="1" t="s">
        <v>68</v>
      </c>
      <c r="Q4" s="1" t="s">
        <v>69</v>
      </c>
      <c r="R4" s="1" t="s">
        <v>70</v>
      </c>
      <c r="S4" s="1" t="s">
        <v>71</v>
      </c>
      <c r="T4" s="1" t="s">
        <v>72</v>
      </c>
      <c r="U4" s="1" t="s">
        <v>73</v>
      </c>
      <c r="V4" s="1" t="s">
        <v>74</v>
      </c>
      <c r="X4" s="2" t="s">
        <v>151</v>
      </c>
      <c r="Y4" s="3">
        <f>首页!$B$26</f>
        <v>4901.5109285547478</v>
      </c>
    </row>
    <row r="5" spans="1:25" x14ac:dyDescent="0.15">
      <c r="A5">
        <v>0</v>
      </c>
      <c r="B5" s="6">
        <f>首页!$B$4+2*A5/1000</f>
        <v>0.12</v>
      </c>
      <c r="C5" s="6">
        <f>首页!$B$7+273.15</f>
        <v>388.15</v>
      </c>
      <c r="D5" s="6">
        <f>首页!$B$6+273.15</f>
        <v>293.14999999999998</v>
      </c>
      <c r="E5" s="6">
        <f>首页!$B$5+273.15</f>
        <v>1373.15</v>
      </c>
      <c r="F5" s="6">
        <f t="shared" ref="F5:F68" si="0">C5-D5</f>
        <v>95</v>
      </c>
      <c r="G5" s="6">
        <f t="shared" ref="G5:G68" si="1">(C5+D5)/2</f>
        <v>340.65</v>
      </c>
      <c r="H5" s="6">
        <f t="shared" ref="H5:H68" si="2">0.0000000042113*G5^2.5/(112+G5)</f>
        <v>1.9926207055139041E-5</v>
      </c>
      <c r="I5" s="7">
        <f t="shared" ref="I5:I68" si="3">9.81*M5^3*F5/(H5^2*G5)</f>
        <v>1158916576932337.8</v>
      </c>
      <c r="J5" s="6">
        <f t="shared" ref="J5:J68" si="4">348.35/G5</f>
        <v>1.0226038455893147</v>
      </c>
      <c r="K5" s="7">
        <f>J5*H5*首页!$B$12/P5</f>
        <v>0.69532757496605813</v>
      </c>
      <c r="L5" s="6">
        <f>首页!$B$9*0.0000000567*((C5^4-D5^4)/(C5-D5))</f>
        <v>7.7687338005019564</v>
      </c>
      <c r="M5" s="6">
        <f>IF(首页!$B$13="自然对流",IF(首页!$B$14="立式圆筒",首页!$B$10,PI()*B5/2),PI()*B5/2)</f>
        <v>55.2</v>
      </c>
      <c r="N5" s="7">
        <f>IF(首页!$B$13="强制对流",首页!$B$11*M5/H5,0)</f>
        <v>0</v>
      </c>
      <c r="O5" s="7">
        <f>IF(首页!$B$13="自然对流",IF(首页!$B$14="立式圆筒",(0.825+0.3063*I5^(1/6))^2+0.87*(M5/B5),(0.752+0.303*I5^(1/6))^2),0.3+SQRT((0.592*N5^0.5)^2+(0.0262*N5^0.8/(1-0.5/N5^0.1))^2))</f>
        <v>10419.407502934901</v>
      </c>
      <c r="P5" s="6">
        <f t="shared" ref="P5:P68" si="5">0.0243+0.000078421*(G5-273)-0.000000020755*(G5-273)^2</f>
        <v>2.9510194925512497E-2</v>
      </c>
      <c r="Q5" s="6">
        <f t="shared" ref="Q5:Q68" si="6">O5*P5/M5</f>
        <v>5.5702671452890637</v>
      </c>
      <c r="R5" s="6">
        <f t="shared" ref="R5:R68" si="7">L5+Q5</f>
        <v>13.339000945791021</v>
      </c>
      <c r="S5" s="6">
        <f>IF($Y$2="按单位面积散热损失 qp",B5*LN(B5/首页!$B$4),LN(B5/首页!$B$4))</f>
        <v>0</v>
      </c>
      <c r="T5" s="6">
        <f>IF($Y$2="按单位面积散热损失 qp",2*PI()*首页!$B$8*((E5-D5)/$Y$3-1/R5),2*PI()*首页!$B$8*((E5-D5)/$Y$4-1/(PI()*B5*R5)))</f>
        <v>4.1102989397977067E-2</v>
      </c>
      <c r="U5" t="str">
        <f t="shared" ref="U5:U68" si="8">IF($Y$2="按单位面积散热损失 qp","按单位面积散热损失 qp","按单位长度散热损失 ql")</f>
        <v>按单位面积散热损失 qp</v>
      </c>
      <c r="V5" s="6">
        <f t="shared" ref="V5:V68" si="9">ABS(S5-T5)</f>
        <v>4.1102989397977067E-2</v>
      </c>
    </row>
    <row r="6" spans="1:25" x14ac:dyDescent="0.15">
      <c r="A6">
        <v>1</v>
      </c>
      <c r="B6" s="6">
        <f>首页!$B$4+2*A6/1000</f>
        <v>0.122</v>
      </c>
      <c r="C6" s="6">
        <f>首页!$B$7+273.15</f>
        <v>388.15</v>
      </c>
      <c r="D6" s="6">
        <f>首页!$B$6+273.15</f>
        <v>293.14999999999998</v>
      </c>
      <c r="E6" s="6">
        <f>首页!$B$5+273.15</f>
        <v>1373.15</v>
      </c>
      <c r="F6" s="6">
        <f t="shared" si="0"/>
        <v>95</v>
      </c>
      <c r="G6" s="6">
        <f t="shared" si="1"/>
        <v>340.65</v>
      </c>
      <c r="H6" s="6">
        <f t="shared" si="2"/>
        <v>1.9926207055139041E-5</v>
      </c>
      <c r="I6" s="7">
        <f t="shared" si="3"/>
        <v>1158916576932337.8</v>
      </c>
      <c r="J6" s="6">
        <f t="shared" si="4"/>
        <v>1.0226038455893147</v>
      </c>
      <c r="K6" s="7">
        <f>J6*H6*首页!$B$12/P6</f>
        <v>0.69532757496605813</v>
      </c>
      <c r="L6" s="6">
        <f>首页!$B$9*0.0000000567*((C6^4-D6^4)/(C6-D6))</f>
        <v>7.7687338005019564</v>
      </c>
      <c r="M6" s="6">
        <f>IF(首页!$B$13="自然对流",IF(首页!$B$14="立式圆筒",首页!$B$10,PI()*B6/2),PI()*B6/2)</f>
        <v>55.2</v>
      </c>
      <c r="N6" s="7">
        <f>IF(首页!$B$13="强制对流",首页!$B$11*M6/H6,0)</f>
        <v>0</v>
      </c>
      <c r="O6" s="7">
        <f>IF(首页!$B$13="自然对流",IF(首页!$B$14="立式圆筒",(0.825+0.3063*I6^(1/6))^2+0.87*(M6/B6),(0.752+0.303*I6^(1/6))^2),0.3+SQRT((0.592*N6^0.5)^2+(0.0262*N6^0.8/(1-0.5/N6^0.1))^2))</f>
        <v>10412.846847197196</v>
      </c>
      <c r="P6" s="6">
        <f t="shared" si="5"/>
        <v>2.9510194925512497E-2</v>
      </c>
      <c r="Q6" s="6">
        <f t="shared" si="6"/>
        <v>5.5667597860561129</v>
      </c>
      <c r="R6" s="6">
        <f t="shared" si="7"/>
        <v>13.335493586558069</v>
      </c>
      <c r="S6" s="6">
        <f>IF($Y$2="按单位面积散热损失 qp",B6*LN(B6/首页!$B$4),LN(B6/首页!$B$4))</f>
        <v>2.0165748380476817E-3</v>
      </c>
      <c r="T6" s="6">
        <f>IF($Y$2="按单位面积散热损失 qp",2*PI()*首页!$B$8*((E6-D6)/$Y$3-1/R6),2*PI()*首页!$B$8*((E6-D6)/$Y$4-1/(PI()*B6*R6)))</f>
        <v>4.1097414457515025E-2</v>
      </c>
      <c r="U6" t="str">
        <f t="shared" si="8"/>
        <v>按单位面积散热损失 qp</v>
      </c>
      <c r="V6" s="6">
        <f t="shared" si="9"/>
        <v>3.9080839619467345E-2</v>
      </c>
    </row>
    <row r="7" spans="1:25" x14ac:dyDescent="0.15">
      <c r="A7">
        <v>2</v>
      </c>
      <c r="B7" s="6">
        <f>首页!$B$4+2*A7/1000</f>
        <v>0.124</v>
      </c>
      <c r="C7" s="6">
        <f>首页!$B$7+273.15</f>
        <v>388.15</v>
      </c>
      <c r="D7" s="6">
        <f>首页!$B$6+273.15</f>
        <v>293.14999999999998</v>
      </c>
      <c r="E7" s="6">
        <f>首页!$B$5+273.15</f>
        <v>1373.15</v>
      </c>
      <c r="F7" s="6">
        <f t="shared" si="0"/>
        <v>95</v>
      </c>
      <c r="G7" s="6">
        <f t="shared" si="1"/>
        <v>340.65</v>
      </c>
      <c r="H7" s="6">
        <f t="shared" si="2"/>
        <v>1.9926207055139041E-5</v>
      </c>
      <c r="I7" s="7">
        <f t="shared" si="3"/>
        <v>1158916576932337.8</v>
      </c>
      <c r="J7" s="6">
        <f t="shared" si="4"/>
        <v>1.0226038455893147</v>
      </c>
      <c r="K7" s="7">
        <f>J7*H7*首页!$B$12/P7</f>
        <v>0.69532757496605813</v>
      </c>
      <c r="L7" s="6">
        <f>首页!$B$9*0.0000000567*((C7^4-D7^4)/(C7-D7))</f>
        <v>7.7687338005019564</v>
      </c>
      <c r="M7" s="6">
        <f>IF(首页!$B$13="自然对流",IF(首页!$B$14="立式圆筒",首页!$B$10,PI()*B7/2),PI()*B7/2)</f>
        <v>55.2</v>
      </c>
      <c r="N7" s="7">
        <f>IF(首页!$B$13="强制对流",首页!$B$11*M7/H7,0)</f>
        <v>0</v>
      </c>
      <c r="O7" s="7">
        <f>IF(首页!$B$13="自然对流",IF(首页!$B$14="立式圆筒",(0.825+0.3063*I7^(1/6))^2+0.87*(M7/B7),(0.752+0.303*I7^(1/6))^2),0.3+SQRT((0.592*N7^0.5)^2+(0.0262*N7^0.8/(1-0.5/N7^0.1))^2))</f>
        <v>10406.497825515546</v>
      </c>
      <c r="P7" s="6">
        <f t="shared" si="5"/>
        <v>2.9510194925512497E-2</v>
      </c>
      <c r="Q7" s="6">
        <f t="shared" si="6"/>
        <v>5.5633655674435811</v>
      </c>
      <c r="R7" s="6">
        <f t="shared" si="7"/>
        <v>13.332099367945538</v>
      </c>
      <c r="S7" s="6">
        <f>IF($Y$2="按单位面积散热损失 qp",B7*LN(B7/首页!$B$4),LN(B7/首页!$B$4))</f>
        <v>4.06593803005088E-3</v>
      </c>
      <c r="T7" s="6">
        <f>IF($Y$2="按单位面积散热损失 qp",2*PI()*首页!$B$8*((E7-D7)/$Y$3-1/R7),2*PI()*首页!$B$8*((E7-D7)/$Y$4-1/(PI()*B7*R7)))</f>
        <v>4.1092016560979022E-2</v>
      </c>
      <c r="U7" t="str">
        <f t="shared" si="8"/>
        <v>按单位面积散热损失 qp</v>
      </c>
      <c r="V7" s="6">
        <f t="shared" si="9"/>
        <v>3.7026078530928139E-2</v>
      </c>
    </row>
    <row r="8" spans="1:25" x14ac:dyDescent="0.15">
      <c r="A8">
        <v>3</v>
      </c>
      <c r="B8" s="6">
        <f>首页!$B$4+2*A8/1000</f>
        <v>0.126</v>
      </c>
      <c r="C8" s="6">
        <f>首页!$B$7+273.15</f>
        <v>388.15</v>
      </c>
      <c r="D8" s="6">
        <f>首页!$B$6+273.15</f>
        <v>293.14999999999998</v>
      </c>
      <c r="E8" s="6">
        <f>首页!$B$5+273.15</f>
        <v>1373.15</v>
      </c>
      <c r="F8" s="6">
        <f t="shared" si="0"/>
        <v>95</v>
      </c>
      <c r="G8" s="6">
        <f t="shared" si="1"/>
        <v>340.65</v>
      </c>
      <c r="H8" s="6">
        <f t="shared" si="2"/>
        <v>1.9926207055139041E-5</v>
      </c>
      <c r="I8" s="7">
        <f t="shared" si="3"/>
        <v>1158916576932337.8</v>
      </c>
      <c r="J8" s="6">
        <f t="shared" si="4"/>
        <v>1.0226038455893147</v>
      </c>
      <c r="K8" s="7">
        <f>J8*H8*首页!$B$12/P8</f>
        <v>0.69532757496605813</v>
      </c>
      <c r="L8" s="6">
        <f>首页!$B$9*0.0000000567*((C8^4-D8^4)/(C8-D8))</f>
        <v>7.7687338005019564</v>
      </c>
      <c r="M8" s="6">
        <f>IF(首页!$B$13="自然对流",IF(首页!$B$14="立式圆筒",首页!$B$10,PI()*B8/2),PI()*B8/2)</f>
        <v>55.2</v>
      </c>
      <c r="N8" s="7">
        <f>IF(首页!$B$13="强制对流",首页!$B$11*M8/H8,0)</f>
        <v>0</v>
      </c>
      <c r="O8" s="7">
        <f>IF(首页!$B$13="自然对流",IF(首页!$B$14="立式圆筒",(0.825+0.3063*I8^(1/6))^2+0.87*(M8/B8),(0.752+0.303*I8^(1/6))^2),0.3+SQRT((0.592*N8^0.5)^2+(0.0262*N8^0.8/(1-0.5/N8^0.1))^2))</f>
        <v>10400.350360077757</v>
      </c>
      <c r="P8" s="6">
        <f t="shared" si="5"/>
        <v>2.9510194925512497E-2</v>
      </c>
      <c r="Q8" s="6">
        <f t="shared" si="6"/>
        <v>5.5600791018028746</v>
      </c>
      <c r="R8" s="6">
        <f t="shared" si="7"/>
        <v>13.328812902304831</v>
      </c>
      <c r="S8" s="6">
        <f>IF($Y$2="按单位面积散热损失 qp",B8*LN(B8/首页!$B$4),LN(B8/首页!$B$4))</f>
        <v>6.1475606853484384E-3</v>
      </c>
      <c r="T8" s="6">
        <f>IF($Y$2="按单位面积散热损失 qp",2*PI()*首页!$B$8*((E8-D8)/$Y$3-1/R8),2*PI()*首页!$B$8*((E8-D8)/$Y$4-1/(PI()*B8*R8)))</f>
        <v>4.1086787406587527E-2</v>
      </c>
      <c r="U8" t="str">
        <f t="shared" si="8"/>
        <v>按单位面积散热损失 qp</v>
      </c>
      <c r="V8" s="6">
        <f t="shared" si="9"/>
        <v>3.4939226721239086E-2</v>
      </c>
    </row>
    <row r="9" spans="1:25" x14ac:dyDescent="0.15">
      <c r="A9">
        <v>4</v>
      </c>
      <c r="B9" s="6">
        <f>首页!$B$4+2*A9/1000</f>
        <v>0.128</v>
      </c>
      <c r="C9" s="6">
        <f>首页!$B$7+273.15</f>
        <v>388.15</v>
      </c>
      <c r="D9" s="6">
        <f>首页!$B$6+273.15</f>
        <v>293.14999999999998</v>
      </c>
      <c r="E9" s="6">
        <f>首页!$B$5+273.15</f>
        <v>1373.15</v>
      </c>
      <c r="F9" s="6">
        <f t="shared" si="0"/>
        <v>95</v>
      </c>
      <c r="G9" s="6">
        <f t="shared" si="1"/>
        <v>340.65</v>
      </c>
      <c r="H9" s="6">
        <f t="shared" si="2"/>
        <v>1.9926207055139041E-5</v>
      </c>
      <c r="I9" s="7">
        <f t="shared" si="3"/>
        <v>1158916576932337.8</v>
      </c>
      <c r="J9" s="6">
        <f t="shared" si="4"/>
        <v>1.0226038455893147</v>
      </c>
      <c r="K9" s="7">
        <f>J9*H9*首页!$B$12/P9</f>
        <v>0.69532757496605813</v>
      </c>
      <c r="L9" s="6">
        <f>首页!$B$9*0.0000000567*((C9^4-D9^4)/(C9-D9))</f>
        <v>7.7687338005019564</v>
      </c>
      <c r="M9" s="6">
        <f>IF(首页!$B$13="自然对流",IF(首页!$B$14="立式圆筒",首页!$B$10,PI()*B9/2),PI()*B9/2)</f>
        <v>55.2</v>
      </c>
      <c r="N9" s="7">
        <f>IF(首页!$B$13="强制对流",首页!$B$11*M9/H9,0)</f>
        <v>0</v>
      </c>
      <c r="O9" s="7">
        <f>IF(首页!$B$13="自然对流",IF(首页!$B$14="立式圆筒",(0.825+0.3063*I9^(1/6))^2+0.87*(M9/B9),(0.752+0.303*I9^(1/6))^2),0.3+SQRT((0.592*N9^0.5)^2+(0.0262*N9^0.8/(1-0.5/N9^0.1))^2))</f>
        <v>10394.3950029349</v>
      </c>
      <c r="P9" s="6">
        <f t="shared" si="5"/>
        <v>2.9510194925512497E-2</v>
      </c>
      <c r="Q9" s="6">
        <f t="shared" si="6"/>
        <v>5.5568953382134403</v>
      </c>
      <c r="R9" s="6">
        <f t="shared" si="7"/>
        <v>13.325629138715396</v>
      </c>
      <c r="S9" s="6">
        <f>IF($Y$2="按单位面积散热损失 qp",B9*LN(B9/首页!$B$4),LN(B9/首页!$B$4))</f>
        <v>8.260930705609109E-3</v>
      </c>
      <c r="T9" s="6">
        <f>IF($Y$2="按单位面积散热损失 qp",2*PI()*首页!$B$8*((E9-D9)/$Y$3-1/R9),2*PI()*首页!$B$8*((E9-D9)/$Y$4-1/(PI()*B9*R9)))</f>
        <v>4.1081719203610499E-2</v>
      </c>
      <c r="U9" t="str">
        <f t="shared" si="8"/>
        <v>按单位面积散热损失 qp</v>
      </c>
      <c r="V9" s="6">
        <f t="shared" si="9"/>
        <v>3.2820788498001394E-2</v>
      </c>
    </row>
    <row r="10" spans="1:25" x14ac:dyDescent="0.15">
      <c r="A10">
        <v>5</v>
      </c>
      <c r="B10" s="6">
        <f>首页!$B$4+2*A10/1000</f>
        <v>0.13</v>
      </c>
      <c r="C10" s="6">
        <f>首页!$B$7+273.15</f>
        <v>388.15</v>
      </c>
      <c r="D10" s="6">
        <f>首页!$B$6+273.15</f>
        <v>293.14999999999998</v>
      </c>
      <c r="E10" s="6">
        <f>首页!$B$5+273.15</f>
        <v>1373.15</v>
      </c>
      <c r="F10" s="6">
        <f t="shared" si="0"/>
        <v>95</v>
      </c>
      <c r="G10" s="6">
        <f t="shared" si="1"/>
        <v>340.65</v>
      </c>
      <c r="H10" s="6">
        <f t="shared" si="2"/>
        <v>1.9926207055139041E-5</v>
      </c>
      <c r="I10" s="7">
        <f t="shared" si="3"/>
        <v>1158916576932337.8</v>
      </c>
      <c r="J10" s="6">
        <f t="shared" si="4"/>
        <v>1.0226038455893147</v>
      </c>
      <c r="K10" s="7">
        <f>J10*H10*首页!$B$12/P10</f>
        <v>0.69532757496605813</v>
      </c>
      <c r="L10" s="6">
        <f>首页!$B$9*0.0000000567*((C10^4-D10^4)/(C10-D10))</f>
        <v>7.7687338005019564</v>
      </c>
      <c r="M10" s="6">
        <f>IF(首页!$B$13="自然对流",IF(首页!$B$14="立式圆筒",首页!$B$10,PI()*B10/2),PI()*B10/2)</f>
        <v>55.2</v>
      </c>
      <c r="N10" s="7">
        <f>IF(首页!$B$13="强制对流",首页!$B$11*M10/H10,0)</f>
        <v>0</v>
      </c>
      <c r="O10" s="7">
        <f>IF(首页!$B$13="自然对流",IF(首页!$B$14="立式圆筒",(0.825+0.3063*I10^(1/6))^2+0.87*(M10/B10),(0.752+0.303*I10^(1/6))^2),0.3+SQRT((0.592*N10^0.5)^2+(0.0262*N10^0.8/(1-0.5/N10^0.1))^2))</f>
        <v>10388.622887550284</v>
      </c>
      <c r="P10" s="6">
        <f t="shared" si="5"/>
        <v>2.9510194925512497E-2</v>
      </c>
      <c r="Q10" s="6">
        <f t="shared" si="6"/>
        <v>5.5538095365806042</v>
      </c>
      <c r="R10" s="6">
        <f t="shared" si="7"/>
        <v>13.322543337082561</v>
      </c>
      <c r="S10" s="6">
        <f>IF($Y$2="按单位面积散热损失 qp",B10*LN(B10/首页!$B$4),LN(B10/首页!$B$4))</f>
        <v>1.0405551997559754E-2</v>
      </c>
      <c r="T10" s="6">
        <f>IF($Y$2="按单位面积散热损失 qp",2*PI()*首页!$B$8*((E10-D10)/$Y$3-1/R10),2*PI()*首页!$B$8*((E10-D10)/$Y$4-1/(PI()*B10*R10)))</f>
        <v>4.1076804633640454E-2</v>
      </c>
      <c r="U10" t="str">
        <f t="shared" si="8"/>
        <v>按单位面积散热损失 qp</v>
      </c>
      <c r="V10" s="6">
        <f t="shared" si="9"/>
        <v>3.0671252636080698E-2</v>
      </c>
    </row>
    <row r="11" spans="1:25" x14ac:dyDescent="0.15">
      <c r="A11">
        <v>6</v>
      </c>
      <c r="B11" s="6">
        <f>首页!$B$4+2*A11/1000</f>
        <v>0.13200000000000001</v>
      </c>
      <c r="C11" s="6">
        <f>首页!$B$7+273.15</f>
        <v>388.15</v>
      </c>
      <c r="D11" s="6">
        <f>首页!$B$6+273.15</f>
        <v>293.14999999999998</v>
      </c>
      <c r="E11" s="6">
        <f>首页!$B$5+273.15</f>
        <v>1373.15</v>
      </c>
      <c r="F11" s="6">
        <f t="shared" si="0"/>
        <v>95</v>
      </c>
      <c r="G11" s="6">
        <f t="shared" si="1"/>
        <v>340.65</v>
      </c>
      <c r="H11" s="6">
        <f t="shared" si="2"/>
        <v>1.9926207055139041E-5</v>
      </c>
      <c r="I11" s="7">
        <f t="shared" si="3"/>
        <v>1158916576932337.8</v>
      </c>
      <c r="J11" s="6">
        <f t="shared" si="4"/>
        <v>1.0226038455893147</v>
      </c>
      <c r="K11" s="7">
        <f>J11*H11*首页!$B$12/P11</f>
        <v>0.69532757496605813</v>
      </c>
      <c r="L11" s="6">
        <f>首页!$B$9*0.0000000567*((C11^4-D11^4)/(C11-D11))</f>
        <v>7.7687338005019564</v>
      </c>
      <c r="M11" s="6">
        <f>IF(首页!$B$13="自然对流",IF(首页!$B$14="立式圆筒",首页!$B$10,PI()*B11/2),PI()*B11/2)</f>
        <v>55.2</v>
      </c>
      <c r="N11" s="7">
        <f>IF(首页!$B$13="强制对流",首页!$B$11*M11/H11,0)</f>
        <v>0</v>
      </c>
      <c r="O11" s="7">
        <f>IF(首页!$B$13="自然对流",IF(首页!$B$14="立式圆筒",(0.825+0.3063*I11^(1/6))^2+0.87*(M11/B11),(0.752+0.303*I11^(1/6))^2),0.3+SQRT((0.592*N11^0.5)^2+(0.0262*N11^0.8/(1-0.5/N11^0.1))^2))</f>
        <v>10383.025684753082</v>
      </c>
      <c r="P11" s="6">
        <f t="shared" si="5"/>
        <v>2.9510194925512497E-2</v>
      </c>
      <c r="Q11" s="6">
        <f t="shared" si="6"/>
        <v>5.550817244088158</v>
      </c>
      <c r="R11" s="6">
        <f t="shared" si="7"/>
        <v>13.319551044590114</v>
      </c>
      <c r="S11" s="6">
        <f>IF($Y$2="按单位面积散热损失 qp",B11*LN(B11/首页!$B$4),LN(B11/首页!$B$4))</f>
        <v>1.2580943734170891E-2</v>
      </c>
      <c r="T11" s="6">
        <f>IF($Y$2="按单位面积散热损失 qp",2*PI()*首页!$B$8*((E11-D11)/$Y$3-1/R11),2*PI()*首页!$B$8*((E11-D11)/$Y$4-1/(PI()*B11*R11)))</f>
        <v>4.1072036815332925E-2</v>
      </c>
      <c r="U11" t="str">
        <f t="shared" si="8"/>
        <v>按单位面积散热损失 qp</v>
      </c>
      <c r="V11" s="6">
        <f t="shared" si="9"/>
        <v>2.8491093081162034E-2</v>
      </c>
    </row>
    <row r="12" spans="1:25" x14ac:dyDescent="0.15">
      <c r="A12">
        <v>7</v>
      </c>
      <c r="B12" s="6">
        <f>首页!$B$4+2*A12/1000</f>
        <v>0.13400000000000001</v>
      </c>
      <c r="C12" s="6">
        <f>首页!$B$7+273.15</f>
        <v>388.15</v>
      </c>
      <c r="D12" s="6">
        <f>首页!$B$6+273.15</f>
        <v>293.14999999999998</v>
      </c>
      <c r="E12" s="6">
        <f>首页!$B$5+273.15</f>
        <v>1373.15</v>
      </c>
      <c r="F12" s="6">
        <f t="shared" si="0"/>
        <v>95</v>
      </c>
      <c r="G12" s="6">
        <f t="shared" si="1"/>
        <v>340.65</v>
      </c>
      <c r="H12" s="6">
        <f t="shared" si="2"/>
        <v>1.9926207055139041E-5</v>
      </c>
      <c r="I12" s="7">
        <f t="shared" si="3"/>
        <v>1158916576932337.8</v>
      </c>
      <c r="J12" s="6">
        <f t="shared" si="4"/>
        <v>1.0226038455893147</v>
      </c>
      <c r="K12" s="7">
        <f>J12*H12*首页!$B$12/P12</f>
        <v>0.69532757496605813</v>
      </c>
      <c r="L12" s="6">
        <f>首页!$B$9*0.0000000567*((C12^4-D12^4)/(C12-D12))</f>
        <v>7.7687338005019564</v>
      </c>
      <c r="M12" s="6">
        <f>IF(首页!$B$13="自然对流",IF(首页!$B$14="立式圆筒",首页!$B$10,PI()*B12/2),PI()*B12/2)</f>
        <v>55.2</v>
      </c>
      <c r="N12" s="7">
        <f>IF(首页!$B$13="强制对流",首页!$B$11*M12/H12,0)</f>
        <v>0</v>
      </c>
      <c r="O12" s="7">
        <f>IF(首页!$B$13="自然对流",IF(首页!$B$14="立式圆筒",(0.825+0.3063*I12^(1/6))^2+0.87*(M12/B12),(0.752+0.303*I12^(1/6))^2),0.3+SQRT((0.592*N12^0.5)^2+(0.0262*N12^0.8/(1-0.5/N12^0.1))^2))</f>
        <v>10377.595562636392</v>
      </c>
      <c r="P12" s="6">
        <f t="shared" si="5"/>
        <v>2.9510194925512497E-2</v>
      </c>
      <c r="Q12" s="6">
        <f t="shared" si="6"/>
        <v>5.5479142737596634</v>
      </c>
      <c r="R12" s="6">
        <f t="shared" si="7"/>
        <v>13.31664807426162</v>
      </c>
      <c r="S12" s="6">
        <f>IF($Y$2="按单位面积散热损失 qp",B12*LN(B12/首页!$B$4),LN(B12/首页!$B$4))</f>
        <v>1.4786639660627966E-2</v>
      </c>
      <c r="T12" s="6">
        <f>IF($Y$2="按单位面积散热损失 qp",2*PI()*首页!$B$8*((E12-D12)/$Y$3-1/R12),2*PI()*首页!$B$8*((E12-D12)/$Y$4-1/(PI()*B12*R12)))</f>
        <v>4.1067409272259159E-2</v>
      </c>
      <c r="U12" t="str">
        <f t="shared" si="8"/>
        <v>按单位面积散热损失 qp</v>
      </c>
      <c r="V12" s="6">
        <f t="shared" si="9"/>
        <v>2.6280769611631193E-2</v>
      </c>
    </row>
    <row r="13" spans="1:25" x14ac:dyDescent="0.15">
      <c r="A13">
        <v>8</v>
      </c>
      <c r="B13" s="6">
        <f>首页!$B$4+2*A13/1000</f>
        <v>0.13600000000000001</v>
      </c>
      <c r="C13" s="6">
        <f>首页!$B$7+273.15</f>
        <v>388.15</v>
      </c>
      <c r="D13" s="6">
        <f>首页!$B$6+273.15</f>
        <v>293.14999999999998</v>
      </c>
      <c r="E13" s="6">
        <f>首页!$B$5+273.15</f>
        <v>1373.15</v>
      </c>
      <c r="F13" s="6">
        <f t="shared" si="0"/>
        <v>95</v>
      </c>
      <c r="G13" s="6">
        <f t="shared" si="1"/>
        <v>340.65</v>
      </c>
      <c r="H13" s="6">
        <f t="shared" si="2"/>
        <v>1.9926207055139041E-5</v>
      </c>
      <c r="I13" s="7">
        <f t="shared" si="3"/>
        <v>1158916576932337.8</v>
      </c>
      <c r="J13" s="6">
        <f t="shared" si="4"/>
        <v>1.0226038455893147</v>
      </c>
      <c r="K13" s="7">
        <f>J13*H13*首页!$B$12/P13</f>
        <v>0.69532757496605813</v>
      </c>
      <c r="L13" s="6">
        <f>首页!$B$9*0.0000000567*((C13^4-D13^4)/(C13-D13))</f>
        <v>7.7687338005019564</v>
      </c>
      <c r="M13" s="6">
        <f>IF(首页!$B$13="自然对流",IF(首页!$B$14="立式圆筒",首页!$B$10,PI()*B13/2),PI()*B13/2)</f>
        <v>55.2</v>
      </c>
      <c r="N13" s="7">
        <f>IF(首页!$B$13="强制对流",首页!$B$11*M13/H13,0)</f>
        <v>0</v>
      </c>
      <c r="O13" s="7">
        <f>IF(首页!$B$13="自然对流",IF(首页!$B$14="立式圆筒",(0.825+0.3063*I13^(1/6))^2+0.87*(M13/B13),(0.752+0.303*I13^(1/6))^2),0.3+SQRT((0.592*N13^0.5)^2+(0.0262*N13^0.8/(1-0.5/N13^0.1))^2))</f>
        <v>10372.325149993723</v>
      </c>
      <c r="P13" s="6">
        <f t="shared" si="5"/>
        <v>2.9510194925512497E-2</v>
      </c>
      <c r="Q13" s="6">
        <f t="shared" si="6"/>
        <v>5.5450966849114209</v>
      </c>
      <c r="R13" s="6">
        <f t="shared" si="7"/>
        <v>13.313830485413376</v>
      </c>
      <c r="S13" s="6">
        <f>IF($Y$2="按单位面积散热损失 qp",B13*LN(B13/首页!$B$4),LN(B13/首页!$B$4))</f>
        <v>1.7022187441744843E-2</v>
      </c>
      <c r="T13" s="6">
        <f>IF($Y$2="按单位面积散热损失 qp",2*PI()*首页!$B$8*((E13-D13)/$Y$3-1/R13),2*PI()*首页!$B$8*((E13-D13)/$Y$4-1/(PI()*B13*R13)))</f>
        <v>4.1062915903555007E-2</v>
      </c>
      <c r="U13" t="str">
        <f t="shared" si="8"/>
        <v>按单位面积散热损失 qp</v>
      </c>
      <c r="V13" s="6">
        <f t="shared" si="9"/>
        <v>2.4040728461810164E-2</v>
      </c>
    </row>
    <row r="14" spans="1:25" x14ac:dyDescent="0.15">
      <c r="A14">
        <v>9</v>
      </c>
      <c r="B14" s="6">
        <f>首页!$B$4+2*A14/1000</f>
        <v>0.13799999999999998</v>
      </c>
      <c r="C14" s="6">
        <f>首页!$B$7+273.15</f>
        <v>388.15</v>
      </c>
      <c r="D14" s="6">
        <f>首页!$B$6+273.15</f>
        <v>293.14999999999998</v>
      </c>
      <c r="E14" s="6">
        <f>首页!$B$5+273.15</f>
        <v>1373.15</v>
      </c>
      <c r="F14" s="6">
        <f t="shared" si="0"/>
        <v>95</v>
      </c>
      <c r="G14" s="6">
        <f t="shared" si="1"/>
        <v>340.65</v>
      </c>
      <c r="H14" s="6">
        <f t="shared" si="2"/>
        <v>1.9926207055139041E-5</v>
      </c>
      <c r="I14" s="7">
        <f t="shared" si="3"/>
        <v>1158916576932337.8</v>
      </c>
      <c r="J14" s="6">
        <f t="shared" si="4"/>
        <v>1.0226038455893147</v>
      </c>
      <c r="K14" s="7">
        <f>J14*H14*首页!$B$12/P14</f>
        <v>0.69532757496605813</v>
      </c>
      <c r="L14" s="6">
        <f>首页!$B$9*0.0000000567*((C14^4-D14^4)/(C14-D14))</f>
        <v>7.7687338005019564</v>
      </c>
      <c r="M14" s="6">
        <f>IF(首页!$B$13="自然对流",IF(首页!$B$14="立式圆筒",首页!$B$10,PI()*B14/2),PI()*B14/2)</f>
        <v>55.2</v>
      </c>
      <c r="N14" s="7">
        <f>IF(首页!$B$13="强制对流",首页!$B$11*M14/H14,0)</f>
        <v>0</v>
      </c>
      <c r="O14" s="7">
        <f>IF(首页!$B$13="自然对流",IF(首页!$B$14="立式圆筒",(0.825+0.3063*I14^(1/6))^2+0.87*(M14/B14),(0.752+0.303*I14^(1/6))^2),0.3+SQRT((0.592*N14^0.5)^2+(0.0262*N14^0.8/(1-0.5/N14^0.1))^2))</f>
        <v>10367.2075029349</v>
      </c>
      <c r="P14" s="6">
        <f t="shared" si="5"/>
        <v>2.9510194925512497E-2</v>
      </c>
      <c r="Q14" s="6">
        <f t="shared" si="6"/>
        <v>5.5423607653051548</v>
      </c>
      <c r="R14" s="6">
        <f t="shared" si="7"/>
        <v>13.31109456580711</v>
      </c>
      <c r="S14" s="6">
        <f>IF($Y$2="按单位面积散热损失 qp",B14*LN(B14/首页!$B$4),LN(B14/首页!$B$4))</f>
        <v>1.9287148047771888E-2</v>
      </c>
      <c r="T14" s="6">
        <f>IF($Y$2="按单位面积散热损失 qp",2*PI()*首页!$B$8*((E14-D14)/$Y$3-1/R14),2*PI()*首页!$B$8*((E14-D14)/$Y$4-1/(PI()*B14*R14)))</f>
        <v>4.1058550957086493E-2</v>
      </c>
      <c r="U14" t="str">
        <f t="shared" si="8"/>
        <v>按单位面积散热损失 qp</v>
      </c>
      <c r="V14" s="6">
        <f t="shared" si="9"/>
        <v>2.1771402909314605E-2</v>
      </c>
    </row>
    <row r="15" spans="1:25" x14ac:dyDescent="0.15">
      <c r="A15">
        <v>10</v>
      </c>
      <c r="B15" s="6">
        <f>首页!$B$4+2*A15/1000</f>
        <v>0.13999999999999999</v>
      </c>
      <c r="C15" s="6">
        <f>首页!$B$7+273.15</f>
        <v>388.15</v>
      </c>
      <c r="D15" s="6">
        <f>首页!$B$6+273.15</f>
        <v>293.14999999999998</v>
      </c>
      <c r="E15" s="6">
        <f>首页!$B$5+273.15</f>
        <v>1373.15</v>
      </c>
      <c r="F15" s="6">
        <f t="shared" si="0"/>
        <v>95</v>
      </c>
      <c r="G15" s="6">
        <f t="shared" si="1"/>
        <v>340.65</v>
      </c>
      <c r="H15" s="6">
        <f t="shared" si="2"/>
        <v>1.9926207055139041E-5</v>
      </c>
      <c r="I15" s="7">
        <f t="shared" si="3"/>
        <v>1158916576932337.8</v>
      </c>
      <c r="J15" s="6">
        <f t="shared" si="4"/>
        <v>1.0226038455893147</v>
      </c>
      <c r="K15" s="7">
        <f>J15*H15*首页!$B$12/P15</f>
        <v>0.69532757496605813</v>
      </c>
      <c r="L15" s="6">
        <f>首页!$B$9*0.0000000567*((C15^4-D15^4)/(C15-D15))</f>
        <v>7.7687338005019564</v>
      </c>
      <c r="M15" s="6">
        <f>IF(首页!$B$13="自然对流",IF(首页!$B$14="立式圆筒",首页!$B$10,PI()*B15/2),PI()*B15/2)</f>
        <v>55.2</v>
      </c>
      <c r="N15" s="7">
        <f>IF(首页!$B$13="强制对流",首页!$B$11*M15/H15,0)</f>
        <v>0</v>
      </c>
      <c r="O15" s="7">
        <f>IF(首页!$B$13="自然对流",IF(首页!$B$14="立式圆筒",(0.825+0.3063*I15^(1/6))^2+0.87*(M15/B15),(0.752+0.303*I15^(1/6))^2),0.3+SQRT((0.592*N15^0.5)^2+(0.0262*N15^0.8/(1-0.5/N15^0.1))^2))</f>
        <v>10362.236074363471</v>
      </c>
      <c r="P15" s="6">
        <f t="shared" si="5"/>
        <v>2.9510194925512497E-2</v>
      </c>
      <c r="Q15" s="6">
        <f t="shared" si="6"/>
        <v>5.5397030148304962</v>
      </c>
      <c r="R15" s="6">
        <f t="shared" si="7"/>
        <v>13.308436815332453</v>
      </c>
      <c r="S15" s="6">
        <f>IF($Y$2="按单位面积散热损失 qp",B15*LN(B15/首页!$B$4),LN(B15/首页!$B$4))</f>
        <v>2.1581095175816141E-2</v>
      </c>
      <c r="T15" s="6">
        <f>IF($Y$2="按单位面积散热损失 qp",2*PI()*首页!$B$8*((E15-D15)/$Y$3-1/R15),2*PI()*首页!$B$8*((E15-D15)/$Y$4-1/(PI()*B15*R15)))</f>
        <v>4.1054309004883764E-2</v>
      </c>
      <c r="U15" t="str">
        <f t="shared" si="8"/>
        <v>按单位面积散热损失 qp</v>
      </c>
      <c r="V15" s="6">
        <f t="shared" si="9"/>
        <v>1.9473213829067623E-2</v>
      </c>
    </row>
    <row r="16" spans="1:25" x14ac:dyDescent="0.15">
      <c r="A16">
        <v>11</v>
      </c>
      <c r="B16" s="6">
        <f>首页!$B$4+2*A16/1000</f>
        <v>0.14199999999999999</v>
      </c>
      <c r="C16" s="6">
        <f>首页!$B$7+273.15</f>
        <v>388.15</v>
      </c>
      <c r="D16" s="6">
        <f>首页!$B$6+273.15</f>
        <v>293.14999999999998</v>
      </c>
      <c r="E16" s="6">
        <f>首页!$B$5+273.15</f>
        <v>1373.15</v>
      </c>
      <c r="F16" s="6">
        <f t="shared" si="0"/>
        <v>95</v>
      </c>
      <c r="G16" s="6">
        <f t="shared" si="1"/>
        <v>340.65</v>
      </c>
      <c r="H16" s="6">
        <f t="shared" si="2"/>
        <v>1.9926207055139041E-5</v>
      </c>
      <c r="I16" s="7">
        <f t="shared" si="3"/>
        <v>1158916576932337.8</v>
      </c>
      <c r="J16" s="6">
        <f t="shared" si="4"/>
        <v>1.0226038455893147</v>
      </c>
      <c r="K16" s="7">
        <f>J16*H16*首页!$B$12/P16</f>
        <v>0.69532757496605813</v>
      </c>
      <c r="L16" s="6">
        <f>首页!$B$9*0.0000000567*((C16^4-D16^4)/(C16-D16))</f>
        <v>7.7687338005019564</v>
      </c>
      <c r="M16" s="6">
        <f>IF(首页!$B$13="自然对流",IF(首页!$B$14="立式圆筒",首页!$B$10,PI()*B16/2),PI()*B16/2)</f>
        <v>55.2</v>
      </c>
      <c r="N16" s="7">
        <f>IF(首页!$B$13="强制对流",首页!$B$11*M16/H16,0)</f>
        <v>0</v>
      </c>
      <c r="O16" s="7">
        <f>IF(首页!$B$13="自然对流",IF(首页!$B$14="立式圆筒",(0.825+0.3063*I16^(1/6))^2+0.87*(M16/B16),(0.752+0.303*I16^(1/6))^2),0.3+SQRT((0.592*N16^0.5)^2+(0.0262*N16^0.8/(1-0.5/N16^0.1))^2))</f>
        <v>10357.404686033491</v>
      </c>
      <c r="P16" s="6">
        <f t="shared" si="5"/>
        <v>2.9510194925512497E-2</v>
      </c>
      <c r="Q16" s="6">
        <f t="shared" si="6"/>
        <v>5.5371201305663931</v>
      </c>
      <c r="R16" s="6">
        <f t="shared" si="7"/>
        <v>13.305853931068349</v>
      </c>
      <c r="S16" s="6">
        <f>IF($Y$2="按单位面积散热损失 qp",B16*LN(B16/首页!$B$4),LN(B16/首页!$B$4))</f>
        <v>2.3903614704328491E-2</v>
      </c>
      <c r="T16" s="6">
        <f>IF($Y$2="按单位面积散热损失 qp",2*PI()*首页!$B$8*((E16-D16)/$Y$3-1/R16),2*PI()*首页!$B$8*((E16-D16)/$Y$4-1/(PI()*B16*R16)))</f>
        <v>4.1050184920622804E-2</v>
      </c>
      <c r="U16" t="str">
        <f t="shared" si="8"/>
        <v>按单位面积散热损失 qp</v>
      </c>
      <c r="V16" s="6">
        <f t="shared" si="9"/>
        <v>1.7146570216294312E-2</v>
      </c>
    </row>
    <row r="17" spans="1:22" x14ac:dyDescent="0.15">
      <c r="A17">
        <v>12</v>
      </c>
      <c r="B17" s="6">
        <f>首页!$B$4+2*A17/1000</f>
        <v>0.14399999999999999</v>
      </c>
      <c r="C17" s="6">
        <f>首页!$B$7+273.15</f>
        <v>388.15</v>
      </c>
      <c r="D17" s="6">
        <f>首页!$B$6+273.15</f>
        <v>293.14999999999998</v>
      </c>
      <c r="E17" s="6">
        <f>首页!$B$5+273.15</f>
        <v>1373.15</v>
      </c>
      <c r="F17" s="6">
        <f t="shared" si="0"/>
        <v>95</v>
      </c>
      <c r="G17" s="6">
        <f t="shared" si="1"/>
        <v>340.65</v>
      </c>
      <c r="H17" s="6">
        <f t="shared" si="2"/>
        <v>1.9926207055139041E-5</v>
      </c>
      <c r="I17" s="7">
        <f t="shared" si="3"/>
        <v>1158916576932337.8</v>
      </c>
      <c r="J17" s="6">
        <f t="shared" si="4"/>
        <v>1.0226038455893147</v>
      </c>
      <c r="K17" s="7">
        <f>J17*H17*首页!$B$12/P17</f>
        <v>0.69532757496605813</v>
      </c>
      <c r="L17" s="6">
        <f>首页!$B$9*0.0000000567*((C17^4-D17^4)/(C17-D17))</f>
        <v>7.7687338005019564</v>
      </c>
      <c r="M17" s="6">
        <f>IF(首页!$B$13="自然对流",IF(首页!$B$14="立式圆筒",首页!$B$10,PI()*B17/2),PI()*B17/2)</f>
        <v>55.2</v>
      </c>
      <c r="N17" s="7">
        <f>IF(首页!$B$13="强制对流",首页!$B$11*M17/H17,0)</f>
        <v>0</v>
      </c>
      <c r="O17" s="7">
        <f>IF(首页!$B$13="自然对流",IF(首页!$B$14="立式圆筒",(0.825+0.3063*I17^(1/6))^2+0.87*(M17/B17),(0.752+0.303*I17^(1/6))^2),0.3+SQRT((0.592*N17^0.5)^2+(0.0262*N17^0.8/(1-0.5/N17^0.1))^2))</f>
        <v>10352.7075029349</v>
      </c>
      <c r="P17" s="6">
        <f t="shared" si="5"/>
        <v>2.9510194925512497E-2</v>
      </c>
      <c r="Q17" s="6">
        <f t="shared" si="6"/>
        <v>5.534608993087403</v>
      </c>
      <c r="R17" s="6">
        <f t="shared" si="7"/>
        <v>13.303342793589358</v>
      </c>
      <c r="S17" s="6">
        <f>IF($Y$2="按单位面积散热损失 qp",B17*LN(B17/首页!$B$4),LN(B17/首页!$B$4))</f>
        <v>2.6254304178329458E-2</v>
      </c>
      <c r="T17" s="6">
        <f>IF($Y$2="按单位面积散热损失 qp",2*PI()*首页!$B$8*((E17-D17)/$Y$3-1/R17),2*PI()*首页!$B$8*((E17-D17)/$Y$4-1/(PI()*B17*R17)))</f>
        <v>4.1046173858958555E-2</v>
      </c>
      <c r="U17" t="str">
        <f t="shared" si="8"/>
        <v>按单位面积散热损失 qp</v>
      </c>
      <c r="V17" s="6">
        <f t="shared" si="9"/>
        <v>1.4791869680629097E-2</v>
      </c>
    </row>
    <row r="18" spans="1:22" x14ac:dyDescent="0.15">
      <c r="A18">
        <v>13</v>
      </c>
      <c r="B18" s="6">
        <f>首页!$B$4+2*A18/1000</f>
        <v>0.14599999999999999</v>
      </c>
      <c r="C18" s="6">
        <f>首页!$B$7+273.15</f>
        <v>388.15</v>
      </c>
      <c r="D18" s="6">
        <f>首页!$B$6+273.15</f>
        <v>293.14999999999998</v>
      </c>
      <c r="E18" s="6">
        <f>首页!$B$5+273.15</f>
        <v>1373.15</v>
      </c>
      <c r="F18" s="6">
        <f t="shared" si="0"/>
        <v>95</v>
      </c>
      <c r="G18" s="6">
        <f t="shared" si="1"/>
        <v>340.65</v>
      </c>
      <c r="H18" s="6">
        <f t="shared" si="2"/>
        <v>1.9926207055139041E-5</v>
      </c>
      <c r="I18" s="7">
        <f t="shared" si="3"/>
        <v>1158916576932337.8</v>
      </c>
      <c r="J18" s="6">
        <f t="shared" si="4"/>
        <v>1.0226038455893147</v>
      </c>
      <c r="K18" s="7">
        <f>J18*H18*首页!$B$12/P18</f>
        <v>0.69532757496605813</v>
      </c>
      <c r="L18" s="6">
        <f>首页!$B$9*0.0000000567*((C18^4-D18^4)/(C18-D18))</f>
        <v>7.7687338005019564</v>
      </c>
      <c r="M18" s="6">
        <f>IF(首页!$B$13="自然对流",IF(首页!$B$14="立式圆筒",首页!$B$10,PI()*B18/2),PI()*B18/2)</f>
        <v>55.2</v>
      </c>
      <c r="N18" s="7">
        <f>IF(首页!$B$13="强制对流",首页!$B$11*M18/H18,0)</f>
        <v>0</v>
      </c>
      <c r="O18" s="7">
        <f>IF(首页!$B$13="自然对流",IF(首页!$B$14="立式圆筒",(0.825+0.3063*I18^(1/6))^2+0.87*(M18/B18),(0.752+0.303*I18^(1/6))^2),0.3+SQRT((0.592*N18^0.5)^2+(0.0262*N18^0.8/(1-0.5/N18^0.1))^2))</f>
        <v>10348.139009784214</v>
      </c>
      <c r="P18" s="6">
        <f t="shared" si="5"/>
        <v>2.9510194925512497E-2</v>
      </c>
      <c r="Q18" s="6">
        <f t="shared" si="6"/>
        <v>5.5321666538955077</v>
      </c>
      <c r="R18" s="6">
        <f t="shared" si="7"/>
        <v>13.300900454397464</v>
      </c>
      <c r="S18" s="6">
        <f>IF($Y$2="按单位面积散热损失 qp",B18*LN(B18/首页!$B$4),LN(B18/首页!$B$4))</f>
        <v>2.8632772323238392E-2</v>
      </c>
      <c r="T18" s="6">
        <f>IF($Y$2="按单位面积散热损失 qp",2*PI()*首页!$B$8*((E18-D18)/$Y$3-1/R18),2*PI()*首页!$B$8*((E18-D18)/$Y$4-1/(PI()*B18*R18)))</f>
        <v>4.1042271236534235E-2</v>
      </c>
      <c r="U18" t="str">
        <f t="shared" si="8"/>
        <v>按单位面积散热损失 qp</v>
      </c>
      <c r="V18" s="6">
        <f t="shared" si="9"/>
        <v>1.2409498913295843E-2</v>
      </c>
    </row>
    <row r="19" spans="1:22" x14ac:dyDescent="0.15">
      <c r="A19">
        <v>14</v>
      </c>
      <c r="B19" s="6">
        <f>首页!$B$4+2*A19/1000</f>
        <v>0.14799999999999999</v>
      </c>
      <c r="C19" s="6">
        <f>首页!$B$7+273.15</f>
        <v>388.15</v>
      </c>
      <c r="D19" s="6">
        <f>首页!$B$6+273.15</f>
        <v>293.14999999999998</v>
      </c>
      <c r="E19" s="6">
        <f>首页!$B$5+273.15</f>
        <v>1373.15</v>
      </c>
      <c r="F19" s="6">
        <f t="shared" si="0"/>
        <v>95</v>
      </c>
      <c r="G19" s="6">
        <f t="shared" si="1"/>
        <v>340.65</v>
      </c>
      <c r="H19" s="6">
        <f t="shared" si="2"/>
        <v>1.9926207055139041E-5</v>
      </c>
      <c r="I19" s="7">
        <f t="shared" si="3"/>
        <v>1158916576932337.8</v>
      </c>
      <c r="J19" s="6">
        <f t="shared" si="4"/>
        <v>1.0226038455893147</v>
      </c>
      <c r="K19" s="7">
        <f>J19*H19*首页!$B$12/P19</f>
        <v>0.69532757496605813</v>
      </c>
      <c r="L19" s="6">
        <f>首页!$B$9*0.0000000567*((C19^4-D19^4)/(C19-D19))</f>
        <v>7.7687338005019564</v>
      </c>
      <c r="M19" s="6">
        <f>IF(首页!$B$13="自然对流",IF(首页!$B$14="立式圆筒",首页!$B$10,PI()*B19/2),PI()*B19/2)</f>
        <v>55.2</v>
      </c>
      <c r="N19" s="7">
        <f>IF(首页!$B$13="强制对流",首页!$B$11*M19/H19,0)</f>
        <v>0</v>
      </c>
      <c r="O19" s="7">
        <f>IF(首页!$B$13="自然对流",IF(首页!$B$14="立式圆筒",(0.825+0.3063*I19^(1/6))^2+0.87*(M19/B19),(0.752+0.303*I19^(1/6))^2),0.3+SQRT((0.592*N19^0.5)^2+(0.0262*N19^0.8/(1-0.5/N19^0.1))^2))</f>
        <v>10343.693989421387</v>
      </c>
      <c r="P19" s="6">
        <f t="shared" si="5"/>
        <v>2.9510194925512497E-2</v>
      </c>
      <c r="Q19" s="6">
        <f t="shared" si="6"/>
        <v>5.5297903238709614</v>
      </c>
      <c r="R19" s="6">
        <f t="shared" si="7"/>
        <v>13.298524124372918</v>
      </c>
      <c r="S19" s="6">
        <f>IF($Y$2="按单位面积散热损失 qp",B19*LN(B19/首页!$B$4),LN(B19/首页!$B$4))</f>
        <v>3.1038638585346227E-2</v>
      </c>
      <c r="T19" s="6">
        <f>IF($Y$2="按单位面积散热损失 qp",2*PI()*首页!$B$8*((E19-D19)/$Y$3-1/R19),2*PI()*首页!$B$8*((E19-D19)/$Y$4-1/(PI()*B19*R19)))</f>
        <v>4.1038472714510311E-2</v>
      </c>
      <c r="U19" t="str">
        <f t="shared" si="8"/>
        <v>按单位面积散热损失 qp</v>
      </c>
      <c r="V19" s="6">
        <f t="shared" si="9"/>
        <v>9.9998341291640848E-3</v>
      </c>
    </row>
    <row r="20" spans="1:22" x14ac:dyDescent="0.15">
      <c r="A20">
        <v>15</v>
      </c>
      <c r="B20" s="6">
        <f>首页!$B$4+2*A20/1000</f>
        <v>0.15</v>
      </c>
      <c r="C20" s="6">
        <f>首页!$B$7+273.15</f>
        <v>388.15</v>
      </c>
      <c r="D20" s="6">
        <f>首页!$B$6+273.15</f>
        <v>293.14999999999998</v>
      </c>
      <c r="E20" s="6">
        <f>首页!$B$5+273.15</f>
        <v>1373.15</v>
      </c>
      <c r="F20" s="6">
        <f t="shared" si="0"/>
        <v>95</v>
      </c>
      <c r="G20" s="6">
        <f t="shared" si="1"/>
        <v>340.65</v>
      </c>
      <c r="H20" s="6">
        <f t="shared" si="2"/>
        <v>1.9926207055139041E-5</v>
      </c>
      <c r="I20" s="7">
        <f t="shared" si="3"/>
        <v>1158916576932337.8</v>
      </c>
      <c r="J20" s="6">
        <f t="shared" si="4"/>
        <v>1.0226038455893147</v>
      </c>
      <c r="K20" s="7">
        <f>J20*H20*首页!$B$12/P20</f>
        <v>0.69532757496605813</v>
      </c>
      <c r="L20" s="6">
        <f>首页!$B$9*0.0000000567*((C20^4-D20^4)/(C20-D20))</f>
        <v>7.7687338005019564</v>
      </c>
      <c r="M20" s="6">
        <f>IF(首页!$B$13="自然对流",IF(首页!$B$14="立式圆筒",首页!$B$10,PI()*B20/2),PI()*B20/2)</f>
        <v>55.2</v>
      </c>
      <c r="N20" s="7">
        <f>IF(首页!$B$13="强制对流",首页!$B$11*M20/H20,0)</f>
        <v>0</v>
      </c>
      <c r="O20" s="7">
        <f>IF(首页!$B$13="自然对流",IF(首页!$B$14="立式圆筒",(0.825+0.3063*I20^(1/6))^2+0.87*(M20/B20),(0.752+0.303*I20^(1/6))^2),0.3+SQRT((0.592*N20^0.5)^2+(0.0262*N20^0.8/(1-0.5/N20^0.1))^2))</f>
        <v>10339.3675029349</v>
      </c>
      <c r="P20" s="6">
        <f t="shared" si="5"/>
        <v>2.9510194925512497E-2</v>
      </c>
      <c r="Q20" s="6">
        <f t="shared" si="6"/>
        <v>5.5274773626470699</v>
      </c>
      <c r="R20" s="6">
        <f t="shared" si="7"/>
        <v>13.296211163149026</v>
      </c>
      <c r="S20" s="6">
        <f>IF($Y$2="按单位面积散热损失 qp",B20*LN(B20/首页!$B$4),LN(B20/首页!$B$4))</f>
        <v>3.3471532697131462E-2</v>
      </c>
      <c r="T20" s="6">
        <f>IF($Y$2="按单位面积散热损失 qp",2*PI()*首页!$B$8*((E20-D20)/$Y$3-1/R20),2*PI()*首页!$B$8*((E20-D20)/$Y$4-1/(PI()*B20*R20)))</f>
        <v>4.1034774182473213E-2</v>
      </c>
      <c r="U20" t="str">
        <f t="shared" si="8"/>
        <v>按单位面积散热损失 qp</v>
      </c>
      <c r="V20" s="6">
        <f t="shared" si="9"/>
        <v>7.5632414853417512E-3</v>
      </c>
    </row>
    <row r="21" spans="1:22" x14ac:dyDescent="0.15">
      <c r="A21">
        <v>16</v>
      </c>
      <c r="B21" s="6">
        <f>首页!$B$4+2*A21/1000</f>
        <v>0.152</v>
      </c>
      <c r="C21" s="6">
        <f>首页!$B$7+273.15</f>
        <v>388.15</v>
      </c>
      <c r="D21" s="6">
        <f>首页!$B$6+273.15</f>
        <v>293.14999999999998</v>
      </c>
      <c r="E21" s="6">
        <f>首页!$B$5+273.15</f>
        <v>1373.15</v>
      </c>
      <c r="F21" s="6">
        <f t="shared" si="0"/>
        <v>95</v>
      </c>
      <c r="G21" s="6">
        <f t="shared" si="1"/>
        <v>340.65</v>
      </c>
      <c r="H21" s="6">
        <f t="shared" si="2"/>
        <v>1.9926207055139041E-5</v>
      </c>
      <c r="I21" s="7">
        <f t="shared" si="3"/>
        <v>1158916576932337.8</v>
      </c>
      <c r="J21" s="6">
        <f t="shared" si="4"/>
        <v>1.0226038455893147</v>
      </c>
      <c r="K21" s="7">
        <f>J21*H21*首页!$B$12/P21</f>
        <v>0.69532757496605813</v>
      </c>
      <c r="L21" s="6">
        <f>首页!$B$9*0.0000000567*((C21^4-D21^4)/(C21-D21))</f>
        <v>7.7687338005019564</v>
      </c>
      <c r="M21" s="6">
        <f>IF(首页!$B$13="自然对流",IF(首页!$B$14="立式圆筒",首页!$B$10,PI()*B21/2),PI()*B21/2)</f>
        <v>55.2</v>
      </c>
      <c r="N21" s="7">
        <f>IF(首页!$B$13="强制对流",首页!$B$11*M21/H21,0)</f>
        <v>0</v>
      </c>
      <c r="O21" s="7">
        <f>IF(首页!$B$13="自然对流",IF(首页!$B$14="立式圆筒",(0.825+0.3063*I21^(1/6))^2+0.87*(M21/B21),(0.752+0.303*I21^(1/6))^2),0.3+SQRT((0.592*N21^0.5)^2+(0.0262*N21^0.8/(1-0.5/N21^0.1))^2))</f>
        <v>10335.154871355953</v>
      </c>
      <c r="P21" s="6">
        <f t="shared" si="5"/>
        <v>2.9510194925512497E-2</v>
      </c>
      <c r="Q21" s="6">
        <f t="shared" si="6"/>
        <v>5.5252252688238084</v>
      </c>
      <c r="R21" s="6">
        <f t="shared" si="7"/>
        <v>13.293959069325766</v>
      </c>
      <c r="S21" s="6">
        <f>IF($Y$2="按单位面积散热损失 qp",B21*LN(B21/首页!$B$4),LN(B21/首页!$B$4))</f>
        <v>3.5931094265763013E-2</v>
      </c>
      <c r="T21" s="6">
        <f>IF($Y$2="按单位面积散热损失 qp",2*PI()*首页!$B$8*((E21-D21)/$Y$3-1/R21),2*PI()*首页!$B$8*((E21-D21)/$Y$4-1/(PI()*B21*R21)))</f>
        <v>4.1031171743598223E-2</v>
      </c>
      <c r="U21" t="str">
        <f t="shared" si="8"/>
        <v>按单位面积散热损失 qp</v>
      </c>
      <c r="V21" s="6">
        <f t="shared" si="9"/>
        <v>5.1000774778352104E-3</v>
      </c>
    </row>
    <row r="22" spans="1:22" x14ac:dyDescent="0.15">
      <c r="A22">
        <v>17</v>
      </c>
      <c r="B22" s="6">
        <f>首页!$B$4+2*A22/1000</f>
        <v>0.154</v>
      </c>
      <c r="C22" s="6">
        <f>首页!$B$7+273.15</f>
        <v>388.15</v>
      </c>
      <c r="D22" s="6">
        <f>首页!$B$6+273.15</f>
        <v>293.14999999999998</v>
      </c>
      <c r="E22" s="6">
        <f>首页!$B$5+273.15</f>
        <v>1373.15</v>
      </c>
      <c r="F22" s="6">
        <f t="shared" si="0"/>
        <v>95</v>
      </c>
      <c r="G22" s="6">
        <f t="shared" si="1"/>
        <v>340.65</v>
      </c>
      <c r="H22" s="6">
        <f t="shared" si="2"/>
        <v>1.9926207055139041E-5</v>
      </c>
      <c r="I22" s="7">
        <f t="shared" si="3"/>
        <v>1158916576932337.8</v>
      </c>
      <c r="J22" s="6">
        <f t="shared" si="4"/>
        <v>1.0226038455893147</v>
      </c>
      <c r="K22" s="7">
        <f>J22*H22*首页!$B$12/P22</f>
        <v>0.69532757496605813</v>
      </c>
      <c r="L22" s="6">
        <f>首页!$B$9*0.0000000567*((C22^4-D22^4)/(C22-D22))</f>
        <v>7.7687338005019564</v>
      </c>
      <c r="M22" s="6">
        <f>IF(首页!$B$13="自然对流",IF(首页!$B$14="立式圆筒",首页!$B$10,PI()*B22/2),PI()*B22/2)</f>
        <v>55.2</v>
      </c>
      <c r="N22" s="7">
        <f>IF(首页!$B$13="强制对流",首页!$B$11*M22/H22,0)</f>
        <v>0</v>
      </c>
      <c r="O22" s="7">
        <f>IF(首页!$B$13="自然对流",IF(首页!$B$14="立式圆筒",(0.825+0.3063*I22^(1/6))^2+0.87*(M22/B22),(0.752+0.303*I22^(1/6))^2),0.3+SQRT((0.592*N22^0.5)^2+(0.0262*N22^0.8/(1-0.5/N22^0.1))^2))</f>
        <v>10331.051658779055</v>
      </c>
      <c r="P22" s="6">
        <f t="shared" si="5"/>
        <v>2.9510194925512497E-2</v>
      </c>
      <c r="Q22" s="6">
        <f t="shared" si="6"/>
        <v>5.5230316709440066</v>
      </c>
      <c r="R22" s="6">
        <f t="shared" si="7"/>
        <v>13.291765471445963</v>
      </c>
      <c r="S22" s="6">
        <f>IF($Y$2="按单位面积散热损失 qp",B22*LN(B22/首页!$B$4),LN(B22/首页!$B$4))</f>
        <v>3.8416972383263817E-2</v>
      </c>
      <c r="T22" s="6">
        <f>IF($Y$2="按单位面积散热损失 qp",2*PI()*首页!$B$8*((E22-D22)/$Y$3-1/R22),2*PI()*首页!$B$8*((E22-D22)/$Y$4-1/(PI()*B22*R22)))</f>
        <v>4.1027661700954059E-2</v>
      </c>
      <c r="U22" t="str">
        <f t="shared" si="8"/>
        <v>按单位面积散热损失 qp</v>
      </c>
      <c r="V22" s="6">
        <f t="shared" si="9"/>
        <v>2.6106893176902415E-3</v>
      </c>
    </row>
    <row r="23" spans="1:22" x14ac:dyDescent="0.15">
      <c r="A23">
        <v>18</v>
      </c>
      <c r="B23" s="6">
        <f>首页!$B$4+2*A23/1000</f>
        <v>0.156</v>
      </c>
      <c r="C23" s="6">
        <f>首页!$B$7+273.15</f>
        <v>388.15</v>
      </c>
      <c r="D23" s="6">
        <f>首页!$B$6+273.15</f>
        <v>293.14999999999998</v>
      </c>
      <c r="E23" s="6">
        <f>首页!$B$5+273.15</f>
        <v>1373.15</v>
      </c>
      <c r="F23" s="6">
        <f t="shared" si="0"/>
        <v>95</v>
      </c>
      <c r="G23" s="6">
        <f t="shared" si="1"/>
        <v>340.65</v>
      </c>
      <c r="H23" s="6">
        <f t="shared" si="2"/>
        <v>1.9926207055139041E-5</v>
      </c>
      <c r="I23" s="7">
        <f t="shared" si="3"/>
        <v>1158916576932337.8</v>
      </c>
      <c r="J23" s="6">
        <f t="shared" si="4"/>
        <v>1.0226038455893147</v>
      </c>
      <c r="K23" s="7">
        <f>J23*H23*首页!$B$12/P23</f>
        <v>0.69532757496605813</v>
      </c>
      <c r="L23" s="6">
        <f>首页!$B$9*0.0000000567*((C23^4-D23^4)/(C23-D23))</f>
        <v>7.7687338005019564</v>
      </c>
      <c r="M23" s="6">
        <f>IF(首页!$B$13="自然对流",IF(首页!$B$14="立式圆筒",首页!$B$10,PI()*B23/2),PI()*B23/2)</f>
        <v>55.2</v>
      </c>
      <c r="N23" s="7">
        <f>IF(首页!$B$13="强制对流",首页!$B$11*M23/H23,0)</f>
        <v>0</v>
      </c>
      <c r="O23" s="7">
        <f>IF(首页!$B$13="自然对流",IF(首页!$B$14="立式圆筒",(0.825+0.3063*I23^(1/6))^2+0.87*(M23/B23),(0.752+0.303*I23^(1/6))^2),0.3+SQRT((0.592*N23^0.5)^2+(0.0262*N23^0.8/(1-0.5/N23^0.1))^2))</f>
        <v>10327.053656781054</v>
      </c>
      <c r="P23" s="6">
        <f t="shared" si="5"/>
        <v>2.9510194925512497E-2</v>
      </c>
      <c r="Q23" s="6">
        <f t="shared" si="6"/>
        <v>5.5208943191636868</v>
      </c>
      <c r="R23" s="6">
        <f t="shared" si="7"/>
        <v>13.289628119665643</v>
      </c>
      <c r="S23" s="6">
        <f>IF($Y$2="按单位面积散热损失 qp",B23*LN(B23/首页!$B$4),LN(B23/首页!$B$4))</f>
        <v>4.0928825256928605E-2</v>
      </c>
      <c r="T23" s="6">
        <f>IF($Y$2="按单位面积散热损失 qp",2*PI()*首页!$B$8*((E23-D23)/$Y$3-1/R23),2*PI()*首页!$B$8*((E23-D23)/$Y$4-1/(PI()*B23*R23)))</f>
        <v>4.1024240544847872E-2</v>
      </c>
      <c r="U23" t="str">
        <f t="shared" si="8"/>
        <v>按单位面积散热损失 qp</v>
      </c>
      <c r="V23" s="6">
        <f t="shared" si="9"/>
        <v>9.5415287919266289E-5</v>
      </c>
    </row>
    <row r="24" spans="1:22" x14ac:dyDescent="0.15">
      <c r="A24">
        <v>19</v>
      </c>
      <c r="B24" s="6">
        <f>首页!$B$4+2*A24/1000</f>
        <v>0.158</v>
      </c>
      <c r="C24" s="6">
        <f>首页!$B$7+273.15</f>
        <v>388.15</v>
      </c>
      <c r="D24" s="6">
        <f>首页!$B$6+273.15</f>
        <v>293.14999999999998</v>
      </c>
      <c r="E24" s="6">
        <f>首页!$B$5+273.15</f>
        <v>1373.15</v>
      </c>
      <c r="F24" s="6">
        <f t="shared" si="0"/>
        <v>95</v>
      </c>
      <c r="G24" s="6">
        <f t="shared" si="1"/>
        <v>340.65</v>
      </c>
      <c r="H24" s="6">
        <f t="shared" si="2"/>
        <v>1.9926207055139041E-5</v>
      </c>
      <c r="I24" s="7">
        <f t="shared" si="3"/>
        <v>1158916576932337.8</v>
      </c>
      <c r="J24" s="6">
        <f t="shared" si="4"/>
        <v>1.0226038455893147</v>
      </c>
      <c r="K24" s="7">
        <f>J24*H24*首页!$B$12/P24</f>
        <v>0.69532757496605813</v>
      </c>
      <c r="L24" s="6">
        <f>首页!$B$9*0.0000000567*((C24^4-D24^4)/(C24-D24))</f>
        <v>7.7687338005019564</v>
      </c>
      <c r="M24" s="6">
        <f>IF(首页!$B$13="自然对流",IF(首页!$B$14="立式圆筒",首页!$B$10,PI()*B24/2),PI()*B24/2)</f>
        <v>55.2</v>
      </c>
      <c r="N24" s="7">
        <f>IF(首页!$B$13="强制对流",首页!$B$11*M24/H24,0)</f>
        <v>0</v>
      </c>
      <c r="O24" s="7">
        <f>IF(首页!$B$13="自然对流",IF(首页!$B$14="立式圆筒",(0.825+0.3063*I24^(1/6))^2+0.87*(M24/B24),(0.752+0.303*I24^(1/6))^2),0.3+SQRT((0.592*N24^0.5)^2+(0.0262*N24^0.8/(1-0.5/N24^0.1))^2))</f>
        <v>10323.156870023508</v>
      </c>
      <c r="P24" s="6">
        <f t="shared" si="5"/>
        <v>2.9510194925512497E-2</v>
      </c>
      <c r="Q24" s="6">
        <f t="shared" si="6"/>
        <v>5.5188110775550205</v>
      </c>
      <c r="R24" s="6">
        <f t="shared" si="7"/>
        <v>13.287544878056977</v>
      </c>
      <c r="S24" s="6">
        <f>IF($Y$2="按单位面积散热损失 qp",B24*LN(B24/首页!$B$4),LN(B24/首页!$B$4))</f>
        <v>4.3466319858697484E-2</v>
      </c>
      <c r="T24" s="6">
        <f>IF($Y$2="按单位面积散热损失 qp",2*PI()*首页!$B$8*((E24-D24)/$Y$3-1/R24),2*PI()*首页!$B$8*((E24-D24)/$Y$4-1/(PI()*B24*R24)))</f>
        <v>4.1020904941119582E-2</v>
      </c>
      <c r="U24" t="str">
        <f t="shared" si="8"/>
        <v>按单位面积散热损失 qp</v>
      </c>
      <c r="V24" s="6">
        <f t="shared" si="9"/>
        <v>2.4454149175779025E-3</v>
      </c>
    </row>
    <row r="25" spans="1:22" x14ac:dyDescent="0.15">
      <c r="A25">
        <v>20</v>
      </c>
      <c r="B25" s="6">
        <f>首页!$B$4+2*A25/1000</f>
        <v>0.16</v>
      </c>
      <c r="C25" s="6">
        <f>首页!$B$7+273.15</f>
        <v>388.15</v>
      </c>
      <c r="D25" s="6">
        <f>首页!$B$6+273.15</f>
        <v>293.14999999999998</v>
      </c>
      <c r="E25" s="6">
        <f>首页!$B$5+273.15</f>
        <v>1373.15</v>
      </c>
      <c r="F25" s="6">
        <f t="shared" si="0"/>
        <v>95</v>
      </c>
      <c r="G25" s="6">
        <f t="shared" si="1"/>
        <v>340.65</v>
      </c>
      <c r="H25" s="6">
        <f t="shared" si="2"/>
        <v>1.9926207055139041E-5</v>
      </c>
      <c r="I25" s="7">
        <f t="shared" si="3"/>
        <v>1158916576932337.8</v>
      </c>
      <c r="J25" s="6">
        <f t="shared" si="4"/>
        <v>1.0226038455893147</v>
      </c>
      <c r="K25" s="7">
        <f>J25*H25*首页!$B$12/P25</f>
        <v>0.69532757496605813</v>
      </c>
      <c r="L25" s="6">
        <f>首页!$B$9*0.0000000567*((C25^4-D25^4)/(C25-D25))</f>
        <v>7.7687338005019564</v>
      </c>
      <c r="M25" s="6">
        <f>IF(首页!$B$13="自然对流",IF(首页!$B$14="立式圆筒",首页!$B$10,PI()*B25/2),PI()*B25/2)</f>
        <v>55.2</v>
      </c>
      <c r="N25" s="7">
        <f>IF(首页!$B$13="强制对流",首页!$B$11*M25/H25,0)</f>
        <v>0</v>
      </c>
      <c r="O25" s="7">
        <f>IF(首页!$B$13="自然对流",IF(首页!$B$14="立式圆筒",(0.825+0.3063*I25^(1/6))^2+0.87*(M25/B25),(0.752+0.303*I25^(1/6))^2),0.3+SQRT((0.592*N25^0.5)^2+(0.0262*N25^0.8/(1-0.5/N25^0.1))^2))</f>
        <v>10319.357502934899</v>
      </c>
      <c r="P25" s="6">
        <f t="shared" si="5"/>
        <v>2.9510194925512497E-2</v>
      </c>
      <c r="Q25" s="6">
        <f t="shared" si="6"/>
        <v>5.5167799169865717</v>
      </c>
      <c r="R25" s="6">
        <f t="shared" si="7"/>
        <v>13.285513717488527</v>
      </c>
      <c r="S25" s="6">
        <f>IF($Y$2="按单位面积散热损失 qp",B25*LN(B25/首页!$B$4),LN(B25/首页!$B$4))</f>
        <v>4.6029131592284965E-2</v>
      </c>
      <c r="T25" s="6">
        <f>IF($Y$2="按单位面积散热损失 qp",2*PI()*首页!$B$8*((E25-D25)/$Y$3-1/R25),2*PI()*首页!$B$8*((E25-D25)/$Y$4-1/(PI()*B25*R25)))</f>
        <v>4.1017651720303652E-2</v>
      </c>
      <c r="U25" t="str">
        <f t="shared" si="8"/>
        <v>按单位面积散热损失 qp</v>
      </c>
      <c r="V25" s="6">
        <f t="shared" si="9"/>
        <v>5.0114798719813128E-3</v>
      </c>
    </row>
    <row r="26" spans="1:22" x14ac:dyDescent="0.15">
      <c r="A26">
        <v>21</v>
      </c>
      <c r="B26" s="6">
        <f>首页!$B$4+2*A26/1000</f>
        <v>0.16200000000000001</v>
      </c>
      <c r="C26" s="6">
        <f>首页!$B$7+273.15</f>
        <v>388.15</v>
      </c>
      <c r="D26" s="6">
        <f>首页!$B$6+273.15</f>
        <v>293.14999999999998</v>
      </c>
      <c r="E26" s="6">
        <f>首页!$B$5+273.15</f>
        <v>1373.15</v>
      </c>
      <c r="F26" s="6">
        <f t="shared" si="0"/>
        <v>95</v>
      </c>
      <c r="G26" s="6">
        <f t="shared" si="1"/>
        <v>340.65</v>
      </c>
      <c r="H26" s="6">
        <f t="shared" si="2"/>
        <v>1.9926207055139041E-5</v>
      </c>
      <c r="I26" s="7">
        <f t="shared" si="3"/>
        <v>1158916576932337.8</v>
      </c>
      <c r="J26" s="6">
        <f t="shared" si="4"/>
        <v>1.0226038455893147</v>
      </c>
      <c r="K26" s="7">
        <f>J26*H26*首页!$B$12/P26</f>
        <v>0.69532757496605813</v>
      </c>
      <c r="L26" s="6">
        <f>首页!$B$9*0.0000000567*((C26^4-D26^4)/(C26-D26))</f>
        <v>7.7687338005019564</v>
      </c>
      <c r="M26" s="6">
        <f>IF(首页!$B$13="自然对流",IF(首页!$B$14="立式圆筒",首页!$B$10,PI()*B26/2),PI()*B26/2)</f>
        <v>55.2</v>
      </c>
      <c r="N26" s="7">
        <f>IF(首页!$B$13="强制对流",首页!$B$11*M26/H26,0)</f>
        <v>0</v>
      </c>
      <c r="O26" s="7">
        <f>IF(首页!$B$13="自然对流",IF(首页!$B$14="立式圆筒",(0.825+0.3063*I26^(1/6))^2+0.87*(M26/B26),(0.752+0.303*I26^(1/6))^2),0.3+SQRT((0.592*N26^0.5)^2+(0.0262*N26^0.8/(1-0.5/N26^0.1))^2))</f>
        <v>10315.651947379345</v>
      </c>
      <c r="P26" s="6">
        <f t="shared" si="5"/>
        <v>2.9510194925512497E-2</v>
      </c>
      <c r="Q26" s="6">
        <f t="shared" si="6"/>
        <v>5.514798908530925</v>
      </c>
      <c r="R26" s="6">
        <f t="shared" si="7"/>
        <v>13.283532709032881</v>
      </c>
      <c r="S26" s="6">
        <f>IF($Y$2="按单位面积散热损失 qp",B26*LN(B26/首页!$B$4),LN(B26/首页!$B$4))</f>
        <v>4.8616943976954784E-2</v>
      </c>
      <c r="T26" s="6">
        <f>IF($Y$2="按单位面积散热损失 qp",2*PI()*首页!$B$8*((E26-D26)/$Y$3-1/R26),2*PI()*首页!$B$8*((E26-D26)/$Y$4-1/(PI()*B26*R26)))</f>
        <v>4.101447786758404E-2</v>
      </c>
      <c r="U26" t="str">
        <f t="shared" si="8"/>
        <v>按单位面积散热损失 qp</v>
      </c>
      <c r="V26" s="6">
        <f t="shared" si="9"/>
        <v>7.6024661093707438E-3</v>
      </c>
    </row>
    <row r="27" spans="1:22" x14ac:dyDescent="0.15">
      <c r="A27">
        <v>22</v>
      </c>
      <c r="B27" s="6">
        <f>首页!$B$4+2*A27/1000</f>
        <v>0.16399999999999998</v>
      </c>
      <c r="C27" s="6">
        <f>首页!$B$7+273.15</f>
        <v>388.15</v>
      </c>
      <c r="D27" s="6">
        <f>首页!$B$6+273.15</f>
        <v>293.14999999999998</v>
      </c>
      <c r="E27" s="6">
        <f>首页!$B$5+273.15</f>
        <v>1373.15</v>
      </c>
      <c r="F27" s="6">
        <f t="shared" si="0"/>
        <v>95</v>
      </c>
      <c r="G27" s="6">
        <f t="shared" si="1"/>
        <v>340.65</v>
      </c>
      <c r="H27" s="6">
        <f t="shared" si="2"/>
        <v>1.9926207055139041E-5</v>
      </c>
      <c r="I27" s="7">
        <f t="shared" si="3"/>
        <v>1158916576932337.8</v>
      </c>
      <c r="J27" s="6">
        <f t="shared" si="4"/>
        <v>1.0226038455893147</v>
      </c>
      <c r="K27" s="7">
        <f>J27*H27*首页!$B$12/P27</f>
        <v>0.69532757496605813</v>
      </c>
      <c r="L27" s="6">
        <f>首页!$B$9*0.0000000567*((C27^4-D27^4)/(C27-D27))</f>
        <v>7.7687338005019564</v>
      </c>
      <c r="M27" s="6">
        <f>IF(首页!$B$13="自然对流",IF(首页!$B$14="立式圆筒",首页!$B$10,PI()*B27/2),PI()*B27/2)</f>
        <v>55.2</v>
      </c>
      <c r="N27" s="7">
        <f>IF(首页!$B$13="强制对流",首页!$B$11*M27/H27,0)</f>
        <v>0</v>
      </c>
      <c r="O27" s="7">
        <f>IF(首页!$B$13="自然对流",IF(首页!$B$14="立式圆筒",(0.825+0.3063*I27^(1/6))^2+0.87*(M27/B27),(0.752+0.303*I27^(1/6))^2),0.3+SQRT((0.592*N27^0.5)^2+(0.0262*N27^0.8/(1-0.5/N27^0.1))^2))</f>
        <v>10312.036771227582</v>
      </c>
      <c r="P27" s="6">
        <f t="shared" si="5"/>
        <v>2.9510194925512497E-2</v>
      </c>
      <c r="Q27" s="6">
        <f t="shared" si="6"/>
        <v>5.5128662173546816</v>
      </c>
      <c r="R27" s="6">
        <f t="shared" si="7"/>
        <v>13.281600017856638</v>
      </c>
      <c r="S27" s="6">
        <f>IF($Y$2="按单位面积散热损失 qp",B27*LN(B27/首页!$B$4),LN(B27/首页!$B$4))</f>
        <v>5.1229448346912967E-2</v>
      </c>
      <c r="T27" s="6">
        <f>IF($Y$2="按单位面积散热损失 qp",2*PI()*首页!$B$8*((E27-D27)/$Y$3-1/R27),2*PI()*首页!$B$8*((E27-D27)/$Y$4-1/(PI()*B27*R27)))</f>
        <v>4.1011380513475429E-2</v>
      </c>
      <c r="U27" t="str">
        <f t="shared" si="8"/>
        <v>按单位面积散热损失 qp</v>
      </c>
      <c r="V27" s="6">
        <f t="shared" si="9"/>
        <v>1.0218067833437539E-2</v>
      </c>
    </row>
    <row r="28" spans="1:22" x14ac:dyDescent="0.15">
      <c r="A28">
        <v>23</v>
      </c>
      <c r="B28" s="6">
        <f>首页!$B$4+2*A28/1000</f>
        <v>0.16599999999999998</v>
      </c>
      <c r="C28" s="6">
        <f>首页!$B$7+273.15</f>
        <v>388.15</v>
      </c>
      <c r="D28" s="6">
        <f>首页!$B$6+273.15</f>
        <v>293.14999999999998</v>
      </c>
      <c r="E28" s="6">
        <f>首页!$B$5+273.15</f>
        <v>1373.15</v>
      </c>
      <c r="F28" s="6">
        <f t="shared" si="0"/>
        <v>95</v>
      </c>
      <c r="G28" s="6">
        <f t="shared" si="1"/>
        <v>340.65</v>
      </c>
      <c r="H28" s="6">
        <f t="shared" si="2"/>
        <v>1.9926207055139041E-5</v>
      </c>
      <c r="I28" s="7">
        <f t="shared" si="3"/>
        <v>1158916576932337.8</v>
      </c>
      <c r="J28" s="6">
        <f t="shared" si="4"/>
        <v>1.0226038455893147</v>
      </c>
      <c r="K28" s="7">
        <f>J28*H28*首页!$B$12/P28</f>
        <v>0.69532757496605813</v>
      </c>
      <c r="L28" s="6">
        <f>首页!$B$9*0.0000000567*((C28^4-D28^4)/(C28-D28))</f>
        <v>7.7687338005019564</v>
      </c>
      <c r="M28" s="6">
        <f>IF(首页!$B$13="自然对流",IF(首页!$B$14="立式圆筒",首页!$B$10,PI()*B28/2),PI()*B28/2)</f>
        <v>55.2</v>
      </c>
      <c r="N28" s="7">
        <f>IF(首页!$B$13="强制对流",首页!$B$11*M28/H28,0)</f>
        <v>0</v>
      </c>
      <c r="O28" s="7">
        <f>IF(首页!$B$13="自然对流",IF(首页!$B$14="立式圆筒",(0.825+0.3063*I28^(1/6))^2+0.87*(M28/B28),(0.752+0.303*I28^(1/6))^2),0.3+SQRT((0.592*N28^0.5)^2+(0.0262*N28^0.8/(1-0.5/N28^0.1))^2))</f>
        <v>10308.508707754178</v>
      </c>
      <c r="P28" s="6">
        <f t="shared" si="5"/>
        <v>2.9510194925512497E-2</v>
      </c>
      <c r="Q28" s="6">
        <f t="shared" si="6"/>
        <v>5.5109800970501581</v>
      </c>
      <c r="R28" s="6">
        <f t="shared" si="7"/>
        <v>13.279713897552114</v>
      </c>
      <c r="S28" s="6">
        <f>IF($Y$2="按单位面积散热损失 qp",B28*LN(B28/首页!$B$4),LN(B28/首页!$B$4))</f>
        <v>5.3866343565366535E-2</v>
      </c>
      <c r="T28" s="6">
        <f>IF($Y$2="按单位面积散热损失 qp",2*PI()*首页!$B$8*((E28-D28)/$Y$3-1/R28),2*PI()*首页!$B$8*((E28-D28)/$Y$4-1/(PI()*B28*R28)))</f>
        <v>4.1008356925170429E-2</v>
      </c>
      <c r="U28" t="str">
        <f t="shared" si="8"/>
        <v>按单位面积散热损失 qp</v>
      </c>
      <c r="V28" s="6">
        <f t="shared" si="9"/>
        <v>1.2857986640196106E-2</v>
      </c>
    </row>
    <row r="29" spans="1:22" x14ac:dyDescent="0.15">
      <c r="A29">
        <v>24</v>
      </c>
      <c r="B29" s="6">
        <f>首页!$B$4+2*A29/1000</f>
        <v>0.16799999999999998</v>
      </c>
      <c r="C29" s="6">
        <f>首页!$B$7+273.15</f>
        <v>388.15</v>
      </c>
      <c r="D29" s="6">
        <f>首页!$B$6+273.15</f>
        <v>293.14999999999998</v>
      </c>
      <c r="E29" s="6">
        <f>首页!$B$5+273.15</f>
        <v>1373.15</v>
      </c>
      <c r="F29" s="6">
        <f t="shared" si="0"/>
        <v>95</v>
      </c>
      <c r="G29" s="6">
        <f t="shared" si="1"/>
        <v>340.65</v>
      </c>
      <c r="H29" s="6">
        <f t="shared" si="2"/>
        <v>1.9926207055139041E-5</v>
      </c>
      <c r="I29" s="7">
        <f t="shared" si="3"/>
        <v>1158916576932337.8</v>
      </c>
      <c r="J29" s="6">
        <f t="shared" si="4"/>
        <v>1.0226038455893147</v>
      </c>
      <c r="K29" s="7">
        <f>J29*H29*首页!$B$12/P29</f>
        <v>0.69532757496605813</v>
      </c>
      <c r="L29" s="6">
        <f>首页!$B$9*0.0000000567*((C29^4-D29^4)/(C29-D29))</f>
        <v>7.7687338005019564</v>
      </c>
      <c r="M29" s="6">
        <f>IF(首页!$B$13="自然对流",IF(首页!$B$14="立式圆筒",首页!$B$10,PI()*B29/2),PI()*B29/2)</f>
        <v>55.2</v>
      </c>
      <c r="N29" s="7">
        <f>IF(首页!$B$13="强制对流",首页!$B$11*M29/H29,0)</f>
        <v>0</v>
      </c>
      <c r="O29" s="7">
        <f>IF(首页!$B$13="自然对流",IF(首页!$B$14="立式圆筒",(0.825+0.3063*I29^(1/6))^2+0.87*(M29/B29),(0.752+0.303*I29^(1/6))^2),0.3+SQRT((0.592*N29^0.5)^2+(0.0262*N29^0.8/(1-0.5/N29^0.1))^2))</f>
        <v>10305.064645792043</v>
      </c>
      <c r="P29" s="6">
        <f t="shared" si="5"/>
        <v>2.9510194925512497E-2</v>
      </c>
      <c r="Q29" s="6">
        <f t="shared" si="6"/>
        <v>5.5091388843719304</v>
      </c>
      <c r="R29" s="6">
        <f t="shared" si="7"/>
        <v>13.277872684873888</v>
      </c>
      <c r="S29" s="6">
        <f>IF($Y$2="按单位面积散热损失 qp",B29*LN(B29/首页!$B$4),LN(B29/首页!$B$4))</f>
        <v>5.652733575236376E-2</v>
      </c>
      <c r="T29" s="6">
        <f>IF($Y$2="按单位面积散热损失 qp",2*PI()*首页!$B$8*((E29-D29)/$Y$3-1/R29),2*PI()*首页!$B$8*((E29-D29)/$Y$4-1/(PI()*B29*R29)))</f>
        <v>4.100540449849753E-2</v>
      </c>
      <c r="U29" t="str">
        <f t="shared" si="8"/>
        <v>按单位面积散热损失 qp</v>
      </c>
      <c r="V29" s="6">
        <f t="shared" si="9"/>
        <v>1.5521931253866229E-2</v>
      </c>
    </row>
    <row r="30" spans="1:22" x14ac:dyDescent="0.15">
      <c r="A30">
        <v>25</v>
      </c>
      <c r="B30" s="6">
        <f>首页!$B$4+2*A30/1000</f>
        <v>0.16999999999999998</v>
      </c>
      <c r="C30" s="6">
        <f>首页!$B$7+273.15</f>
        <v>388.15</v>
      </c>
      <c r="D30" s="6">
        <f>首页!$B$6+273.15</f>
        <v>293.14999999999998</v>
      </c>
      <c r="E30" s="6">
        <f>首页!$B$5+273.15</f>
        <v>1373.15</v>
      </c>
      <c r="F30" s="6">
        <f t="shared" si="0"/>
        <v>95</v>
      </c>
      <c r="G30" s="6">
        <f t="shared" si="1"/>
        <v>340.65</v>
      </c>
      <c r="H30" s="6">
        <f t="shared" si="2"/>
        <v>1.9926207055139041E-5</v>
      </c>
      <c r="I30" s="7">
        <f t="shared" si="3"/>
        <v>1158916576932337.8</v>
      </c>
      <c r="J30" s="6">
        <f t="shared" si="4"/>
        <v>1.0226038455893147</v>
      </c>
      <c r="K30" s="7">
        <f>J30*H30*首页!$B$12/P30</f>
        <v>0.69532757496605813</v>
      </c>
      <c r="L30" s="6">
        <f>首页!$B$9*0.0000000567*((C30^4-D30^4)/(C30-D30))</f>
        <v>7.7687338005019564</v>
      </c>
      <c r="M30" s="6">
        <f>IF(首页!$B$13="自然对流",IF(首页!$B$14="立式圆筒",首页!$B$10,PI()*B30/2),PI()*B30/2)</f>
        <v>55.2</v>
      </c>
      <c r="N30" s="7">
        <f>IF(首页!$B$13="强制对流",首页!$B$11*M30/H30,0)</f>
        <v>0</v>
      </c>
      <c r="O30" s="7">
        <f>IF(首页!$B$13="自然对流",IF(首页!$B$14="立式圆筒",(0.825+0.3063*I30^(1/6))^2+0.87*(M30/B30),(0.752+0.303*I30^(1/6))^2),0.3+SQRT((0.592*N30^0.5)^2+(0.0262*N30^0.8/(1-0.5/N30^0.1))^2))</f>
        <v>10301.701620581958</v>
      </c>
      <c r="P30" s="6">
        <f t="shared" si="5"/>
        <v>2.9510194925512497E-2</v>
      </c>
      <c r="Q30" s="6">
        <f t="shared" si="6"/>
        <v>5.5073409943449558</v>
      </c>
      <c r="R30" s="6">
        <f t="shared" si="7"/>
        <v>13.276074794846913</v>
      </c>
      <c r="S30" s="6">
        <f>IF($Y$2="按单位面积散热损失 qp",B30*LN(B30/首页!$B$4),LN(B30/首页!$B$4))</f>
        <v>5.9212138025596654E-2</v>
      </c>
      <c r="T30" s="6">
        <f>IF($Y$2="按单位面积散热损失 qp",2*PI()*首页!$B$8*((E30-D30)/$Y$3-1/R30),2*PI()*首页!$B$8*((E30-D30)/$Y$4-1/(PI()*B30*R30)))</f>
        <v>4.1002520750440412E-2</v>
      </c>
      <c r="U30" t="str">
        <f t="shared" si="8"/>
        <v>按单位面积散热损失 qp</v>
      </c>
      <c r="V30" s="6">
        <f t="shared" si="9"/>
        <v>1.8209617275156242E-2</v>
      </c>
    </row>
    <row r="31" spans="1:22" x14ac:dyDescent="0.15">
      <c r="A31">
        <v>26</v>
      </c>
      <c r="B31" s="6">
        <f>首页!$B$4+2*A31/1000</f>
        <v>0.17199999999999999</v>
      </c>
      <c r="C31" s="6">
        <f>首页!$B$7+273.15</f>
        <v>388.15</v>
      </c>
      <c r="D31" s="6">
        <f>首页!$B$6+273.15</f>
        <v>293.14999999999998</v>
      </c>
      <c r="E31" s="6">
        <f>首页!$B$5+273.15</f>
        <v>1373.15</v>
      </c>
      <c r="F31" s="6">
        <f t="shared" si="0"/>
        <v>95</v>
      </c>
      <c r="G31" s="6">
        <f t="shared" si="1"/>
        <v>340.65</v>
      </c>
      <c r="H31" s="6">
        <f t="shared" si="2"/>
        <v>1.9926207055139041E-5</v>
      </c>
      <c r="I31" s="7">
        <f t="shared" si="3"/>
        <v>1158916576932337.8</v>
      </c>
      <c r="J31" s="6">
        <f t="shared" si="4"/>
        <v>1.0226038455893147</v>
      </c>
      <c r="K31" s="7">
        <f>J31*H31*首页!$B$12/P31</f>
        <v>0.69532757496605813</v>
      </c>
      <c r="L31" s="6">
        <f>首页!$B$9*0.0000000567*((C31^4-D31^4)/(C31-D31))</f>
        <v>7.7687338005019564</v>
      </c>
      <c r="M31" s="6">
        <f>IF(首页!$B$13="自然对流",IF(首页!$B$14="立式圆筒",首页!$B$10,PI()*B31/2),PI()*B31/2)</f>
        <v>55.2</v>
      </c>
      <c r="N31" s="7">
        <f>IF(首页!$B$13="强制对流",首页!$B$11*M31/H31,0)</f>
        <v>0</v>
      </c>
      <c r="O31" s="7">
        <f>IF(首页!$B$13="自然对流",IF(首页!$B$14="立式圆筒",(0.825+0.3063*I31^(1/6))^2+0.87*(M31/B31),(0.752+0.303*I31^(1/6))^2),0.3+SQRT((0.592*N31^0.5)^2+(0.0262*N31^0.8/(1-0.5/N31^0.1))^2))</f>
        <v>10298.416805260482</v>
      </c>
      <c r="P31" s="6">
        <f t="shared" si="5"/>
        <v>2.9510194925512497E-2</v>
      </c>
      <c r="Q31" s="6">
        <f t="shared" si="6"/>
        <v>5.5055849157139578</v>
      </c>
      <c r="R31" s="6">
        <f t="shared" si="7"/>
        <v>13.274318716215914</v>
      </c>
      <c r="S31" s="6">
        <f>IF($Y$2="按单位面积散热损失 qp",B31*LN(B31/首页!$B$4),LN(B31/首页!$B$4))</f>
        <v>6.1920470253402006E-2</v>
      </c>
      <c r="T31" s="6">
        <f>IF($Y$2="按单位面积散热损失 qp",2*PI()*首页!$B$8*((E31-D31)/$Y$3-1/R31),2*PI()*首页!$B$8*((E31-D31)/$Y$4-1/(PI()*B31*R31)))</f>
        <v>4.0999703312173272E-2</v>
      </c>
      <c r="U31" t="str">
        <f t="shared" si="8"/>
        <v>按单位面积散热损失 qp</v>
      </c>
      <c r="V31" s="6">
        <f t="shared" si="9"/>
        <v>2.0920766941228734E-2</v>
      </c>
    </row>
    <row r="32" spans="1:22" x14ac:dyDescent="0.15">
      <c r="A32">
        <v>27</v>
      </c>
      <c r="B32" s="6">
        <f>首页!$B$4+2*A32/1000</f>
        <v>0.17399999999999999</v>
      </c>
      <c r="C32" s="6">
        <f>首页!$B$7+273.15</f>
        <v>388.15</v>
      </c>
      <c r="D32" s="6">
        <f>首页!$B$6+273.15</f>
        <v>293.14999999999998</v>
      </c>
      <c r="E32" s="6">
        <f>首页!$B$5+273.15</f>
        <v>1373.15</v>
      </c>
      <c r="F32" s="6">
        <f t="shared" si="0"/>
        <v>95</v>
      </c>
      <c r="G32" s="6">
        <f t="shared" si="1"/>
        <v>340.65</v>
      </c>
      <c r="H32" s="6">
        <f t="shared" si="2"/>
        <v>1.9926207055139041E-5</v>
      </c>
      <c r="I32" s="7">
        <f t="shared" si="3"/>
        <v>1158916576932337.8</v>
      </c>
      <c r="J32" s="6">
        <f t="shared" si="4"/>
        <v>1.0226038455893147</v>
      </c>
      <c r="K32" s="7">
        <f>J32*H32*首页!$B$12/P32</f>
        <v>0.69532757496605813</v>
      </c>
      <c r="L32" s="6">
        <f>首页!$B$9*0.0000000567*((C32^4-D32^4)/(C32-D32))</f>
        <v>7.7687338005019564</v>
      </c>
      <c r="M32" s="6">
        <f>IF(首页!$B$13="自然对流",IF(首页!$B$14="立式圆筒",首页!$B$10,PI()*B32/2),PI()*B32/2)</f>
        <v>55.2</v>
      </c>
      <c r="N32" s="7">
        <f>IF(首页!$B$13="强制对流",首页!$B$11*M32/H32,0)</f>
        <v>0</v>
      </c>
      <c r="O32" s="7">
        <f>IF(首页!$B$13="自然对流",IF(首页!$B$14="立式圆筒",(0.825+0.3063*I32^(1/6))^2+0.87*(M32/B32),(0.752+0.303*I32^(1/6))^2),0.3+SQRT((0.592*N32^0.5)^2+(0.0262*N32^0.8/(1-0.5/N32^0.1))^2))</f>
        <v>10295.2075029349</v>
      </c>
      <c r="P32" s="6">
        <f t="shared" si="5"/>
        <v>2.9510194925512497E-2</v>
      </c>
      <c r="Q32" s="6">
        <f t="shared" si="6"/>
        <v>5.5038692067066597</v>
      </c>
      <c r="R32" s="6">
        <f t="shared" si="7"/>
        <v>13.272603007208616</v>
      </c>
      <c r="S32" s="6">
        <f>IF($Y$2="按单位面积散热损失 qp",B32*LN(B32/首页!$B$4),LN(B32/首页!$B$4))</f>
        <v>6.465205881925204E-2</v>
      </c>
      <c r="T32" s="6">
        <f>IF($Y$2="按单位面积散热损失 qp",2*PI()*首页!$B$8*((E32-D32)/$Y$3-1/R32),2*PI()*首页!$B$8*((E32-D32)/$Y$4-1/(PI()*B32*R32)))</f>
        <v>4.0996949922571024E-2</v>
      </c>
      <c r="U32" t="str">
        <f t="shared" si="8"/>
        <v>按单位面积散热损失 qp</v>
      </c>
      <c r="V32" s="6">
        <f t="shared" si="9"/>
        <v>2.3655108896681015E-2</v>
      </c>
    </row>
    <row r="33" spans="1:22" x14ac:dyDescent="0.15">
      <c r="A33">
        <v>28</v>
      </c>
      <c r="B33" s="6">
        <f>首页!$B$4+2*A33/1000</f>
        <v>0.17599999999999999</v>
      </c>
      <c r="C33" s="6">
        <f>首页!$B$7+273.15</f>
        <v>388.15</v>
      </c>
      <c r="D33" s="6">
        <f>首页!$B$6+273.15</f>
        <v>293.14999999999998</v>
      </c>
      <c r="E33" s="6">
        <f>首页!$B$5+273.15</f>
        <v>1373.15</v>
      </c>
      <c r="F33" s="6">
        <f t="shared" si="0"/>
        <v>95</v>
      </c>
      <c r="G33" s="6">
        <f t="shared" si="1"/>
        <v>340.65</v>
      </c>
      <c r="H33" s="6">
        <f t="shared" si="2"/>
        <v>1.9926207055139041E-5</v>
      </c>
      <c r="I33" s="7">
        <f t="shared" si="3"/>
        <v>1158916576932337.8</v>
      </c>
      <c r="J33" s="6">
        <f t="shared" si="4"/>
        <v>1.0226038455893147</v>
      </c>
      <c r="K33" s="7">
        <f>J33*H33*首页!$B$12/P33</f>
        <v>0.69532757496605813</v>
      </c>
      <c r="L33" s="6">
        <f>首页!$B$9*0.0000000567*((C33^4-D33^4)/(C33-D33))</f>
        <v>7.7687338005019564</v>
      </c>
      <c r="M33" s="6">
        <f>IF(首页!$B$13="自然对流",IF(首页!$B$14="立式圆筒",首页!$B$10,PI()*B33/2),PI()*B33/2)</f>
        <v>55.2</v>
      </c>
      <c r="N33" s="7">
        <f>IF(首页!$B$13="强制对流",首页!$B$11*M33/H33,0)</f>
        <v>0</v>
      </c>
      <c r="O33" s="7">
        <f>IF(首页!$B$13="自然对流",IF(首页!$B$14="立式圆筒",(0.825+0.3063*I33^(1/6))^2+0.87*(M33/B33),(0.752+0.303*I33^(1/6))^2),0.3+SQRT((0.592*N33^0.5)^2+(0.0262*N33^0.8/(1-0.5/N33^0.1))^2))</f>
        <v>10292.071139298536</v>
      </c>
      <c r="P33" s="6">
        <f t="shared" si="5"/>
        <v>2.9510194925512497E-2</v>
      </c>
      <c r="Q33" s="6">
        <f t="shared" si="6"/>
        <v>5.5021924910858919</v>
      </c>
      <c r="R33" s="6">
        <f t="shared" si="7"/>
        <v>13.270926291587848</v>
      </c>
      <c r="S33" s="6">
        <f>IF($Y$2="按单位面积散热损失 qp",B33*LN(B33/首页!$B$4),LN(B33/首页!$B$4))</f>
        <v>6.7406636397074601E-2</v>
      </c>
      <c r="T33" s="6">
        <f>IF($Y$2="按单位面积散热损失 qp",2*PI()*首页!$B$8*((E33-D33)/$Y$3-1/R33),2*PI()*首页!$B$8*((E33-D33)/$Y$4-1/(PI()*B33*R33)))</f>
        <v>4.0994258422157308E-2</v>
      </c>
      <c r="U33" t="str">
        <f t="shared" si="8"/>
        <v>按单位面积散热损失 qp</v>
      </c>
      <c r="V33" s="6">
        <f t="shared" si="9"/>
        <v>2.6412377974917293E-2</v>
      </c>
    </row>
    <row r="34" spans="1:22" x14ac:dyDescent="0.15">
      <c r="A34">
        <v>29</v>
      </c>
      <c r="B34" s="6">
        <f>首页!$B$4+2*A34/1000</f>
        <v>0.17799999999999999</v>
      </c>
      <c r="C34" s="6">
        <f>首页!$B$7+273.15</f>
        <v>388.15</v>
      </c>
      <c r="D34" s="6">
        <f>首页!$B$6+273.15</f>
        <v>293.14999999999998</v>
      </c>
      <c r="E34" s="6">
        <f>首页!$B$5+273.15</f>
        <v>1373.15</v>
      </c>
      <c r="F34" s="6">
        <f t="shared" si="0"/>
        <v>95</v>
      </c>
      <c r="G34" s="6">
        <f t="shared" si="1"/>
        <v>340.65</v>
      </c>
      <c r="H34" s="6">
        <f t="shared" si="2"/>
        <v>1.9926207055139041E-5</v>
      </c>
      <c r="I34" s="7">
        <f t="shared" si="3"/>
        <v>1158916576932337.8</v>
      </c>
      <c r="J34" s="6">
        <f t="shared" si="4"/>
        <v>1.0226038455893147</v>
      </c>
      <c r="K34" s="7">
        <f>J34*H34*首页!$B$12/P34</f>
        <v>0.69532757496605813</v>
      </c>
      <c r="L34" s="6">
        <f>首页!$B$9*0.0000000567*((C34^4-D34^4)/(C34-D34))</f>
        <v>7.7687338005019564</v>
      </c>
      <c r="M34" s="6">
        <f>IF(首页!$B$13="自然对流",IF(首页!$B$14="立式圆筒",首页!$B$10,PI()*B34/2),PI()*B34/2)</f>
        <v>55.2</v>
      </c>
      <c r="N34" s="7">
        <f>IF(首页!$B$13="强制对流",首页!$B$11*M34/H34,0)</f>
        <v>0</v>
      </c>
      <c r="O34" s="7">
        <f>IF(首页!$B$13="自然对流",IF(首页!$B$14="立式圆筒",(0.825+0.3063*I34^(1/6))^2+0.87*(M34/B34),(0.752+0.303*I34^(1/6))^2),0.3+SQRT((0.592*N34^0.5)^2+(0.0262*N34^0.8/(1-0.5/N34^0.1))^2))</f>
        <v>10289.005255743888</v>
      </c>
      <c r="P34" s="6">
        <f t="shared" si="5"/>
        <v>2.9510194925512497E-2</v>
      </c>
      <c r="Q34" s="6">
        <f t="shared" si="6"/>
        <v>5.5005534544678385</v>
      </c>
      <c r="R34" s="6">
        <f t="shared" si="7"/>
        <v>13.269287254969795</v>
      </c>
      <c r="S34" s="6">
        <f>IF($Y$2="按单位面积散热损失 qp",B34*LN(B34/首页!$B$4),LN(B34/首页!$B$4))</f>
        <v>7.0183941736786964E-2</v>
      </c>
      <c r="T34" s="6">
        <f>IF($Y$2="按单位面积散热损失 qp",2*PI()*首页!$B$8*((E34-D34)/$Y$3-1/R34),2*PI()*首页!$B$8*((E34-D34)/$Y$4-1/(PI()*B34*R34)))</f>
        <v>4.0991626747455837E-2</v>
      </c>
      <c r="U34" t="str">
        <f t="shared" si="8"/>
        <v>按单位面积散热损失 qp</v>
      </c>
      <c r="V34" s="6">
        <f t="shared" si="9"/>
        <v>2.9192314989331128E-2</v>
      </c>
    </row>
    <row r="35" spans="1:22" x14ac:dyDescent="0.15">
      <c r="A35">
        <v>30</v>
      </c>
      <c r="B35" s="6">
        <f>首页!$B$4+2*A35/1000</f>
        <v>0.18</v>
      </c>
      <c r="C35" s="6">
        <f>首页!$B$7+273.15</f>
        <v>388.15</v>
      </c>
      <c r="D35" s="6">
        <f>首页!$B$6+273.15</f>
        <v>293.14999999999998</v>
      </c>
      <c r="E35" s="6">
        <f>首页!$B$5+273.15</f>
        <v>1373.15</v>
      </c>
      <c r="F35" s="6">
        <f t="shared" si="0"/>
        <v>95</v>
      </c>
      <c r="G35" s="6">
        <f t="shared" si="1"/>
        <v>340.65</v>
      </c>
      <c r="H35" s="6">
        <f t="shared" si="2"/>
        <v>1.9926207055139041E-5</v>
      </c>
      <c r="I35" s="7">
        <f t="shared" si="3"/>
        <v>1158916576932337.8</v>
      </c>
      <c r="J35" s="6">
        <f t="shared" si="4"/>
        <v>1.0226038455893147</v>
      </c>
      <c r="K35" s="7">
        <f>J35*H35*首页!$B$12/P35</f>
        <v>0.69532757496605813</v>
      </c>
      <c r="L35" s="6">
        <f>首页!$B$9*0.0000000567*((C35^4-D35^4)/(C35-D35))</f>
        <v>7.7687338005019564</v>
      </c>
      <c r="M35" s="6">
        <f>IF(首页!$B$13="自然对流",IF(首页!$B$14="立式圆筒",首页!$B$10,PI()*B35/2),PI()*B35/2)</f>
        <v>55.2</v>
      </c>
      <c r="N35" s="7">
        <f>IF(首页!$B$13="强制对流",首页!$B$11*M35/H35,0)</f>
        <v>0</v>
      </c>
      <c r="O35" s="7">
        <f>IF(首页!$B$13="自然对流",IF(首页!$B$14="立式圆筒",(0.825+0.3063*I35^(1/6))^2+0.87*(M35/B35),(0.752+0.303*I35^(1/6))^2),0.3+SQRT((0.592*N35^0.5)^2+(0.0262*N35^0.8/(1-0.5/N35^0.1))^2))</f>
        <v>10286.007502934899</v>
      </c>
      <c r="P35" s="6">
        <f t="shared" si="5"/>
        <v>2.9510194925512497E-2</v>
      </c>
      <c r="Q35" s="6">
        <f t="shared" si="6"/>
        <v>5.4989508408857413</v>
      </c>
      <c r="R35" s="6">
        <f t="shared" si="7"/>
        <v>13.267684641387698</v>
      </c>
      <c r="S35" s="6">
        <f>IF($Y$2="按单位面积散热损失 qp",B35*LN(B35/首页!$B$4),LN(B35/首页!$B$4))</f>
        <v>7.298371945946959E-2</v>
      </c>
      <c r="T35" s="6">
        <f>IF($Y$2="按单位面积散热损失 qp",2*PI()*首页!$B$8*((E35-D35)/$Y$3-1/R35),2*PI()*首页!$B$8*((E35-D35)/$Y$4-1/(PI()*B35*R35)))</f>
        <v>4.0989052925714538E-2</v>
      </c>
      <c r="U35" t="str">
        <f t="shared" si="8"/>
        <v>按单位面积散热损失 qp</v>
      </c>
      <c r="V35" s="6">
        <f t="shared" si="9"/>
        <v>3.1994666533755052E-2</v>
      </c>
    </row>
    <row r="36" spans="1:22" x14ac:dyDescent="0.15">
      <c r="A36">
        <v>31</v>
      </c>
      <c r="B36" s="6">
        <f>首页!$B$4+2*A36/1000</f>
        <v>0.182</v>
      </c>
      <c r="C36" s="6">
        <f>首页!$B$7+273.15</f>
        <v>388.15</v>
      </c>
      <c r="D36" s="6">
        <f>首页!$B$6+273.15</f>
        <v>293.14999999999998</v>
      </c>
      <c r="E36" s="6">
        <f>首页!$B$5+273.15</f>
        <v>1373.15</v>
      </c>
      <c r="F36" s="6">
        <f t="shared" si="0"/>
        <v>95</v>
      </c>
      <c r="G36" s="6">
        <f t="shared" si="1"/>
        <v>340.65</v>
      </c>
      <c r="H36" s="6">
        <f t="shared" si="2"/>
        <v>1.9926207055139041E-5</v>
      </c>
      <c r="I36" s="7">
        <f t="shared" si="3"/>
        <v>1158916576932337.8</v>
      </c>
      <c r="J36" s="6">
        <f t="shared" si="4"/>
        <v>1.0226038455893147</v>
      </c>
      <c r="K36" s="7">
        <f>J36*H36*首页!$B$12/P36</f>
        <v>0.69532757496605813</v>
      </c>
      <c r="L36" s="6">
        <f>首页!$B$9*0.0000000567*((C36^4-D36^4)/(C36-D36))</f>
        <v>7.7687338005019564</v>
      </c>
      <c r="M36" s="6">
        <f>IF(首页!$B$13="自然对流",IF(首页!$B$14="立式圆筒",首页!$B$10,PI()*B36/2),PI()*B36/2)</f>
        <v>55.2</v>
      </c>
      <c r="N36" s="7">
        <f>IF(首页!$B$13="强制对流",首页!$B$11*M36/H36,0)</f>
        <v>0</v>
      </c>
      <c r="O36" s="7">
        <f>IF(首页!$B$13="自然对流",IF(首页!$B$14="立式圆筒",(0.825+0.3063*I36^(1/6))^2+0.87*(M36/B36),(0.752+0.303*I36^(1/6))^2),0.3+SQRT((0.592*N36^0.5)^2+(0.0262*N36^0.8/(1-0.5/N36^0.1))^2))</f>
        <v>10283.075634803032</v>
      </c>
      <c r="P36" s="6">
        <f t="shared" si="5"/>
        <v>2.9510194925512497E-2</v>
      </c>
      <c r="Q36" s="6">
        <f t="shared" si="6"/>
        <v>5.4973834495801741</v>
      </c>
      <c r="R36" s="6">
        <f t="shared" si="7"/>
        <v>13.26611725008213</v>
      </c>
      <c r="S36" s="6">
        <f>IF($Y$2="按单位面积散热损失 qp",B36*LN(B36/首页!$B$4),LN(B36/首页!$B$4))</f>
        <v>7.5805719861644374E-2</v>
      </c>
      <c r="T36" s="6">
        <f>IF($Y$2="按单位面积散热损失 qp",2*PI()*首页!$B$8*((E36-D36)/$Y$3-1/R36),2*PI()*首页!$B$8*((E36-D36)/$Y$4-1/(PI()*B36*R36)))</f>
        <v>4.0986535069973559E-2</v>
      </c>
      <c r="U36" t="str">
        <f t="shared" si="8"/>
        <v>按单位面积散热损失 qp</v>
      </c>
      <c r="V36" s="6">
        <f t="shared" si="9"/>
        <v>3.4819184791670815E-2</v>
      </c>
    </row>
    <row r="37" spans="1:22" x14ac:dyDescent="0.15">
      <c r="A37">
        <v>32</v>
      </c>
      <c r="B37" s="6">
        <f>首页!$B$4+2*A37/1000</f>
        <v>0.184</v>
      </c>
      <c r="C37" s="6">
        <f>首页!$B$7+273.15</f>
        <v>388.15</v>
      </c>
      <c r="D37" s="6">
        <f>首页!$B$6+273.15</f>
        <v>293.14999999999998</v>
      </c>
      <c r="E37" s="6">
        <f>首页!$B$5+273.15</f>
        <v>1373.15</v>
      </c>
      <c r="F37" s="6">
        <f t="shared" si="0"/>
        <v>95</v>
      </c>
      <c r="G37" s="6">
        <f t="shared" si="1"/>
        <v>340.65</v>
      </c>
      <c r="H37" s="6">
        <f t="shared" si="2"/>
        <v>1.9926207055139041E-5</v>
      </c>
      <c r="I37" s="7">
        <f t="shared" si="3"/>
        <v>1158916576932337.8</v>
      </c>
      <c r="J37" s="6">
        <f t="shared" si="4"/>
        <v>1.0226038455893147</v>
      </c>
      <c r="K37" s="7">
        <f>J37*H37*首页!$B$12/P37</f>
        <v>0.69532757496605813</v>
      </c>
      <c r="L37" s="6">
        <f>首页!$B$9*0.0000000567*((C37^4-D37^4)/(C37-D37))</f>
        <v>7.7687338005019564</v>
      </c>
      <c r="M37" s="6">
        <f>IF(首页!$B$13="自然对流",IF(首页!$B$14="立式圆筒",首页!$B$10,PI()*B37/2),PI()*B37/2)</f>
        <v>55.2</v>
      </c>
      <c r="N37" s="7">
        <f>IF(首页!$B$13="强制对流",首页!$B$11*M37/H37,0)</f>
        <v>0</v>
      </c>
      <c r="O37" s="7">
        <f>IF(首页!$B$13="自然对流",IF(首页!$B$14="立式圆筒",(0.825+0.3063*I37^(1/6))^2+0.87*(M37/B37),(0.752+0.303*I37^(1/6))^2),0.3+SQRT((0.592*N37^0.5)^2+(0.0262*N37^0.8/(1-0.5/N37^0.1))^2))</f>
        <v>10280.2075029349</v>
      </c>
      <c r="P37" s="6">
        <f t="shared" si="5"/>
        <v>2.9510194925512497E-2</v>
      </c>
      <c r="Q37" s="6">
        <f t="shared" si="6"/>
        <v>5.4958501319986404</v>
      </c>
      <c r="R37" s="6">
        <f t="shared" si="7"/>
        <v>13.264583932500596</v>
      </c>
      <c r="S37" s="6">
        <f>IF($Y$2="按单位面积散热损失 qp",B37*LN(B37/首页!$B$4),LN(B37/首页!$B$4))</f>
        <v>7.86496987281569E-2</v>
      </c>
      <c r="T37" s="6">
        <f>IF($Y$2="按单位面积散热损失 qp",2*PI()*首页!$B$8*((E37-D37)/$Y$3-1/R37),2*PI()*首页!$B$8*((E37-D37)/$Y$4-1/(PI()*B37*R37)))</f>
        <v>4.0984071374451855E-2</v>
      </c>
      <c r="U37" t="str">
        <f t="shared" si="8"/>
        <v>按单位面积散热损失 qp</v>
      </c>
      <c r="V37" s="6">
        <f t="shared" si="9"/>
        <v>3.7665627353705045E-2</v>
      </c>
    </row>
    <row r="38" spans="1:22" x14ac:dyDescent="0.15">
      <c r="A38">
        <v>33</v>
      </c>
      <c r="B38" s="6">
        <f>首页!$B$4+2*A38/1000</f>
        <v>0.186</v>
      </c>
      <c r="C38" s="6">
        <f>首页!$B$7+273.15</f>
        <v>388.15</v>
      </c>
      <c r="D38" s="6">
        <f>首页!$B$6+273.15</f>
        <v>293.14999999999998</v>
      </c>
      <c r="E38" s="6">
        <f>首页!$B$5+273.15</f>
        <v>1373.15</v>
      </c>
      <c r="F38" s="6">
        <f t="shared" si="0"/>
        <v>95</v>
      </c>
      <c r="G38" s="6">
        <f t="shared" si="1"/>
        <v>340.65</v>
      </c>
      <c r="H38" s="6">
        <f t="shared" si="2"/>
        <v>1.9926207055139041E-5</v>
      </c>
      <c r="I38" s="7">
        <f t="shared" si="3"/>
        <v>1158916576932337.8</v>
      </c>
      <c r="J38" s="6">
        <f t="shared" si="4"/>
        <v>1.0226038455893147</v>
      </c>
      <c r="K38" s="7">
        <f>J38*H38*首页!$B$12/P38</f>
        <v>0.69532757496605813</v>
      </c>
      <c r="L38" s="6">
        <f>首页!$B$9*0.0000000567*((C38^4-D38^4)/(C38-D38))</f>
        <v>7.7687338005019564</v>
      </c>
      <c r="M38" s="6">
        <f>IF(首页!$B$13="自然对流",IF(首页!$B$14="立式圆筒",首页!$B$10,PI()*B38/2),PI()*B38/2)</f>
        <v>55.2</v>
      </c>
      <c r="N38" s="7">
        <f>IF(首页!$B$13="强制对流",首页!$B$11*M38/H38,0)</f>
        <v>0</v>
      </c>
      <c r="O38" s="7">
        <f>IF(首页!$B$13="自然对流",IF(首页!$B$14="立式圆筒",(0.825+0.3063*I38^(1/6))^2+0.87*(M38/B38),(0.752+0.303*I38^(1/6))^2),0.3+SQRT((0.592*N38^0.5)^2+(0.0262*N38^0.8/(1-0.5/N38^0.1))^2))</f>
        <v>10277.401051321996</v>
      </c>
      <c r="P38" s="6">
        <f t="shared" si="5"/>
        <v>2.9510194925512497E-2</v>
      </c>
      <c r="Q38" s="6">
        <f t="shared" si="6"/>
        <v>5.4943497889887531</v>
      </c>
      <c r="R38" s="6">
        <f t="shared" si="7"/>
        <v>13.263083589490709</v>
      </c>
      <c r="S38" s="6">
        <f>IF($Y$2="按单位面积散热损失 qp",B38*LN(B38/首页!$B$4),LN(B38/首页!$B$4))</f>
        <v>8.151541715319488E-2</v>
      </c>
      <c r="T38" s="6">
        <f>IF($Y$2="按单位面积散热损失 qp",2*PI()*首页!$B$8*((E38-D38)/$Y$3-1/R38),2*PI()*首页!$B$8*((E38-D38)/$Y$4-1/(PI()*B38*R38)))</f>
        <v>4.0981660110228017E-2</v>
      </c>
      <c r="U38" t="str">
        <f t="shared" si="8"/>
        <v>按单位面积散热损失 qp</v>
      </c>
      <c r="V38" s="6">
        <f t="shared" si="9"/>
        <v>4.0533757042966863E-2</v>
      </c>
    </row>
    <row r="39" spans="1:22" x14ac:dyDescent="0.15">
      <c r="A39">
        <v>34</v>
      </c>
      <c r="B39" s="6">
        <f>首页!$B$4+2*A39/1000</f>
        <v>0.188</v>
      </c>
      <c r="C39" s="6">
        <f>首页!$B$7+273.15</f>
        <v>388.15</v>
      </c>
      <c r="D39" s="6">
        <f>首页!$B$6+273.15</f>
        <v>293.14999999999998</v>
      </c>
      <c r="E39" s="6">
        <f>首页!$B$5+273.15</f>
        <v>1373.15</v>
      </c>
      <c r="F39" s="6">
        <f t="shared" si="0"/>
        <v>95</v>
      </c>
      <c r="G39" s="6">
        <f t="shared" si="1"/>
        <v>340.65</v>
      </c>
      <c r="H39" s="6">
        <f t="shared" si="2"/>
        <v>1.9926207055139041E-5</v>
      </c>
      <c r="I39" s="7">
        <f t="shared" si="3"/>
        <v>1158916576932337.8</v>
      </c>
      <c r="J39" s="6">
        <f t="shared" si="4"/>
        <v>1.0226038455893147</v>
      </c>
      <c r="K39" s="7">
        <f>J39*H39*首页!$B$12/P39</f>
        <v>0.69532757496605813</v>
      </c>
      <c r="L39" s="6">
        <f>首页!$B$9*0.0000000567*((C39^4-D39^4)/(C39-D39))</f>
        <v>7.7687338005019564</v>
      </c>
      <c r="M39" s="6">
        <f>IF(首页!$B$13="自然对流",IF(首页!$B$14="立式圆筒",首页!$B$10,PI()*B39/2),PI()*B39/2)</f>
        <v>55.2</v>
      </c>
      <c r="N39" s="7">
        <f>IF(首页!$B$13="强制对流",首页!$B$11*M39/H39,0)</f>
        <v>0</v>
      </c>
      <c r="O39" s="7">
        <f>IF(首页!$B$13="自然对流",IF(首页!$B$14="立式圆筒",(0.825+0.3063*I39^(1/6))^2+0.87*(M39/B39),(0.752+0.303*I39^(1/6))^2),0.3+SQRT((0.592*N39^0.5)^2+(0.0262*N39^0.8/(1-0.5/N39^0.1))^2))</f>
        <v>10274.654311445538</v>
      </c>
      <c r="P39" s="6">
        <f t="shared" si="5"/>
        <v>2.9510194925512497E-2</v>
      </c>
      <c r="Q39" s="6">
        <f t="shared" si="6"/>
        <v>5.4928813681705648</v>
      </c>
      <c r="R39" s="6">
        <f t="shared" si="7"/>
        <v>13.26161516867252</v>
      </c>
      <c r="S39" s="6">
        <f>IF($Y$2="按单位面积散热损失 qp",B39*LN(B39/首页!$B$4),LN(B39/首页!$B$4))</f>
        <v>8.4402641369005799E-2</v>
      </c>
      <c r="T39" s="6">
        <f>IF($Y$2="按单位面积散热损失 qp",2*PI()*首页!$B$8*((E39-D39)/$Y$3-1/R39),2*PI()*首页!$B$8*((E39-D39)/$Y$4-1/(PI()*B39*R39)))</f>
        <v>4.0979299621194169E-2</v>
      </c>
      <c r="U39" t="str">
        <f t="shared" si="8"/>
        <v>按单位面积散热损失 qp</v>
      </c>
      <c r="V39" s="6">
        <f t="shared" si="9"/>
        <v>4.3423341747811629E-2</v>
      </c>
    </row>
    <row r="40" spans="1:22" x14ac:dyDescent="0.15">
      <c r="A40">
        <v>35</v>
      </c>
      <c r="B40" s="6">
        <f>首页!$B$4+2*A40/1000</f>
        <v>0.19</v>
      </c>
      <c r="C40" s="6">
        <f>首页!$B$7+273.15</f>
        <v>388.15</v>
      </c>
      <c r="D40" s="6">
        <f>首页!$B$6+273.15</f>
        <v>293.14999999999998</v>
      </c>
      <c r="E40" s="6">
        <f>首页!$B$5+273.15</f>
        <v>1373.15</v>
      </c>
      <c r="F40" s="6">
        <f t="shared" si="0"/>
        <v>95</v>
      </c>
      <c r="G40" s="6">
        <f t="shared" si="1"/>
        <v>340.65</v>
      </c>
      <c r="H40" s="6">
        <f t="shared" si="2"/>
        <v>1.9926207055139041E-5</v>
      </c>
      <c r="I40" s="7">
        <f t="shared" si="3"/>
        <v>1158916576932337.8</v>
      </c>
      <c r="J40" s="6">
        <f t="shared" si="4"/>
        <v>1.0226038455893147</v>
      </c>
      <c r="K40" s="7">
        <f>J40*H40*首页!$B$12/P40</f>
        <v>0.69532757496605813</v>
      </c>
      <c r="L40" s="6">
        <f>首页!$B$9*0.0000000567*((C40^4-D40^4)/(C40-D40))</f>
        <v>7.7687338005019564</v>
      </c>
      <c r="M40" s="6">
        <f>IF(首页!$B$13="自然对流",IF(首页!$B$14="立式圆筒",首页!$B$10,PI()*B40/2),PI()*B40/2)</f>
        <v>55.2</v>
      </c>
      <c r="N40" s="7">
        <f>IF(首页!$B$13="强制对流",首页!$B$11*M40/H40,0)</f>
        <v>0</v>
      </c>
      <c r="O40" s="7">
        <f>IF(首页!$B$13="自然对流",IF(首页!$B$14="立式圆筒",(0.825+0.3063*I40^(1/6))^2+0.87*(M40/B40),(0.752+0.303*I40^(1/6))^2),0.3+SQRT((0.592*N40^0.5)^2+(0.0262*N40^0.8/(1-0.5/N40^0.1))^2))</f>
        <v>10271.965397671742</v>
      </c>
      <c r="P40" s="6">
        <f t="shared" si="5"/>
        <v>2.9510194925512497E-2</v>
      </c>
      <c r="Q40" s="6">
        <f t="shared" si="6"/>
        <v>5.491443861474866</v>
      </c>
      <c r="R40" s="6">
        <f t="shared" si="7"/>
        <v>13.260177661976822</v>
      </c>
      <c r="S40" s="6">
        <f>IF($Y$2="按单位面积散热损失 qp",B40*LN(B40/首页!$B$4),LN(B40/首页!$B$4))</f>
        <v>8.7311142581903645E-2</v>
      </c>
      <c r="T40" s="6">
        <f>IF($Y$2="按单位面积散热损失 qp",2*PI()*首页!$B$8*((E40-D40)/$Y$3-1/R40),2*PI()*首页!$B$8*((E40-D40)/$Y$4-1/(PI()*B40*R40)))</f>
        <v>4.0976988320262718E-2</v>
      </c>
      <c r="U40" t="str">
        <f t="shared" si="8"/>
        <v>按单位面积散热损失 qp</v>
      </c>
      <c r="V40" s="6">
        <f t="shared" si="9"/>
        <v>4.6334154261640927E-2</v>
      </c>
    </row>
    <row r="41" spans="1:22" x14ac:dyDescent="0.15">
      <c r="A41">
        <v>36</v>
      </c>
      <c r="B41" s="6">
        <f>首页!$B$4+2*A41/1000</f>
        <v>0.192</v>
      </c>
      <c r="C41" s="6">
        <f>首页!$B$7+273.15</f>
        <v>388.15</v>
      </c>
      <c r="D41" s="6">
        <f>首页!$B$6+273.15</f>
        <v>293.14999999999998</v>
      </c>
      <c r="E41" s="6">
        <f>首页!$B$5+273.15</f>
        <v>1373.15</v>
      </c>
      <c r="F41" s="6">
        <f t="shared" si="0"/>
        <v>95</v>
      </c>
      <c r="G41" s="6">
        <f t="shared" si="1"/>
        <v>340.65</v>
      </c>
      <c r="H41" s="6">
        <f t="shared" si="2"/>
        <v>1.9926207055139041E-5</v>
      </c>
      <c r="I41" s="7">
        <f t="shared" si="3"/>
        <v>1158916576932337.8</v>
      </c>
      <c r="J41" s="6">
        <f t="shared" si="4"/>
        <v>1.0226038455893147</v>
      </c>
      <c r="K41" s="7">
        <f>J41*H41*首页!$B$12/P41</f>
        <v>0.69532757496605813</v>
      </c>
      <c r="L41" s="6">
        <f>首页!$B$9*0.0000000567*((C41^4-D41^4)/(C41-D41))</f>
        <v>7.7687338005019564</v>
      </c>
      <c r="M41" s="6">
        <f>IF(首页!$B$13="自然对流",IF(首页!$B$14="立式圆筒",首页!$B$10,PI()*B41/2),PI()*B41/2)</f>
        <v>55.2</v>
      </c>
      <c r="N41" s="7">
        <f>IF(首页!$B$13="强制对流",首页!$B$11*M41/H41,0)</f>
        <v>0</v>
      </c>
      <c r="O41" s="7">
        <f>IF(首页!$B$13="自然对流",IF(首页!$B$14="立式圆筒",(0.825+0.3063*I41^(1/6))^2+0.87*(M41/B41),(0.752+0.303*I41^(1/6))^2),0.3+SQRT((0.592*N41^0.5)^2+(0.0262*N41^0.8/(1-0.5/N41^0.1))^2))</f>
        <v>10269.3325029349</v>
      </c>
      <c r="P41" s="6">
        <f t="shared" si="5"/>
        <v>2.9510194925512497E-2</v>
      </c>
      <c r="Q41" s="6">
        <f t="shared" si="6"/>
        <v>5.4900363028353265</v>
      </c>
      <c r="R41" s="6">
        <f t="shared" si="7"/>
        <v>13.258770103337284</v>
      </c>
      <c r="S41" s="6">
        <f>IF($Y$2="按单位面积散热损失 qp",B41*LN(B41/首页!$B$4),LN(B41/首页!$B$4))</f>
        <v>9.0240696815181237E-2</v>
      </c>
      <c r="T41" s="6">
        <f>IF($Y$2="按单位面积散热损失 qp",2*PI()*首页!$B$8*((E41-D41)/$Y$3-1/R41),2*PI()*首页!$B$8*((E41-D41)/$Y$4-1/(PI()*B41*R41)))</f>
        <v>4.097472468580781E-2</v>
      </c>
      <c r="U41" t="str">
        <f t="shared" si="8"/>
        <v>按单位面积散热损失 qp</v>
      </c>
      <c r="V41" s="6">
        <f t="shared" si="9"/>
        <v>4.9265972129373427E-2</v>
      </c>
    </row>
    <row r="42" spans="1:22" x14ac:dyDescent="0.15">
      <c r="A42">
        <v>37</v>
      </c>
      <c r="B42" s="6">
        <f>首页!$B$4+2*A42/1000</f>
        <v>0.19400000000000001</v>
      </c>
      <c r="C42" s="6">
        <f>首页!$B$7+273.15</f>
        <v>388.15</v>
      </c>
      <c r="D42" s="6">
        <f>首页!$B$6+273.15</f>
        <v>293.14999999999998</v>
      </c>
      <c r="E42" s="6">
        <f>首页!$B$5+273.15</f>
        <v>1373.15</v>
      </c>
      <c r="F42" s="6">
        <f t="shared" si="0"/>
        <v>95</v>
      </c>
      <c r="G42" s="6">
        <f t="shared" si="1"/>
        <v>340.65</v>
      </c>
      <c r="H42" s="6">
        <f t="shared" si="2"/>
        <v>1.9926207055139041E-5</v>
      </c>
      <c r="I42" s="7">
        <f t="shared" si="3"/>
        <v>1158916576932337.8</v>
      </c>
      <c r="J42" s="6">
        <f t="shared" si="4"/>
        <v>1.0226038455893147</v>
      </c>
      <c r="K42" s="7">
        <f>J42*H42*首页!$B$12/P42</f>
        <v>0.69532757496605813</v>
      </c>
      <c r="L42" s="6">
        <f>首页!$B$9*0.0000000567*((C42^4-D42^4)/(C42-D42))</f>
        <v>7.7687338005019564</v>
      </c>
      <c r="M42" s="6">
        <f>IF(首页!$B$13="自然对流",IF(首页!$B$14="立式圆筒",首页!$B$10,PI()*B42/2),PI()*B42/2)</f>
        <v>55.2</v>
      </c>
      <c r="N42" s="7">
        <f>IF(首页!$B$13="强制对流",首页!$B$11*M42/H42,0)</f>
        <v>0</v>
      </c>
      <c r="O42" s="7">
        <f>IF(首页!$B$13="自然对流",IF(首页!$B$14="立式圆筒",(0.825+0.3063*I42^(1/6))^2+0.87*(M42/B42),(0.752+0.303*I42^(1/6))^2),0.3+SQRT((0.592*N42^0.5)^2+(0.0262*N42^0.8/(1-0.5/N42^0.1))^2))</f>
        <v>10266.753894687477</v>
      </c>
      <c r="P42" s="6">
        <f t="shared" si="5"/>
        <v>2.9510194925512497E-2</v>
      </c>
      <c r="Q42" s="6">
        <f t="shared" si="6"/>
        <v>5.4886577660234073</v>
      </c>
      <c r="R42" s="6">
        <f t="shared" si="7"/>
        <v>13.257391566525364</v>
      </c>
      <c r="S42" s="6">
        <f>IF($Y$2="按单位面积散热损失 qp",B42*LN(B42/首页!$B$4),LN(B42/首页!$B$4))</f>
        <v>9.3191084758568743E-2</v>
      </c>
      <c r="T42" s="6">
        <f>IF($Y$2="按单位面积散热损失 qp",2*PI()*首页!$B$8*((E42-D42)/$Y$3-1/R42),2*PI()*首页!$B$8*((E42-D42)/$Y$4-1/(PI()*B42*R42)))</f>
        <v>4.0972507258324631E-2</v>
      </c>
      <c r="U42" t="str">
        <f t="shared" si="8"/>
        <v>按单位面积散热损失 qp</v>
      </c>
      <c r="V42" s="6">
        <f t="shared" si="9"/>
        <v>5.2218577500244112E-2</v>
      </c>
    </row>
    <row r="43" spans="1:22" x14ac:dyDescent="0.15">
      <c r="A43">
        <v>38</v>
      </c>
      <c r="B43" s="6">
        <f>首页!$B$4+2*A43/1000</f>
        <v>0.19600000000000001</v>
      </c>
      <c r="C43" s="6">
        <f>首页!$B$7+273.15</f>
        <v>388.15</v>
      </c>
      <c r="D43" s="6">
        <f>首页!$B$6+273.15</f>
        <v>293.14999999999998</v>
      </c>
      <c r="E43" s="6">
        <f>首页!$B$5+273.15</f>
        <v>1373.15</v>
      </c>
      <c r="F43" s="6">
        <f t="shared" si="0"/>
        <v>95</v>
      </c>
      <c r="G43" s="6">
        <f t="shared" si="1"/>
        <v>340.65</v>
      </c>
      <c r="H43" s="6">
        <f t="shared" si="2"/>
        <v>1.9926207055139041E-5</v>
      </c>
      <c r="I43" s="7">
        <f t="shared" si="3"/>
        <v>1158916576932337.8</v>
      </c>
      <c r="J43" s="6">
        <f t="shared" si="4"/>
        <v>1.0226038455893147</v>
      </c>
      <c r="K43" s="7">
        <f>J43*H43*首页!$B$12/P43</f>
        <v>0.69532757496605813</v>
      </c>
      <c r="L43" s="6">
        <f>首页!$B$9*0.0000000567*((C43^4-D43^4)/(C43-D43))</f>
        <v>7.7687338005019564</v>
      </c>
      <c r="M43" s="6">
        <f>IF(首页!$B$13="自然对流",IF(首页!$B$14="立式圆筒",首页!$B$10,PI()*B43/2),PI()*B43/2)</f>
        <v>55.2</v>
      </c>
      <c r="N43" s="7">
        <f>IF(首页!$B$13="强制对流",首页!$B$11*M43/H43,0)</f>
        <v>0</v>
      </c>
      <c r="O43" s="7">
        <f>IF(首页!$B$13="自然对流",IF(首页!$B$14="立式圆筒",(0.825+0.3063*I43^(1/6))^2+0.87*(M43/B43),(0.752+0.303*I43^(1/6))^2),0.3+SQRT((0.592*N43^0.5)^2+(0.0262*N43^0.8/(1-0.5/N43^0.1))^2))</f>
        <v>10264.227911098165</v>
      </c>
      <c r="P43" s="6">
        <f t="shared" si="5"/>
        <v>2.9510194925512497E-2</v>
      </c>
      <c r="Q43" s="6">
        <f t="shared" si="6"/>
        <v>5.4873073626158115</v>
      </c>
      <c r="R43" s="6">
        <f t="shared" si="7"/>
        <v>13.256041163117768</v>
      </c>
      <c r="S43" s="6">
        <f>IF($Y$2="按单位面积散热损失 qp",B43*LN(B43/首页!$B$4),LN(B43/首页!$B$4))</f>
        <v>9.6162091623900381E-2</v>
      </c>
      <c r="T43" s="6">
        <f>IF($Y$2="按单位面积散热损失 qp",2*PI()*首页!$B$8*((E43-D43)/$Y$3-1/R43),2*PI()*首页!$B$8*((E43-D43)/$Y$4-1/(PI()*B43*R43)))</f>
        <v>4.0970334637291411E-2</v>
      </c>
      <c r="U43" t="str">
        <f t="shared" si="8"/>
        <v>按单位面积散热损失 qp</v>
      </c>
      <c r="V43" s="6">
        <f t="shared" si="9"/>
        <v>5.519175698660897E-2</v>
      </c>
    </row>
    <row r="44" spans="1:22" x14ac:dyDescent="0.15">
      <c r="A44">
        <v>39</v>
      </c>
      <c r="B44" s="6">
        <f>首页!$B$4+2*A44/1000</f>
        <v>0.19800000000000001</v>
      </c>
      <c r="C44" s="6">
        <f>首页!$B$7+273.15</f>
        <v>388.15</v>
      </c>
      <c r="D44" s="6">
        <f>首页!$B$6+273.15</f>
        <v>293.14999999999998</v>
      </c>
      <c r="E44" s="6">
        <f>首页!$B$5+273.15</f>
        <v>1373.15</v>
      </c>
      <c r="F44" s="6">
        <f t="shared" si="0"/>
        <v>95</v>
      </c>
      <c r="G44" s="6">
        <f t="shared" si="1"/>
        <v>340.65</v>
      </c>
      <c r="H44" s="6">
        <f t="shared" si="2"/>
        <v>1.9926207055139041E-5</v>
      </c>
      <c r="I44" s="7">
        <f t="shared" si="3"/>
        <v>1158916576932337.8</v>
      </c>
      <c r="J44" s="6">
        <f t="shared" si="4"/>
        <v>1.0226038455893147</v>
      </c>
      <c r="K44" s="7">
        <f>J44*H44*首页!$B$12/P44</f>
        <v>0.69532757496605813</v>
      </c>
      <c r="L44" s="6">
        <f>首页!$B$9*0.0000000567*((C44^4-D44^4)/(C44-D44))</f>
        <v>7.7687338005019564</v>
      </c>
      <c r="M44" s="6">
        <f>IF(首页!$B$13="自然对流",IF(首页!$B$14="立式圆筒",首页!$B$10,PI()*B44/2),PI()*B44/2)</f>
        <v>55.2</v>
      </c>
      <c r="N44" s="7">
        <f>IF(首页!$B$13="强制对流",首页!$B$11*M44/H44,0)</f>
        <v>0</v>
      </c>
      <c r="O44" s="7">
        <f>IF(首页!$B$13="自然对流",IF(首页!$B$14="立式圆筒",(0.825+0.3063*I44^(1/6))^2+0.87*(M44/B44),(0.752+0.303*I44^(1/6))^2),0.3+SQRT((0.592*N44^0.5)^2+(0.0262*N44^0.8/(1-0.5/N44^0.1))^2))</f>
        <v>10261.752957480354</v>
      </c>
      <c r="P44" s="6">
        <f t="shared" si="5"/>
        <v>2.9510194925512497E-2</v>
      </c>
      <c r="Q44" s="6">
        <f t="shared" si="6"/>
        <v>5.4859842400851369</v>
      </c>
      <c r="R44" s="6">
        <f t="shared" si="7"/>
        <v>13.254718040587093</v>
      </c>
      <c r="S44" s="6">
        <f>IF($Y$2="按单位面积散热损失 qp",B44*LN(B44/首页!$B$4),LN(B44/首页!$B$4))</f>
        <v>9.91535070066729E-2</v>
      </c>
      <c r="T44" s="6">
        <f>IF($Y$2="按单位面积散热损失 qp",2*PI()*首页!$B$8*((E44-D44)/$Y$3-1/R44),2*PI()*首页!$B$8*((E44-D44)/$Y$4-1/(PI()*B44*R44)))</f>
        <v>4.0968205478219485E-2</v>
      </c>
      <c r="U44" t="str">
        <f t="shared" si="8"/>
        <v>按单位面积散热损失 qp</v>
      </c>
      <c r="V44" s="6">
        <f t="shared" si="9"/>
        <v>5.8185301528453415E-2</v>
      </c>
    </row>
    <row r="45" spans="1:22" x14ac:dyDescent="0.15">
      <c r="A45">
        <v>40</v>
      </c>
      <c r="B45" s="6">
        <f>首页!$B$4+2*A45/1000</f>
        <v>0.2</v>
      </c>
      <c r="C45" s="6">
        <f>首页!$B$7+273.15</f>
        <v>388.15</v>
      </c>
      <c r="D45" s="6">
        <f>首页!$B$6+273.15</f>
        <v>293.14999999999998</v>
      </c>
      <c r="E45" s="6">
        <f>首页!$B$5+273.15</f>
        <v>1373.15</v>
      </c>
      <c r="F45" s="6">
        <f t="shared" si="0"/>
        <v>95</v>
      </c>
      <c r="G45" s="6">
        <f t="shared" si="1"/>
        <v>340.65</v>
      </c>
      <c r="H45" s="6">
        <f t="shared" si="2"/>
        <v>1.9926207055139041E-5</v>
      </c>
      <c r="I45" s="7">
        <f t="shared" si="3"/>
        <v>1158916576932337.8</v>
      </c>
      <c r="J45" s="6">
        <f t="shared" si="4"/>
        <v>1.0226038455893147</v>
      </c>
      <c r="K45" s="7">
        <f>J45*H45*首页!$B$12/P45</f>
        <v>0.69532757496605813</v>
      </c>
      <c r="L45" s="6">
        <f>首页!$B$9*0.0000000567*((C45^4-D45^4)/(C45-D45))</f>
        <v>7.7687338005019564</v>
      </c>
      <c r="M45" s="6">
        <f>IF(首页!$B$13="自然对流",IF(首页!$B$14="立式圆筒",首页!$B$10,PI()*B45/2),PI()*B45/2)</f>
        <v>55.2</v>
      </c>
      <c r="N45" s="7">
        <f>IF(首页!$B$13="强制对流",首页!$B$11*M45/H45,0)</f>
        <v>0</v>
      </c>
      <c r="O45" s="7">
        <f>IF(首页!$B$13="自然对流",IF(首页!$B$14="立式圆筒",(0.825+0.3063*I45^(1/6))^2+0.87*(M45/B45),(0.752+0.303*I45^(1/6))^2),0.3+SQRT((0.592*N45^0.5)^2+(0.0262*N45^0.8/(1-0.5/N45^0.1))^2))</f>
        <v>10259.327502934901</v>
      </c>
      <c r="P45" s="6">
        <f t="shared" si="5"/>
        <v>2.9510194925512497E-2</v>
      </c>
      <c r="Q45" s="6">
        <f t="shared" si="6"/>
        <v>5.4846875800050778</v>
      </c>
      <c r="R45" s="6">
        <f t="shared" si="7"/>
        <v>13.253421380507035</v>
      </c>
      <c r="S45" s="6">
        <f>IF($Y$2="按单位面积散热损失 qp",B45*LN(B45/首页!$B$4),LN(B45/首页!$B$4))</f>
        <v>0.10216512475319815</v>
      </c>
      <c r="T45" s="6">
        <f>IF($Y$2="按单位面积散热损失 qp",2*PI()*首页!$B$8*((E45-D45)/$Y$3-1/R45),2*PI()*首页!$B$8*((E45-D45)/$Y$4-1/(PI()*B45*R45)))</f>
        <v>4.0966118489878883E-2</v>
      </c>
      <c r="U45" t="str">
        <f t="shared" si="8"/>
        <v>按单位面积散热损失 qp</v>
      </c>
      <c r="V45" s="6">
        <f t="shared" si="9"/>
        <v>6.1199006263319269E-2</v>
      </c>
    </row>
    <row r="46" spans="1:22" x14ac:dyDescent="0.15">
      <c r="A46">
        <v>41</v>
      </c>
      <c r="B46" s="6">
        <f>首页!$B$4+2*A46/1000</f>
        <v>0.20200000000000001</v>
      </c>
      <c r="C46" s="6">
        <f>首页!$B$7+273.15</f>
        <v>388.15</v>
      </c>
      <c r="D46" s="6">
        <f>首页!$B$6+273.15</f>
        <v>293.14999999999998</v>
      </c>
      <c r="E46" s="6">
        <f>首页!$B$5+273.15</f>
        <v>1373.15</v>
      </c>
      <c r="F46" s="6">
        <f t="shared" si="0"/>
        <v>95</v>
      </c>
      <c r="G46" s="6">
        <f t="shared" si="1"/>
        <v>340.65</v>
      </c>
      <c r="H46" s="6">
        <f t="shared" si="2"/>
        <v>1.9926207055139041E-5</v>
      </c>
      <c r="I46" s="7">
        <f t="shared" si="3"/>
        <v>1158916576932337.8</v>
      </c>
      <c r="J46" s="6">
        <f t="shared" si="4"/>
        <v>1.0226038455893147</v>
      </c>
      <c r="K46" s="7">
        <f>J46*H46*首页!$B$12/P46</f>
        <v>0.69532757496605813</v>
      </c>
      <c r="L46" s="6">
        <f>首页!$B$9*0.0000000567*((C46^4-D46^4)/(C46-D46))</f>
        <v>7.7687338005019564</v>
      </c>
      <c r="M46" s="6">
        <f>IF(首页!$B$13="自然对流",IF(首页!$B$14="立式圆筒",首页!$B$10,PI()*B46/2),PI()*B46/2)</f>
        <v>55.2</v>
      </c>
      <c r="N46" s="7">
        <f>IF(首页!$B$13="强制对流",首页!$B$11*M46/H46,0)</f>
        <v>0</v>
      </c>
      <c r="O46" s="7">
        <f>IF(首页!$B$13="自然对流",IF(首页!$B$14="立式圆筒",(0.825+0.3063*I46^(1/6))^2+0.87*(M46/B46),(0.752+0.303*I46^(1/6))^2),0.3+SQRT((0.592*N46^0.5)^2+(0.0262*N46^0.8/(1-0.5/N46^0.1))^2))</f>
        <v>10256.950077192325</v>
      </c>
      <c r="P46" s="6">
        <f t="shared" si="5"/>
        <v>2.9510194925512497E-2</v>
      </c>
      <c r="Q46" s="6">
        <f t="shared" si="6"/>
        <v>5.483416596362245</v>
      </c>
      <c r="R46" s="6">
        <f t="shared" si="7"/>
        <v>13.252150396864202</v>
      </c>
      <c r="S46" s="6">
        <f>IF($Y$2="按单位面积散热损失 qp",B46*LN(B46/首页!$B$4),LN(B46/首页!$B$4))</f>
        <v>0.10519674283307011</v>
      </c>
      <c r="T46" s="6">
        <f>IF($Y$2="按单位面积散热损失 qp",2*PI()*首页!$B$8*((E46-D46)/$Y$3-1/R46),2*PI()*首页!$B$8*((E46-D46)/$Y$4-1/(PI()*B46*R46)))</f>
        <v>4.0964072431686982E-2</v>
      </c>
      <c r="U46" t="str">
        <f t="shared" si="8"/>
        <v>按单位面积散热损失 qp</v>
      </c>
      <c r="V46" s="6">
        <f t="shared" si="9"/>
        <v>6.4232670401383127E-2</v>
      </c>
    </row>
    <row r="47" spans="1:22" x14ac:dyDescent="0.15">
      <c r="A47">
        <v>42</v>
      </c>
      <c r="B47" s="6">
        <f>首页!$B$4+2*A47/1000</f>
        <v>0.20400000000000001</v>
      </c>
      <c r="C47" s="6">
        <f>首页!$B$7+273.15</f>
        <v>388.15</v>
      </c>
      <c r="D47" s="6">
        <f>首页!$B$6+273.15</f>
        <v>293.14999999999998</v>
      </c>
      <c r="E47" s="6">
        <f>首页!$B$5+273.15</f>
        <v>1373.15</v>
      </c>
      <c r="F47" s="6">
        <f t="shared" si="0"/>
        <v>95</v>
      </c>
      <c r="G47" s="6">
        <f t="shared" si="1"/>
        <v>340.65</v>
      </c>
      <c r="H47" s="6">
        <f t="shared" si="2"/>
        <v>1.9926207055139041E-5</v>
      </c>
      <c r="I47" s="7">
        <f t="shared" si="3"/>
        <v>1158916576932337.8</v>
      </c>
      <c r="J47" s="6">
        <f t="shared" si="4"/>
        <v>1.0226038455893147</v>
      </c>
      <c r="K47" s="7">
        <f>J47*H47*首页!$B$12/P47</f>
        <v>0.69532757496605813</v>
      </c>
      <c r="L47" s="6">
        <f>首页!$B$9*0.0000000567*((C47^4-D47^4)/(C47-D47))</f>
        <v>7.7687338005019564</v>
      </c>
      <c r="M47" s="6">
        <f>IF(首页!$B$13="自然对流",IF(首页!$B$14="立式圆筒",首页!$B$10,PI()*B47/2),PI()*B47/2)</f>
        <v>55.2</v>
      </c>
      <c r="N47" s="7">
        <f>IF(首页!$B$13="强制对流",首页!$B$11*M47/H47,0)</f>
        <v>0</v>
      </c>
      <c r="O47" s="7">
        <f>IF(首页!$B$13="自然对流",IF(首页!$B$14="立式圆筒",(0.825+0.3063*I47^(1/6))^2+0.87*(M47/B47),(0.752+0.303*I47^(1/6))^2),0.3+SQRT((0.592*N47^0.5)^2+(0.0262*N47^0.8/(1-0.5/N47^0.1))^2))</f>
        <v>10254.619267640783</v>
      </c>
      <c r="P47" s="6">
        <f t="shared" si="5"/>
        <v>2.9510194925512497E-2</v>
      </c>
      <c r="Q47" s="6">
        <f t="shared" si="6"/>
        <v>5.482170533967313</v>
      </c>
      <c r="R47" s="6">
        <f t="shared" si="7"/>
        <v>13.250904334469269</v>
      </c>
      <c r="S47" s="6">
        <f>IF($Y$2="按单位面积散热损失 qp",B47*LN(B47/首页!$B$4),LN(B47/首页!$B$4))</f>
        <v>0.10824816321668279</v>
      </c>
      <c r="T47" s="6">
        <f>IF($Y$2="按单位面积散热损失 qp",2*PI()*首页!$B$8*((E47-D47)/$Y$3-1/R47),2*PI()*首页!$B$8*((E47-D47)/$Y$4-1/(PI()*B47*R47)))</f>
        <v>4.0962066111249404E-2</v>
      </c>
      <c r="U47" t="str">
        <f t="shared" si="8"/>
        <v>按单位面积散热损失 qp</v>
      </c>
      <c r="V47" s="6">
        <f t="shared" si="9"/>
        <v>6.7286097105433387E-2</v>
      </c>
    </row>
    <row r="48" spans="1:22" x14ac:dyDescent="0.15">
      <c r="A48">
        <v>43</v>
      </c>
      <c r="B48" s="6">
        <f>首页!$B$4+2*A48/1000</f>
        <v>0.20599999999999999</v>
      </c>
      <c r="C48" s="6">
        <f>首页!$B$7+273.15</f>
        <v>388.15</v>
      </c>
      <c r="D48" s="6">
        <f>首页!$B$6+273.15</f>
        <v>293.14999999999998</v>
      </c>
      <c r="E48" s="6">
        <f>首页!$B$5+273.15</f>
        <v>1373.15</v>
      </c>
      <c r="F48" s="6">
        <f t="shared" si="0"/>
        <v>95</v>
      </c>
      <c r="G48" s="6">
        <f t="shared" si="1"/>
        <v>340.65</v>
      </c>
      <c r="H48" s="6">
        <f t="shared" si="2"/>
        <v>1.9926207055139041E-5</v>
      </c>
      <c r="I48" s="7">
        <f t="shared" si="3"/>
        <v>1158916576932337.8</v>
      </c>
      <c r="J48" s="6">
        <f t="shared" si="4"/>
        <v>1.0226038455893147</v>
      </c>
      <c r="K48" s="7">
        <f>J48*H48*首页!$B$12/P48</f>
        <v>0.69532757496605813</v>
      </c>
      <c r="L48" s="6">
        <f>首页!$B$9*0.0000000567*((C48^4-D48^4)/(C48-D48))</f>
        <v>7.7687338005019564</v>
      </c>
      <c r="M48" s="6">
        <f>IF(首页!$B$13="自然对流",IF(首页!$B$14="立式圆筒",首页!$B$10,PI()*B48/2),PI()*B48/2)</f>
        <v>55.2</v>
      </c>
      <c r="N48" s="7">
        <f>IF(首页!$B$13="强制对流",首页!$B$11*M48/H48,0)</f>
        <v>0</v>
      </c>
      <c r="O48" s="7">
        <f>IF(首页!$B$13="自然对流",IF(首页!$B$14="立式圆筒",(0.825+0.3063*I48^(1/6))^2+0.87*(M48/B48),(0.752+0.303*I48^(1/6))^2),0.3+SQRT((0.592*N48^0.5)^2+(0.0262*N48^0.8/(1-0.5/N48^0.1))^2))</f>
        <v>10252.333716527133</v>
      </c>
      <c r="P48" s="6">
        <f t="shared" si="5"/>
        <v>2.9510194925512497E-2</v>
      </c>
      <c r="Q48" s="6">
        <f t="shared" si="6"/>
        <v>5.4809486669586898</v>
      </c>
      <c r="R48" s="6">
        <f t="shared" si="7"/>
        <v>13.249682467460646</v>
      </c>
      <c r="S48" s="6">
        <f>IF($Y$2="按单位面积散热损失 qp",B48*LN(B48/首页!$B$4),LN(B48/首页!$B$4))</f>
        <v>0.1113191917575522</v>
      </c>
      <c r="T48" s="6">
        <f>IF($Y$2="按单位面积散热损失 qp",2*PI()*首页!$B$8*((E48-D48)/$Y$3-1/R48),2*PI()*首页!$B$8*((E48-D48)/$Y$4-1/(PI()*B48*R48)))</f>
        <v>4.0960098382042773E-2</v>
      </c>
      <c r="U48" t="str">
        <f t="shared" si="8"/>
        <v>按单位面积散热损失 qp</v>
      </c>
      <c r="V48" s="6">
        <f t="shared" si="9"/>
        <v>7.0359093375509427E-2</v>
      </c>
    </row>
    <row r="49" spans="1:22" x14ac:dyDescent="0.15">
      <c r="A49">
        <v>44</v>
      </c>
      <c r="B49" s="6">
        <f>首页!$B$4+2*A49/1000</f>
        <v>0.20799999999999999</v>
      </c>
      <c r="C49" s="6">
        <f>首页!$B$7+273.15</f>
        <v>388.15</v>
      </c>
      <c r="D49" s="6">
        <f>首页!$B$6+273.15</f>
        <v>293.14999999999998</v>
      </c>
      <c r="E49" s="6">
        <f>首页!$B$5+273.15</f>
        <v>1373.15</v>
      </c>
      <c r="F49" s="6">
        <f t="shared" si="0"/>
        <v>95</v>
      </c>
      <c r="G49" s="6">
        <f t="shared" si="1"/>
        <v>340.65</v>
      </c>
      <c r="H49" s="6">
        <f t="shared" si="2"/>
        <v>1.9926207055139041E-5</v>
      </c>
      <c r="I49" s="7">
        <f t="shared" si="3"/>
        <v>1158916576932337.8</v>
      </c>
      <c r="J49" s="6">
        <f t="shared" si="4"/>
        <v>1.0226038455893147</v>
      </c>
      <c r="K49" s="7">
        <f>J49*H49*首页!$B$12/P49</f>
        <v>0.69532757496605813</v>
      </c>
      <c r="L49" s="6">
        <f>首页!$B$9*0.0000000567*((C49^4-D49^4)/(C49-D49))</f>
        <v>7.7687338005019564</v>
      </c>
      <c r="M49" s="6">
        <f>IF(首页!$B$13="自然对流",IF(首页!$B$14="立式圆筒",首页!$B$10,PI()*B49/2),PI()*B49/2)</f>
        <v>55.2</v>
      </c>
      <c r="N49" s="7">
        <f>IF(首页!$B$13="强制对流",首页!$B$11*M49/H49,0)</f>
        <v>0</v>
      </c>
      <c r="O49" s="7">
        <f>IF(首页!$B$13="自然对流",IF(首页!$B$14="立式圆筒",(0.825+0.3063*I49^(1/6))^2+0.87*(M49/B49),(0.752+0.303*I49^(1/6))^2),0.3+SQRT((0.592*N49^0.5)^2+(0.0262*N49^0.8/(1-0.5/N49^0.1))^2))</f>
        <v>10250.092118319515</v>
      </c>
      <c r="P49" s="6">
        <f t="shared" si="5"/>
        <v>2.9510194925512497E-2</v>
      </c>
      <c r="Q49" s="6">
        <f t="shared" si="6"/>
        <v>5.4797502973925392</v>
      </c>
      <c r="R49" s="6">
        <f t="shared" si="7"/>
        <v>13.248484097894496</v>
      </c>
      <c r="S49" s="6">
        <f>IF($Y$2="按单位面积散热损失 qp",B49*LN(B49/首页!$B$4),LN(B49/首页!$B$4))</f>
        <v>0.11440963807920856</v>
      </c>
      <c r="T49" s="6">
        <f>IF($Y$2="按单位面积散热损失 qp",2*PI()*首页!$B$8*((E49-D49)/$Y$3-1/R49),2*PI()*首页!$B$8*((E49-D49)/$Y$4-1/(PI()*B49*R49)))</f>
        <v>4.095816814122992E-2</v>
      </c>
      <c r="U49" t="str">
        <f t="shared" si="8"/>
        <v>按单位面积散热损失 qp</v>
      </c>
      <c r="V49" s="6">
        <f t="shared" si="9"/>
        <v>7.3451469937978645E-2</v>
      </c>
    </row>
    <row r="50" spans="1:22" x14ac:dyDescent="0.15">
      <c r="A50">
        <v>45</v>
      </c>
      <c r="B50" s="6">
        <f>首页!$B$4+2*A50/1000</f>
        <v>0.21</v>
      </c>
      <c r="C50" s="6">
        <f>首页!$B$7+273.15</f>
        <v>388.15</v>
      </c>
      <c r="D50" s="6">
        <f>首页!$B$6+273.15</f>
        <v>293.14999999999998</v>
      </c>
      <c r="E50" s="6">
        <f>首页!$B$5+273.15</f>
        <v>1373.15</v>
      </c>
      <c r="F50" s="6">
        <f t="shared" si="0"/>
        <v>95</v>
      </c>
      <c r="G50" s="6">
        <f t="shared" si="1"/>
        <v>340.65</v>
      </c>
      <c r="H50" s="6">
        <f t="shared" si="2"/>
        <v>1.9926207055139041E-5</v>
      </c>
      <c r="I50" s="7">
        <f t="shared" si="3"/>
        <v>1158916576932337.8</v>
      </c>
      <c r="J50" s="6">
        <f t="shared" si="4"/>
        <v>1.0226038455893147</v>
      </c>
      <c r="K50" s="7">
        <f>J50*H50*首页!$B$12/P50</f>
        <v>0.69532757496605813</v>
      </c>
      <c r="L50" s="6">
        <f>首页!$B$9*0.0000000567*((C50^4-D50^4)/(C50-D50))</f>
        <v>7.7687338005019564</v>
      </c>
      <c r="M50" s="6">
        <f>IF(首页!$B$13="自然对流",IF(首页!$B$14="立式圆筒",首页!$B$10,PI()*B50/2),PI()*B50/2)</f>
        <v>55.2</v>
      </c>
      <c r="N50" s="7">
        <f>IF(首页!$B$13="强制对流",首页!$B$11*M50/H50,0)</f>
        <v>0</v>
      </c>
      <c r="O50" s="7">
        <f>IF(首页!$B$13="自然对流",IF(首页!$B$14="立式圆筒",(0.825+0.3063*I50^(1/6))^2+0.87*(M50/B50),(0.752+0.303*I50^(1/6))^2),0.3+SQRT((0.592*N50^0.5)^2+(0.0262*N50^0.8/(1-0.5/N50^0.1))^2))</f>
        <v>10247.893217220615</v>
      </c>
      <c r="P50" s="6">
        <f t="shared" si="5"/>
        <v>2.9510194925512497E-2</v>
      </c>
      <c r="Q50" s="6">
        <f t="shared" si="6"/>
        <v>5.4785747539133638</v>
      </c>
      <c r="R50" s="6">
        <f t="shared" si="7"/>
        <v>13.247308554415319</v>
      </c>
      <c r="S50" s="6">
        <f>IF($Y$2="按单位面积散热损失 qp",B50*LN(B50/首页!$B$4),LN(B50/首页!$B$4))</f>
        <v>0.11751931546643875</v>
      </c>
      <c r="T50" s="6">
        <f>IF($Y$2="按单位面积散热损失 qp",2*PI()*首页!$B$8*((E50-D50)/$Y$3-1/R50),2*PI()*首页!$B$8*((E50-D50)/$Y$4-1/(PI()*B50*R50)))</f>
        <v>4.095627432759881E-2</v>
      </c>
      <c r="U50" t="str">
        <f t="shared" si="8"/>
        <v>按单位面积散热损失 qp</v>
      </c>
      <c r="V50" s="6">
        <f t="shared" si="9"/>
        <v>7.6563041138839938E-2</v>
      </c>
    </row>
    <row r="51" spans="1:22" x14ac:dyDescent="0.15">
      <c r="A51">
        <v>46</v>
      </c>
      <c r="B51" s="6">
        <f>首页!$B$4+2*A51/1000</f>
        <v>0.21199999999999999</v>
      </c>
      <c r="C51" s="6">
        <f>首页!$B$7+273.15</f>
        <v>388.15</v>
      </c>
      <c r="D51" s="6">
        <f>首页!$B$6+273.15</f>
        <v>293.14999999999998</v>
      </c>
      <c r="E51" s="6">
        <f>首页!$B$5+273.15</f>
        <v>1373.15</v>
      </c>
      <c r="F51" s="6">
        <f t="shared" si="0"/>
        <v>95</v>
      </c>
      <c r="G51" s="6">
        <f t="shared" si="1"/>
        <v>340.65</v>
      </c>
      <c r="H51" s="6">
        <f t="shared" si="2"/>
        <v>1.9926207055139041E-5</v>
      </c>
      <c r="I51" s="7">
        <f t="shared" si="3"/>
        <v>1158916576932337.8</v>
      </c>
      <c r="J51" s="6">
        <f t="shared" si="4"/>
        <v>1.0226038455893147</v>
      </c>
      <c r="K51" s="7">
        <f>J51*H51*首页!$B$12/P51</f>
        <v>0.69532757496605813</v>
      </c>
      <c r="L51" s="6">
        <f>首页!$B$9*0.0000000567*((C51^4-D51^4)/(C51-D51))</f>
        <v>7.7687338005019564</v>
      </c>
      <c r="M51" s="6">
        <f>IF(首页!$B$13="自然对流",IF(首页!$B$14="立式圆筒",首页!$B$10,PI()*B51/2),PI()*B51/2)</f>
        <v>55.2</v>
      </c>
      <c r="N51" s="7">
        <f>IF(首页!$B$13="强制对流",首页!$B$11*M51/H51,0)</f>
        <v>0</v>
      </c>
      <c r="O51" s="7">
        <f>IF(首页!$B$13="自然对流",IF(首页!$B$14="立式圆筒",(0.825+0.3063*I51^(1/6))^2+0.87*(M51/B51),(0.752+0.303*I51^(1/6))^2),0.3+SQRT((0.592*N51^0.5)^2+(0.0262*N51^0.8/(1-0.5/N51^0.1))^2))</f>
        <v>10245.735804821692</v>
      </c>
      <c r="P51" s="6">
        <f t="shared" si="5"/>
        <v>2.9510194925512497E-2</v>
      </c>
      <c r="Q51" s="6">
        <f t="shared" si="6"/>
        <v>5.477421390499833</v>
      </c>
      <c r="R51" s="6">
        <f t="shared" si="7"/>
        <v>13.24615519100179</v>
      </c>
      <c r="S51" s="6">
        <f>IF($Y$2="按单位面积散热损失 qp",B51*LN(B51/首页!$B$4),LN(B51/首页!$B$4))</f>
        <v>0.12064804076067287</v>
      </c>
      <c r="T51" s="6">
        <f>IF($Y$2="按单位面积散热损失 qp",2*PI()*首页!$B$8*((E51-D51)/$Y$3-1/R51),2*PI()*首页!$B$8*((E51-D51)/$Y$4-1/(PI()*B51*R51)))</f>
        <v>4.0954415919617022E-2</v>
      </c>
      <c r="U51" t="str">
        <f t="shared" si="8"/>
        <v>按单位面积散热损失 qp</v>
      </c>
      <c r="V51" s="6">
        <f t="shared" si="9"/>
        <v>7.9693624841055855E-2</v>
      </c>
    </row>
    <row r="52" spans="1:22" x14ac:dyDescent="0.15">
      <c r="A52">
        <v>47</v>
      </c>
      <c r="B52" s="6">
        <f>首页!$B$4+2*A52/1000</f>
        <v>0.214</v>
      </c>
      <c r="C52" s="6">
        <f>首页!$B$7+273.15</f>
        <v>388.15</v>
      </c>
      <c r="D52" s="6">
        <f>首页!$B$6+273.15</f>
        <v>293.14999999999998</v>
      </c>
      <c r="E52" s="6">
        <f>首页!$B$5+273.15</f>
        <v>1373.15</v>
      </c>
      <c r="F52" s="6">
        <f t="shared" si="0"/>
        <v>95</v>
      </c>
      <c r="G52" s="6">
        <f t="shared" si="1"/>
        <v>340.65</v>
      </c>
      <c r="H52" s="6">
        <f t="shared" si="2"/>
        <v>1.9926207055139041E-5</v>
      </c>
      <c r="I52" s="7">
        <f t="shared" si="3"/>
        <v>1158916576932337.8</v>
      </c>
      <c r="J52" s="6">
        <f t="shared" si="4"/>
        <v>1.0226038455893147</v>
      </c>
      <c r="K52" s="7">
        <f>J52*H52*首页!$B$12/P52</f>
        <v>0.69532757496605813</v>
      </c>
      <c r="L52" s="6">
        <f>首页!$B$9*0.0000000567*((C52^4-D52^4)/(C52-D52))</f>
        <v>7.7687338005019564</v>
      </c>
      <c r="M52" s="6">
        <f>IF(首页!$B$13="自然对流",IF(首页!$B$14="立式圆筒",首页!$B$10,PI()*B52/2),PI()*B52/2)</f>
        <v>55.2</v>
      </c>
      <c r="N52" s="7">
        <f>IF(首页!$B$13="强制对流",首页!$B$11*M52/H52,0)</f>
        <v>0</v>
      </c>
      <c r="O52" s="7">
        <f>IF(首页!$B$13="自然对流",IF(首页!$B$14="立式圆筒",(0.825+0.3063*I52^(1/6))^2+0.87*(M52/B52),(0.752+0.303*I52^(1/6))^2),0.3+SQRT((0.592*N52^0.5)^2+(0.0262*N52^0.8/(1-0.5/N52^0.1))^2))</f>
        <v>10243.61871788817</v>
      </c>
      <c r="P52" s="6">
        <f t="shared" si="5"/>
        <v>2.9510194925512497E-2</v>
      </c>
      <c r="Q52" s="6">
        <f t="shared" si="6"/>
        <v>5.4762895852809468</v>
      </c>
      <c r="R52" s="6">
        <f t="shared" si="7"/>
        <v>13.245023385782904</v>
      </c>
      <c r="S52" s="6">
        <f>IF($Y$2="按单位面积散热损失 qp",B52*LN(B52/首页!$B$4),LN(B52/首页!$B$4))</f>
        <v>0.12379563425931839</v>
      </c>
      <c r="T52" s="6">
        <f>IF($Y$2="按单位面积散热损失 qp",2*PI()*首页!$B$8*((E52-D52)/$Y$3-1/R52),2*PI()*首页!$B$8*((E52-D52)/$Y$4-1/(PI()*B52*R52)))</f>
        <v>4.0952591933594337E-2</v>
      </c>
      <c r="U52" t="str">
        <f t="shared" si="8"/>
        <v>按单位面积散热损失 qp</v>
      </c>
      <c r="V52" s="6">
        <f t="shared" si="9"/>
        <v>8.2843042325724051E-2</v>
      </c>
    </row>
    <row r="53" spans="1:22" x14ac:dyDescent="0.15">
      <c r="A53">
        <v>48</v>
      </c>
      <c r="B53" s="6">
        <f>首页!$B$4+2*A53/1000</f>
        <v>0.216</v>
      </c>
      <c r="C53" s="6">
        <f>首页!$B$7+273.15</f>
        <v>388.15</v>
      </c>
      <c r="D53" s="6">
        <f>首页!$B$6+273.15</f>
        <v>293.14999999999998</v>
      </c>
      <c r="E53" s="6">
        <f>首页!$B$5+273.15</f>
        <v>1373.15</v>
      </c>
      <c r="F53" s="6">
        <f t="shared" si="0"/>
        <v>95</v>
      </c>
      <c r="G53" s="6">
        <f t="shared" si="1"/>
        <v>340.65</v>
      </c>
      <c r="H53" s="6">
        <f t="shared" si="2"/>
        <v>1.9926207055139041E-5</v>
      </c>
      <c r="I53" s="7">
        <f t="shared" si="3"/>
        <v>1158916576932337.8</v>
      </c>
      <c r="J53" s="6">
        <f t="shared" si="4"/>
        <v>1.0226038455893147</v>
      </c>
      <c r="K53" s="7">
        <f>J53*H53*首页!$B$12/P53</f>
        <v>0.69532757496605813</v>
      </c>
      <c r="L53" s="6">
        <f>首页!$B$9*0.0000000567*((C53^4-D53^4)/(C53-D53))</f>
        <v>7.7687338005019564</v>
      </c>
      <c r="M53" s="6">
        <f>IF(首页!$B$13="自然对流",IF(首页!$B$14="立式圆筒",首页!$B$10,PI()*B53/2),PI()*B53/2)</f>
        <v>55.2</v>
      </c>
      <c r="N53" s="7">
        <f>IF(首页!$B$13="强制对流",首页!$B$11*M53/H53,0)</f>
        <v>0</v>
      </c>
      <c r="O53" s="7">
        <f>IF(首页!$B$13="自然对流",IF(首页!$B$14="立式圆筒",(0.825+0.3063*I53^(1/6))^2+0.87*(M53/B53),(0.752+0.303*I53^(1/6))^2),0.3+SQRT((0.592*N53^0.5)^2+(0.0262*N53^0.8/(1-0.5/N53^0.1))^2))</f>
        <v>10241.540836268234</v>
      </c>
      <c r="P53" s="6">
        <f t="shared" si="5"/>
        <v>2.9510194925512497E-2</v>
      </c>
      <c r="Q53" s="6">
        <f t="shared" si="6"/>
        <v>5.4751787394179683</v>
      </c>
      <c r="R53" s="6">
        <f t="shared" si="7"/>
        <v>13.243912539919926</v>
      </c>
      <c r="S53" s="6">
        <f>IF($Y$2="按单位面积散热损失 qp",B53*LN(B53/首页!$B$4),LN(B53/首页!$B$4))</f>
        <v>0.12696191961885772</v>
      </c>
      <c r="T53" s="6">
        <f>IF($Y$2="按单位面积散热损失 qp",2*PI()*首页!$B$8*((E53-D53)/$Y$3-1/R53),2*PI()*首页!$B$8*((E53-D53)/$Y$4-1/(PI()*B53*R53)))</f>
        <v>4.095080142194657E-2</v>
      </c>
      <c r="U53" t="str">
        <f t="shared" si="8"/>
        <v>按单位面积散热损失 qp</v>
      </c>
      <c r="V53" s="6">
        <f t="shared" si="9"/>
        <v>8.6011118196911152E-2</v>
      </c>
    </row>
    <row r="54" spans="1:22" x14ac:dyDescent="0.15">
      <c r="A54">
        <v>49</v>
      </c>
      <c r="B54" s="6">
        <f>首页!$B$4+2*A54/1000</f>
        <v>0.218</v>
      </c>
      <c r="C54" s="6">
        <f>首页!$B$7+273.15</f>
        <v>388.15</v>
      </c>
      <c r="D54" s="6">
        <f>首页!$B$6+273.15</f>
        <v>293.14999999999998</v>
      </c>
      <c r="E54" s="6">
        <f>首页!$B$5+273.15</f>
        <v>1373.15</v>
      </c>
      <c r="F54" s="6">
        <f t="shared" si="0"/>
        <v>95</v>
      </c>
      <c r="G54" s="6">
        <f t="shared" si="1"/>
        <v>340.65</v>
      </c>
      <c r="H54" s="6">
        <f t="shared" si="2"/>
        <v>1.9926207055139041E-5</v>
      </c>
      <c r="I54" s="7">
        <f t="shared" si="3"/>
        <v>1158916576932337.8</v>
      </c>
      <c r="J54" s="6">
        <f t="shared" si="4"/>
        <v>1.0226038455893147</v>
      </c>
      <c r="K54" s="7">
        <f>J54*H54*首页!$B$12/P54</f>
        <v>0.69532757496605813</v>
      </c>
      <c r="L54" s="6">
        <f>首页!$B$9*0.0000000567*((C54^4-D54^4)/(C54-D54))</f>
        <v>7.7687338005019564</v>
      </c>
      <c r="M54" s="6">
        <f>IF(首页!$B$13="自然对流",IF(首页!$B$14="立式圆筒",首页!$B$10,PI()*B54/2),PI()*B54/2)</f>
        <v>55.2</v>
      </c>
      <c r="N54" s="7">
        <f>IF(首页!$B$13="强制对流",首页!$B$11*M54/H54,0)</f>
        <v>0</v>
      </c>
      <c r="O54" s="7">
        <f>IF(首页!$B$13="自然对流",IF(首页!$B$14="立式圆筒",(0.825+0.3063*I54^(1/6))^2+0.87*(M54/B54),(0.752+0.303*I54^(1/6))^2),0.3+SQRT((0.592*N54^0.5)^2+(0.0262*N54^0.8/(1-0.5/N54^0.1))^2))</f>
        <v>10239.501080916551</v>
      </c>
      <c r="P54" s="6">
        <f t="shared" si="5"/>
        <v>2.9510194925512497E-2</v>
      </c>
      <c r="Q54" s="6">
        <f t="shared" si="6"/>
        <v>5.4740882760478859</v>
      </c>
      <c r="R54" s="6">
        <f t="shared" si="7"/>
        <v>13.242822076549842</v>
      </c>
      <c r="S54" s="6">
        <f>IF($Y$2="按单位面积散热损失 qp",B54*LN(B54/首页!$B$4),LN(B54/首页!$B$4))</f>
        <v>0.13014672376153538</v>
      </c>
      <c r="T54" s="6">
        <f>IF($Y$2="按单位面积散热损失 qp",2*PI()*首页!$B$8*((E54-D54)/$Y$3-1/R54),2*PI()*首页!$B$8*((E54-D54)/$Y$4-1/(PI()*B54*R54)))</f>
        <v>4.0949043471553981E-2</v>
      </c>
      <c r="U54" t="str">
        <f t="shared" si="8"/>
        <v>按单位面积散热损失 qp</v>
      </c>
      <c r="V54" s="6">
        <f t="shared" si="9"/>
        <v>8.9197680289981401E-2</v>
      </c>
    </row>
    <row r="55" spans="1:22" x14ac:dyDescent="0.15">
      <c r="A55">
        <v>50</v>
      </c>
      <c r="B55" s="6">
        <f>首页!$B$4+2*A55/1000</f>
        <v>0.22</v>
      </c>
      <c r="C55" s="6">
        <f>首页!$B$7+273.15</f>
        <v>388.15</v>
      </c>
      <c r="D55" s="6">
        <f>首页!$B$6+273.15</f>
        <v>293.14999999999998</v>
      </c>
      <c r="E55" s="6">
        <f>首页!$B$5+273.15</f>
        <v>1373.15</v>
      </c>
      <c r="F55" s="6">
        <f t="shared" si="0"/>
        <v>95</v>
      </c>
      <c r="G55" s="6">
        <f t="shared" si="1"/>
        <v>340.65</v>
      </c>
      <c r="H55" s="6">
        <f t="shared" si="2"/>
        <v>1.9926207055139041E-5</v>
      </c>
      <c r="I55" s="7">
        <f t="shared" si="3"/>
        <v>1158916576932337.8</v>
      </c>
      <c r="J55" s="6">
        <f t="shared" si="4"/>
        <v>1.0226038455893147</v>
      </c>
      <c r="K55" s="7">
        <f>J55*H55*首页!$B$12/P55</f>
        <v>0.69532757496605813</v>
      </c>
      <c r="L55" s="6">
        <f>首页!$B$9*0.0000000567*((C55^4-D55^4)/(C55-D55))</f>
        <v>7.7687338005019564</v>
      </c>
      <c r="M55" s="6">
        <f>IF(首页!$B$13="自然对流",IF(首页!$B$14="立式圆筒",首页!$B$10,PI()*B55/2),PI()*B55/2)</f>
        <v>55.2</v>
      </c>
      <c r="N55" s="7">
        <f>IF(首页!$B$13="强制对流",首页!$B$11*M55/H55,0)</f>
        <v>0</v>
      </c>
      <c r="O55" s="7">
        <f>IF(首页!$B$13="自然对流",IF(首页!$B$14="立式圆筒",(0.825+0.3063*I55^(1/6))^2+0.87*(M55/B55),(0.752+0.303*I55^(1/6))^2),0.3+SQRT((0.592*N55^0.5)^2+(0.0262*N55^0.8/(1-0.5/N55^0.1))^2))</f>
        <v>10237.498412025809</v>
      </c>
      <c r="P55" s="6">
        <f t="shared" si="5"/>
        <v>2.9510194925512497E-2</v>
      </c>
      <c r="Q55" s="6">
        <f t="shared" si="6"/>
        <v>5.4730176392845333</v>
      </c>
      <c r="R55" s="6">
        <f t="shared" si="7"/>
        <v>13.241751439786491</v>
      </c>
      <c r="S55" s="6">
        <f>IF($Y$2="按单位面积散热损失 qp",B55*LN(B55/首页!$B$4),LN(B55/首页!$B$4))</f>
        <v>0.13334987678546945</v>
      </c>
      <c r="T55" s="6">
        <f>IF($Y$2="按单位面积散热损失 qp",2*PI()*首页!$B$8*((E55-D55)/$Y$3-1/R55),2*PI()*首页!$B$8*((E55-D55)/$Y$4-1/(PI()*B55*R55)))</f>
        <v>4.0947317202208587E-2</v>
      </c>
      <c r="U55" t="str">
        <f t="shared" si="8"/>
        <v>按单位面积散热损失 qp</v>
      </c>
      <c r="V55" s="6">
        <f t="shared" si="9"/>
        <v>9.2402559583260852E-2</v>
      </c>
    </row>
    <row r="56" spans="1:22" x14ac:dyDescent="0.15">
      <c r="A56">
        <v>51</v>
      </c>
      <c r="B56" s="6">
        <f>首页!$B$4+2*A56/1000</f>
        <v>0.22199999999999998</v>
      </c>
      <c r="C56" s="6">
        <f>首页!$B$7+273.15</f>
        <v>388.15</v>
      </c>
      <c r="D56" s="6">
        <f>首页!$B$6+273.15</f>
        <v>293.14999999999998</v>
      </c>
      <c r="E56" s="6">
        <f>首页!$B$5+273.15</f>
        <v>1373.15</v>
      </c>
      <c r="F56" s="6">
        <f t="shared" si="0"/>
        <v>95</v>
      </c>
      <c r="G56" s="6">
        <f t="shared" si="1"/>
        <v>340.65</v>
      </c>
      <c r="H56" s="6">
        <f t="shared" si="2"/>
        <v>1.9926207055139041E-5</v>
      </c>
      <c r="I56" s="7">
        <f t="shared" si="3"/>
        <v>1158916576932337.8</v>
      </c>
      <c r="J56" s="6">
        <f t="shared" si="4"/>
        <v>1.0226038455893147</v>
      </c>
      <c r="K56" s="7">
        <f>J56*H56*首页!$B$12/P56</f>
        <v>0.69532757496605813</v>
      </c>
      <c r="L56" s="6">
        <f>首页!$B$9*0.0000000567*((C56^4-D56^4)/(C56-D56))</f>
        <v>7.7687338005019564</v>
      </c>
      <c r="M56" s="6">
        <f>IF(首页!$B$13="自然对流",IF(首页!$B$14="立式圆筒",首页!$B$10,PI()*B56/2),PI()*B56/2)</f>
        <v>55.2</v>
      </c>
      <c r="N56" s="7">
        <f>IF(首页!$B$13="强制对流",首页!$B$11*M56/H56,0)</f>
        <v>0</v>
      </c>
      <c r="O56" s="7">
        <f>IF(首页!$B$13="自然对流",IF(首页!$B$14="立式圆筒",(0.825+0.3063*I56^(1/6))^2+0.87*(M56/B56),(0.752+0.303*I56^(1/6))^2),0.3+SQRT((0.592*N56^0.5)^2+(0.0262*N56^0.8/(1-0.5/N56^0.1))^2))</f>
        <v>10235.531827259225</v>
      </c>
      <c r="P56" s="6">
        <f t="shared" si="5"/>
        <v>2.9510194925512497E-2</v>
      </c>
      <c r="Q56" s="6">
        <f t="shared" si="6"/>
        <v>5.4719662932736739</v>
      </c>
      <c r="R56" s="6">
        <f t="shared" si="7"/>
        <v>13.240700093775629</v>
      </c>
      <c r="S56" s="6">
        <f>IF($Y$2="按单位面积散热损失 qp",B56*LN(B56/首页!$B$4),LN(B56/首页!$B$4))</f>
        <v>0.13657121187803178</v>
      </c>
      <c r="T56" s="6">
        <f>IF($Y$2="按单位面积散热损失 qp",2*PI()*首页!$B$8*((E56-D56)/$Y$3-1/R56),2*PI()*首页!$B$8*((E56-D56)/$Y$4-1/(PI()*B56*R56)))</f>
        <v>4.0945621765144533E-2</v>
      </c>
      <c r="U56" t="str">
        <f t="shared" si="8"/>
        <v>按单位面积散热损失 qp</v>
      </c>
      <c r="V56" s="6">
        <f t="shared" si="9"/>
        <v>9.5625590112887252E-2</v>
      </c>
    </row>
    <row r="57" spans="1:22" x14ac:dyDescent="0.15">
      <c r="A57">
        <v>52</v>
      </c>
      <c r="B57" s="6">
        <f>首页!$B$4+2*A57/1000</f>
        <v>0.22399999999999998</v>
      </c>
      <c r="C57" s="6">
        <f>首页!$B$7+273.15</f>
        <v>388.15</v>
      </c>
      <c r="D57" s="6">
        <f>首页!$B$6+273.15</f>
        <v>293.14999999999998</v>
      </c>
      <c r="E57" s="6">
        <f>首页!$B$5+273.15</f>
        <v>1373.15</v>
      </c>
      <c r="F57" s="6">
        <f t="shared" si="0"/>
        <v>95</v>
      </c>
      <c r="G57" s="6">
        <f t="shared" si="1"/>
        <v>340.65</v>
      </c>
      <c r="H57" s="6">
        <f t="shared" si="2"/>
        <v>1.9926207055139041E-5</v>
      </c>
      <c r="I57" s="7">
        <f t="shared" si="3"/>
        <v>1158916576932337.8</v>
      </c>
      <c r="J57" s="6">
        <f t="shared" si="4"/>
        <v>1.0226038455893147</v>
      </c>
      <c r="K57" s="7">
        <f>J57*H57*首页!$B$12/P57</f>
        <v>0.69532757496605813</v>
      </c>
      <c r="L57" s="6">
        <f>首页!$B$9*0.0000000567*((C57^4-D57^4)/(C57-D57))</f>
        <v>7.7687338005019564</v>
      </c>
      <c r="M57" s="6">
        <f>IF(首页!$B$13="自然对流",IF(首页!$B$14="立式圆筒",首页!$B$10,PI()*B57/2),PI()*B57/2)</f>
        <v>55.2</v>
      </c>
      <c r="N57" s="7">
        <f>IF(首页!$B$13="强制对流",首页!$B$11*M57/H57,0)</f>
        <v>0</v>
      </c>
      <c r="O57" s="7">
        <f>IF(首页!$B$13="自然对流",IF(首页!$B$14="立式圆筒",(0.825+0.3063*I57^(1/6))^2+0.87*(M57/B57),(0.752+0.303*I57^(1/6))^2),0.3+SQRT((0.592*N57^0.5)^2+(0.0262*N57^0.8/(1-0.5/N57^0.1))^2))</f>
        <v>10233.600360077757</v>
      </c>
      <c r="P57" s="6">
        <f t="shared" si="5"/>
        <v>2.9510194925512497E-2</v>
      </c>
      <c r="Q57" s="6">
        <f t="shared" si="6"/>
        <v>5.4709337212987217</v>
      </c>
      <c r="R57" s="6">
        <f t="shared" si="7"/>
        <v>13.239667521800678</v>
      </c>
      <c r="S57" s="6">
        <f>IF($Y$2="按单位面积散热损失 qp",B57*LN(B57/首页!$B$4),LN(B57/首页!$B$4))</f>
        <v>0.13981056523235058</v>
      </c>
      <c r="T57" s="6">
        <f>IF($Y$2="按单位面积散热损失 qp",2*PI()*首页!$B$8*((E57-D57)/$Y$3-1/R57),2*PI()*首页!$B$8*((E57-D57)/$Y$4-1/(PI()*B57*R57)))</f>
        <v>4.0943956341646659E-2</v>
      </c>
      <c r="U57" t="str">
        <f t="shared" si="8"/>
        <v>按单位面积散热损失 qp</v>
      </c>
      <c r="V57" s="6">
        <f t="shared" si="9"/>
        <v>9.8866608890703922E-2</v>
      </c>
    </row>
    <row r="58" spans="1:22" x14ac:dyDescent="0.15">
      <c r="A58">
        <v>53</v>
      </c>
      <c r="B58" s="6">
        <f>首页!$B$4+2*A58/1000</f>
        <v>0.22599999999999998</v>
      </c>
      <c r="C58" s="6">
        <f>首页!$B$7+273.15</f>
        <v>388.15</v>
      </c>
      <c r="D58" s="6">
        <f>首页!$B$6+273.15</f>
        <v>293.14999999999998</v>
      </c>
      <c r="E58" s="6">
        <f>首页!$B$5+273.15</f>
        <v>1373.15</v>
      </c>
      <c r="F58" s="6">
        <f t="shared" si="0"/>
        <v>95</v>
      </c>
      <c r="G58" s="6">
        <f t="shared" si="1"/>
        <v>340.65</v>
      </c>
      <c r="H58" s="6">
        <f t="shared" si="2"/>
        <v>1.9926207055139041E-5</v>
      </c>
      <c r="I58" s="7">
        <f t="shared" si="3"/>
        <v>1158916576932337.8</v>
      </c>
      <c r="J58" s="6">
        <f t="shared" si="4"/>
        <v>1.0226038455893147</v>
      </c>
      <c r="K58" s="7">
        <f>J58*H58*首页!$B$12/P58</f>
        <v>0.69532757496605813</v>
      </c>
      <c r="L58" s="6">
        <f>首页!$B$9*0.0000000567*((C58^4-D58^4)/(C58-D58))</f>
        <v>7.7687338005019564</v>
      </c>
      <c r="M58" s="6">
        <f>IF(首页!$B$13="自然对流",IF(首页!$B$14="立式圆筒",首页!$B$10,PI()*B58/2),PI()*B58/2)</f>
        <v>55.2</v>
      </c>
      <c r="N58" s="7">
        <f>IF(首页!$B$13="强制对流",首页!$B$11*M58/H58,0)</f>
        <v>0</v>
      </c>
      <c r="O58" s="7">
        <f>IF(首页!$B$13="自然对流",IF(首页!$B$14="立式圆筒",(0.825+0.3063*I58^(1/6))^2+0.87*(M58/B58),(0.752+0.303*I58^(1/6))^2),0.3+SQRT((0.592*N58^0.5)^2+(0.0262*N58^0.8/(1-0.5/N58^0.1))^2))</f>
        <v>10231.703078156139</v>
      </c>
      <c r="P58" s="6">
        <f t="shared" si="5"/>
        <v>2.9510194925512497E-2</v>
      </c>
      <c r="Q58" s="6">
        <f t="shared" si="6"/>
        <v>5.4699194249339467</v>
      </c>
      <c r="R58" s="6">
        <f t="shared" si="7"/>
        <v>13.238653225435904</v>
      </c>
      <c r="S58" s="6">
        <f>IF($Y$2="按单位面积散热损失 qp",B58*LN(B58/首页!$B$4),LN(B58/首页!$B$4))</f>
        <v>0.14306777596679418</v>
      </c>
      <c r="T58" s="6">
        <f>IF($Y$2="按单位面积散热损失 qp",2*PI()*首页!$B$8*((E58-D58)/$Y$3-1/R58),2*PI()*首页!$B$8*((E58-D58)/$Y$4-1/(PI()*B58*R58)))</f>
        <v>4.0942320141732151E-2</v>
      </c>
      <c r="U58" t="str">
        <f t="shared" si="8"/>
        <v>按单位面积散热损失 qp</v>
      </c>
      <c r="V58" s="6">
        <f t="shared" si="9"/>
        <v>0.10212545582506202</v>
      </c>
    </row>
    <row r="59" spans="1:22" x14ac:dyDescent="0.15">
      <c r="A59">
        <v>54</v>
      </c>
      <c r="B59" s="6">
        <f>首页!$B$4+2*A59/1000</f>
        <v>0.22799999999999998</v>
      </c>
      <c r="C59" s="6">
        <f>首页!$B$7+273.15</f>
        <v>388.15</v>
      </c>
      <c r="D59" s="6">
        <f>首页!$B$6+273.15</f>
        <v>293.14999999999998</v>
      </c>
      <c r="E59" s="6">
        <f>首页!$B$5+273.15</f>
        <v>1373.15</v>
      </c>
      <c r="F59" s="6">
        <f t="shared" si="0"/>
        <v>95</v>
      </c>
      <c r="G59" s="6">
        <f t="shared" si="1"/>
        <v>340.65</v>
      </c>
      <c r="H59" s="6">
        <f t="shared" si="2"/>
        <v>1.9926207055139041E-5</v>
      </c>
      <c r="I59" s="7">
        <f t="shared" si="3"/>
        <v>1158916576932337.8</v>
      </c>
      <c r="J59" s="6">
        <f t="shared" si="4"/>
        <v>1.0226038455893147</v>
      </c>
      <c r="K59" s="7">
        <f>J59*H59*首页!$B$12/P59</f>
        <v>0.69532757496605813</v>
      </c>
      <c r="L59" s="6">
        <f>首页!$B$9*0.0000000567*((C59^4-D59^4)/(C59-D59))</f>
        <v>7.7687338005019564</v>
      </c>
      <c r="M59" s="6">
        <f>IF(首页!$B$13="自然对流",IF(首页!$B$14="立式圆筒",首页!$B$10,PI()*B59/2),PI()*B59/2)</f>
        <v>55.2</v>
      </c>
      <c r="N59" s="7">
        <f>IF(首页!$B$13="强制对流",首页!$B$11*M59/H59,0)</f>
        <v>0</v>
      </c>
      <c r="O59" s="7">
        <f>IF(首页!$B$13="自然对流",IF(首页!$B$14="立式圆筒",(0.825+0.3063*I59^(1/6))^2+0.87*(M59/B59),(0.752+0.303*I59^(1/6))^2),0.3+SQRT((0.592*N59^0.5)^2+(0.0262*N59^0.8/(1-0.5/N59^0.1))^2))</f>
        <v>10229.839081882268</v>
      </c>
      <c r="P59" s="6">
        <f t="shared" si="5"/>
        <v>2.9510194925512497E-2</v>
      </c>
      <c r="Q59" s="6">
        <f t="shared" si="6"/>
        <v>5.4689229232422383</v>
      </c>
      <c r="R59" s="6">
        <f t="shared" si="7"/>
        <v>13.237656723744195</v>
      </c>
      <c r="S59" s="6">
        <f>IF($Y$2="按单位面积散热损失 qp",B59*LN(B59/首页!$B$4),LN(B59/首页!$B$4))</f>
        <v>0.14634268604730596</v>
      </c>
      <c r="T59" s="6">
        <f>IF($Y$2="按单位面积散热损失 qp",2*PI()*首页!$B$8*((E59-D59)/$Y$3-1/R59),2*PI()*首页!$B$8*((E59-D59)/$Y$4-1/(PI()*B59*R59)))</f>
        <v>4.0940712402901099E-2</v>
      </c>
      <c r="U59" t="str">
        <f t="shared" si="8"/>
        <v>按单位面积散热损失 qp</v>
      </c>
      <c r="V59" s="6">
        <f t="shared" si="9"/>
        <v>0.10540197364440487</v>
      </c>
    </row>
    <row r="60" spans="1:22" x14ac:dyDescent="0.15">
      <c r="A60">
        <v>55</v>
      </c>
      <c r="B60" s="6">
        <f>首页!$B$4+2*A60/1000</f>
        <v>0.22999999999999998</v>
      </c>
      <c r="C60" s="6">
        <f>首页!$B$7+273.15</f>
        <v>388.15</v>
      </c>
      <c r="D60" s="6">
        <f>首页!$B$6+273.15</f>
        <v>293.14999999999998</v>
      </c>
      <c r="E60" s="6">
        <f>首页!$B$5+273.15</f>
        <v>1373.15</v>
      </c>
      <c r="F60" s="6">
        <f t="shared" si="0"/>
        <v>95</v>
      </c>
      <c r="G60" s="6">
        <f t="shared" si="1"/>
        <v>340.65</v>
      </c>
      <c r="H60" s="6">
        <f t="shared" si="2"/>
        <v>1.9926207055139041E-5</v>
      </c>
      <c r="I60" s="7">
        <f t="shared" si="3"/>
        <v>1158916576932337.8</v>
      </c>
      <c r="J60" s="6">
        <f t="shared" si="4"/>
        <v>1.0226038455893147</v>
      </c>
      <c r="K60" s="7">
        <f>J60*H60*首页!$B$12/P60</f>
        <v>0.69532757496605813</v>
      </c>
      <c r="L60" s="6">
        <f>首页!$B$9*0.0000000567*((C60^4-D60^4)/(C60-D60))</f>
        <v>7.7687338005019564</v>
      </c>
      <c r="M60" s="6">
        <f>IF(首页!$B$13="自然对流",IF(首页!$B$14="立式圆筒",首页!$B$10,PI()*B60/2),PI()*B60/2)</f>
        <v>55.2</v>
      </c>
      <c r="N60" s="7">
        <f>IF(首页!$B$13="强制对流",首页!$B$11*M60/H60,0)</f>
        <v>0</v>
      </c>
      <c r="O60" s="7">
        <f>IF(首页!$B$13="自然对流",IF(首页!$B$14="立式圆筒",(0.825+0.3063*I60^(1/6))^2+0.87*(M60/B60),(0.752+0.303*I60^(1/6))^2),0.3+SQRT((0.592*N60^0.5)^2+(0.0262*N60^0.8/(1-0.5/N60^0.1))^2))</f>
        <v>10228.007502934899</v>
      </c>
      <c r="P60" s="6">
        <f t="shared" si="5"/>
        <v>2.9510194925512497E-2</v>
      </c>
      <c r="Q60" s="6">
        <f t="shared" si="6"/>
        <v>5.4679437520147323</v>
      </c>
      <c r="R60" s="6">
        <f t="shared" si="7"/>
        <v>13.236677552516689</v>
      </c>
      <c r="S60" s="6">
        <f>IF($Y$2="按单位面积散热损失 qp",B60*LN(B60/首页!$B$4),LN(B60/首页!$B$4))</f>
        <v>0.14963514021246432</v>
      </c>
      <c r="T60" s="6">
        <f>IF($Y$2="按单位面积散热损失 qp",2*PI()*首页!$B$8*((E60-D60)/$Y$3-1/R60),2*PI()*首页!$B$8*((E60-D60)/$Y$4-1/(PI()*B60*R60)))</f>
        <v>4.0939132388951693E-2</v>
      </c>
      <c r="U60" t="str">
        <f t="shared" si="8"/>
        <v>按单位面积散热损失 qp</v>
      </c>
      <c r="V60" s="6">
        <f t="shared" si="9"/>
        <v>0.10869600782351263</v>
      </c>
    </row>
    <row r="61" spans="1:22" x14ac:dyDescent="0.15">
      <c r="A61">
        <v>56</v>
      </c>
      <c r="B61" s="6">
        <f>首页!$B$4+2*A61/1000</f>
        <v>0.23199999999999998</v>
      </c>
      <c r="C61" s="6">
        <f>首页!$B$7+273.15</f>
        <v>388.15</v>
      </c>
      <c r="D61" s="6">
        <f>首页!$B$6+273.15</f>
        <v>293.14999999999998</v>
      </c>
      <c r="E61" s="6">
        <f>首页!$B$5+273.15</f>
        <v>1373.15</v>
      </c>
      <c r="F61" s="6">
        <f t="shared" si="0"/>
        <v>95</v>
      </c>
      <c r="G61" s="6">
        <f t="shared" si="1"/>
        <v>340.65</v>
      </c>
      <c r="H61" s="6">
        <f t="shared" si="2"/>
        <v>1.9926207055139041E-5</v>
      </c>
      <c r="I61" s="7">
        <f t="shared" si="3"/>
        <v>1158916576932337.8</v>
      </c>
      <c r="J61" s="6">
        <f t="shared" si="4"/>
        <v>1.0226038455893147</v>
      </c>
      <c r="K61" s="7">
        <f>J61*H61*首页!$B$12/P61</f>
        <v>0.69532757496605813</v>
      </c>
      <c r="L61" s="6">
        <f>首页!$B$9*0.0000000567*((C61^4-D61^4)/(C61-D61))</f>
        <v>7.7687338005019564</v>
      </c>
      <c r="M61" s="6">
        <f>IF(首页!$B$13="自然对流",IF(首页!$B$14="立式圆筒",首页!$B$10,PI()*B61/2),PI()*B61/2)</f>
        <v>55.2</v>
      </c>
      <c r="N61" s="7">
        <f>IF(首页!$B$13="强制对流",首页!$B$11*M61/H61,0)</f>
        <v>0</v>
      </c>
      <c r="O61" s="7">
        <f>IF(首页!$B$13="自然对流",IF(首页!$B$14="立式圆筒",(0.825+0.3063*I61^(1/6))^2+0.87*(M61/B61),(0.752+0.303*I61^(1/6))^2),0.3+SQRT((0.592*N61^0.5)^2+(0.0262*N61^0.8/(1-0.5/N61^0.1))^2))</f>
        <v>10226.2075029349</v>
      </c>
      <c r="P61" s="6">
        <f t="shared" si="5"/>
        <v>2.9510194925512497E-2</v>
      </c>
      <c r="Q61" s="6">
        <f t="shared" si="6"/>
        <v>5.4669814630497697</v>
      </c>
      <c r="R61" s="6">
        <f t="shared" si="7"/>
        <v>13.235715263551725</v>
      </c>
      <c r="S61" s="6">
        <f>IF($Y$2="按单位面积散热损失 qp",B61*LN(B61/首页!$B$4),LN(B61/首页!$B$4))</f>
        <v>0.15294498590114922</v>
      </c>
      <c r="T61" s="6">
        <f>IF($Y$2="按单位面积散热损失 qp",2*PI()*首页!$B$8*((E61-D61)/$Y$3-1/R61),2*PI()*首页!$B$8*((E61-D61)/$Y$4-1/(PI()*B61*R61)))</f>
        <v>4.0937579388856116E-2</v>
      </c>
      <c r="U61" t="str">
        <f t="shared" si="8"/>
        <v>按单位面积散热损失 qp</v>
      </c>
      <c r="V61" s="6">
        <f t="shared" si="9"/>
        <v>0.1120074065122931</v>
      </c>
    </row>
    <row r="62" spans="1:22" x14ac:dyDescent="0.15">
      <c r="A62">
        <v>57</v>
      </c>
      <c r="B62" s="6">
        <f>首页!$B$4+2*A62/1000</f>
        <v>0.23399999999999999</v>
      </c>
      <c r="C62" s="6">
        <f>首页!$B$7+273.15</f>
        <v>388.15</v>
      </c>
      <c r="D62" s="6">
        <f>首页!$B$6+273.15</f>
        <v>293.14999999999998</v>
      </c>
      <c r="E62" s="6">
        <f>首页!$B$5+273.15</f>
        <v>1373.15</v>
      </c>
      <c r="F62" s="6">
        <f t="shared" si="0"/>
        <v>95</v>
      </c>
      <c r="G62" s="6">
        <f t="shared" si="1"/>
        <v>340.65</v>
      </c>
      <c r="H62" s="6">
        <f t="shared" si="2"/>
        <v>1.9926207055139041E-5</v>
      </c>
      <c r="I62" s="7">
        <f t="shared" si="3"/>
        <v>1158916576932337.8</v>
      </c>
      <c r="J62" s="6">
        <f t="shared" si="4"/>
        <v>1.0226038455893147</v>
      </c>
      <c r="K62" s="7">
        <f>J62*H62*首页!$B$12/P62</f>
        <v>0.69532757496605813</v>
      </c>
      <c r="L62" s="6">
        <f>首页!$B$9*0.0000000567*((C62^4-D62^4)/(C62-D62))</f>
        <v>7.7687338005019564</v>
      </c>
      <c r="M62" s="6">
        <f>IF(首页!$B$13="自然对流",IF(首页!$B$14="立式圆筒",首页!$B$10,PI()*B62/2),PI()*B62/2)</f>
        <v>55.2</v>
      </c>
      <c r="N62" s="7">
        <f>IF(首页!$B$13="强制对流",首页!$B$11*M62/H62,0)</f>
        <v>0</v>
      </c>
      <c r="O62" s="7">
        <f>IF(首页!$B$13="自然对流",IF(首页!$B$14="立式圆筒",(0.825+0.3063*I62^(1/6))^2+0.87*(M62/B62),(0.752+0.303*I62^(1/6))^2),0.3+SQRT((0.592*N62^0.5)^2+(0.0262*N62^0.8/(1-0.5/N62^0.1))^2))</f>
        <v>10224.438272165669</v>
      </c>
      <c r="P62" s="6">
        <f t="shared" si="5"/>
        <v>2.9510194925512497E-2</v>
      </c>
      <c r="Q62" s="6">
        <f t="shared" si="6"/>
        <v>5.466035623468823</v>
      </c>
      <c r="R62" s="6">
        <f t="shared" si="7"/>
        <v>13.234769423970778</v>
      </c>
      <c r="S62" s="6">
        <f>IF($Y$2="按单位面积散热损失 qp",B62*LN(B62/首页!$B$4),LN(B62/首页!$B$4))</f>
        <v>0.15627207318270336</v>
      </c>
      <c r="T62" s="6">
        <f>IF($Y$2="按单位面积散热损失 qp",2*PI()*首页!$B$8*((E62-D62)/$Y$3-1/R62),2*PI()*首页!$B$8*((E62-D62)/$Y$4-1/(PI()*B62*R62)))</f>
        <v>4.0936052715693699E-2</v>
      </c>
      <c r="U62" t="str">
        <f t="shared" si="8"/>
        <v>按单位面积散热损失 qp</v>
      </c>
      <c r="V62" s="6">
        <f t="shared" si="9"/>
        <v>0.11533602046700966</v>
      </c>
    </row>
    <row r="63" spans="1:22" x14ac:dyDescent="0.15">
      <c r="A63">
        <v>58</v>
      </c>
      <c r="B63" s="6">
        <f>首页!$B$4+2*A63/1000</f>
        <v>0.23599999999999999</v>
      </c>
      <c r="C63" s="6">
        <f>首页!$B$7+273.15</f>
        <v>388.15</v>
      </c>
      <c r="D63" s="6">
        <f>首页!$B$6+273.15</f>
        <v>293.14999999999998</v>
      </c>
      <c r="E63" s="6">
        <f>首页!$B$5+273.15</f>
        <v>1373.15</v>
      </c>
      <c r="F63" s="6">
        <f t="shared" si="0"/>
        <v>95</v>
      </c>
      <c r="G63" s="6">
        <f t="shared" si="1"/>
        <v>340.65</v>
      </c>
      <c r="H63" s="6">
        <f t="shared" si="2"/>
        <v>1.9926207055139041E-5</v>
      </c>
      <c r="I63" s="7">
        <f t="shared" si="3"/>
        <v>1158916576932337.8</v>
      </c>
      <c r="J63" s="6">
        <f t="shared" si="4"/>
        <v>1.0226038455893147</v>
      </c>
      <c r="K63" s="7">
        <f>J63*H63*首页!$B$12/P63</f>
        <v>0.69532757496605813</v>
      </c>
      <c r="L63" s="6">
        <f>首页!$B$9*0.0000000567*((C63^4-D63^4)/(C63-D63))</f>
        <v>7.7687338005019564</v>
      </c>
      <c r="M63" s="6">
        <f>IF(首页!$B$13="自然对流",IF(首页!$B$14="立式圆筒",首页!$B$10,PI()*B63/2),PI()*B63/2)</f>
        <v>55.2</v>
      </c>
      <c r="N63" s="7">
        <f>IF(首页!$B$13="强制对流",首页!$B$11*M63/H63,0)</f>
        <v>0</v>
      </c>
      <c r="O63" s="7">
        <f>IF(首页!$B$13="自然对流",IF(首页!$B$14="立式圆筒",(0.825+0.3063*I63^(1/6))^2+0.87*(M63/B63),(0.752+0.303*I63^(1/6))^2),0.3+SQRT((0.592*N63^0.5)^2+(0.0262*N63^0.8/(1-0.5/N63^0.1))^2))</f>
        <v>10222.699028358629</v>
      </c>
      <c r="P63" s="6">
        <f t="shared" si="5"/>
        <v>2.9510194925512497E-2</v>
      </c>
      <c r="Q63" s="6">
        <f t="shared" si="6"/>
        <v>5.4651058150672158</v>
      </c>
      <c r="R63" s="6">
        <f t="shared" si="7"/>
        <v>13.233839615569172</v>
      </c>
      <c r="S63" s="6">
        <f>IF($Y$2="按单位面积散热损失 qp",B63*LN(B63/首页!$B$4),LN(B63/首页!$B$4))</f>
        <v>0.1596162546894811</v>
      </c>
      <c r="T63" s="6">
        <f>IF($Y$2="按单位面积散热损失 qp",2*PI()*首页!$B$8*((E63-D63)/$Y$3-1/R63),2*PI()*首页!$B$8*((E63-D63)/$Y$4-1/(PI()*B63*R63)))</f>
        <v>4.0934551705637784E-2</v>
      </c>
      <c r="U63" t="str">
        <f t="shared" si="8"/>
        <v>按单位面积散热损失 qp</v>
      </c>
      <c r="V63" s="6">
        <f t="shared" si="9"/>
        <v>0.11868170298384331</v>
      </c>
    </row>
    <row r="64" spans="1:22" x14ac:dyDescent="0.15">
      <c r="A64">
        <v>59</v>
      </c>
      <c r="B64" s="6">
        <f>首页!$B$4+2*A64/1000</f>
        <v>0.23799999999999999</v>
      </c>
      <c r="C64" s="6">
        <f>首页!$B$7+273.15</f>
        <v>388.15</v>
      </c>
      <c r="D64" s="6">
        <f>首页!$B$6+273.15</f>
        <v>293.14999999999998</v>
      </c>
      <c r="E64" s="6">
        <f>首页!$B$5+273.15</f>
        <v>1373.15</v>
      </c>
      <c r="F64" s="6">
        <f t="shared" si="0"/>
        <v>95</v>
      </c>
      <c r="G64" s="6">
        <f t="shared" si="1"/>
        <v>340.65</v>
      </c>
      <c r="H64" s="6">
        <f t="shared" si="2"/>
        <v>1.9926207055139041E-5</v>
      </c>
      <c r="I64" s="7">
        <f t="shared" si="3"/>
        <v>1158916576932337.8</v>
      </c>
      <c r="J64" s="6">
        <f t="shared" si="4"/>
        <v>1.0226038455893147</v>
      </c>
      <c r="K64" s="7">
        <f>J64*H64*首页!$B$12/P64</f>
        <v>0.69532757496605813</v>
      </c>
      <c r="L64" s="6">
        <f>首页!$B$9*0.0000000567*((C64^4-D64^4)/(C64-D64))</f>
        <v>7.7687338005019564</v>
      </c>
      <c r="M64" s="6">
        <f>IF(首页!$B$13="自然对流",IF(首页!$B$14="立式圆筒",首页!$B$10,PI()*B64/2),PI()*B64/2)</f>
        <v>55.2</v>
      </c>
      <c r="N64" s="7">
        <f>IF(首页!$B$13="强制对流",首页!$B$11*M64/H64,0)</f>
        <v>0</v>
      </c>
      <c r="O64" s="7">
        <f>IF(首页!$B$13="自然对流",IF(首页!$B$14="立式圆筒",(0.825+0.3063*I64^(1/6))^2+0.87*(M64/B64),(0.752+0.303*I64^(1/6))^2),0.3+SQRT((0.592*N64^0.5)^2+(0.0262*N64^0.8/(1-0.5/N64^0.1))^2))</f>
        <v>10220.989015539943</v>
      </c>
      <c r="P64" s="6">
        <f t="shared" si="5"/>
        <v>2.9510194925512497E-2</v>
      </c>
      <c r="Q64" s="6">
        <f t="shared" si="6"/>
        <v>5.4641916336975678</v>
      </c>
      <c r="R64" s="6">
        <f t="shared" si="7"/>
        <v>13.232925434199524</v>
      </c>
      <c r="S64" s="6">
        <f>IF($Y$2="按单位面积散热损失 qp",B64*LN(B64/首页!$B$4),LN(B64/首页!$B$4))</f>
        <v>0.16297738555168403</v>
      </c>
      <c r="T64" s="6">
        <f>IF($Y$2="按单位面积散热损失 qp",2*PI()*首页!$B$8*((E64-D64)/$Y$3-1/R64),2*PI()*首页!$B$8*((E64-D64)/$Y$4-1/(PI()*B64*R64)))</f>
        <v>4.0933075716993318E-2</v>
      </c>
      <c r="U64" t="str">
        <f t="shared" si="8"/>
        <v>按单位面积散热损失 qp</v>
      </c>
      <c r="V64" s="6">
        <f t="shared" si="9"/>
        <v>0.12204430983469072</v>
      </c>
    </row>
    <row r="65" spans="1:22" x14ac:dyDescent="0.15">
      <c r="A65">
        <v>60</v>
      </c>
      <c r="B65" s="6">
        <f>首页!$B$4+2*A65/1000</f>
        <v>0.24</v>
      </c>
      <c r="C65" s="6">
        <f>首页!$B$7+273.15</f>
        <v>388.15</v>
      </c>
      <c r="D65" s="6">
        <f>首页!$B$6+273.15</f>
        <v>293.14999999999998</v>
      </c>
      <c r="E65" s="6">
        <f>首页!$B$5+273.15</f>
        <v>1373.15</v>
      </c>
      <c r="F65" s="6">
        <f t="shared" si="0"/>
        <v>95</v>
      </c>
      <c r="G65" s="6">
        <f t="shared" si="1"/>
        <v>340.65</v>
      </c>
      <c r="H65" s="6">
        <f t="shared" si="2"/>
        <v>1.9926207055139041E-5</v>
      </c>
      <c r="I65" s="7">
        <f t="shared" si="3"/>
        <v>1158916576932337.8</v>
      </c>
      <c r="J65" s="6">
        <f t="shared" si="4"/>
        <v>1.0226038455893147</v>
      </c>
      <c r="K65" s="7">
        <f>J65*H65*首页!$B$12/P65</f>
        <v>0.69532757496605813</v>
      </c>
      <c r="L65" s="6">
        <f>首页!$B$9*0.0000000567*((C65^4-D65^4)/(C65-D65))</f>
        <v>7.7687338005019564</v>
      </c>
      <c r="M65" s="6">
        <f>IF(首页!$B$13="自然对流",IF(首页!$B$14="立式圆筒",首页!$B$10,PI()*B65/2),PI()*B65/2)</f>
        <v>55.2</v>
      </c>
      <c r="N65" s="7">
        <f>IF(首页!$B$13="强制对流",首页!$B$11*M65/H65,0)</f>
        <v>0</v>
      </c>
      <c r="O65" s="7">
        <f>IF(首页!$B$13="自然对流",IF(首页!$B$14="立式圆筒",(0.825+0.3063*I65^(1/6))^2+0.87*(M65/B65),(0.752+0.303*I65^(1/6))^2),0.3+SQRT((0.592*N65^0.5)^2+(0.0262*N65^0.8/(1-0.5/N65^0.1))^2))</f>
        <v>10219.3075029349</v>
      </c>
      <c r="P65" s="6">
        <f t="shared" si="5"/>
        <v>2.9510194925512497E-2</v>
      </c>
      <c r="Q65" s="6">
        <f t="shared" si="6"/>
        <v>5.4632926886840814</v>
      </c>
      <c r="R65" s="6">
        <f t="shared" si="7"/>
        <v>13.232026489186037</v>
      </c>
      <c r="S65" s="6">
        <f>IF($Y$2="按单位面积散热损失 qp",B65*LN(B65/首页!$B$4),LN(B65/首页!$B$4))</f>
        <v>0.16635532333438685</v>
      </c>
      <c r="T65" s="6">
        <f>IF($Y$2="按单位面积散热损失 qp",2*PI()*首页!$B$8*((E65-D65)/$Y$3-1/R65),2*PI()*首页!$B$8*((E65-D65)/$Y$4-1/(PI()*B65*R65)))</f>
        <v>4.0931624129282175E-2</v>
      </c>
      <c r="U65" t="str">
        <f t="shared" si="8"/>
        <v>按单位面积散热损失 qp</v>
      </c>
      <c r="V65" s="6">
        <f t="shared" si="9"/>
        <v>0.12542369920510468</v>
      </c>
    </row>
    <row r="66" spans="1:22" x14ac:dyDescent="0.15">
      <c r="A66">
        <v>61</v>
      </c>
      <c r="B66" s="6">
        <f>首页!$B$4+2*A66/1000</f>
        <v>0.24199999999999999</v>
      </c>
      <c r="C66" s="6">
        <f>首页!$B$7+273.15</f>
        <v>388.15</v>
      </c>
      <c r="D66" s="6">
        <f>首页!$B$6+273.15</f>
        <v>293.14999999999998</v>
      </c>
      <c r="E66" s="6">
        <f>首页!$B$5+273.15</f>
        <v>1373.15</v>
      </c>
      <c r="F66" s="6">
        <f t="shared" si="0"/>
        <v>95</v>
      </c>
      <c r="G66" s="6">
        <f t="shared" si="1"/>
        <v>340.65</v>
      </c>
      <c r="H66" s="6">
        <f t="shared" si="2"/>
        <v>1.9926207055139041E-5</v>
      </c>
      <c r="I66" s="7">
        <f t="shared" si="3"/>
        <v>1158916576932337.8</v>
      </c>
      <c r="J66" s="6">
        <f t="shared" si="4"/>
        <v>1.0226038455893147</v>
      </c>
      <c r="K66" s="7">
        <f>J66*H66*首页!$B$12/P66</f>
        <v>0.69532757496605813</v>
      </c>
      <c r="L66" s="6">
        <f>首页!$B$9*0.0000000567*((C66^4-D66^4)/(C66-D66))</f>
        <v>7.7687338005019564</v>
      </c>
      <c r="M66" s="6">
        <f>IF(首页!$B$13="自然对流",IF(首页!$B$14="立式圆筒",首页!$B$10,PI()*B66/2),PI()*B66/2)</f>
        <v>55.2</v>
      </c>
      <c r="N66" s="7">
        <f>IF(首页!$B$13="强制对流",首页!$B$11*M66/H66,0)</f>
        <v>0</v>
      </c>
      <c r="O66" s="7">
        <f>IF(首页!$B$13="自然对流",IF(首页!$B$14="立式圆筒",(0.825+0.3063*I66^(1/6))^2+0.87*(M66/B66),(0.752+0.303*I66^(1/6))^2),0.3+SQRT((0.592*N66^0.5)^2+(0.0262*N66^0.8/(1-0.5/N66^0.1))^2))</f>
        <v>10217.653783926635</v>
      </c>
      <c r="P66" s="6">
        <f t="shared" si="5"/>
        <v>2.9510194925512497E-2</v>
      </c>
      <c r="Q66" s="6">
        <f t="shared" si="6"/>
        <v>5.4624086022658576</v>
      </c>
      <c r="R66" s="6">
        <f t="shared" si="7"/>
        <v>13.231142402767814</v>
      </c>
      <c r="S66" s="6">
        <f>IF($Y$2="按单位面积散热损失 qp",B66*LN(B66/首页!$B$4),LN(B66/首页!$B$4))</f>
        <v>0.16974992797666297</v>
      </c>
      <c r="T66" s="6">
        <f>IF($Y$2="按单位面积散热损失 qp",2*PI()*首页!$B$8*((E66-D66)/$Y$3-1/R66),2*PI()*首页!$B$8*((E66-D66)/$Y$4-1/(PI()*B66*R66)))</f>
        <v>4.0930196342373402E-2</v>
      </c>
      <c r="U66" t="str">
        <f t="shared" si="8"/>
        <v>按单位面积散热损失 qp</v>
      </c>
      <c r="V66" s="6">
        <f t="shared" si="9"/>
        <v>0.12881973163428956</v>
      </c>
    </row>
    <row r="67" spans="1:22" x14ac:dyDescent="0.15">
      <c r="A67">
        <v>62</v>
      </c>
      <c r="B67" s="6">
        <f>首页!$B$4+2*A67/1000</f>
        <v>0.24399999999999999</v>
      </c>
      <c r="C67" s="6">
        <f>首页!$B$7+273.15</f>
        <v>388.15</v>
      </c>
      <c r="D67" s="6">
        <f>首页!$B$6+273.15</f>
        <v>293.14999999999998</v>
      </c>
      <c r="E67" s="6">
        <f>首页!$B$5+273.15</f>
        <v>1373.15</v>
      </c>
      <c r="F67" s="6">
        <f t="shared" si="0"/>
        <v>95</v>
      </c>
      <c r="G67" s="6">
        <f t="shared" si="1"/>
        <v>340.65</v>
      </c>
      <c r="H67" s="6">
        <f t="shared" si="2"/>
        <v>1.9926207055139041E-5</v>
      </c>
      <c r="I67" s="7">
        <f t="shared" si="3"/>
        <v>1158916576932337.8</v>
      </c>
      <c r="J67" s="6">
        <f t="shared" si="4"/>
        <v>1.0226038455893147</v>
      </c>
      <c r="K67" s="7">
        <f>J67*H67*首页!$B$12/P67</f>
        <v>0.69532757496605813</v>
      </c>
      <c r="L67" s="6">
        <f>首页!$B$9*0.0000000567*((C67^4-D67^4)/(C67-D67))</f>
        <v>7.7687338005019564</v>
      </c>
      <c r="M67" s="6">
        <f>IF(首页!$B$13="自然对流",IF(首页!$B$14="立式圆筒",首页!$B$10,PI()*B67/2),PI()*B67/2)</f>
        <v>55.2</v>
      </c>
      <c r="N67" s="7">
        <f>IF(首页!$B$13="强制对流",首页!$B$11*M67/H67,0)</f>
        <v>0</v>
      </c>
      <c r="O67" s="7">
        <f>IF(首页!$B$13="自然对流",IF(首页!$B$14="立式圆筒",(0.825+0.3063*I67^(1/6))^2+0.87*(M67/B67),(0.752+0.303*I67^(1/6))^2),0.3+SQRT((0.592*N67^0.5)^2+(0.0262*N67^0.8/(1-0.5/N67^0.1))^2))</f>
        <v>10216.027175066047</v>
      </c>
      <c r="P67" s="6">
        <f t="shared" si="5"/>
        <v>2.9510194925512497E-2</v>
      </c>
      <c r="Q67" s="6">
        <f t="shared" si="6"/>
        <v>5.4615390090676055</v>
      </c>
      <c r="R67" s="6">
        <f t="shared" si="7"/>
        <v>13.230272809569563</v>
      </c>
      <c r="S67" s="6">
        <f>IF($Y$2="按单位面积散热损失 qp",B67*LN(B67/首页!$B$4),LN(B67/首页!$B$4))</f>
        <v>0.173161061732722</v>
      </c>
      <c r="T67" s="6">
        <f>IF($Y$2="按单位面积散热损失 qp",2*PI()*首页!$B$8*((E67-D67)/$Y$3-1/R67),2*PI()*首页!$B$8*((E67-D67)/$Y$4-1/(PI()*B67*R67)))</f>
        <v>4.0928791775656025E-2</v>
      </c>
      <c r="U67" t="str">
        <f t="shared" si="8"/>
        <v>按单位面积散热损失 qp</v>
      </c>
      <c r="V67" s="6">
        <f t="shared" si="9"/>
        <v>0.13223226995706597</v>
      </c>
    </row>
    <row r="68" spans="1:22" x14ac:dyDescent="0.15">
      <c r="A68">
        <v>63</v>
      </c>
      <c r="B68" s="6">
        <f>首页!$B$4+2*A68/1000</f>
        <v>0.246</v>
      </c>
      <c r="C68" s="6">
        <f>首页!$B$7+273.15</f>
        <v>388.15</v>
      </c>
      <c r="D68" s="6">
        <f>首页!$B$6+273.15</f>
        <v>293.14999999999998</v>
      </c>
      <c r="E68" s="6">
        <f>首页!$B$5+273.15</f>
        <v>1373.15</v>
      </c>
      <c r="F68" s="6">
        <f t="shared" si="0"/>
        <v>95</v>
      </c>
      <c r="G68" s="6">
        <f t="shared" si="1"/>
        <v>340.65</v>
      </c>
      <c r="H68" s="6">
        <f t="shared" si="2"/>
        <v>1.9926207055139041E-5</v>
      </c>
      <c r="I68" s="7">
        <f t="shared" si="3"/>
        <v>1158916576932337.8</v>
      </c>
      <c r="J68" s="6">
        <f t="shared" si="4"/>
        <v>1.0226038455893147</v>
      </c>
      <c r="K68" s="7">
        <f>J68*H68*首页!$B$12/P68</f>
        <v>0.69532757496605813</v>
      </c>
      <c r="L68" s="6">
        <f>首页!$B$9*0.0000000567*((C68^4-D68^4)/(C68-D68))</f>
        <v>7.7687338005019564</v>
      </c>
      <c r="M68" s="6">
        <f>IF(首页!$B$13="自然对流",IF(首页!$B$14="立式圆筒",首页!$B$10,PI()*B68/2),PI()*B68/2)</f>
        <v>55.2</v>
      </c>
      <c r="N68" s="7">
        <f>IF(首页!$B$13="强制对流",首页!$B$11*M68/H68,0)</f>
        <v>0</v>
      </c>
      <c r="O68" s="7">
        <f>IF(首页!$B$13="自然对流",IF(首页!$B$14="立式圆筒",(0.825+0.3063*I68^(1/6))^2+0.87*(M68/B68),(0.752+0.303*I68^(1/6))^2),0.3+SQRT((0.592*N68^0.5)^2+(0.0262*N68^0.8/(1-0.5/N68^0.1))^2))</f>
        <v>10214.427015130022</v>
      </c>
      <c r="P68" s="6">
        <f t="shared" si="5"/>
        <v>2.9510194925512497E-2</v>
      </c>
      <c r="Q68" s="6">
        <f t="shared" si="6"/>
        <v>5.4606835555961544</v>
      </c>
      <c r="R68" s="6">
        <f t="shared" si="7"/>
        <v>13.229417356098111</v>
      </c>
      <c r="S68" s="6">
        <f>IF($Y$2="按单位面积散热损失 qp",B68*LN(B68/首页!$B$4),LN(B68/首页!$B$4))</f>
        <v>0.17658858911497799</v>
      </c>
      <c r="T68" s="6">
        <f>IF($Y$2="按单位面积散热损失 qp",2*PI()*首页!$B$8*((E68-D68)/$Y$3-1/R68),2*PI()*首页!$B$8*((E68-D68)/$Y$4-1/(PI()*B68*R68)))</f>
        <v>4.0927409867251727E-2</v>
      </c>
      <c r="U68" t="str">
        <f t="shared" si="8"/>
        <v>按单位面积散热损失 qp</v>
      </c>
      <c r="V68" s="6">
        <f t="shared" si="9"/>
        <v>0.13566117924772625</v>
      </c>
    </row>
    <row r="69" spans="1:22" x14ac:dyDescent="0.15">
      <c r="A69">
        <v>64</v>
      </c>
      <c r="B69" s="6">
        <f>首页!$B$4+2*A69/1000</f>
        <v>0.248</v>
      </c>
      <c r="C69" s="6">
        <f>首页!$B$7+273.15</f>
        <v>388.15</v>
      </c>
      <c r="D69" s="6">
        <f>首页!$B$6+273.15</f>
        <v>293.14999999999998</v>
      </c>
      <c r="E69" s="6">
        <f>首页!$B$5+273.15</f>
        <v>1373.15</v>
      </c>
      <c r="F69" s="6">
        <f t="shared" ref="F69:F132" si="10">C69-D69</f>
        <v>95</v>
      </c>
      <c r="G69" s="6">
        <f t="shared" ref="G69:G132" si="11">(C69+D69)/2</f>
        <v>340.65</v>
      </c>
      <c r="H69" s="6">
        <f t="shared" ref="H69:H132" si="12">0.0000000042113*G69^2.5/(112+G69)</f>
        <v>1.9926207055139041E-5</v>
      </c>
      <c r="I69" s="7">
        <f t="shared" ref="I69:I132" si="13">9.81*M69^3*F69/(H69^2*G69)</f>
        <v>1158916576932337.8</v>
      </c>
      <c r="J69" s="6">
        <f t="shared" ref="J69:J132" si="14">348.35/G69</f>
        <v>1.0226038455893147</v>
      </c>
      <c r="K69" s="7">
        <f>J69*H69*首页!$B$12/P69</f>
        <v>0.69532757496605813</v>
      </c>
      <c r="L69" s="6">
        <f>首页!$B$9*0.0000000567*((C69^4-D69^4)/(C69-D69))</f>
        <v>7.7687338005019564</v>
      </c>
      <c r="M69" s="6">
        <f>IF(首页!$B$13="自然对流",IF(首页!$B$14="立式圆筒",首页!$B$10,PI()*B69/2),PI()*B69/2)</f>
        <v>55.2</v>
      </c>
      <c r="N69" s="7">
        <f>IF(首页!$B$13="强制对流",首页!$B$11*M69/H69,0)</f>
        <v>0</v>
      </c>
      <c r="O69" s="7">
        <f>IF(首页!$B$13="自然对流",IF(首页!$B$14="立式圆筒",(0.825+0.3063*I69^(1/6))^2+0.87*(M69/B69),(0.752+0.303*I69^(1/6))^2),0.3+SQRT((0.592*N69^0.5)^2+(0.0262*N69^0.8/(1-0.5/N69^0.1))^2))</f>
        <v>10212.852664225222</v>
      </c>
      <c r="P69" s="6">
        <f t="shared" ref="P69:P132" si="15">0.0243+0.000078421*(G69-273)-0.000000020755*(G69-273)^2</f>
        <v>2.9510194925512497E-2</v>
      </c>
      <c r="Q69" s="6">
        <f t="shared" ref="Q69:Q132" si="16">O69*P69/M69</f>
        <v>5.4598418997613383</v>
      </c>
      <c r="R69" s="6">
        <f t="shared" ref="R69:R132" si="17">L69+Q69</f>
        <v>13.228575700263296</v>
      </c>
      <c r="S69" s="6">
        <f>IF($Y$2="按单位面积散热损失 qp",B69*LN(B69/首页!$B$4),LN(B69/首页!$B$4))</f>
        <v>0.18003237683896819</v>
      </c>
      <c r="T69" s="6">
        <f>IF($Y$2="按单位面积散热损失 qp",2*PI()*首页!$B$8*((E69-D69)/$Y$3-1/R69),2*PI()*首页!$B$8*((E69-D69)/$Y$4-1/(PI()*B69*R69)))</f>
        <v>4.0926050073265496E-2</v>
      </c>
      <c r="U69" t="str">
        <f t="shared" ref="U69:U132" si="18">IF($Y$2="按单位面积散热损失 qp","按单位面积散热损失 qp","按单位长度散热损失 ql")</f>
        <v>按单位面积散热损失 qp</v>
      </c>
      <c r="V69" s="6">
        <f t="shared" ref="V69:V132" si="19">ABS(S69-T69)</f>
        <v>0.1391063267657027</v>
      </c>
    </row>
    <row r="70" spans="1:22" x14ac:dyDescent="0.15">
      <c r="A70">
        <v>65</v>
      </c>
      <c r="B70" s="6">
        <f>首页!$B$4+2*A70/1000</f>
        <v>0.25</v>
      </c>
      <c r="C70" s="6">
        <f>首页!$B$7+273.15</f>
        <v>388.15</v>
      </c>
      <c r="D70" s="6">
        <f>首页!$B$6+273.15</f>
        <v>293.14999999999998</v>
      </c>
      <c r="E70" s="6">
        <f>首页!$B$5+273.15</f>
        <v>1373.15</v>
      </c>
      <c r="F70" s="6">
        <f t="shared" si="10"/>
        <v>95</v>
      </c>
      <c r="G70" s="6">
        <f t="shared" si="11"/>
        <v>340.65</v>
      </c>
      <c r="H70" s="6">
        <f t="shared" si="12"/>
        <v>1.9926207055139041E-5</v>
      </c>
      <c r="I70" s="7">
        <f t="shared" si="13"/>
        <v>1158916576932337.8</v>
      </c>
      <c r="J70" s="6">
        <f t="shared" si="14"/>
        <v>1.0226038455893147</v>
      </c>
      <c r="K70" s="7">
        <f>J70*H70*首页!$B$12/P70</f>
        <v>0.69532757496605813</v>
      </c>
      <c r="L70" s="6">
        <f>首页!$B$9*0.0000000567*((C70^4-D70^4)/(C70-D70))</f>
        <v>7.7687338005019564</v>
      </c>
      <c r="M70" s="6">
        <f>IF(首页!$B$13="自然对流",IF(首页!$B$14="立式圆筒",首页!$B$10,PI()*B70/2),PI()*B70/2)</f>
        <v>55.2</v>
      </c>
      <c r="N70" s="7">
        <f>IF(首页!$B$13="强制对流",首页!$B$11*M70/H70,0)</f>
        <v>0</v>
      </c>
      <c r="O70" s="7">
        <f>IF(首页!$B$13="自然对流",IF(首页!$B$14="立式圆筒",(0.825+0.3063*I70^(1/6))^2+0.87*(M70/B70),(0.752+0.303*I70^(1/6))^2),0.3+SQRT((0.592*N70^0.5)^2+(0.0262*N70^0.8/(1-0.5/N70^0.1))^2))</f>
        <v>10211.303502934899</v>
      </c>
      <c r="P70" s="6">
        <f t="shared" si="15"/>
        <v>2.9510194925512497E-2</v>
      </c>
      <c r="Q70" s="6">
        <f t="shared" si="16"/>
        <v>5.4590137104198808</v>
      </c>
      <c r="R70" s="6">
        <f t="shared" si="17"/>
        <v>13.227747510921837</v>
      </c>
      <c r="S70" s="6">
        <f>IF($Y$2="按单位面积散热损失 qp",B70*LN(B70/首页!$B$4),LN(B70/首页!$B$4))</f>
        <v>0.18349229377005014</v>
      </c>
      <c r="T70" s="6">
        <f>IF($Y$2="按单位面积散热损失 qp",2*PI()*首页!$B$8*((E70-D70)/$Y$3-1/R70),2*PI()*首页!$B$8*((E70-D70)/$Y$4-1/(PI()*B70*R70)))</f>
        <v>4.092471186707182E-2</v>
      </c>
      <c r="U70" t="str">
        <f t="shared" si="18"/>
        <v>按单位面积散热损失 qp</v>
      </c>
      <c r="V70" s="6">
        <f t="shared" si="19"/>
        <v>0.1425675819029783</v>
      </c>
    </row>
    <row r="71" spans="1:22" x14ac:dyDescent="0.15">
      <c r="A71">
        <v>66</v>
      </c>
      <c r="B71" s="6">
        <f>首页!$B$4+2*A71/1000</f>
        <v>0.252</v>
      </c>
      <c r="C71" s="6">
        <f>首页!$B$7+273.15</f>
        <v>388.15</v>
      </c>
      <c r="D71" s="6">
        <f>首页!$B$6+273.15</f>
        <v>293.14999999999998</v>
      </c>
      <c r="E71" s="6">
        <f>首页!$B$5+273.15</f>
        <v>1373.15</v>
      </c>
      <c r="F71" s="6">
        <f t="shared" si="10"/>
        <v>95</v>
      </c>
      <c r="G71" s="6">
        <f t="shared" si="11"/>
        <v>340.65</v>
      </c>
      <c r="H71" s="6">
        <f t="shared" si="12"/>
        <v>1.9926207055139041E-5</v>
      </c>
      <c r="I71" s="7">
        <f t="shared" si="13"/>
        <v>1158916576932337.8</v>
      </c>
      <c r="J71" s="6">
        <f t="shared" si="14"/>
        <v>1.0226038455893147</v>
      </c>
      <c r="K71" s="7">
        <f>J71*H71*首页!$B$12/P71</f>
        <v>0.69532757496605813</v>
      </c>
      <c r="L71" s="6">
        <f>首页!$B$9*0.0000000567*((C71^4-D71^4)/(C71-D71))</f>
        <v>7.7687338005019564</v>
      </c>
      <c r="M71" s="6">
        <f>IF(首页!$B$13="自然对流",IF(首页!$B$14="立式圆筒",首页!$B$10,PI()*B71/2),PI()*B71/2)</f>
        <v>55.2</v>
      </c>
      <c r="N71" s="7">
        <f>IF(首页!$B$13="强制对流",首页!$B$11*M71/H71,0)</f>
        <v>0</v>
      </c>
      <c r="O71" s="7">
        <f>IF(首页!$B$13="自然对流",IF(首页!$B$14="立式圆筒",(0.825+0.3063*I71^(1/6))^2+0.87*(M71/B71),(0.752+0.303*I71^(1/6))^2),0.3+SQRT((0.592*N71^0.5)^2+(0.0262*N71^0.8/(1-0.5/N71^0.1))^2))</f>
        <v>10209.778931506329</v>
      </c>
      <c r="P71" s="6">
        <f t="shared" si="15"/>
        <v>2.9510194925512497E-2</v>
      </c>
      <c r="Q71" s="6">
        <f t="shared" si="16"/>
        <v>5.4581986669409863</v>
      </c>
      <c r="R71" s="6">
        <f t="shared" si="17"/>
        <v>13.226932467442943</v>
      </c>
      <c r="S71" s="6">
        <f>IF($Y$2="按单位面积散热损失 qp",B71*LN(B71/首页!$B$4),LN(B71/首页!$B$4))</f>
        <v>0.1869682108718031</v>
      </c>
      <c r="T71" s="6">
        <f>IF($Y$2="按单位面积散热损失 qp",2*PI()*首页!$B$8*((E71-D71)/$Y$3-1/R71),2*PI()*首页!$B$8*((E71-D71)/$Y$4-1/(PI()*B71*R71)))</f>
        <v>4.0923394738634669E-2</v>
      </c>
      <c r="U71" t="str">
        <f t="shared" si="18"/>
        <v>按单位面积散热损失 qp</v>
      </c>
      <c r="V71" s="6">
        <f t="shared" si="19"/>
        <v>0.14604481613316844</v>
      </c>
    </row>
    <row r="72" spans="1:22" x14ac:dyDescent="0.15">
      <c r="A72">
        <v>67</v>
      </c>
      <c r="B72" s="6">
        <f>首页!$B$4+2*A72/1000</f>
        <v>0.254</v>
      </c>
      <c r="C72" s="6">
        <f>首页!$B$7+273.15</f>
        <v>388.15</v>
      </c>
      <c r="D72" s="6">
        <f>首页!$B$6+273.15</f>
        <v>293.14999999999998</v>
      </c>
      <c r="E72" s="6">
        <f>首页!$B$5+273.15</f>
        <v>1373.15</v>
      </c>
      <c r="F72" s="6">
        <f t="shared" si="10"/>
        <v>95</v>
      </c>
      <c r="G72" s="6">
        <f t="shared" si="11"/>
        <v>340.65</v>
      </c>
      <c r="H72" s="6">
        <f t="shared" si="12"/>
        <v>1.9926207055139041E-5</v>
      </c>
      <c r="I72" s="7">
        <f t="shared" si="13"/>
        <v>1158916576932337.8</v>
      </c>
      <c r="J72" s="6">
        <f t="shared" si="14"/>
        <v>1.0226038455893147</v>
      </c>
      <c r="K72" s="7">
        <f>J72*H72*首页!$B$12/P72</f>
        <v>0.69532757496605813</v>
      </c>
      <c r="L72" s="6">
        <f>首页!$B$9*0.0000000567*((C72^4-D72^4)/(C72-D72))</f>
        <v>7.7687338005019564</v>
      </c>
      <c r="M72" s="6">
        <f>IF(首页!$B$13="自然对流",IF(首页!$B$14="立式圆筒",首页!$B$10,PI()*B72/2),PI()*B72/2)</f>
        <v>55.2</v>
      </c>
      <c r="N72" s="7">
        <f>IF(首页!$B$13="强制对流",首页!$B$11*M72/H72,0)</f>
        <v>0</v>
      </c>
      <c r="O72" s="7">
        <f>IF(首页!$B$13="自然对流",IF(首页!$B$14="立式圆筒",(0.825+0.3063*I72^(1/6))^2+0.87*(M72/B72),(0.752+0.303*I72^(1/6))^2),0.3+SQRT((0.592*N72^0.5)^2+(0.0262*N72^0.8/(1-0.5/N72^0.1))^2))</f>
        <v>10208.278369076632</v>
      </c>
      <c r="P72" s="6">
        <f t="shared" si="15"/>
        <v>2.9510194925512497E-2</v>
      </c>
      <c r="Q72" s="6">
        <f t="shared" si="16"/>
        <v>5.4573964587924673</v>
      </c>
      <c r="R72" s="6">
        <f t="shared" si="17"/>
        <v>13.226130259294424</v>
      </c>
      <c r="S72" s="6">
        <f>IF($Y$2="按单位面积散热损失 qp",B72*LN(B72/首页!$B$4),LN(B72/首页!$B$4))</f>
        <v>0.19046000115606859</v>
      </c>
      <c r="T72" s="6">
        <f>IF($Y$2="按单位面积散热损失 qp",2*PI()*首页!$B$8*((E72-D72)/$Y$3-1/R72),2*PI()*首页!$B$8*((E72-D72)/$Y$4-1/(PI()*B72*R72)))</f>
        <v>4.0922098193859412E-2</v>
      </c>
      <c r="U72" t="str">
        <f t="shared" si="18"/>
        <v>按单位面积散热损失 qp</v>
      </c>
      <c r="V72" s="6">
        <f t="shared" si="19"/>
        <v>0.14953790296220917</v>
      </c>
    </row>
    <row r="73" spans="1:22" x14ac:dyDescent="0.15">
      <c r="A73">
        <v>68</v>
      </c>
      <c r="B73" s="6">
        <f>首页!$B$4+2*A73/1000</f>
        <v>0.25600000000000001</v>
      </c>
      <c r="C73" s="6">
        <f>首页!$B$7+273.15</f>
        <v>388.15</v>
      </c>
      <c r="D73" s="6">
        <f>首页!$B$6+273.15</f>
        <v>293.14999999999998</v>
      </c>
      <c r="E73" s="6">
        <f>首页!$B$5+273.15</f>
        <v>1373.15</v>
      </c>
      <c r="F73" s="6">
        <f t="shared" si="10"/>
        <v>95</v>
      </c>
      <c r="G73" s="6">
        <f t="shared" si="11"/>
        <v>340.65</v>
      </c>
      <c r="H73" s="6">
        <f t="shared" si="12"/>
        <v>1.9926207055139041E-5</v>
      </c>
      <c r="I73" s="7">
        <f t="shared" si="13"/>
        <v>1158916576932337.8</v>
      </c>
      <c r="J73" s="6">
        <f t="shared" si="14"/>
        <v>1.0226038455893147</v>
      </c>
      <c r="K73" s="7">
        <f>J73*H73*首页!$B$12/P73</f>
        <v>0.69532757496605813</v>
      </c>
      <c r="L73" s="6">
        <f>首页!$B$9*0.0000000567*((C73^4-D73^4)/(C73-D73))</f>
        <v>7.7687338005019564</v>
      </c>
      <c r="M73" s="6">
        <f>IF(首页!$B$13="自然对流",IF(首页!$B$14="立式圆筒",首页!$B$10,PI()*B73/2),PI()*B73/2)</f>
        <v>55.2</v>
      </c>
      <c r="N73" s="7">
        <f>IF(首页!$B$13="强制对流",首页!$B$11*M73/H73,0)</f>
        <v>0</v>
      </c>
      <c r="O73" s="7">
        <f>IF(首页!$B$13="自然对流",IF(首页!$B$14="立式圆筒",(0.825+0.3063*I73^(1/6))^2+0.87*(M73/B73),(0.752+0.303*I73^(1/6))^2),0.3+SQRT((0.592*N73^0.5)^2+(0.0262*N73^0.8/(1-0.5/N73^0.1))^2))</f>
        <v>10206.8012529349</v>
      </c>
      <c r="P73" s="6">
        <f t="shared" si="15"/>
        <v>2.9510194925512497E-2</v>
      </c>
      <c r="Q73" s="6">
        <f t="shared" si="16"/>
        <v>5.4566067851462687</v>
      </c>
      <c r="R73" s="6">
        <f t="shared" si="17"/>
        <v>13.225340585648226</v>
      </c>
      <c r="S73" s="6">
        <f>IF($Y$2="按单位面积散热损失 qp",B73*LN(B73/首页!$B$4),LN(B73/首页!$B$4))</f>
        <v>0.19396753963456423</v>
      </c>
      <c r="T73" s="6">
        <f>IF($Y$2="按单位面积散热损失 qp",2*PI()*首页!$B$8*((E73-D73)/$Y$3-1/R73),2*PI()*首页!$B$8*((E73-D73)/$Y$4-1/(PI()*B73*R73)))</f>
        <v>4.092082175397474E-2</v>
      </c>
      <c r="U73" t="str">
        <f t="shared" si="18"/>
        <v>按单位面积散热损失 qp</v>
      </c>
      <c r="V73" s="6">
        <f t="shared" si="19"/>
        <v>0.15304671788058949</v>
      </c>
    </row>
    <row r="74" spans="1:22" x14ac:dyDescent="0.15">
      <c r="A74">
        <v>69</v>
      </c>
      <c r="B74" s="6">
        <f>首页!$B$4+2*A74/1000</f>
        <v>0.25800000000000001</v>
      </c>
      <c r="C74" s="6">
        <f>首页!$B$7+273.15</f>
        <v>388.15</v>
      </c>
      <c r="D74" s="6">
        <f>首页!$B$6+273.15</f>
        <v>293.14999999999998</v>
      </c>
      <c r="E74" s="6">
        <f>首页!$B$5+273.15</f>
        <v>1373.15</v>
      </c>
      <c r="F74" s="6">
        <f t="shared" si="10"/>
        <v>95</v>
      </c>
      <c r="G74" s="6">
        <f t="shared" si="11"/>
        <v>340.65</v>
      </c>
      <c r="H74" s="6">
        <f t="shared" si="12"/>
        <v>1.9926207055139041E-5</v>
      </c>
      <c r="I74" s="7">
        <f t="shared" si="13"/>
        <v>1158916576932337.8</v>
      </c>
      <c r="J74" s="6">
        <f t="shared" si="14"/>
        <v>1.0226038455893147</v>
      </c>
      <c r="K74" s="7">
        <f>J74*H74*首页!$B$12/P74</f>
        <v>0.69532757496605813</v>
      </c>
      <c r="L74" s="6">
        <f>首页!$B$9*0.0000000567*((C74^4-D74^4)/(C74-D74))</f>
        <v>7.7687338005019564</v>
      </c>
      <c r="M74" s="6">
        <f>IF(首页!$B$13="自然对流",IF(首页!$B$14="立式圆筒",首页!$B$10,PI()*B74/2),PI()*B74/2)</f>
        <v>55.2</v>
      </c>
      <c r="N74" s="7">
        <f>IF(首页!$B$13="强制对流",首页!$B$11*M74/H74,0)</f>
        <v>0</v>
      </c>
      <c r="O74" s="7">
        <f>IF(首页!$B$13="自然对流",IF(首页!$B$14="立式圆筒",(0.825+0.3063*I74^(1/6))^2+0.87*(M74/B74),(0.752+0.303*I74^(1/6))^2),0.3+SQRT((0.592*N74^0.5)^2+(0.0262*N74^0.8/(1-0.5/N74^0.1))^2))</f>
        <v>10205.347037818621</v>
      </c>
      <c r="P74" s="6">
        <f t="shared" si="15"/>
        <v>2.9510194925512497E-2</v>
      </c>
      <c r="Q74" s="6">
        <f t="shared" si="16"/>
        <v>5.4558293545023373</v>
      </c>
      <c r="R74" s="6">
        <f t="shared" si="17"/>
        <v>13.224563155004294</v>
      </c>
      <c r="S74" s="6">
        <f>IF($Y$2="按单位面积散热损失 qp",B74*LN(B74/首页!$B$4),LN(B74/首页!$B$4))</f>
        <v>0.19749070327200949</v>
      </c>
      <c r="T74" s="6">
        <f>IF($Y$2="按单位面积散热损失 qp",2*PI()*首页!$B$8*((E74-D74)/$Y$3-1/R74),2*PI()*首页!$B$8*((E74-D74)/$Y$4-1/(PI()*B74*R74)))</f>
        <v>4.0919564954943297E-2</v>
      </c>
      <c r="U74" t="str">
        <f t="shared" si="18"/>
        <v>按单位面积散热损失 qp</v>
      </c>
      <c r="V74" s="6">
        <f t="shared" si="19"/>
        <v>0.15657113831706621</v>
      </c>
    </row>
    <row r="75" spans="1:22" x14ac:dyDescent="0.15">
      <c r="A75">
        <v>70</v>
      </c>
      <c r="B75" s="6">
        <f>首页!$B$4+2*A75/1000</f>
        <v>0.26</v>
      </c>
      <c r="C75" s="6">
        <f>首页!$B$7+273.15</f>
        <v>388.15</v>
      </c>
      <c r="D75" s="6">
        <f>首页!$B$6+273.15</f>
        <v>293.14999999999998</v>
      </c>
      <c r="E75" s="6">
        <f>首页!$B$5+273.15</f>
        <v>1373.15</v>
      </c>
      <c r="F75" s="6">
        <f t="shared" si="10"/>
        <v>95</v>
      </c>
      <c r="G75" s="6">
        <f t="shared" si="11"/>
        <v>340.65</v>
      </c>
      <c r="H75" s="6">
        <f t="shared" si="12"/>
        <v>1.9926207055139041E-5</v>
      </c>
      <c r="I75" s="7">
        <f t="shared" si="13"/>
        <v>1158916576932337.8</v>
      </c>
      <c r="J75" s="6">
        <f t="shared" si="14"/>
        <v>1.0226038455893147</v>
      </c>
      <c r="K75" s="7">
        <f>J75*H75*首页!$B$12/P75</f>
        <v>0.69532757496605813</v>
      </c>
      <c r="L75" s="6">
        <f>首页!$B$9*0.0000000567*((C75^4-D75^4)/(C75-D75))</f>
        <v>7.7687338005019564</v>
      </c>
      <c r="M75" s="6">
        <f>IF(首页!$B$13="自然对流",IF(首页!$B$14="立式圆筒",首页!$B$10,PI()*B75/2),PI()*B75/2)</f>
        <v>55.2</v>
      </c>
      <c r="N75" s="7">
        <f>IF(首页!$B$13="强制对流",首页!$B$11*M75/H75,0)</f>
        <v>0</v>
      </c>
      <c r="O75" s="7">
        <f>IF(首页!$B$13="自然对流",IF(首页!$B$14="立式圆筒",(0.825+0.3063*I75^(1/6))^2+0.87*(M75/B75),(0.752+0.303*I75^(1/6))^2),0.3+SQRT((0.592*N75^0.5)^2+(0.0262*N75^0.8/(1-0.5/N75^0.1))^2))</f>
        <v>10203.915195242593</v>
      </c>
      <c r="P75" s="6">
        <f t="shared" si="15"/>
        <v>2.9510194925512497E-2</v>
      </c>
      <c r="Q75" s="6">
        <f t="shared" si="16"/>
        <v>5.455063884329852</v>
      </c>
      <c r="R75" s="6">
        <f t="shared" si="17"/>
        <v>13.223797684831808</v>
      </c>
      <c r="S75" s="6">
        <f>IF($Y$2="按单位面积散热损失 qp",B75*LN(B75/首页!$B$4),LN(B75/首页!$B$4))</f>
        <v>0.2010293709407053</v>
      </c>
      <c r="T75" s="6">
        <f>IF($Y$2="按单位面积散热损失 qp",2*PI()*首页!$B$8*((E75-D75)/$Y$3-1/R75),2*PI()*首页!$B$8*((E75-D75)/$Y$4-1/(PI()*B75*R75)))</f>
        <v>4.0918327346899173E-2</v>
      </c>
      <c r="U75" t="str">
        <f t="shared" si="18"/>
        <v>按单位面积散热损失 qp</v>
      </c>
      <c r="V75" s="6">
        <f t="shared" si="19"/>
        <v>0.16011104359380612</v>
      </c>
    </row>
    <row r="76" spans="1:22" x14ac:dyDescent="0.15">
      <c r="A76">
        <v>71</v>
      </c>
      <c r="B76" s="6">
        <f>首页!$B$4+2*A76/1000</f>
        <v>0.26200000000000001</v>
      </c>
      <c r="C76" s="6">
        <f>首页!$B$7+273.15</f>
        <v>388.15</v>
      </c>
      <c r="D76" s="6">
        <f>首页!$B$6+273.15</f>
        <v>293.14999999999998</v>
      </c>
      <c r="E76" s="6">
        <f>首页!$B$5+273.15</f>
        <v>1373.15</v>
      </c>
      <c r="F76" s="6">
        <f t="shared" si="10"/>
        <v>95</v>
      </c>
      <c r="G76" s="6">
        <f t="shared" si="11"/>
        <v>340.65</v>
      </c>
      <c r="H76" s="6">
        <f t="shared" si="12"/>
        <v>1.9926207055139041E-5</v>
      </c>
      <c r="I76" s="7">
        <f t="shared" si="13"/>
        <v>1158916576932337.8</v>
      </c>
      <c r="J76" s="6">
        <f t="shared" si="14"/>
        <v>1.0226038455893147</v>
      </c>
      <c r="K76" s="7">
        <f>J76*H76*首页!$B$12/P76</f>
        <v>0.69532757496605813</v>
      </c>
      <c r="L76" s="6">
        <f>首页!$B$9*0.0000000567*((C76^4-D76^4)/(C76-D76))</f>
        <v>7.7687338005019564</v>
      </c>
      <c r="M76" s="6">
        <f>IF(首页!$B$13="自然对流",IF(首页!$B$14="立式圆筒",首页!$B$10,PI()*B76/2),PI()*B76/2)</f>
        <v>55.2</v>
      </c>
      <c r="N76" s="7">
        <f>IF(首页!$B$13="强制对流",首页!$B$11*M76/H76,0)</f>
        <v>0</v>
      </c>
      <c r="O76" s="7">
        <f>IF(首页!$B$13="自然对流",IF(首页!$B$14="立式圆筒",(0.825+0.3063*I76^(1/6))^2+0.87*(M76/B76),(0.752+0.303*I76^(1/6))^2),0.3+SQRT((0.592*N76^0.5)^2+(0.0262*N76^0.8/(1-0.5/N76^0.1))^2))</f>
        <v>10202.505212858563</v>
      </c>
      <c r="P76" s="6">
        <f t="shared" si="15"/>
        <v>2.9510194925512497E-2</v>
      </c>
      <c r="Q76" s="6">
        <f t="shared" si="16"/>
        <v>5.4543101007248822</v>
      </c>
      <c r="R76" s="6">
        <f t="shared" si="17"/>
        <v>13.223043901226838</v>
      </c>
      <c r="S76" s="6">
        <f>IF($Y$2="按单位面积散热损失 qp",B76*LN(B76/首页!$B$4),LN(B76/首页!$B$4))</f>
        <v>0.20458342337651136</v>
      </c>
      <c r="T76" s="6">
        <f>IF($Y$2="按单位面积散热损失 qp",2*PI()*首页!$B$8*((E76-D76)/$Y$3-1/R76),2*PI()*首页!$B$8*((E76-D76)/$Y$4-1/(PI()*B76*R76)))</f>
        <v>4.0917108493611E-2</v>
      </c>
      <c r="U76" t="str">
        <f t="shared" si="18"/>
        <v>按单位面积散热损失 qp</v>
      </c>
      <c r="V76" s="6">
        <f t="shared" si="19"/>
        <v>0.16366631488290037</v>
      </c>
    </row>
    <row r="77" spans="1:22" x14ac:dyDescent="0.15">
      <c r="A77">
        <v>72</v>
      </c>
      <c r="B77" s="6">
        <f>首页!$B$4+2*A77/1000</f>
        <v>0.26400000000000001</v>
      </c>
      <c r="C77" s="6">
        <f>首页!$B$7+273.15</f>
        <v>388.15</v>
      </c>
      <c r="D77" s="6">
        <f>首页!$B$6+273.15</f>
        <v>293.14999999999998</v>
      </c>
      <c r="E77" s="6">
        <f>首页!$B$5+273.15</f>
        <v>1373.15</v>
      </c>
      <c r="F77" s="6">
        <f t="shared" si="10"/>
        <v>95</v>
      </c>
      <c r="G77" s="6">
        <f t="shared" si="11"/>
        <v>340.65</v>
      </c>
      <c r="H77" s="6">
        <f t="shared" si="12"/>
        <v>1.9926207055139041E-5</v>
      </c>
      <c r="I77" s="7">
        <f t="shared" si="13"/>
        <v>1158916576932337.8</v>
      </c>
      <c r="J77" s="6">
        <f t="shared" si="14"/>
        <v>1.0226038455893147</v>
      </c>
      <c r="K77" s="7">
        <f>J77*H77*首页!$B$12/P77</f>
        <v>0.69532757496605813</v>
      </c>
      <c r="L77" s="6">
        <f>首页!$B$9*0.0000000567*((C77^4-D77^4)/(C77-D77))</f>
        <v>7.7687338005019564</v>
      </c>
      <c r="M77" s="6">
        <f>IF(首页!$B$13="自然对流",IF(首页!$B$14="立式圆筒",首页!$B$10,PI()*B77/2),PI()*B77/2)</f>
        <v>55.2</v>
      </c>
      <c r="N77" s="7">
        <f>IF(首页!$B$13="强制对流",首页!$B$11*M77/H77,0)</f>
        <v>0</v>
      </c>
      <c r="O77" s="7">
        <f>IF(首页!$B$13="自然对流",IF(首页!$B$14="立式圆筒",(0.825+0.3063*I77^(1/6))^2+0.87*(M77/B77),(0.752+0.303*I77^(1/6))^2),0.3+SQRT((0.592*N77^0.5)^2+(0.0262*N77^0.8/(1-0.5/N77^0.1))^2))</f>
        <v>10201.11659384399</v>
      </c>
      <c r="P77" s="6">
        <f t="shared" si="15"/>
        <v>2.9510194925512497E-2</v>
      </c>
      <c r="Q77" s="6">
        <f t="shared" si="16"/>
        <v>5.4535677380836267</v>
      </c>
      <c r="R77" s="6">
        <f t="shared" si="17"/>
        <v>13.222301538585583</v>
      </c>
      <c r="S77" s="6">
        <f>IF($Y$2="按单位面积散热损失 qp",B77*LN(B77/首页!$B$4),LN(B77/首页!$B$4))</f>
        <v>0.20815274313616736</v>
      </c>
      <c r="T77" s="6">
        <f>IF($Y$2="按单位面积散热损失 qp",2*PI()*首页!$B$8*((E77-D77)/$Y$3-1/R77),2*PI()*首页!$B$8*((E77-D77)/$Y$4-1/(PI()*B77*R77)))</f>
        <v>4.0915907971969354E-2</v>
      </c>
      <c r="U77" t="str">
        <f t="shared" si="18"/>
        <v>按单位面积散热损失 qp</v>
      </c>
      <c r="V77" s="6">
        <f t="shared" si="19"/>
        <v>0.16723683516419802</v>
      </c>
    </row>
    <row r="78" spans="1:22" x14ac:dyDescent="0.15">
      <c r="A78">
        <v>73</v>
      </c>
      <c r="B78" s="6">
        <f>首页!$B$4+2*A78/1000</f>
        <v>0.26600000000000001</v>
      </c>
      <c r="C78" s="6">
        <f>首页!$B$7+273.15</f>
        <v>388.15</v>
      </c>
      <c r="D78" s="6">
        <f>首页!$B$6+273.15</f>
        <v>293.14999999999998</v>
      </c>
      <c r="E78" s="6">
        <f>首页!$B$5+273.15</f>
        <v>1373.15</v>
      </c>
      <c r="F78" s="6">
        <f t="shared" si="10"/>
        <v>95</v>
      </c>
      <c r="G78" s="6">
        <f t="shared" si="11"/>
        <v>340.65</v>
      </c>
      <c r="H78" s="6">
        <f t="shared" si="12"/>
        <v>1.9926207055139041E-5</v>
      </c>
      <c r="I78" s="7">
        <f t="shared" si="13"/>
        <v>1158916576932337.8</v>
      </c>
      <c r="J78" s="6">
        <f t="shared" si="14"/>
        <v>1.0226038455893147</v>
      </c>
      <c r="K78" s="7">
        <f>J78*H78*首页!$B$12/P78</f>
        <v>0.69532757496605813</v>
      </c>
      <c r="L78" s="6">
        <f>首页!$B$9*0.0000000567*((C78^4-D78^4)/(C78-D78))</f>
        <v>7.7687338005019564</v>
      </c>
      <c r="M78" s="6">
        <f>IF(首页!$B$13="自然对流",IF(首页!$B$14="立式圆筒",首页!$B$10,PI()*B78/2),PI()*B78/2)</f>
        <v>55.2</v>
      </c>
      <c r="N78" s="7">
        <f>IF(首页!$B$13="强制对流",首页!$B$11*M78/H78,0)</f>
        <v>0</v>
      </c>
      <c r="O78" s="7">
        <f>IF(首页!$B$13="自然对流",IF(首页!$B$14="立式圆筒",(0.825+0.3063*I78^(1/6))^2+0.87*(M78/B78),(0.752+0.303*I78^(1/6))^2),0.3+SQRT((0.592*N78^0.5)^2+(0.0262*N78^0.8/(1-0.5/N78^0.1))^2))</f>
        <v>10199.748856318358</v>
      </c>
      <c r="P78" s="6">
        <f t="shared" si="15"/>
        <v>2.9510194925512497E-2</v>
      </c>
      <c r="Q78" s="6">
        <f t="shared" si="16"/>
        <v>5.4528365387903603</v>
      </c>
      <c r="R78" s="6">
        <f t="shared" si="17"/>
        <v>13.221570339292317</v>
      </c>
      <c r="S78" s="6">
        <f>IF($Y$2="按单位面积散热损失 qp",B78*LN(B78/首页!$B$4),LN(B78/首页!$B$4))</f>
        <v>0.21173721455590774</v>
      </c>
      <c r="T78" s="6">
        <f>IF($Y$2="按单位面积散热损失 qp",2*PI()*首页!$B$8*((E78-D78)/$Y$3-1/R78),2*PI()*首页!$B$8*((E78-D78)/$Y$4-1/(PI()*B78*R78)))</f>
        <v>4.0914725371496985E-2</v>
      </c>
      <c r="U78" t="str">
        <f t="shared" si="18"/>
        <v>按单位面积散热损失 qp</v>
      </c>
      <c r="V78" s="6">
        <f t="shared" si="19"/>
        <v>0.17082248918441076</v>
      </c>
    </row>
    <row r="79" spans="1:22" x14ac:dyDescent="0.15">
      <c r="A79">
        <v>74</v>
      </c>
      <c r="B79" s="6">
        <f>首页!$B$4+2*A79/1000</f>
        <v>0.26800000000000002</v>
      </c>
      <c r="C79" s="6">
        <f>首页!$B$7+273.15</f>
        <v>388.15</v>
      </c>
      <c r="D79" s="6">
        <f>首页!$B$6+273.15</f>
        <v>293.14999999999998</v>
      </c>
      <c r="E79" s="6">
        <f>首页!$B$5+273.15</f>
        <v>1373.15</v>
      </c>
      <c r="F79" s="6">
        <f t="shared" si="10"/>
        <v>95</v>
      </c>
      <c r="G79" s="6">
        <f t="shared" si="11"/>
        <v>340.65</v>
      </c>
      <c r="H79" s="6">
        <f t="shared" si="12"/>
        <v>1.9926207055139041E-5</v>
      </c>
      <c r="I79" s="7">
        <f t="shared" si="13"/>
        <v>1158916576932337.8</v>
      </c>
      <c r="J79" s="6">
        <f t="shared" si="14"/>
        <v>1.0226038455893147</v>
      </c>
      <c r="K79" s="7">
        <f>J79*H79*首页!$B$12/P79</f>
        <v>0.69532757496605813</v>
      </c>
      <c r="L79" s="6">
        <f>首页!$B$9*0.0000000567*((C79^4-D79^4)/(C79-D79))</f>
        <v>7.7687338005019564</v>
      </c>
      <c r="M79" s="6">
        <f>IF(首页!$B$13="自然对流",IF(首页!$B$14="立式圆筒",首页!$B$10,PI()*B79/2),PI()*B79/2)</f>
        <v>55.2</v>
      </c>
      <c r="N79" s="7">
        <f>IF(首页!$B$13="强制对流",首页!$B$11*M79/H79,0)</f>
        <v>0</v>
      </c>
      <c r="O79" s="7">
        <f>IF(首页!$B$13="自然对流",IF(首页!$B$14="立式圆筒",(0.825+0.3063*I79^(1/6))^2+0.87*(M79/B79),(0.752+0.303*I79^(1/6))^2),0.3+SQRT((0.592*N79^0.5)^2+(0.0262*N79^0.8/(1-0.5/N79^0.1))^2))</f>
        <v>10198.401532785647</v>
      </c>
      <c r="P79" s="6">
        <f t="shared" si="15"/>
        <v>2.9510194925512497E-2</v>
      </c>
      <c r="Q79" s="6">
        <f t="shared" si="16"/>
        <v>5.4521162529193807</v>
      </c>
      <c r="R79" s="6">
        <f t="shared" si="17"/>
        <v>13.220850053421337</v>
      </c>
      <c r="S79" s="6">
        <f>IF($Y$2="按单位面积散热损失 qp",B79*LN(B79/首页!$B$4),LN(B79/首页!$B$4))</f>
        <v>0.21533672371132129</v>
      </c>
      <c r="T79" s="6">
        <f>IF($Y$2="按单位面积散热损失 qp",2*PI()*首页!$B$8*((E79-D79)/$Y$3-1/R79),2*PI()*首页!$B$8*((E79-D79)/$Y$4-1/(PI()*B79*R79)))</f>
        <v>4.0913560293880935E-2</v>
      </c>
      <c r="U79" t="str">
        <f t="shared" si="18"/>
        <v>按单位面积散热损失 qp</v>
      </c>
      <c r="V79" s="6">
        <f t="shared" si="19"/>
        <v>0.17442316341744035</v>
      </c>
    </row>
    <row r="80" spans="1:22" x14ac:dyDescent="0.15">
      <c r="A80">
        <v>75</v>
      </c>
      <c r="B80" s="6">
        <f>首页!$B$4+2*A80/1000</f>
        <v>0.27</v>
      </c>
      <c r="C80" s="6">
        <f>首页!$B$7+273.15</f>
        <v>388.15</v>
      </c>
      <c r="D80" s="6">
        <f>首页!$B$6+273.15</f>
        <v>293.14999999999998</v>
      </c>
      <c r="E80" s="6">
        <f>首页!$B$5+273.15</f>
        <v>1373.15</v>
      </c>
      <c r="F80" s="6">
        <f t="shared" si="10"/>
        <v>95</v>
      </c>
      <c r="G80" s="6">
        <f t="shared" si="11"/>
        <v>340.65</v>
      </c>
      <c r="H80" s="6">
        <f t="shared" si="12"/>
        <v>1.9926207055139041E-5</v>
      </c>
      <c r="I80" s="7">
        <f t="shared" si="13"/>
        <v>1158916576932337.8</v>
      </c>
      <c r="J80" s="6">
        <f t="shared" si="14"/>
        <v>1.0226038455893147</v>
      </c>
      <c r="K80" s="7">
        <f>J80*H80*首页!$B$12/P80</f>
        <v>0.69532757496605813</v>
      </c>
      <c r="L80" s="6">
        <f>首页!$B$9*0.0000000567*((C80^4-D80^4)/(C80-D80))</f>
        <v>7.7687338005019564</v>
      </c>
      <c r="M80" s="6">
        <f>IF(首页!$B$13="自然对流",IF(首页!$B$14="立式圆筒",首页!$B$10,PI()*B80/2),PI()*B80/2)</f>
        <v>55.2</v>
      </c>
      <c r="N80" s="7">
        <f>IF(首页!$B$13="强制对流",首页!$B$11*M80/H80,0)</f>
        <v>0</v>
      </c>
      <c r="O80" s="7">
        <f>IF(首页!$B$13="自然对流",IF(首页!$B$14="立式圆筒",(0.825+0.3063*I80^(1/6))^2+0.87*(M80/B80),(0.752+0.303*I80^(1/6))^2),0.3+SQRT((0.592*N80^0.5)^2+(0.0262*N80^0.8/(1-0.5/N80^0.1))^2))</f>
        <v>10197.074169601567</v>
      </c>
      <c r="P80" s="6">
        <f t="shared" si="15"/>
        <v>2.9510194925512497E-2</v>
      </c>
      <c r="Q80" s="6">
        <f t="shared" si="16"/>
        <v>5.4514066379501935</v>
      </c>
      <c r="R80" s="6">
        <f t="shared" si="17"/>
        <v>13.22014043845215</v>
      </c>
      <c r="S80" s="6">
        <f>IF($Y$2="按单位面积散热损失 qp",B80*LN(B80/首页!$B$4),LN(B80/首页!$B$4))</f>
        <v>0.21895115837840884</v>
      </c>
      <c r="T80" s="6">
        <f>IF($Y$2="按单位面积散热损失 qp",2*PI()*首页!$B$8*((E80-D80)/$Y$3-1/R80),2*PI()*首页!$B$8*((E80-D80)/$Y$4-1/(PI()*B80*R80)))</f>
        <v>4.0912412352525178E-2</v>
      </c>
      <c r="U80" t="str">
        <f t="shared" si="18"/>
        <v>按单位面积散热损失 qp</v>
      </c>
      <c r="V80" s="6">
        <f t="shared" si="19"/>
        <v>0.17803874602588365</v>
      </c>
    </row>
    <row r="81" spans="1:22" x14ac:dyDescent="0.15">
      <c r="A81">
        <v>76</v>
      </c>
      <c r="B81" s="6">
        <f>首页!$B$4+2*A81/1000</f>
        <v>0.27200000000000002</v>
      </c>
      <c r="C81" s="6">
        <f>首页!$B$7+273.15</f>
        <v>388.15</v>
      </c>
      <c r="D81" s="6">
        <f>首页!$B$6+273.15</f>
        <v>293.14999999999998</v>
      </c>
      <c r="E81" s="6">
        <f>首页!$B$5+273.15</f>
        <v>1373.15</v>
      </c>
      <c r="F81" s="6">
        <f t="shared" si="10"/>
        <v>95</v>
      </c>
      <c r="G81" s="6">
        <f t="shared" si="11"/>
        <v>340.65</v>
      </c>
      <c r="H81" s="6">
        <f t="shared" si="12"/>
        <v>1.9926207055139041E-5</v>
      </c>
      <c r="I81" s="7">
        <f t="shared" si="13"/>
        <v>1158916576932337.8</v>
      </c>
      <c r="J81" s="6">
        <f t="shared" si="14"/>
        <v>1.0226038455893147</v>
      </c>
      <c r="K81" s="7">
        <f>J81*H81*首页!$B$12/P81</f>
        <v>0.69532757496605813</v>
      </c>
      <c r="L81" s="6">
        <f>首页!$B$9*0.0000000567*((C81^4-D81^4)/(C81-D81))</f>
        <v>7.7687338005019564</v>
      </c>
      <c r="M81" s="6">
        <f>IF(首页!$B$13="自然对流",IF(首页!$B$14="立式圆筒",首页!$B$10,PI()*B81/2),PI()*B81/2)</f>
        <v>55.2</v>
      </c>
      <c r="N81" s="7">
        <f>IF(首页!$B$13="强制对流",首页!$B$11*M81/H81,0)</f>
        <v>0</v>
      </c>
      <c r="O81" s="7">
        <f>IF(首页!$B$13="自然对流",IF(首页!$B$14="立式圆筒",(0.825+0.3063*I81^(1/6))^2+0.87*(M81/B81),(0.752+0.303*I81^(1/6))^2),0.3+SQRT((0.592*N81^0.5)^2+(0.0262*N81^0.8/(1-0.5/N81^0.1))^2))</f>
        <v>10195.766326464312</v>
      </c>
      <c r="P81" s="6">
        <f t="shared" si="15"/>
        <v>2.9510194925512497E-2</v>
      </c>
      <c r="Q81" s="6">
        <f t="shared" si="16"/>
        <v>5.4507074584952591</v>
      </c>
      <c r="R81" s="6">
        <f t="shared" si="17"/>
        <v>13.219441258997215</v>
      </c>
      <c r="S81" s="6">
        <f>IF($Y$2="按单位面积散热损失 qp",B81*LN(B81/首页!$B$4),LN(B81/首页!$B$4))</f>
        <v>0.22258040799579482</v>
      </c>
      <c r="T81" s="6">
        <f>IF($Y$2="按单位面积散热损失 qp",2*PI()*首页!$B$8*((E81-D81)/$Y$3-1/R81),2*PI()*首页!$B$8*((E81-D81)/$Y$4-1/(PI()*B81*R81)))</f>
        <v>4.0911281172123025E-2</v>
      </c>
      <c r="U81" t="str">
        <f t="shared" si="18"/>
        <v>按单位面积散热损失 qp</v>
      </c>
      <c r="V81" s="6">
        <f t="shared" si="19"/>
        <v>0.18166912682367178</v>
      </c>
    </row>
    <row r="82" spans="1:22" x14ac:dyDescent="0.15">
      <c r="A82">
        <v>77</v>
      </c>
      <c r="B82" s="6">
        <f>首页!$B$4+2*A82/1000</f>
        <v>0.27400000000000002</v>
      </c>
      <c r="C82" s="6">
        <f>首页!$B$7+273.15</f>
        <v>388.15</v>
      </c>
      <c r="D82" s="6">
        <f>首页!$B$6+273.15</f>
        <v>293.14999999999998</v>
      </c>
      <c r="E82" s="6">
        <f>首页!$B$5+273.15</f>
        <v>1373.15</v>
      </c>
      <c r="F82" s="6">
        <f t="shared" si="10"/>
        <v>95</v>
      </c>
      <c r="G82" s="6">
        <f t="shared" si="11"/>
        <v>340.65</v>
      </c>
      <c r="H82" s="6">
        <f t="shared" si="12"/>
        <v>1.9926207055139041E-5</v>
      </c>
      <c r="I82" s="7">
        <f t="shared" si="13"/>
        <v>1158916576932337.8</v>
      </c>
      <c r="J82" s="6">
        <f t="shared" si="14"/>
        <v>1.0226038455893147</v>
      </c>
      <c r="K82" s="7">
        <f>J82*H82*首页!$B$12/P82</f>
        <v>0.69532757496605813</v>
      </c>
      <c r="L82" s="6">
        <f>首页!$B$9*0.0000000567*((C82^4-D82^4)/(C82-D82))</f>
        <v>7.7687338005019564</v>
      </c>
      <c r="M82" s="6">
        <f>IF(首页!$B$13="自然对流",IF(首页!$B$14="立式圆筒",首页!$B$10,PI()*B82/2),PI()*B82/2)</f>
        <v>55.2</v>
      </c>
      <c r="N82" s="7">
        <f>IF(首页!$B$13="强制对流",首页!$B$11*M82/H82,0)</f>
        <v>0</v>
      </c>
      <c r="O82" s="7">
        <f>IF(首页!$B$13="自然对流",IF(首页!$B$14="立式圆筒",(0.825+0.3063*I82^(1/6))^2+0.87*(M82/B82),(0.752+0.303*I82^(1/6))^2),0.3+SQRT((0.592*N82^0.5)^2+(0.0262*N82^0.8/(1-0.5/N82^0.1))^2))</f>
        <v>10194.4775759276</v>
      </c>
      <c r="P82" s="6">
        <f t="shared" si="15"/>
        <v>2.9510194925512497E-2</v>
      </c>
      <c r="Q82" s="6">
        <f t="shared" si="16"/>
        <v>5.4500184860396663</v>
      </c>
      <c r="R82" s="6">
        <f t="shared" si="17"/>
        <v>13.218752286541623</v>
      </c>
      <c r="S82" s="6">
        <f>IF($Y$2="按单位面积散热损失 qp",B82*LN(B82/首页!$B$4),LN(B82/首页!$B$4))</f>
        <v>0.22622436362805068</v>
      </c>
      <c r="T82" s="6">
        <f>IF($Y$2="按单位面积散热损失 qp",2*PI()*首页!$B$8*((E82-D82)/$Y$3-1/R82),2*PI()*首页!$B$8*((E82-D82)/$Y$4-1/(PI()*B82*R82)))</f>
        <v>4.0910166388247945E-2</v>
      </c>
      <c r="U82" t="str">
        <f t="shared" si="18"/>
        <v>按单位面积散热损失 qp</v>
      </c>
      <c r="V82" s="6">
        <f t="shared" si="19"/>
        <v>0.18531419723980275</v>
      </c>
    </row>
    <row r="83" spans="1:22" x14ac:dyDescent="0.15">
      <c r="A83">
        <v>78</v>
      </c>
      <c r="B83" s="6">
        <f>首页!$B$4+2*A83/1000</f>
        <v>0.27600000000000002</v>
      </c>
      <c r="C83" s="6">
        <f>首页!$B$7+273.15</f>
        <v>388.15</v>
      </c>
      <c r="D83" s="6">
        <f>首页!$B$6+273.15</f>
        <v>293.14999999999998</v>
      </c>
      <c r="E83" s="6">
        <f>首页!$B$5+273.15</f>
        <v>1373.15</v>
      </c>
      <c r="F83" s="6">
        <f t="shared" si="10"/>
        <v>95</v>
      </c>
      <c r="G83" s="6">
        <f t="shared" si="11"/>
        <v>340.65</v>
      </c>
      <c r="H83" s="6">
        <f t="shared" si="12"/>
        <v>1.9926207055139041E-5</v>
      </c>
      <c r="I83" s="7">
        <f t="shared" si="13"/>
        <v>1158916576932337.8</v>
      </c>
      <c r="J83" s="6">
        <f t="shared" si="14"/>
        <v>1.0226038455893147</v>
      </c>
      <c r="K83" s="7">
        <f>J83*H83*首页!$B$12/P83</f>
        <v>0.69532757496605813</v>
      </c>
      <c r="L83" s="6">
        <f>首页!$B$9*0.0000000567*((C83^4-D83^4)/(C83-D83))</f>
        <v>7.7687338005019564</v>
      </c>
      <c r="M83" s="6">
        <f>IF(首页!$B$13="自然对流",IF(首页!$B$14="立式圆筒",首页!$B$10,PI()*B83/2),PI()*B83/2)</f>
        <v>55.2</v>
      </c>
      <c r="N83" s="7">
        <f>IF(首页!$B$13="强制对流",首页!$B$11*M83/H83,0)</f>
        <v>0</v>
      </c>
      <c r="O83" s="7">
        <f>IF(首页!$B$13="自然对流",IF(首页!$B$14="立式圆筒",(0.825+0.3063*I83^(1/6))^2+0.87*(M83/B83),(0.752+0.303*I83^(1/6))^2),0.3+SQRT((0.592*N83^0.5)^2+(0.0262*N83^0.8/(1-0.5/N83^0.1))^2))</f>
        <v>10193.2075029349</v>
      </c>
      <c r="P83" s="6">
        <f t="shared" si="15"/>
        <v>2.9510194925512497E-2</v>
      </c>
      <c r="Q83" s="6">
        <f t="shared" si="16"/>
        <v>5.449339498692126</v>
      </c>
      <c r="R83" s="6">
        <f t="shared" si="17"/>
        <v>13.218073299194081</v>
      </c>
      <c r="S83" s="6">
        <f>IF($Y$2="按单位面积散热损失 qp",B83*LN(B83/首页!$B$4),LN(B83/首页!$B$4))</f>
        <v>0.22988291793008875</v>
      </c>
      <c r="T83" s="6">
        <f>IF($Y$2="按单位面积散热损失 qp",2*PI()*首页!$B$8*((E83-D83)/$Y$3-1/R83),2*PI()*首页!$B$8*((E83-D83)/$Y$4-1/(PI()*B83*R83)))</f>
        <v>4.0909067646962158E-2</v>
      </c>
      <c r="U83" t="str">
        <f t="shared" si="18"/>
        <v>按单位面积散热损失 qp</v>
      </c>
      <c r="V83" s="6">
        <f t="shared" si="19"/>
        <v>0.18897385028312658</v>
      </c>
    </row>
    <row r="84" spans="1:22" x14ac:dyDescent="0.15">
      <c r="A84">
        <v>79</v>
      </c>
      <c r="B84" s="6">
        <f>首页!$B$4+2*A84/1000</f>
        <v>0.27800000000000002</v>
      </c>
      <c r="C84" s="6">
        <f>首页!$B$7+273.15</f>
        <v>388.15</v>
      </c>
      <c r="D84" s="6">
        <f>首页!$B$6+273.15</f>
        <v>293.14999999999998</v>
      </c>
      <c r="E84" s="6">
        <f>首页!$B$5+273.15</f>
        <v>1373.15</v>
      </c>
      <c r="F84" s="6">
        <f t="shared" si="10"/>
        <v>95</v>
      </c>
      <c r="G84" s="6">
        <f t="shared" si="11"/>
        <v>340.65</v>
      </c>
      <c r="H84" s="6">
        <f t="shared" si="12"/>
        <v>1.9926207055139041E-5</v>
      </c>
      <c r="I84" s="7">
        <f t="shared" si="13"/>
        <v>1158916576932337.8</v>
      </c>
      <c r="J84" s="6">
        <f t="shared" si="14"/>
        <v>1.0226038455893147</v>
      </c>
      <c r="K84" s="7">
        <f>J84*H84*首页!$B$12/P84</f>
        <v>0.69532757496605813</v>
      </c>
      <c r="L84" s="6">
        <f>首页!$B$9*0.0000000567*((C84^4-D84^4)/(C84-D84))</f>
        <v>7.7687338005019564</v>
      </c>
      <c r="M84" s="6">
        <f>IF(首页!$B$13="自然对流",IF(首页!$B$14="立式圆筒",首页!$B$10,PI()*B84/2),PI()*B84/2)</f>
        <v>55.2</v>
      </c>
      <c r="N84" s="7">
        <f>IF(首页!$B$13="强制对流",首页!$B$11*M84/H84,0)</f>
        <v>0</v>
      </c>
      <c r="O84" s="7">
        <f>IF(首页!$B$13="自然对流",IF(首页!$B$14="立式圆筒",(0.825+0.3063*I84^(1/6))^2+0.87*(M84/B84),(0.752+0.303*I84^(1/6))^2),0.3+SQRT((0.592*N84^0.5)^2+(0.0262*N84^0.8/(1-0.5/N84^0.1))^2))</f>
        <v>10191.95570437375</v>
      </c>
      <c r="P84" s="6">
        <f t="shared" si="15"/>
        <v>2.9510194925512497E-2</v>
      </c>
      <c r="Q84" s="6">
        <f t="shared" si="16"/>
        <v>5.4486702809467094</v>
      </c>
      <c r="R84" s="6">
        <f t="shared" si="17"/>
        <v>13.217404081448667</v>
      </c>
      <c r="S84" s="6">
        <f>IF($Y$2="按单位面积散热损失 qp",B84*LN(B84/首页!$B$4),LN(B84/首页!$B$4))</f>
        <v>0.23355596511258836</v>
      </c>
      <c r="T84" s="6">
        <f>IF($Y$2="按单位面积散热损失 qp",2*PI()*首页!$B$8*((E84-D84)/$Y$3-1/R84),2*PI()*首页!$B$8*((E84-D84)/$Y$4-1/(PI()*B84*R84)))</f>
        <v>4.0907984604441998E-2</v>
      </c>
      <c r="U84" t="str">
        <f t="shared" si="18"/>
        <v>按单位面积散热损失 qp</v>
      </c>
      <c r="V84" s="6">
        <f t="shared" si="19"/>
        <v>0.19264798050814635</v>
      </c>
    </row>
    <row r="85" spans="1:22" x14ac:dyDescent="0.15">
      <c r="A85">
        <v>80</v>
      </c>
      <c r="B85" s="6">
        <f>首页!$B$4+2*A85/1000</f>
        <v>0.28000000000000003</v>
      </c>
      <c r="C85" s="6">
        <f>首页!$B$7+273.15</f>
        <v>388.15</v>
      </c>
      <c r="D85" s="6">
        <f>首页!$B$6+273.15</f>
        <v>293.14999999999998</v>
      </c>
      <c r="E85" s="6">
        <f>首页!$B$5+273.15</f>
        <v>1373.15</v>
      </c>
      <c r="F85" s="6">
        <f t="shared" si="10"/>
        <v>95</v>
      </c>
      <c r="G85" s="6">
        <f t="shared" si="11"/>
        <v>340.65</v>
      </c>
      <c r="H85" s="6">
        <f t="shared" si="12"/>
        <v>1.9926207055139041E-5</v>
      </c>
      <c r="I85" s="7">
        <f t="shared" si="13"/>
        <v>1158916576932337.8</v>
      </c>
      <c r="J85" s="6">
        <f t="shared" si="14"/>
        <v>1.0226038455893147</v>
      </c>
      <c r="K85" s="7">
        <f>J85*H85*首页!$B$12/P85</f>
        <v>0.69532757496605813</v>
      </c>
      <c r="L85" s="6">
        <f>首页!$B$9*0.0000000567*((C85^4-D85^4)/(C85-D85))</f>
        <v>7.7687338005019564</v>
      </c>
      <c r="M85" s="6">
        <f>IF(首页!$B$13="自然对流",IF(首页!$B$14="立式圆筒",首页!$B$10,PI()*B85/2),PI()*B85/2)</f>
        <v>55.2</v>
      </c>
      <c r="N85" s="7">
        <f>IF(首页!$B$13="强制对流",首页!$B$11*M85/H85,0)</f>
        <v>0</v>
      </c>
      <c r="O85" s="7">
        <f>IF(首页!$B$13="自然对流",IF(首页!$B$14="立式圆筒",(0.825+0.3063*I85^(1/6))^2+0.87*(M85/B85),(0.752+0.303*I85^(1/6))^2),0.3+SQRT((0.592*N85^0.5)^2+(0.0262*N85^0.8/(1-0.5/N85^0.1))^2))</f>
        <v>10190.721788649185</v>
      </c>
      <c r="P85" s="6">
        <f t="shared" si="15"/>
        <v>2.9510194925512497E-2</v>
      </c>
      <c r="Q85" s="6">
        <f t="shared" si="16"/>
        <v>5.4480106234547971</v>
      </c>
      <c r="R85" s="6">
        <f t="shared" si="17"/>
        <v>13.216744423956754</v>
      </c>
      <c r="S85" s="6">
        <f>IF($Y$2="按单位面积散热损失 qp",B85*LN(B85/首页!$B$4),LN(B85/首页!$B$4))</f>
        <v>0.23724340090841706</v>
      </c>
      <c r="T85" s="6">
        <f>IF($Y$2="按单位面积散热损失 qp",2*PI()*首页!$B$8*((E85-D85)/$Y$3-1/R85),2*PI()*首页!$B$8*((E85-D85)/$Y$4-1/(PI()*B85*R85)))</f>
        <v>4.0906916926619151E-2</v>
      </c>
      <c r="U85" t="str">
        <f t="shared" si="18"/>
        <v>按单位面积散热损失 qp</v>
      </c>
      <c r="V85" s="6">
        <f t="shared" si="19"/>
        <v>0.1963364839817979</v>
      </c>
    </row>
    <row r="86" spans="1:22" x14ac:dyDescent="0.15">
      <c r="A86">
        <v>81</v>
      </c>
      <c r="B86" s="6">
        <f>首页!$B$4+2*A86/1000</f>
        <v>0.28200000000000003</v>
      </c>
      <c r="C86" s="6">
        <f>首页!$B$7+273.15</f>
        <v>388.15</v>
      </c>
      <c r="D86" s="6">
        <f>首页!$B$6+273.15</f>
        <v>293.14999999999998</v>
      </c>
      <c r="E86" s="6">
        <f>首页!$B$5+273.15</f>
        <v>1373.15</v>
      </c>
      <c r="F86" s="6">
        <f t="shared" si="10"/>
        <v>95</v>
      </c>
      <c r="G86" s="6">
        <f t="shared" si="11"/>
        <v>340.65</v>
      </c>
      <c r="H86" s="6">
        <f t="shared" si="12"/>
        <v>1.9926207055139041E-5</v>
      </c>
      <c r="I86" s="7">
        <f t="shared" si="13"/>
        <v>1158916576932337.8</v>
      </c>
      <c r="J86" s="6">
        <f t="shared" si="14"/>
        <v>1.0226038455893147</v>
      </c>
      <c r="K86" s="7">
        <f>J86*H86*首页!$B$12/P86</f>
        <v>0.69532757496605813</v>
      </c>
      <c r="L86" s="6">
        <f>首页!$B$9*0.0000000567*((C86^4-D86^4)/(C86-D86))</f>
        <v>7.7687338005019564</v>
      </c>
      <c r="M86" s="6">
        <f>IF(首页!$B$13="自然对流",IF(首页!$B$14="立式圆筒",首页!$B$10,PI()*B86/2),PI()*B86/2)</f>
        <v>55.2</v>
      </c>
      <c r="N86" s="7">
        <f>IF(首页!$B$13="强制对流",首页!$B$11*M86/H86,0)</f>
        <v>0</v>
      </c>
      <c r="O86" s="7">
        <f>IF(首页!$B$13="自然对流",IF(首页!$B$14="立式圆筒",(0.825+0.3063*I86^(1/6))^2+0.87*(M86/B86),(0.752+0.303*I86^(1/6))^2),0.3+SQRT((0.592*N86^0.5)^2+(0.0262*N86^0.8/(1-0.5/N86^0.1))^2))</f>
        <v>10189.505375275325</v>
      </c>
      <c r="P86" s="6">
        <f t="shared" si="15"/>
        <v>2.9510194925512497E-2</v>
      </c>
      <c r="Q86" s="6">
        <f t="shared" si="16"/>
        <v>5.447360322806742</v>
      </c>
      <c r="R86" s="6">
        <f t="shared" si="17"/>
        <v>13.216094123308698</v>
      </c>
      <c r="S86" s="6">
        <f>IF($Y$2="按单位面积散热损失 qp",B86*LN(B86/首页!$B$4),LN(B86/首页!$B$4))</f>
        <v>0.24094512254001113</v>
      </c>
      <c r="T86" s="6">
        <f>IF($Y$2="按单位面积散热损失 qp",2*PI()*首页!$B$8*((E86-D86)/$Y$3-1/R86),2*PI()*首页!$B$8*((E86-D86)/$Y$4-1/(PI()*B86*R86)))</f>
        <v>4.0905864288837135E-2</v>
      </c>
      <c r="U86" t="str">
        <f t="shared" si="18"/>
        <v>按单位面积散热损失 qp</v>
      </c>
      <c r="V86" s="6">
        <f t="shared" si="19"/>
        <v>0.200039258251174</v>
      </c>
    </row>
    <row r="87" spans="1:22" x14ac:dyDescent="0.15">
      <c r="A87">
        <v>82</v>
      </c>
      <c r="B87" s="6">
        <f>首页!$B$4+2*A87/1000</f>
        <v>0.28400000000000003</v>
      </c>
      <c r="C87" s="6">
        <f>首页!$B$7+273.15</f>
        <v>388.15</v>
      </c>
      <c r="D87" s="6">
        <f>首页!$B$6+273.15</f>
        <v>293.14999999999998</v>
      </c>
      <c r="E87" s="6">
        <f>首页!$B$5+273.15</f>
        <v>1373.15</v>
      </c>
      <c r="F87" s="6">
        <f t="shared" si="10"/>
        <v>95</v>
      </c>
      <c r="G87" s="6">
        <f t="shared" si="11"/>
        <v>340.65</v>
      </c>
      <c r="H87" s="6">
        <f t="shared" si="12"/>
        <v>1.9926207055139041E-5</v>
      </c>
      <c r="I87" s="7">
        <f t="shared" si="13"/>
        <v>1158916576932337.8</v>
      </c>
      <c r="J87" s="6">
        <f t="shared" si="14"/>
        <v>1.0226038455893147</v>
      </c>
      <c r="K87" s="7">
        <f>J87*H87*首页!$B$12/P87</f>
        <v>0.69532757496605813</v>
      </c>
      <c r="L87" s="6">
        <f>首页!$B$9*0.0000000567*((C87^4-D87^4)/(C87-D87))</f>
        <v>7.7687338005019564</v>
      </c>
      <c r="M87" s="6">
        <f>IF(首页!$B$13="自然对流",IF(首页!$B$14="立式圆筒",首页!$B$10,PI()*B87/2),PI()*B87/2)</f>
        <v>55.2</v>
      </c>
      <c r="N87" s="7">
        <f>IF(首页!$B$13="强制对流",首页!$B$11*M87/H87,0)</f>
        <v>0</v>
      </c>
      <c r="O87" s="7">
        <f>IF(首页!$B$13="自然对流",IF(首页!$B$14="立式圆筒",(0.825+0.3063*I87^(1/6))^2+0.87*(M87/B87),(0.752+0.303*I87^(1/6))^2),0.3+SQRT((0.592*N87^0.5)^2+(0.0262*N87^0.8/(1-0.5/N87^0.1))^2))</f>
        <v>10188.306094484196</v>
      </c>
      <c r="P87" s="6">
        <f t="shared" si="15"/>
        <v>2.9510194925512497E-2</v>
      </c>
      <c r="Q87" s="6">
        <f t="shared" si="16"/>
        <v>5.4467191813227451</v>
      </c>
      <c r="R87" s="6">
        <f t="shared" si="17"/>
        <v>13.215452981824701</v>
      </c>
      <c r="S87" s="6">
        <f>IF($Y$2="按单位面积散热损失 qp",B87*LN(B87/首页!$B$4),LN(B87/首页!$B$4))</f>
        <v>0.24466102868768153</v>
      </c>
      <c r="T87" s="6">
        <f>IF($Y$2="按单位面积散热损失 qp",2*PI()*首页!$B$8*((E87-D87)/$Y$3-1/R87),2*PI()*首页!$B$8*((E87-D87)/$Y$4-1/(PI()*B87*R87)))</f>
        <v>4.0904826375522216E-2</v>
      </c>
      <c r="U87" t="str">
        <f t="shared" si="18"/>
        <v>按单位面积散热损失 qp</v>
      </c>
      <c r="V87" s="6">
        <f t="shared" si="19"/>
        <v>0.2037562023121593</v>
      </c>
    </row>
    <row r="88" spans="1:22" x14ac:dyDescent="0.15">
      <c r="A88">
        <v>83</v>
      </c>
      <c r="B88" s="6">
        <f>首页!$B$4+2*A88/1000</f>
        <v>0.28600000000000003</v>
      </c>
      <c r="C88" s="6">
        <f>首页!$B$7+273.15</f>
        <v>388.15</v>
      </c>
      <c r="D88" s="6">
        <f>首页!$B$6+273.15</f>
        <v>293.14999999999998</v>
      </c>
      <c r="E88" s="6">
        <f>首页!$B$5+273.15</f>
        <v>1373.15</v>
      </c>
      <c r="F88" s="6">
        <f t="shared" si="10"/>
        <v>95</v>
      </c>
      <c r="G88" s="6">
        <f t="shared" si="11"/>
        <v>340.65</v>
      </c>
      <c r="H88" s="6">
        <f t="shared" si="12"/>
        <v>1.9926207055139041E-5</v>
      </c>
      <c r="I88" s="7">
        <f t="shared" si="13"/>
        <v>1158916576932337.8</v>
      </c>
      <c r="J88" s="6">
        <f t="shared" si="14"/>
        <v>1.0226038455893147</v>
      </c>
      <c r="K88" s="7">
        <f>J88*H88*首页!$B$12/P88</f>
        <v>0.69532757496605813</v>
      </c>
      <c r="L88" s="6">
        <f>首页!$B$9*0.0000000567*((C88^4-D88^4)/(C88-D88))</f>
        <v>7.7687338005019564</v>
      </c>
      <c r="M88" s="6">
        <f>IF(首页!$B$13="自然对流",IF(首页!$B$14="立式圆筒",首页!$B$10,PI()*B88/2),PI()*B88/2)</f>
        <v>55.2</v>
      </c>
      <c r="N88" s="7">
        <f>IF(首页!$B$13="强制对流",首页!$B$11*M88/H88,0)</f>
        <v>0</v>
      </c>
      <c r="O88" s="7">
        <f>IF(首页!$B$13="自然对流",IF(首页!$B$14="立式圆筒",(0.825+0.3063*I88^(1/6))^2+0.87*(M88/B88),(0.752+0.303*I88^(1/6))^2),0.3+SQRT((0.592*N88^0.5)^2+(0.0262*N88^0.8/(1-0.5/N88^0.1))^2))</f>
        <v>10187.123586850983</v>
      </c>
      <c r="P88" s="6">
        <f t="shared" si="15"/>
        <v>2.9510194925512497E-2</v>
      </c>
      <c r="Q88" s="6">
        <f t="shared" si="16"/>
        <v>5.44608700685251</v>
      </c>
      <c r="R88" s="6">
        <f t="shared" si="17"/>
        <v>13.214820807354467</v>
      </c>
      <c r="S88" s="6">
        <f>IF($Y$2="按单位面积散热损失 qp",B88*LN(B88/首页!$B$4),LN(B88/首页!$B$4))</f>
        <v>0.24839101945881276</v>
      </c>
      <c r="T88" s="6">
        <f>IF($Y$2="按单位面积散热损失 qp",2*PI()*首页!$B$8*((E88-D88)/$Y$3-1/R88),2*PI()*首页!$B$8*((E88-D88)/$Y$4-1/(PI()*B88*R88)))</f>
        <v>4.0903802879867855E-2</v>
      </c>
      <c r="U88" t="str">
        <f t="shared" si="18"/>
        <v>按单位面积散热损失 qp</v>
      </c>
      <c r="V88" s="6">
        <f t="shared" si="19"/>
        <v>0.20748721657894489</v>
      </c>
    </row>
    <row r="89" spans="1:22" x14ac:dyDescent="0.15">
      <c r="A89">
        <v>84</v>
      </c>
      <c r="B89" s="6">
        <f>首页!$B$4+2*A89/1000</f>
        <v>0.28800000000000003</v>
      </c>
      <c r="C89" s="6">
        <f>首页!$B$7+273.15</f>
        <v>388.15</v>
      </c>
      <c r="D89" s="6">
        <f>首页!$B$6+273.15</f>
        <v>293.14999999999998</v>
      </c>
      <c r="E89" s="6">
        <f>首页!$B$5+273.15</f>
        <v>1373.15</v>
      </c>
      <c r="F89" s="6">
        <f t="shared" si="10"/>
        <v>95</v>
      </c>
      <c r="G89" s="6">
        <f t="shared" si="11"/>
        <v>340.65</v>
      </c>
      <c r="H89" s="6">
        <f t="shared" si="12"/>
        <v>1.9926207055139041E-5</v>
      </c>
      <c r="I89" s="7">
        <f t="shared" si="13"/>
        <v>1158916576932337.8</v>
      </c>
      <c r="J89" s="6">
        <f t="shared" si="14"/>
        <v>1.0226038455893147</v>
      </c>
      <c r="K89" s="7">
        <f>J89*H89*首页!$B$12/P89</f>
        <v>0.69532757496605813</v>
      </c>
      <c r="L89" s="6">
        <f>首页!$B$9*0.0000000567*((C89^4-D89^4)/(C89-D89))</f>
        <v>7.7687338005019564</v>
      </c>
      <c r="M89" s="6">
        <f>IF(首页!$B$13="自然对流",IF(首页!$B$14="立式圆筒",首页!$B$10,PI()*B89/2),PI()*B89/2)</f>
        <v>55.2</v>
      </c>
      <c r="N89" s="7">
        <f>IF(首页!$B$13="强制对流",首页!$B$11*M89/H89,0)</f>
        <v>0</v>
      </c>
      <c r="O89" s="7">
        <f>IF(首页!$B$13="自然对流",IF(首页!$B$14="立式圆筒",(0.825+0.3063*I89^(1/6))^2+0.87*(M89/B89),(0.752+0.303*I89^(1/6))^2),0.3+SQRT((0.592*N89^0.5)^2+(0.0262*N89^0.8/(1-0.5/N89^0.1))^2))</f>
        <v>10185.9575029349</v>
      </c>
      <c r="P89" s="6">
        <f t="shared" si="15"/>
        <v>2.9510194925512497E-2</v>
      </c>
      <c r="Q89" s="6">
        <f t="shared" si="16"/>
        <v>5.4454636125832501</v>
      </c>
      <c r="R89" s="6">
        <f t="shared" si="17"/>
        <v>13.214197413085206</v>
      </c>
      <c r="S89" s="6">
        <f>IF($Y$2="按单位面积散热损失 qp",B89*LN(B89/首页!$B$4),LN(B89/首页!$B$4))</f>
        <v>0.25213499635792325</v>
      </c>
      <c r="T89" s="6">
        <f>IF($Y$2="按单位面积散热损失 qp",2*PI()*首页!$B$8*((E89-D89)/$Y$3-1/R89),2*PI()*首页!$B$8*((E89-D89)/$Y$4-1/(PI()*B89*R89)))</f>
        <v>4.0902793503532452E-2</v>
      </c>
      <c r="U89" t="str">
        <f t="shared" si="18"/>
        <v>按单位面积散热损失 qp</v>
      </c>
      <c r="V89" s="6">
        <f t="shared" si="19"/>
        <v>0.21123220285439079</v>
      </c>
    </row>
    <row r="90" spans="1:22" x14ac:dyDescent="0.15">
      <c r="A90">
        <v>85</v>
      </c>
      <c r="B90" s="6">
        <f>首页!$B$4+2*A90/1000</f>
        <v>0.29000000000000004</v>
      </c>
      <c r="C90" s="6">
        <f>首页!$B$7+273.15</f>
        <v>388.15</v>
      </c>
      <c r="D90" s="6">
        <f>首页!$B$6+273.15</f>
        <v>293.14999999999998</v>
      </c>
      <c r="E90" s="6">
        <f>首页!$B$5+273.15</f>
        <v>1373.15</v>
      </c>
      <c r="F90" s="6">
        <f t="shared" si="10"/>
        <v>95</v>
      </c>
      <c r="G90" s="6">
        <f t="shared" si="11"/>
        <v>340.65</v>
      </c>
      <c r="H90" s="6">
        <f t="shared" si="12"/>
        <v>1.9926207055139041E-5</v>
      </c>
      <c r="I90" s="7">
        <f t="shared" si="13"/>
        <v>1158916576932337.8</v>
      </c>
      <c r="J90" s="6">
        <f t="shared" si="14"/>
        <v>1.0226038455893147</v>
      </c>
      <c r="K90" s="7">
        <f>J90*H90*首页!$B$12/P90</f>
        <v>0.69532757496605813</v>
      </c>
      <c r="L90" s="6">
        <f>首页!$B$9*0.0000000567*((C90^4-D90^4)/(C90-D90))</f>
        <v>7.7687338005019564</v>
      </c>
      <c r="M90" s="6">
        <f>IF(首页!$B$13="自然对流",IF(首页!$B$14="立式圆筒",首页!$B$10,PI()*B90/2),PI()*B90/2)</f>
        <v>55.2</v>
      </c>
      <c r="N90" s="7">
        <f>IF(首页!$B$13="强制对流",首页!$B$11*M90/H90,0)</f>
        <v>0</v>
      </c>
      <c r="O90" s="7">
        <f>IF(首页!$B$13="自然对流",IF(首页!$B$14="立式圆筒",(0.825+0.3063*I90^(1/6))^2+0.87*(M90/B90),(0.752+0.303*I90^(1/6))^2),0.3+SQRT((0.592*N90^0.5)^2+(0.0262*N90^0.8/(1-0.5/N90^0.1))^2))</f>
        <v>10184.8075029349</v>
      </c>
      <c r="P90" s="6">
        <f t="shared" si="15"/>
        <v>2.9510194925512497E-2</v>
      </c>
      <c r="Q90" s="6">
        <f t="shared" si="16"/>
        <v>5.444848816855635</v>
      </c>
      <c r="R90" s="6">
        <f t="shared" si="17"/>
        <v>13.213582617357591</v>
      </c>
      <c r="S90" s="6">
        <f>IF($Y$2="按单位面积散热损失 qp",B90*LN(B90/首页!$B$4),LN(B90/首页!$B$4))</f>
        <v>0.25589286225755742</v>
      </c>
      <c r="T90" s="6">
        <f>IF($Y$2="按单位面积散热损失 qp",2*PI()*首页!$B$8*((E90-D90)/$Y$3-1/R90),2*PI()*首页!$B$8*((E90-D90)/$Y$4-1/(PI()*B90*R90)))</f>
        <v>4.0901797956349434E-2</v>
      </c>
      <c r="U90" t="str">
        <f t="shared" si="18"/>
        <v>按单位面积散热损失 qp</v>
      </c>
      <c r="V90" s="6">
        <f t="shared" si="19"/>
        <v>0.21499106430120798</v>
      </c>
    </row>
    <row r="91" spans="1:22" x14ac:dyDescent="0.15">
      <c r="A91">
        <v>86</v>
      </c>
      <c r="B91" s="6">
        <f>首页!$B$4+2*A91/1000</f>
        <v>0.29199999999999998</v>
      </c>
      <c r="C91" s="6">
        <f>首页!$B$7+273.15</f>
        <v>388.15</v>
      </c>
      <c r="D91" s="6">
        <f>首页!$B$6+273.15</f>
        <v>293.14999999999998</v>
      </c>
      <c r="E91" s="6">
        <f>首页!$B$5+273.15</f>
        <v>1373.15</v>
      </c>
      <c r="F91" s="6">
        <f t="shared" si="10"/>
        <v>95</v>
      </c>
      <c r="G91" s="6">
        <f t="shared" si="11"/>
        <v>340.65</v>
      </c>
      <c r="H91" s="6">
        <f t="shared" si="12"/>
        <v>1.9926207055139041E-5</v>
      </c>
      <c r="I91" s="7">
        <f t="shared" si="13"/>
        <v>1158916576932337.8</v>
      </c>
      <c r="J91" s="6">
        <f t="shared" si="14"/>
        <v>1.0226038455893147</v>
      </c>
      <c r="K91" s="7">
        <f>J91*H91*首页!$B$12/P91</f>
        <v>0.69532757496605813</v>
      </c>
      <c r="L91" s="6">
        <f>首页!$B$9*0.0000000567*((C91^4-D91^4)/(C91-D91))</f>
        <v>7.7687338005019564</v>
      </c>
      <c r="M91" s="6">
        <f>IF(首页!$B$13="自然对流",IF(首页!$B$14="立式圆筒",首页!$B$10,PI()*B91/2),PI()*B91/2)</f>
        <v>55.2</v>
      </c>
      <c r="N91" s="7">
        <f>IF(首页!$B$13="强制对流",首页!$B$11*M91/H91,0)</f>
        <v>0</v>
      </c>
      <c r="O91" s="7">
        <f>IF(首页!$B$13="自然对流",IF(首页!$B$14="立式圆筒",(0.825+0.3063*I91^(1/6))^2+0.87*(M91/B91),(0.752+0.303*I91^(1/6))^2),0.3+SQRT((0.592*N91^0.5)^2+(0.0262*N91^0.8/(1-0.5/N91^0.1))^2))</f>
        <v>10183.673256359558</v>
      </c>
      <c r="P91" s="6">
        <f t="shared" si="15"/>
        <v>2.9510194925512497E-2</v>
      </c>
      <c r="Q91" s="6">
        <f t="shared" si="16"/>
        <v>5.4442424429873038</v>
      </c>
      <c r="R91" s="6">
        <f t="shared" si="17"/>
        <v>13.21297624348926</v>
      </c>
      <c r="S91" s="6">
        <f>IF($Y$2="按单位面积散热损失 qp",B91*LN(B91/首页!$B$4),LN(B91/首页!$B$4))</f>
        <v>0.25966452136998081</v>
      </c>
      <c r="T91" s="6">
        <f>IF($Y$2="按单位面积散热损失 qp",2*PI()*首页!$B$8*((E91-D91)/$Y$3-1/R91),2*PI()*首页!$B$8*((E91-D91)/$Y$4-1/(PI()*B91*R91)))</f>
        <v>4.0900815956049011E-2</v>
      </c>
      <c r="U91" t="str">
        <f t="shared" si="18"/>
        <v>按单位面积散热损失 qp</v>
      </c>
      <c r="V91" s="6">
        <f t="shared" si="19"/>
        <v>0.21876370541393181</v>
      </c>
    </row>
    <row r="92" spans="1:22" x14ac:dyDescent="0.15">
      <c r="A92">
        <v>87</v>
      </c>
      <c r="B92" s="6">
        <f>首页!$B$4+2*A92/1000</f>
        <v>0.29399999999999998</v>
      </c>
      <c r="C92" s="6">
        <f>首页!$B$7+273.15</f>
        <v>388.15</v>
      </c>
      <c r="D92" s="6">
        <f>首页!$B$6+273.15</f>
        <v>293.14999999999998</v>
      </c>
      <c r="E92" s="6">
        <f>首页!$B$5+273.15</f>
        <v>1373.15</v>
      </c>
      <c r="F92" s="6">
        <f t="shared" si="10"/>
        <v>95</v>
      </c>
      <c r="G92" s="6">
        <f t="shared" si="11"/>
        <v>340.65</v>
      </c>
      <c r="H92" s="6">
        <f t="shared" si="12"/>
        <v>1.9926207055139041E-5</v>
      </c>
      <c r="I92" s="7">
        <f t="shared" si="13"/>
        <v>1158916576932337.8</v>
      </c>
      <c r="J92" s="6">
        <f t="shared" si="14"/>
        <v>1.0226038455893147</v>
      </c>
      <c r="K92" s="7">
        <f>J92*H92*首页!$B$12/P92</f>
        <v>0.69532757496605813</v>
      </c>
      <c r="L92" s="6">
        <f>首页!$B$9*0.0000000567*((C92^4-D92^4)/(C92-D92))</f>
        <v>7.7687338005019564</v>
      </c>
      <c r="M92" s="6">
        <f>IF(首页!$B$13="自然对流",IF(首页!$B$14="立式圆筒",首页!$B$10,PI()*B92/2),PI()*B92/2)</f>
        <v>55.2</v>
      </c>
      <c r="N92" s="7">
        <f>IF(首页!$B$13="强制对流",首页!$B$11*M92/H92,0)</f>
        <v>0</v>
      </c>
      <c r="O92" s="7">
        <f>IF(首页!$B$13="自然对流",IF(首页!$B$14="立式圆筒",(0.825+0.3063*I92^(1/6))^2+0.87*(M92/B92),(0.752+0.303*I92^(1/6))^2),0.3+SQRT((0.592*N92^0.5)^2+(0.0262*N92^0.8/(1-0.5/N92^0.1))^2))</f>
        <v>10182.55444171041</v>
      </c>
      <c r="P92" s="6">
        <f t="shared" si="15"/>
        <v>2.9510194925512497E-2</v>
      </c>
      <c r="Q92" s="6">
        <f t="shared" si="16"/>
        <v>5.4436443191035737</v>
      </c>
      <c r="R92" s="6">
        <f t="shared" si="17"/>
        <v>13.21237811960553</v>
      </c>
      <c r="S92" s="6">
        <f>IF($Y$2="按单位面积散热损失 qp",B92*LN(B92/首页!$B$4),LN(B92/首页!$B$4))</f>
        <v>0.2634498792196508</v>
      </c>
      <c r="T92" s="6">
        <f>IF($Y$2="按单位面积散热损失 qp",2*PI()*首页!$B$8*((E92-D92)/$Y$3-1/R92),2*PI()*首页!$B$8*((E92-D92)/$Y$4-1/(PI()*B92*R92)))</f>
        <v>4.089984722799149E-2</v>
      </c>
      <c r="U92" t="str">
        <f t="shared" si="18"/>
        <v>按单位面积散热损失 qp</v>
      </c>
      <c r="V92" s="6">
        <f t="shared" si="19"/>
        <v>0.22255003199165929</v>
      </c>
    </row>
    <row r="93" spans="1:22" x14ac:dyDescent="0.15">
      <c r="A93">
        <v>88</v>
      </c>
      <c r="B93" s="6">
        <f>首页!$B$4+2*A93/1000</f>
        <v>0.29599999999999999</v>
      </c>
      <c r="C93" s="6">
        <f>首页!$B$7+273.15</f>
        <v>388.15</v>
      </c>
      <c r="D93" s="6">
        <f>首页!$B$6+273.15</f>
        <v>293.14999999999998</v>
      </c>
      <c r="E93" s="6">
        <f>首页!$B$5+273.15</f>
        <v>1373.15</v>
      </c>
      <c r="F93" s="6">
        <f t="shared" si="10"/>
        <v>95</v>
      </c>
      <c r="G93" s="6">
        <f t="shared" si="11"/>
        <v>340.65</v>
      </c>
      <c r="H93" s="6">
        <f t="shared" si="12"/>
        <v>1.9926207055139041E-5</v>
      </c>
      <c r="I93" s="7">
        <f t="shared" si="13"/>
        <v>1158916576932337.8</v>
      </c>
      <c r="J93" s="6">
        <f t="shared" si="14"/>
        <v>1.0226038455893147</v>
      </c>
      <c r="K93" s="7">
        <f>J93*H93*首页!$B$12/P93</f>
        <v>0.69532757496605813</v>
      </c>
      <c r="L93" s="6">
        <f>首页!$B$9*0.0000000567*((C93^4-D93^4)/(C93-D93))</f>
        <v>7.7687338005019564</v>
      </c>
      <c r="M93" s="6">
        <f>IF(首页!$B$13="自然对流",IF(首页!$B$14="立式圆筒",首页!$B$10,PI()*B93/2),PI()*B93/2)</f>
        <v>55.2</v>
      </c>
      <c r="N93" s="7">
        <f>IF(首页!$B$13="强制对流",首页!$B$11*M93/H93,0)</f>
        <v>0</v>
      </c>
      <c r="O93" s="7">
        <f>IF(首页!$B$13="自然对流",IF(首页!$B$14="立式圆筒",(0.825+0.3063*I93^(1/6))^2+0.87*(M93/B93),(0.752+0.303*I93^(1/6))^2),0.3+SQRT((0.592*N93^0.5)^2+(0.0262*N93^0.8/(1-0.5/N93^0.1))^2))</f>
        <v>10181.450746178143</v>
      </c>
      <c r="P93" s="6">
        <f t="shared" si="15"/>
        <v>2.9510194925512497E-2</v>
      </c>
      <c r="Q93" s="6">
        <f t="shared" si="16"/>
        <v>5.4430542779750297</v>
      </c>
      <c r="R93" s="6">
        <f t="shared" si="17"/>
        <v>13.211788078476985</v>
      </c>
      <c r="S93" s="6">
        <f>IF($Y$2="按单位面积散热损失 qp",B93*LN(B93/首页!$B$4),LN(B93/首页!$B$4))</f>
        <v>0.26724884261643622</v>
      </c>
      <c r="T93" s="6">
        <f>IF($Y$2="按单位面积散热损失 qp",2*PI()*首页!$B$8*((E93-D93)/$Y$3-1/R93),2*PI()*首页!$B$8*((E93-D93)/$Y$4-1/(PI()*B93*R93)))</f>
        <v>4.0898891504911127E-2</v>
      </c>
      <c r="U93" t="str">
        <f t="shared" si="18"/>
        <v>按单位面积散热损失 qp</v>
      </c>
      <c r="V93" s="6">
        <f t="shared" si="19"/>
        <v>0.22634995111152509</v>
      </c>
    </row>
    <row r="94" spans="1:22" x14ac:dyDescent="0.15">
      <c r="A94">
        <v>89</v>
      </c>
      <c r="B94" s="6">
        <f>首页!$B$4+2*A94/1000</f>
        <v>0.29799999999999999</v>
      </c>
      <c r="C94" s="6">
        <f>首页!$B$7+273.15</f>
        <v>388.15</v>
      </c>
      <c r="D94" s="6">
        <f>首页!$B$6+273.15</f>
        <v>293.14999999999998</v>
      </c>
      <c r="E94" s="6">
        <f>首页!$B$5+273.15</f>
        <v>1373.15</v>
      </c>
      <c r="F94" s="6">
        <f t="shared" si="10"/>
        <v>95</v>
      </c>
      <c r="G94" s="6">
        <f t="shared" si="11"/>
        <v>340.65</v>
      </c>
      <c r="H94" s="6">
        <f t="shared" si="12"/>
        <v>1.9926207055139041E-5</v>
      </c>
      <c r="I94" s="7">
        <f t="shared" si="13"/>
        <v>1158916576932337.8</v>
      </c>
      <c r="J94" s="6">
        <f t="shared" si="14"/>
        <v>1.0226038455893147</v>
      </c>
      <c r="K94" s="7">
        <f>J94*H94*首页!$B$12/P94</f>
        <v>0.69532757496605813</v>
      </c>
      <c r="L94" s="6">
        <f>首页!$B$9*0.0000000567*((C94^4-D94^4)/(C94-D94))</f>
        <v>7.7687338005019564</v>
      </c>
      <c r="M94" s="6">
        <f>IF(首页!$B$13="自然对流",IF(首页!$B$14="立式圆筒",首页!$B$10,PI()*B94/2),PI()*B94/2)</f>
        <v>55.2</v>
      </c>
      <c r="N94" s="7">
        <f>IF(首页!$B$13="强制对流",首页!$B$11*M94/H94,0)</f>
        <v>0</v>
      </c>
      <c r="O94" s="7">
        <f>IF(首页!$B$13="自然对流",IF(首页!$B$14="立式圆筒",(0.825+0.3063*I94^(1/6))^2+0.87*(M94/B94),(0.752+0.303*I94^(1/6))^2),0.3+SQRT((0.592*N94^0.5)^2+(0.0262*N94^0.8/(1-0.5/N94^0.1))^2))</f>
        <v>10180.361865351008</v>
      </c>
      <c r="P94" s="6">
        <f t="shared" si="15"/>
        <v>2.9510194925512497E-2</v>
      </c>
      <c r="Q94" s="6">
        <f t="shared" si="16"/>
        <v>5.4424721568616343</v>
      </c>
      <c r="R94" s="6">
        <f t="shared" si="17"/>
        <v>13.211205957363591</v>
      </c>
      <c r="S94" s="6">
        <f>IF($Y$2="按单位面积散热损失 qp",B94*LN(B94/首页!$B$4),LN(B94/首页!$B$4))</f>
        <v>0.27106131962956082</v>
      </c>
      <c r="T94" s="6">
        <f>IF($Y$2="按单位面积散热损失 qp",2*PI()*首页!$B$8*((E94-D94)/$Y$3-1/R94),2*PI()*首页!$B$8*((E94-D94)/$Y$4-1/(PI()*B94*R94)))</f>
        <v>4.0897948526670308E-2</v>
      </c>
      <c r="U94" t="str">
        <f t="shared" si="18"/>
        <v>按单位面积散热损失 qp</v>
      </c>
      <c r="V94" s="6">
        <f t="shared" si="19"/>
        <v>0.23016337110289051</v>
      </c>
    </row>
    <row r="95" spans="1:22" x14ac:dyDescent="0.15">
      <c r="A95">
        <v>90</v>
      </c>
      <c r="B95" s="6">
        <f>首页!$B$4+2*A95/1000</f>
        <v>0.3</v>
      </c>
      <c r="C95" s="6">
        <f>首页!$B$7+273.15</f>
        <v>388.15</v>
      </c>
      <c r="D95" s="6">
        <f>首页!$B$6+273.15</f>
        <v>293.14999999999998</v>
      </c>
      <c r="E95" s="6">
        <f>首页!$B$5+273.15</f>
        <v>1373.15</v>
      </c>
      <c r="F95" s="6">
        <f t="shared" si="10"/>
        <v>95</v>
      </c>
      <c r="G95" s="6">
        <f t="shared" si="11"/>
        <v>340.65</v>
      </c>
      <c r="H95" s="6">
        <f t="shared" si="12"/>
        <v>1.9926207055139041E-5</v>
      </c>
      <c r="I95" s="7">
        <f t="shared" si="13"/>
        <v>1158916576932337.8</v>
      </c>
      <c r="J95" s="6">
        <f t="shared" si="14"/>
        <v>1.0226038455893147</v>
      </c>
      <c r="K95" s="7">
        <f>J95*H95*首页!$B$12/P95</f>
        <v>0.69532757496605813</v>
      </c>
      <c r="L95" s="6">
        <f>首页!$B$9*0.0000000567*((C95^4-D95^4)/(C95-D95))</f>
        <v>7.7687338005019564</v>
      </c>
      <c r="M95" s="6">
        <f>IF(首页!$B$13="自然对流",IF(首页!$B$14="立式圆筒",首页!$B$10,PI()*B95/2),PI()*B95/2)</f>
        <v>55.2</v>
      </c>
      <c r="N95" s="7">
        <f>IF(首页!$B$13="强制对流",首页!$B$11*M95/H95,0)</f>
        <v>0</v>
      </c>
      <c r="O95" s="7">
        <f>IF(首页!$B$13="自然对流",IF(首页!$B$14="立式圆筒",(0.825+0.3063*I95^(1/6))^2+0.87*(M95/B95),(0.752+0.303*I95^(1/6))^2),0.3+SQRT((0.592*N95^0.5)^2+(0.0262*N95^0.8/(1-0.5/N95^0.1))^2))</f>
        <v>10179.2875029349</v>
      </c>
      <c r="P95" s="6">
        <f t="shared" si="15"/>
        <v>2.9510194925512497E-2</v>
      </c>
      <c r="Q95" s="6">
        <f t="shared" si="16"/>
        <v>5.441897797363084</v>
      </c>
      <c r="R95" s="6">
        <f t="shared" si="17"/>
        <v>13.21063159786504</v>
      </c>
      <c r="S95" s="6">
        <f>IF($Y$2="按单位面积散热损失 qp",B95*LN(B95/首页!$B$4),LN(B95/首页!$B$4))</f>
        <v>0.27488721956224654</v>
      </c>
      <c r="T95" s="6">
        <f>IF($Y$2="按单位面积散热损失 qp",2*PI()*首页!$B$8*((E95-D95)/$Y$3-1/R95),2*PI()*首页!$B$8*((E95-D95)/$Y$4-1/(PI()*B95*R95)))</f>
        <v>4.0897018040023485E-2</v>
      </c>
      <c r="U95" t="str">
        <f t="shared" si="18"/>
        <v>按单位面积散热损失 qp</v>
      </c>
      <c r="V95" s="6">
        <f t="shared" si="19"/>
        <v>0.23399020152222305</v>
      </c>
    </row>
    <row r="96" spans="1:22" x14ac:dyDescent="0.15">
      <c r="A96">
        <v>91</v>
      </c>
      <c r="B96" s="6">
        <f>首页!$B$4+2*A96/1000</f>
        <v>0.30199999999999999</v>
      </c>
      <c r="C96" s="6">
        <f>首页!$B$7+273.15</f>
        <v>388.15</v>
      </c>
      <c r="D96" s="6">
        <f>首页!$B$6+273.15</f>
        <v>293.14999999999998</v>
      </c>
      <c r="E96" s="6">
        <f>首页!$B$5+273.15</f>
        <v>1373.15</v>
      </c>
      <c r="F96" s="6">
        <f t="shared" si="10"/>
        <v>95</v>
      </c>
      <c r="G96" s="6">
        <f t="shared" si="11"/>
        <v>340.65</v>
      </c>
      <c r="H96" s="6">
        <f t="shared" si="12"/>
        <v>1.9926207055139041E-5</v>
      </c>
      <c r="I96" s="7">
        <f t="shared" si="13"/>
        <v>1158916576932337.8</v>
      </c>
      <c r="J96" s="6">
        <f t="shared" si="14"/>
        <v>1.0226038455893147</v>
      </c>
      <c r="K96" s="7">
        <f>J96*H96*首页!$B$12/P96</f>
        <v>0.69532757496605813</v>
      </c>
      <c r="L96" s="6">
        <f>首页!$B$9*0.0000000567*((C96^4-D96^4)/(C96-D96))</f>
        <v>7.7687338005019564</v>
      </c>
      <c r="M96" s="6">
        <f>IF(首页!$B$13="自然对流",IF(首页!$B$14="立式圆筒",首页!$B$10,PI()*B96/2),PI()*B96/2)</f>
        <v>55.2</v>
      </c>
      <c r="N96" s="7">
        <f>IF(首页!$B$13="强制对流",首页!$B$11*M96/H96,0)</f>
        <v>0</v>
      </c>
      <c r="O96" s="7">
        <f>IF(首页!$B$13="自然对流",IF(首页!$B$14="立式圆筒",(0.825+0.3063*I96^(1/6))^2+0.87*(M96/B96),(0.752+0.303*I96^(1/6))^2),0.3+SQRT((0.592*N96^0.5)^2+(0.0262*N96^0.8/(1-0.5/N96^0.1))^2))</f>
        <v>10178.227370484568</v>
      </c>
      <c r="P96" s="6">
        <f t="shared" si="15"/>
        <v>2.9510194925512497E-2</v>
      </c>
      <c r="Q96" s="6">
        <f t="shared" si="16"/>
        <v>5.4413310452751098</v>
      </c>
      <c r="R96" s="6">
        <f t="shared" si="17"/>
        <v>13.210064845777065</v>
      </c>
      <c r="S96" s="6">
        <f>IF($Y$2="按单位面积散热损失 qp",B96*LN(B96/首页!$B$4),LN(B96/首页!$B$4))</f>
        <v>0.27872645292703274</v>
      </c>
      <c r="T96" s="6">
        <f>IF($Y$2="按单位面积散热损失 qp",2*PI()*首页!$B$8*((E96-D96)/$Y$3-1/R96),2*PI()*首页!$B$8*((E96-D96)/$Y$4-1/(PI()*B96*R96)))</f>
        <v>4.0896099798390428E-2</v>
      </c>
      <c r="U96" t="str">
        <f t="shared" si="18"/>
        <v>按单位面积散热损失 qp</v>
      </c>
      <c r="V96" s="6">
        <f t="shared" si="19"/>
        <v>0.23783035312864231</v>
      </c>
    </row>
    <row r="97" spans="1:22" x14ac:dyDescent="0.15">
      <c r="A97">
        <v>92</v>
      </c>
      <c r="B97" s="6">
        <f>首页!$B$4+2*A97/1000</f>
        <v>0.30399999999999999</v>
      </c>
      <c r="C97" s="6">
        <f>首页!$B$7+273.15</f>
        <v>388.15</v>
      </c>
      <c r="D97" s="6">
        <f>首页!$B$6+273.15</f>
        <v>293.14999999999998</v>
      </c>
      <c r="E97" s="6">
        <f>首页!$B$5+273.15</f>
        <v>1373.15</v>
      </c>
      <c r="F97" s="6">
        <f t="shared" si="10"/>
        <v>95</v>
      </c>
      <c r="G97" s="6">
        <f t="shared" si="11"/>
        <v>340.65</v>
      </c>
      <c r="H97" s="6">
        <f t="shared" si="12"/>
        <v>1.9926207055139041E-5</v>
      </c>
      <c r="I97" s="7">
        <f t="shared" si="13"/>
        <v>1158916576932337.8</v>
      </c>
      <c r="J97" s="6">
        <f t="shared" si="14"/>
        <v>1.0226038455893147</v>
      </c>
      <c r="K97" s="7">
        <f>J97*H97*首页!$B$12/P97</f>
        <v>0.69532757496605813</v>
      </c>
      <c r="L97" s="6">
        <f>首页!$B$9*0.0000000567*((C97^4-D97^4)/(C97-D97))</f>
        <v>7.7687338005019564</v>
      </c>
      <c r="M97" s="6">
        <f>IF(首页!$B$13="自然对流",IF(首页!$B$14="立式圆筒",首页!$B$10,PI()*B97/2),PI()*B97/2)</f>
        <v>55.2</v>
      </c>
      <c r="N97" s="7">
        <f>IF(首页!$B$13="强制对流",首页!$B$11*M97/H97,0)</f>
        <v>0</v>
      </c>
      <c r="O97" s="7">
        <f>IF(首页!$B$13="自然对流",IF(首页!$B$14="立式圆筒",(0.825+0.3063*I97^(1/6))^2+0.87*(M97/B97),(0.752+0.303*I97^(1/6))^2),0.3+SQRT((0.592*N97^0.5)^2+(0.0262*N97^0.8/(1-0.5/N97^0.1))^2))</f>
        <v>10177.181187145427</v>
      </c>
      <c r="P97" s="6">
        <f t="shared" si="15"/>
        <v>2.9510194925512497E-2</v>
      </c>
      <c r="Q97" s="6">
        <f t="shared" si="16"/>
        <v>5.4407717504514537</v>
      </c>
      <c r="R97" s="6">
        <f t="shared" si="17"/>
        <v>13.209505550953409</v>
      </c>
      <c r="S97" s="6">
        <f>IF($Y$2="按单位面积散热损失 qp",B97*LN(B97/首页!$B$4),LN(B97/首页!$B$4))</f>
        <v>0.28257893142174939</v>
      </c>
      <c r="T97" s="6">
        <f>IF($Y$2="按单位面积散热损失 qp",2*PI()*首页!$B$8*((E97-D97)/$Y$3-1/R97),2*PI()*首页!$B$8*((E97-D97)/$Y$4-1/(PI()*B97*R97)))</f>
        <v>4.0895193561638371E-2</v>
      </c>
      <c r="U97" t="str">
        <f t="shared" si="18"/>
        <v>按单位面积散热损失 qp</v>
      </c>
      <c r="V97" s="6">
        <f t="shared" si="19"/>
        <v>0.24168373786011102</v>
      </c>
    </row>
    <row r="98" spans="1:22" x14ac:dyDescent="0.15">
      <c r="A98">
        <v>93</v>
      </c>
      <c r="B98" s="6">
        <f>首页!$B$4+2*A98/1000</f>
        <v>0.30599999999999999</v>
      </c>
      <c r="C98" s="6">
        <f>首页!$B$7+273.15</f>
        <v>388.15</v>
      </c>
      <c r="D98" s="6">
        <f>首页!$B$6+273.15</f>
        <v>293.14999999999998</v>
      </c>
      <c r="E98" s="6">
        <f>首页!$B$5+273.15</f>
        <v>1373.15</v>
      </c>
      <c r="F98" s="6">
        <f t="shared" si="10"/>
        <v>95</v>
      </c>
      <c r="G98" s="6">
        <f t="shared" si="11"/>
        <v>340.65</v>
      </c>
      <c r="H98" s="6">
        <f t="shared" si="12"/>
        <v>1.9926207055139041E-5</v>
      </c>
      <c r="I98" s="7">
        <f t="shared" si="13"/>
        <v>1158916576932337.8</v>
      </c>
      <c r="J98" s="6">
        <f t="shared" si="14"/>
        <v>1.0226038455893147</v>
      </c>
      <c r="K98" s="7">
        <f>J98*H98*首页!$B$12/P98</f>
        <v>0.69532757496605813</v>
      </c>
      <c r="L98" s="6">
        <f>首页!$B$9*0.0000000567*((C98^4-D98^4)/(C98-D98))</f>
        <v>7.7687338005019564</v>
      </c>
      <c r="M98" s="6">
        <f>IF(首页!$B$13="自然对流",IF(首页!$B$14="立式圆筒",首页!$B$10,PI()*B98/2),PI()*B98/2)</f>
        <v>55.2</v>
      </c>
      <c r="N98" s="7">
        <f>IF(首页!$B$13="强制对流",首页!$B$11*M98/H98,0)</f>
        <v>0</v>
      </c>
      <c r="O98" s="7">
        <f>IF(首页!$B$13="自然对流",IF(首页!$B$14="立式圆筒",(0.825+0.3063*I98^(1/6))^2+0.87*(M98/B98),(0.752+0.303*I98^(1/6))^2),0.3+SQRT((0.592*N98^0.5)^2+(0.0262*N98^0.8/(1-0.5/N98^0.1))^2))</f>
        <v>10176.148679405487</v>
      </c>
      <c r="P98" s="6">
        <f t="shared" si="15"/>
        <v>2.9510194925512497E-2</v>
      </c>
      <c r="Q98" s="6">
        <f t="shared" si="16"/>
        <v>5.4402197666712411</v>
      </c>
      <c r="R98" s="6">
        <f t="shared" si="17"/>
        <v>13.208953567173197</v>
      </c>
      <c r="S98" s="6">
        <f>IF($Y$2="按单位面积散热损失 qp",B98*LN(B98/首页!$B$4),LN(B98/首页!$B$4))</f>
        <v>0.28644456790612244</v>
      </c>
      <c r="T98" s="6">
        <f>IF($Y$2="按单位面积散热损失 qp",2*PI()*首页!$B$8*((E98-D98)/$Y$3-1/R98),2*PI()*首页!$B$8*((E98-D98)/$Y$4-1/(PI()*B98*R98)))</f>
        <v>4.0894299095872666E-2</v>
      </c>
      <c r="U98" t="str">
        <f t="shared" si="18"/>
        <v>按单位面积散热损失 qp</v>
      </c>
      <c r="V98" s="6">
        <f t="shared" si="19"/>
        <v>0.24555026881024977</v>
      </c>
    </row>
    <row r="99" spans="1:22" x14ac:dyDescent="0.15">
      <c r="A99">
        <v>94</v>
      </c>
      <c r="B99" s="6">
        <f>首页!$B$4+2*A99/1000</f>
        <v>0.308</v>
      </c>
      <c r="C99" s="6">
        <f>首页!$B$7+273.15</f>
        <v>388.15</v>
      </c>
      <c r="D99" s="6">
        <f>首页!$B$6+273.15</f>
        <v>293.14999999999998</v>
      </c>
      <c r="E99" s="6">
        <f>首页!$B$5+273.15</f>
        <v>1373.15</v>
      </c>
      <c r="F99" s="6">
        <f t="shared" si="10"/>
        <v>95</v>
      </c>
      <c r="G99" s="6">
        <f t="shared" si="11"/>
        <v>340.65</v>
      </c>
      <c r="H99" s="6">
        <f t="shared" si="12"/>
        <v>1.9926207055139041E-5</v>
      </c>
      <c r="I99" s="7">
        <f t="shared" si="13"/>
        <v>1158916576932337.8</v>
      </c>
      <c r="J99" s="6">
        <f t="shared" si="14"/>
        <v>1.0226038455893147</v>
      </c>
      <c r="K99" s="7">
        <f>J99*H99*首页!$B$12/P99</f>
        <v>0.69532757496605813</v>
      </c>
      <c r="L99" s="6">
        <f>首页!$B$9*0.0000000567*((C99^4-D99^4)/(C99-D99))</f>
        <v>7.7687338005019564</v>
      </c>
      <c r="M99" s="6">
        <f>IF(首页!$B$13="自然对流",IF(首页!$B$14="立式圆筒",首页!$B$10,PI()*B99/2),PI()*B99/2)</f>
        <v>55.2</v>
      </c>
      <c r="N99" s="7">
        <f>IF(首页!$B$13="强制对流",首页!$B$11*M99/H99,0)</f>
        <v>0</v>
      </c>
      <c r="O99" s="7">
        <f>IF(首页!$B$13="自然对流",IF(首页!$B$14="立式圆筒",(0.825+0.3063*I99^(1/6))^2+0.87*(M99/B99),(0.752+0.303*I99^(1/6))^2),0.3+SQRT((0.592*N99^0.5)^2+(0.0262*N99^0.8/(1-0.5/N99^0.1))^2))</f>
        <v>10175.129580856978</v>
      </c>
      <c r="P99" s="6">
        <f t="shared" si="15"/>
        <v>2.9510194925512497E-2</v>
      </c>
      <c r="Q99" s="6">
        <f t="shared" si="16"/>
        <v>5.4396749515115523</v>
      </c>
      <c r="R99" s="6">
        <f t="shared" si="17"/>
        <v>13.208408752013508</v>
      </c>
      <c r="S99" s="6">
        <f>IF($Y$2="按单位面积散热损失 qp",B99*LN(B99/首页!$B$4),LN(B99/首页!$B$4))</f>
        <v>0.2903232763789908</v>
      </c>
      <c r="T99" s="6">
        <f>IF($Y$2="按单位面积散热损失 qp",2*PI()*首页!$B$8*((E99-D99)/$Y$3-1/R99),2*PI()*首页!$B$8*((E99-D99)/$Y$4-1/(PI()*B99*R99)))</f>
        <v>4.0893416173235497E-2</v>
      </c>
      <c r="U99" t="str">
        <f t="shared" si="18"/>
        <v>按单位面积散热损失 qp</v>
      </c>
      <c r="V99" s="6">
        <f t="shared" si="19"/>
        <v>0.2494298602057553</v>
      </c>
    </row>
    <row r="100" spans="1:22" x14ac:dyDescent="0.15">
      <c r="A100">
        <v>95</v>
      </c>
      <c r="B100" s="6">
        <f>首页!$B$4+2*A100/1000</f>
        <v>0.31</v>
      </c>
      <c r="C100" s="6">
        <f>首页!$B$7+273.15</f>
        <v>388.15</v>
      </c>
      <c r="D100" s="6">
        <f>首页!$B$6+273.15</f>
        <v>293.14999999999998</v>
      </c>
      <c r="E100" s="6">
        <f>首页!$B$5+273.15</f>
        <v>1373.15</v>
      </c>
      <c r="F100" s="6">
        <f t="shared" si="10"/>
        <v>95</v>
      </c>
      <c r="G100" s="6">
        <f t="shared" si="11"/>
        <v>340.65</v>
      </c>
      <c r="H100" s="6">
        <f t="shared" si="12"/>
        <v>1.9926207055139041E-5</v>
      </c>
      <c r="I100" s="7">
        <f t="shared" si="13"/>
        <v>1158916576932337.8</v>
      </c>
      <c r="J100" s="6">
        <f t="shared" si="14"/>
        <v>1.0226038455893147</v>
      </c>
      <c r="K100" s="7">
        <f>J100*H100*首页!$B$12/P100</f>
        <v>0.69532757496605813</v>
      </c>
      <c r="L100" s="6">
        <f>首页!$B$9*0.0000000567*((C100^4-D100^4)/(C100-D100))</f>
        <v>7.7687338005019564</v>
      </c>
      <c r="M100" s="6">
        <f>IF(首页!$B$13="自然对流",IF(首页!$B$14="立式圆筒",首页!$B$10,PI()*B100/2),PI()*B100/2)</f>
        <v>55.2</v>
      </c>
      <c r="N100" s="7">
        <f>IF(首页!$B$13="强制对流",首页!$B$11*M100/H100,0)</f>
        <v>0</v>
      </c>
      <c r="O100" s="7">
        <f>IF(首页!$B$13="自然对流",IF(首页!$B$14="立式圆筒",(0.825+0.3063*I100^(1/6))^2+0.87*(M100/B100),(0.752+0.303*I100^(1/6))^2),0.3+SQRT((0.592*N100^0.5)^2+(0.0262*N100^0.8/(1-0.5/N100^0.1))^2))</f>
        <v>10174.123631967157</v>
      </c>
      <c r="P100" s="6">
        <f t="shared" si="15"/>
        <v>2.9510194925512497E-2</v>
      </c>
      <c r="Q100" s="6">
        <f t="shared" si="16"/>
        <v>5.4391371662248904</v>
      </c>
      <c r="R100" s="6">
        <f t="shared" si="17"/>
        <v>13.207870966726848</v>
      </c>
      <c r="S100" s="6">
        <f>IF($Y$2="按单位面积散热损失 qp",B100*LN(B100/首页!$B$4),LN(B100/首页!$B$4))</f>
        <v>0.29421497195611529</v>
      </c>
      <c r="T100" s="6">
        <f>IF($Y$2="按单位面积散热损失 qp",2*PI()*首页!$B$8*((E100-D100)/$Y$3-1/R100),2*PI()*首页!$B$8*((E100-D100)/$Y$4-1/(PI()*B100*R100)))</f>
        <v>4.0892544571712375E-2</v>
      </c>
      <c r="U100" t="str">
        <f t="shared" si="18"/>
        <v>按单位面积散热损失 qp</v>
      </c>
      <c r="V100" s="6">
        <f t="shared" si="19"/>
        <v>0.25332242738440292</v>
      </c>
    </row>
    <row r="101" spans="1:22" x14ac:dyDescent="0.15">
      <c r="A101">
        <v>96</v>
      </c>
      <c r="B101" s="6">
        <f>首页!$B$4+2*A101/1000</f>
        <v>0.312</v>
      </c>
      <c r="C101" s="6">
        <f>首页!$B$7+273.15</f>
        <v>388.15</v>
      </c>
      <c r="D101" s="6">
        <f>首页!$B$6+273.15</f>
        <v>293.14999999999998</v>
      </c>
      <c r="E101" s="6">
        <f>首页!$B$5+273.15</f>
        <v>1373.15</v>
      </c>
      <c r="F101" s="6">
        <f t="shared" si="10"/>
        <v>95</v>
      </c>
      <c r="G101" s="6">
        <f t="shared" si="11"/>
        <v>340.65</v>
      </c>
      <c r="H101" s="6">
        <f t="shared" si="12"/>
        <v>1.9926207055139041E-5</v>
      </c>
      <c r="I101" s="7">
        <f t="shared" si="13"/>
        <v>1158916576932337.8</v>
      </c>
      <c r="J101" s="6">
        <f t="shared" si="14"/>
        <v>1.0226038455893147</v>
      </c>
      <c r="K101" s="7">
        <f>J101*H101*首页!$B$12/P101</f>
        <v>0.69532757496605813</v>
      </c>
      <c r="L101" s="6">
        <f>首页!$B$9*0.0000000567*((C101^4-D101^4)/(C101-D101))</f>
        <v>7.7687338005019564</v>
      </c>
      <c r="M101" s="6">
        <f>IF(首页!$B$13="自然对流",IF(首页!$B$14="立式圆筒",首页!$B$10,PI()*B101/2),PI()*B101/2)</f>
        <v>55.2</v>
      </c>
      <c r="N101" s="7">
        <f>IF(首页!$B$13="强制对流",首页!$B$11*M101/H101,0)</f>
        <v>0</v>
      </c>
      <c r="O101" s="7">
        <f>IF(首页!$B$13="自然对流",IF(首页!$B$14="立式圆筒",(0.825+0.3063*I101^(1/6))^2+0.87*(M101/B101),(0.752+0.303*I101^(1/6))^2),0.3+SQRT((0.592*N101^0.5)^2+(0.0262*N101^0.8/(1-0.5/N101^0.1))^2))</f>
        <v>10173.130579857976</v>
      </c>
      <c r="P101" s="6">
        <f t="shared" si="15"/>
        <v>2.9510194925512497E-2</v>
      </c>
      <c r="Q101" s="6">
        <f t="shared" si="16"/>
        <v>5.4386062756213915</v>
      </c>
      <c r="R101" s="6">
        <f t="shared" si="17"/>
        <v>13.207340076123348</v>
      </c>
      <c r="S101" s="6">
        <f>IF($Y$2="按单位面积散热损失 qp",B101*LN(B101/首页!$B$4),LN(B101/首页!$B$4))</f>
        <v>0.29811957084856017</v>
      </c>
      <c r="T101" s="6">
        <f>IF($Y$2="按单位面积散热损失 qp",2*PI()*首页!$B$8*((E101-D101)/$Y$3-1/R101),2*PI()*首页!$B$8*((E101-D101)/$Y$4-1/(PI()*B101*R101)))</f>
        <v>4.0891684074946033E-2</v>
      </c>
      <c r="U101" t="str">
        <f t="shared" si="18"/>
        <v>按单位面积散热损失 qp</v>
      </c>
      <c r="V101" s="6">
        <f t="shared" si="19"/>
        <v>0.25722788677361413</v>
      </c>
    </row>
    <row r="102" spans="1:22" x14ac:dyDescent="0.15">
      <c r="A102">
        <v>97</v>
      </c>
      <c r="B102" s="6">
        <f>首页!$B$4+2*A102/1000</f>
        <v>0.314</v>
      </c>
      <c r="C102" s="6">
        <f>首页!$B$7+273.15</f>
        <v>388.15</v>
      </c>
      <c r="D102" s="6">
        <f>首页!$B$6+273.15</f>
        <v>293.14999999999998</v>
      </c>
      <c r="E102" s="6">
        <f>首页!$B$5+273.15</f>
        <v>1373.15</v>
      </c>
      <c r="F102" s="6">
        <f t="shared" si="10"/>
        <v>95</v>
      </c>
      <c r="G102" s="6">
        <f t="shared" si="11"/>
        <v>340.65</v>
      </c>
      <c r="H102" s="6">
        <f t="shared" si="12"/>
        <v>1.9926207055139041E-5</v>
      </c>
      <c r="I102" s="7">
        <f t="shared" si="13"/>
        <v>1158916576932337.8</v>
      </c>
      <c r="J102" s="6">
        <f t="shared" si="14"/>
        <v>1.0226038455893147</v>
      </c>
      <c r="K102" s="7">
        <f>J102*H102*首页!$B$12/P102</f>
        <v>0.69532757496605813</v>
      </c>
      <c r="L102" s="6">
        <f>首页!$B$9*0.0000000567*((C102^4-D102^4)/(C102-D102))</f>
        <v>7.7687338005019564</v>
      </c>
      <c r="M102" s="6">
        <f>IF(首页!$B$13="自然对流",IF(首页!$B$14="立式圆筒",首页!$B$10,PI()*B102/2),PI()*B102/2)</f>
        <v>55.2</v>
      </c>
      <c r="N102" s="7">
        <f>IF(首页!$B$13="强制对流",首页!$B$11*M102/H102,0)</f>
        <v>0</v>
      </c>
      <c r="O102" s="7">
        <f>IF(首页!$B$13="自然对流",IF(首页!$B$14="立式圆筒",(0.825+0.3063*I102^(1/6))^2+0.87*(M102/B102),(0.752+0.303*I102^(1/6))^2),0.3+SQRT((0.592*N102^0.5)^2+(0.0262*N102^0.8/(1-0.5/N102^0.1))^2))</f>
        <v>10172.150178094136</v>
      </c>
      <c r="P102" s="6">
        <f t="shared" si="15"/>
        <v>2.9510194925512497E-2</v>
      </c>
      <c r="Q102" s="6">
        <f t="shared" si="16"/>
        <v>5.4380821479555177</v>
      </c>
      <c r="R102" s="6">
        <f t="shared" si="17"/>
        <v>13.206815948457475</v>
      </c>
      <c r="S102" s="6">
        <f>IF($Y$2="按单位面积散热损失 qp",B102*LN(B102/首页!$B$4),LN(B102/首页!$B$4))</f>
        <v>0.30203699034162912</v>
      </c>
      <c r="T102" s="6">
        <f>IF($Y$2="按单位面积散热损失 qp",2*PI()*首页!$B$8*((E102-D102)/$Y$3-1/R102),2*PI()*首页!$B$8*((E102-D102)/$Y$4-1/(PI()*B102*R102)))</f>
        <v>4.0890834472057366E-2</v>
      </c>
      <c r="U102" t="str">
        <f t="shared" si="18"/>
        <v>按单位面积散热损失 qp</v>
      </c>
      <c r="V102" s="6">
        <f t="shared" si="19"/>
        <v>0.26114615586957174</v>
      </c>
    </row>
    <row r="103" spans="1:22" x14ac:dyDescent="0.15">
      <c r="A103">
        <v>98</v>
      </c>
      <c r="B103" s="6">
        <f>首页!$B$4+2*A103/1000</f>
        <v>0.316</v>
      </c>
      <c r="C103" s="6">
        <f>首页!$B$7+273.15</f>
        <v>388.15</v>
      </c>
      <c r="D103" s="6">
        <f>首页!$B$6+273.15</f>
        <v>293.14999999999998</v>
      </c>
      <c r="E103" s="6">
        <f>首页!$B$5+273.15</f>
        <v>1373.15</v>
      </c>
      <c r="F103" s="6">
        <f t="shared" si="10"/>
        <v>95</v>
      </c>
      <c r="G103" s="6">
        <f t="shared" si="11"/>
        <v>340.65</v>
      </c>
      <c r="H103" s="6">
        <f t="shared" si="12"/>
        <v>1.9926207055139041E-5</v>
      </c>
      <c r="I103" s="7">
        <f t="shared" si="13"/>
        <v>1158916576932337.8</v>
      </c>
      <c r="J103" s="6">
        <f t="shared" si="14"/>
        <v>1.0226038455893147</v>
      </c>
      <c r="K103" s="7">
        <f>J103*H103*首页!$B$12/P103</f>
        <v>0.69532757496605813</v>
      </c>
      <c r="L103" s="6">
        <f>首页!$B$9*0.0000000567*((C103^4-D103^4)/(C103-D103))</f>
        <v>7.7687338005019564</v>
      </c>
      <c r="M103" s="6">
        <f>IF(首页!$B$13="自然对流",IF(首页!$B$14="立式圆筒",首页!$B$10,PI()*B103/2),PI()*B103/2)</f>
        <v>55.2</v>
      </c>
      <c r="N103" s="7">
        <f>IF(首页!$B$13="强制对流",首页!$B$11*M103/H103,0)</f>
        <v>0</v>
      </c>
      <c r="O103" s="7">
        <f>IF(首页!$B$13="自然对流",IF(首页!$B$14="立式圆筒",(0.825+0.3063*I103^(1/6))^2+0.87*(M103/B103),(0.752+0.303*I103^(1/6))^2),0.3+SQRT((0.592*N103^0.5)^2+(0.0262*N103^0.8/(1-0.5/N103^0.1))^2))</f>
        <v>10171.182186479204</v>
      </c>
      <c r="P103" s="6">
        <f t="shared" si="15"/>
        <v>2.9510194925512497E-2</v>
      </c>
      <c r="Q103" s="6">
        <f t="shared" si="16"/>
        <v>5.4375646548170593</v>
      </c>
      <c r="R103" s="6">
        <f t="shared" si="17"/>
        <v>13.206298455319015</v>
      </c>
      <c r="S103" s="6">
        <f>IF($Y$2="按单位面积散热损失 qp",B103*LN(B103/首页!$B$4),LN(B103/首页!$B$4))</f>
        <v>0.30596714877433773</v>
      </c>
      <c r="T103" s="6">
        <f>IF($Y$2="按单位面积散热损失 qp",2*PI()*首页!$B$8*((E103-D103)/$Y$3-1/R103),2*PI()*首页!$B$8*((E103-D103)/$Y$4-1/(PI()*B103*R103)))</f>
        <v>4.0889995557473122E-2</v>
      </c>
      <c r="U103" t="str">
        <f t="shared" si="18"/>
        <v>按单位面积散热损失 qp</v>
      </c>
      <c r="V103" s="6">
        <f t="shared" si="19"/>
        <v>0.26507715321686459</v>
      </c>
    </row>
    <row r="104" spans="1:22" x14ac:dyDescent="0.15">
      <c r="A104">
        <v>99</v>
      </c>
      <c r="B104" s="6">
        <f>首页!$B$4+2*A104/1000</f>
        <v>0.318</v>
      </c>
      <c r="C104" s="6">
        <f>首页!$B$7+273.15</f>
        <v>388.15</v>
      </c>
      <c r="D104" s="6">
        <f>首页!$B$6+273.15</f>
        <v>293.14999999999998</v>
      </c>
      <c r="E104" s="6">
        <f>首页!$B$5+273.15</f>
        <v>1373.15</v>
      </c>
      <c r="F104" s="6">
        <f t="shared" si="10"/>
        <v>95</v>
      </c>
      <c r="G104" s="6">
        <f t="shared" si="11"/>
        <v>340.65</v>
      </c>
      <c r="H104" s="6">
        <f t="shared" si="12"/>
        <v>1.9926207055139041E-5</v>
      </c>
      <c r="I104" s="7">
        <f t="shared" si="13"/>
        <v>1158916576932337.8</v>
      </c>
      <c r="J104" s="6">
        <f t="shared" si="14"/>
        <v>1.0226038455893147</v>
      </c>
      <c r="K104" s="7">
        <f>J104*H104*首页!$B$12/P104</f>
        <v>0.69532757496605813</v>
      </c>
      <c r="L104" s="6">
        <f>首页!$B$9*0.0000000567*((C104^4-D104^4)/(C104-D104))</f>
        <v>7.7687338005019564</v>
      </c>
      <c r="M104" s="6">
        <f>IF(首页!$B$13="自然对流",IF(首页!$B$14="立式圆筒",首页!$B$10,PI()*B104/2),PI()*B104/2)</f>
        <v>55.2</v>
      </c>
      <c r="N104" s="7">
        <f>IF(首页!$B$13="强制对流",首页!$B$11*M104/H104,0)</f>
        <v>0</v>
      </c>
      <c r="O104" s="7">
        <f>IF(首页!$B$13="自然对流",IF(首页!$B$14="立式圆筒",(0.825+0.3063*I104^(1/6))^2+0.87*(M104/B104),(0.752+0.303*I104^(1/6))^2),0.3+SQRT((0.592*N104^0.5)^2+(0.0262*N104^0.8/(1-0.5/N104^0.1))^2))</f>
        <v>10170.226370859427</v>
      </c>
      <c r="P104" s="6">
        <f t="shared" si="15"/>
        <v>2.9510194925512497E-2</v>
      </c>
      <c r="Q104" s="6">
        <f t="shared" si="16"/>
        <v>5.4370536710262547</v>
      </c>
      <c r="R104" s="6">
        <f t="shared" si="17"/>
        <v>13.205787471528211</v>
      </c>
      <c r="S104" s="6">
        <f>IF($Y$2="按单位面积散热损失 qp",B104*LN(B104/首页!$B$4),LN(B104/首页!$B$4))</f>
        <v>0.30990996551940564</v>
      </c>
      <c r="T104" s="6">
        <f>IF($Y$2="按单位面积散热损失 qp",2*PI()*首页!$B$8*((E104-D104)/$Y$3-1/R104),2*PI()*首页!$B$8*((E104-D104)/$Y$4-1/(PI()*B104*R104)))</f>
        <v>4.0889167130760094E-2</v>
      </c>
      <c r="U104" t="str">
        <f t="shared" si="18"/>
        <v>按单位面积散热损失 qp</v>
      </c>
      <c r="V104" s="6">
        <f t="shared" si="19"/>
        <v>0.26902079838864557</v>
      </c>
    </row>
    <row r="105" spans="1:22" x14ac:dyDescent="0.15">
      <c r="A105">
        <v>100</v>
      </c>
      <c r="B105" s="6">
        <f>首页!$B$4+2*A105/1000</f>
        <v>0.32</v>
      </c>
      <c r="C105" s="6">
        <f>首页!$B$7+273.15</f>
        <v>388.15</v>
      </c>
      <c r="D105" s="6">
        <f>首页!$B$6+273.15</f>
        <v>293.14999999999998</v>
      </c>
      <c r="E105" s="6">
        <f>首页!$B$5+273.15</f>
        <v>1373.15</v>
      </c>
      <c r="F105" s="6">
        <f t="shared" si="10"/>
        <v>95</v>
      </c>
      <c r="G105" s="6">
        <f t="shared" si="11"/>
        <v>340.65</v>
      </c>
      <c r="H105" s="6">
        <f t="shared" si="12"/>
        <v>1.9926207055139041E-5</v>
      </c>
      <c r="I105" s="7">
        <f t="shared" si="13"/>
        <v>1158916576932337.8</v>
      </c>
      <c r="J105" s="6">
        <f t="shared" si="14"/>
        <v>1.0226038455893147</v>
      </c>
      <c r="K105" s="7">
        <f>J105*H105*首页!$B$12/P105</f>
        <v>0.69532757496605813</v>
      </c>
      <c r="L105" s="6">
        <f>首页!$B$9*0.0000000567*((C105^4-D105^4)/(C105-D105))</f>
        <v>7.7687338005019564</v>
      </c>
      <c r="M105" s="6">
        <f>IF(首页!$B$13="自然对流",IF(首页!$B$14="立式圆筒",首页!$B$10,PI()*B105/2),PI()*B105/2)</f>
        <v>55.2</v>
      </c>
      <c r="N105" s="7">
        <f>IF(首页!$B$13="强制对流",首页!$B$11*M105/H105,0)</f>
        <v>0</v>
      </c>
      <c r="O105" s="7">
        <f>IF(首页!$B$13="自然对流",IF(首页!$B$14="立式圆筒",(0.825+0.3063*I105^(1/6))^2+0.87*(M105/B105),(0.752+0.303*I105^(1/6))^2),0.3+SQRT((0.592*N105^0.5)^2+(0.0262*N105^0.8/(1-0.5/N105^0.1))^2))</f>
        <v>10169.282502934901</v>
      </c>
      <c r="P105" s="6">
        <f t="shared" si="15"/>
        <v>2.9510194925512497E-2</v>
      </c>
      <c r="Q105" s="6">
        <f t="shared" si="16"/>
        <v>5.4365490745328353</v>
      </c>
      <c r="R105" s="6">
        <f t="shared" si="17"/>
        <v>13.205282875034792</v>
      </c>
      <c r="S105" s="6">
        <f>IF($Y$2="按单位面积散热损失 qp",B105*LN(B105/首页!$B$4),LN(B105/首页!$B$4))</f>
        <v>0.31386536096375245</v>
      </c>
      <c r="T105" s="6">
        <f>IF($Y$2="按单位面积散热损失 qp",2*PI()*首页!$B$8*((E105-D105)/$Y$3-1/R105),2*PI()*首页!$B$8*((E105-D105)/$Y$4-1/(PI()*B105*R105)))</f>
        <v>4.0888348996465478E-2</v>
      </c>
      <c r="U105" t="str">
        <f t="shared" si="18"/>
        <v>按单位面积散热损失 qp</v>
      </c>
      <c r="V105" s="6">
        <f t="shared" si="19"/>
        <v>0.27297701196728696</v>
      </c>
    </row>
    <row r="106" spans="1:22" x14ac:dyDescent="0.15">
      <c r="A106">
        <v>101</v>
      </c>
      <c r="B106" s="6">
        <f>首页!$B$4+2*A106/1000</f>
        <v>0.32200000000000001</v>
      </c>
      <c r="C106" s="6">
        <f>首页!$B$7+273.15</f>
        <v>388.15</v>
      </c>
      <c r="D106" s="6">
        <f>首页!$B$6+273.15</f>
        <v>293.14999999999998</v>
      </c>
      <c r="E106" s="6">
        <f>首页!$B$5+273.15</f>
        <v>1373.15</v>
      </c>
      <c r="F106" s="6">
        <f t="shared" si="10"/>
        <v>95</v>
      </c>
      <c r="G106" s="6">
        <f t="shared" si="11"/>
        <v>340.65</v>
      </c>
      <c r="H106" s="6">
        <f t="shared" si="12"/>
        <v>1.9926207055139041E-5</v>
      </c>
      <c r="I106" s="7">
        <f t="shared" si="13"/>
        <v>1158916576932337.8</v>
      </c>
      <c r="J106" s="6">
        <f t="shared" si="14"/>
        <v>1.0226038455893147</v>
      </c>
      <c r="K106" s="7">
        <f>J106*H106*首页!$B$12/P106</f>
        <v>0.69532757496605813</v>
      </c>
      <c r="L106" s="6">
        <f>首页!$B$9*0.0000000567*((C106^4-D106^4)/(C106-D106))</f>
        <v>7.7687338005019564</v>
      </c>
      <c r="M106" s="6">
        <f>IF(首页!$B$13="自然对流",IF(首页!$B$14="立式圆筒",首页!$B$10,PI()*B106/2),PI()*B106/2)</f>
        <v>55.2</v>
      </c>
      <c r="N106" s="7">
        <f>IF(首页!$B$13="强制对流",首页!$B$11*M106/H106,0)</f>
        <v>0</v>
      </c>
      <c r="O106" s="7">
        <f>IF(首页!$B$13="自然对流",IF(首页!$B$14="立式圆筒",(0.825+0.3063*I106^(1/6))^2+0.87*(M106/B106),(0.752+0.303*I106^(1/6))^2),0.3+SQRT((0.592*N106^0.5)^2+(0.0262*N106^0.8/(1-0.5/N106^0.1))^2))</f>
        <v>10168.350360077757</v>
      </c>
      <c r="P106" s="6">
        <f t="shared" si="15"/>
        <v>2.9510194925512497E-2</v>
      </c>
      <c r="Q106" s="6">
        <f t="shared" si="16"/>
        <v>5.4360507463188368</v>
      </c>
      <c r="R106" s="6">
        <f t="shared" si="17"/>
        <v>13.204784546820793</v>
      </c>
      <c r="S106" s="6">
        <f>IF($Y$2="按单位面积散热损失 qp",B106*LN(B106/首页!$B$4),LN(B106/首页!$B$4))</f>
        <v>0.31783325648948069</v>
      </c>
      <c r="T106" s="6">
        <f>IF($Y$2="按单位面积散热损失 qp",2*PI()*首页!$B$8*((E106-D106)/$Y$3-1/R106),2*PI()*首页!$B$8*((E106-D106)/$Y$4-1/(PI()*B106*R106)))</f>
        <v>4.0887540963963083E-2</v>
      </c>
      <c r="U106" t="str">
        <f t="shared" si="18"/>
        <v>按单位面积散热损失 qp</v>
      </c>
      <c r="V106" s="6">
        <f t="shared" si="19"/>
        <v>0.27694571552551761</v>
      </c>
    </row>
    <row r="107" spans="1:22" x14ac:dyDescent="0.15">
      <c r="A107">
        <v>102</v>
      </c>
      <c r="B107" s="6">
        <f>首页!$B$4+2*A107/1000</f>
        <v>0.32399999999999995</v>
      </c>
      <c r="C107" s="6">
        <f>首页!$B$7+273.15</f>
        <v>388.15</v>
      </c>
      <c r="D107" s="6">
        <f>首页!$B$6+273.15</f>
        <v>293.14999999999998</v>
      </c>
      <c r="E107" s="6">
        <f>首页!$B$5+273.15</f>
        <v>1373.15</v>
      </c>
      <c r="F107" s="6">
        <f t="shared" si="10"/>
        <v>95</v>
      </c>
      <c r="G107" s="6">
        <f t="shared" si="11"/>
        <v>340.65</v>
      </c>
      <c r="H107" s="6">
        <f t="shared" si="12"/>
        <v>1.9926207055139041E-5</v>
      </c>
      <c r="I107" s="7">
        <f t="shared" si="13"/>
        <v>1158916576932337.8</v>
      </c>
      <c r="J107" s="6">
        <f t="shared" si="14"/>
        <v>1.0226038455893147</v>
      </c>
      <c r="K107" s="7">
        <f>J107*H107*首页!$B$12/P107</f>
        <v>0.69532757496605813</v>
      </c>
      <c r="L107" s="6">
        <f>首页!$B$9*0.0000000567*((C107^4-D107^4)/(C107-D107))</f>
        <v>7.7687338005019564</v>
      </c>
      <c r="M107" s="6">
        <f>IF(首页!$B$13="自然对流",IF(首页!$B$14="立式圆筒",首页!$B$10,PI()*B107/2),PI()*B107/2)</f>
        <v>55.2</v>
      </c>
      <c r="N107" s="7">
        <f>IF(首页!$B$13="强制对流",首页!$B$11*M107/H107,0)</f>
        <v>0</v>
      </c>
      <c r="O107" s="7">
        <f>IF(首页!$B$13="自然对流",IF(首页!$B$14="立式圆筒",(0.825+0.3063*I107^(1/6))^2+0.87*(M107/B107),(0.752+0.303*I107^(1/6))^2),0.3+SQRT((0.592*N107^0.5)^2+(0.0262*N107^0.8/(1-0.5/N107^0.1))^2))</f>
        <v>10167.429725157122</v>
      </c>
      <c r="P107" s="6">
        <f t="shared" si="15"/>
        <v>2.9510194925512497E-2</v>
      </c>
      <c r="Q107" s="6">
        <f t="shared" si="16"/>
        <v>5.4355585703050115</v>
      </c>
      <c r="R107" s="6">
        <f t="shared" si="17"/>
        <v>13.204292370806968</v>
      </c>
      <c r="S107" s="6">
        <f>IF($Y$2="按单位面积散热损失 qp",B107*LN(B107/首页!$B$4),LN(B107/首页!$B$4))</f>
        <v>0.32181357445533176</v>
      </c>
      <c r="T107" s="6">
        <f>IF($Y$2="按单位面积散热损失 qp",2*PI()*首页!$B$8*((E107-D107)/$Y$3-1/R107),2*PI()*首页!$B$8*((E107-D107)/$Y$4-1/(PI()*B107*R107)))</f>
        <v>4.0886742847305299E-2</v>
      </c>
      <c r="U107" t="str">
        <f t="shared" si="18"/>
        <v>按单位面积散热损失 qp</v>
      </c>
      <c r="V107" s="6">
        <f t="shared" si="19"/>
        <v>0.28092683160802645</v>
      </c>
    </row>
    <row r="108" spans="1:22" x14ac:dyDescent="0.15">
      <c r="A108">
        <v>103</v>
      </c>
      <c r="B108" s="6">
        <f>首页!$B$4+2*A108/1000</f>
        <v>0.32599999999999996</v>
      </c>
      <c r="C108" s="6">
        <f>首页!$B$7+273.15</f>
        <v>388.15</v>
      </c>
      <c r="D108" s="6">
        <f>首页!$B$6+273.15</f>
        <v>293.14999999999998</v>
      </c>
      <c r="E108" s="6">
        <f>首页!$B$5+273.15</f>
        <v>1373.15</v>
      </c>
      <c r="F108" s="6">
        <f t="shared" si="10"/>
        <v>95</v>
      </c>
      <c r="G108" s="6">
        <f t="shared" si="11"/>
        <v>340.65</v>
      </c>
      <c r="H108" s="6">
        <f t="shared" si="12"/>
        <v>1.9926207055139041E-5</v>
      </c>
      <c r="I108" s="7">
        <f t="shared" si="13"/>
        <v>1158916576932337.8</v>
      </c>
      <c r="J108" s="6">
        <f t="shared" si="14"/>
        <v>1.0226038455893147</v>
      </c>
      <c r="K108" s="7">
        <f>J108*H108*首页!$B$12/P108</f>
        <v>0.69532757496605813</v>
      </c>
      <c r="L108" s="6">
        <f>首页!$B$9*0.0000000567*((C108^4-D108^4)/(C108-D108))</f>
        <v>7.7687338005019564</v>
      </c>
      <c r="M108" s="6">
        <f>IF(首页!$B$13="自然对流",IF(首页!$B$14="立式圆筒",首页!$B$10,PI()*B108/2),PI()*B108/2)</f>
        <v>55.2</v>
      </c>
      <c r="N108" s="7">
        <f>IF(首页!$B$13="强制对流",首页!$B$11*M108/H108,0)</f>
        <v>0</v>
      </c>
      <c r="O108" s="7">
        <f>IF(首页!$B$13="自然对流",IF(首页!$B$14="立式圆筒",(0.825+0.3063*I108^(1/6))^2+0.87*(M108/B108),(0.752+0.303*I108^(1/6))^2),0.3+SQRT((0.592*N108^0.5)^2+(0.0262*N108^0.8/(1-0.5/N108^0.1))^2))</f>
        <v>10166.520386370483</v>
      </c>
      <c r="P108" s="6">
        <f t="shared" si="15"/>
        <v>2.9510194925512497E-2</v>
      </c>
      <c r="Q108" s="6">
        <f t="shared" si="16"/>
        <v>5.4350724332606806</v>
      </c>
      <c r="R108" s="6">
        <f t="shared" si="17"/>
        <v>13.203806233762638</v>
      </c>
      <c r="S108" s="6">
        <f>IF($Y$2="按单位面积散热损失 qp",B108*LN(B108/首页!$B$4),LN(B108/首页!$B$4))</f>
        <v>0.32580623817859961</v>
      </c>
      <c r="T108" s="6">
        <f>IF($Y$2="按单位面积散热损失 qp",2*PI()*首页!$B$8*((E108-D108)/$Y$3-1/R108),2*PI()*首页!$B$8*((E108-D108)/$Y$4-1/(PI()*B108*R108)))</f>
        <v>4.0885954465080483E-2</v>
      </c>
      <c r="U108" t="str">
        <f t="shared" si="18"/>
        <v>按单位面积散热损失 qp</v>
      </c>
      <c r="V108" s="6">
        <f t="shared" si="19"/>
        <v>0.28492028371351913</v>
      </c>
    </row>
    <row r="109" spans="1:22" x14ac:dyDescent="0.15">
      <c r="A109">
        <v>104</v>
      </c>
      <c r="B109" s="6">
        <f>首页!$B$4+2*A109/1000</f>
        <v>0.32799999999999996</v>
      </c>
      <c r="C109" s="6">
        <f>首页!$B$7+273.15</f>
        <v>388.15</v>
      </c>
      <c r="D109" s="6">
        <f>首页!$B$6+273.15</f>
        <v>293.14999999999998</v>
      </c>
      <c r="E109" s="6">
        <f>首页!$B$5+273.15</f>
        <v>1373.15</v>
      </c>
      <c r="F109" s="6">
        <f t="shared" si="10"/>
        <v>95</v>
      </c>
      <c r="G109" s="6">
        <f t="shared" si="11"/>
        <v>340.65</v>
      </c>
      <c r="H109" s="6">
        <f t="shared" si="12"/>
        <v>1.9926207055139041E-5</v>
      </c>
      <c r="I109" s="7">
        <f t="shared" si="13"/>
        <v>1158916576932337.8</v>
      </c>
      <c r="J109" s="6">
        <f t="shared" si="14"/>
        <v>1.0226038455893147</v>
      </c>
      <c r="K109" s="7">
        <f>J109*H109*首页!$B$12/P109</f>
        <v>0.69532757496605813</v>
      </c>
      <c r="L109" s="6">
        <f>首页!$B$9*0.0000000567*((C109^4-D109^4)/(C109-D109))</f>
        <v>7.7687338005019564</v>
      </c>
      <c r="M109" s="6">
        <f>IF(首页!$B$13="自然对流",IF(首页!$B$14="立式圆筒",首页!$B$10,PI()*B109/2),PI()*B109/2)</f>
        <v>55.2</v>
      </c>
      <c r="N109" s="7">
        <f>IF(首页!$B$13="强制对流",首页!$B$11*M109/H109,0)</f>
        <v>0</v>
      </c>
      <c r="O109" s="7">
        <f>IF(首页!$B$13="自然对流",IF(首页!$B$14="立式圆筒",(0.825+0.3063*I109^(1/6))^2+0.87*(M109/B109),(0.752+0.303*I109^(1/6))^2),0.3+SQRT((0.592*N109^0.5)^2+(0.0262*N109^0.8/(1-0.5/N109^0.1))^2))</f>
        <v>10165.622137081242</v>
      </c>
      <c r="P109" s="6">
        <f t="shared" si="15"/>
        <v>2.9510194925512497E-2</v>
      </c>
      <c r="Q109" s="6">
        <f t="shared" si="16"/>
        <v>5.4345922247168899</v>
      </c>
      <c r="R109" s="6">
        <f t="shared" si="17"/>
        <v>13.203326025218846</v>
      </c>
      <c r="S109" s="6">
        <f>IF($Y$2="按单位面积散热损失 qp",B109*LN(B109/首页!$B$4),LN(B109/首页!$B$4))</f>
        <v>0.32981117191748799</v>
      </c>
      <c r="T109" s="6">
        <f>IF($Y$2="按单位面积散热损失 qp",2*PI()*首页!$B$8*((E109-D109)/$Y$3-1/R109),2*PI()*首页!$B$8*((E109-D109)/$Y$4-1/(PI()*B109*R109)))</f>
        <v>4.0885175640275363E-2</v>
      </c>
      <c r="U109" t="str">
        <f t="shared" si="18"/>
        <v>按单位面积散热损失 qp</v>
      </c>
      <c r="V109" s="6">
        <f t="shared" si="19"/>
        <v>0.2889259962772126</v>
      </c>
    </row>
    <row r="110" spans="1:22" x14ac:dyDescent="0.15">
      <c r="A110">
        <v>105</v>
      </c>
      <c r="B110" s="6">
        <f>首页!$B$4+2*A110/1000</f>
        <v>0.32999999999999996</v>
      </c>
      <c r="C110" s="6">
        <f>首页!$B$7+273.15</f>
        <v>388.15</v>
      </c>
      <c r="D110" s="6">
        <f>首页!$B$6+273.15</f>
        <v>293.14999999999998</v>
      </c>
      <c r="E110" s="6">
        <f>首页!$B$5+273.15</f>
        <v>1373.15</v>
      </c>
      <c r="F110" s="6">
        <f t="shared" si="10"/>
        <v>95</v>
      </c>
      <c r="G110" s="6">
        <f t="shared" si="11"/>
        <v>340.65</v>
      </c>
      <c r="H110" s="6">
        <f t="shared" si="12"/>
        <v>1.9926207055139041E-5</v>
      </c>
      <c r="I110" s="7">
        <f t="shared" si="13"/>
        <v>1158916576932337.8</v>
      </c>
      <c r="J110" s="6">
        <f t="shared" si="14"/>
        <v>1.0226038455893147</v>
      </c>
      <c r="K110" s="7">
        <f>J110*H110*首页!$B$12/P110</f>
        <v>0.69532757496605813</v>
      </c>
      <c r="L110" s="6">
        <f>首页!$B$9*0.0000000567*((C110^4-D110^4)/(C110-D110))</f>
        <v>7.7687338005019564</v>
      </c>
      <c r="M110" s="6">
        <f>IF(首页!$B$13="自然对流",IF(首页!$B$14="立式圆筒",首页!$B$10,PI()*B110/2),PI()*B110/2)</f>
        <v>55.2</v>
      </c>
      <c r="N110" s="7">
        <f>IF(首页!$B$13="强制对流",首页!$B$11*M110/H110,0)</f>
        <v>0</v>
      </c>
      <c r="O110" s="7">
        <f>IF(首页!$B$13="自然对流",IF(首页!$B$14="立式圆筒",(0.825+0.3063*I110^(1/6))^2+0.87*(M110/B110),(0.752+0.303*I110^(1/6))^2),0.3+SQRT((0.592*N110^0.5)^2+(0.0262*N110^0.8/(1-0.5/N110^0.1))^2))</f>
        <v>10164.734775662173</v>
      </c>
      <c r="P110" s="6">
        <f t="shared" si="15"/>
        <v>2.9510194925512497E-2</v>
      </c>
      <c r="Q110" s="6">
        <f t="shared" si="16"/>
        <v>5.4341178368827219</v>
      </c>
      <c r="R110" s="6">
        <f t="shared" si="17"/>
        <v>13.202851637384679</v>
      </c>
      <c r="S110" s="6">
        <f>IF($Y$2="按单位面积散热损失 qp",B110*LN(B110/首页!$B$4),LN(B110/首页!$B$4))</f>
        <v>0.33382830085389825</v>
      </c>
      <c r="T110" s="6">
        <f>IF($Y$2="按单位面积散热损失 qp",2*PI()*首页!$B$8*((E110-D110)/$Y$3-1/R110),2*PI()*首页!$B$8*((E110-D110)/$Y$4-1/(PI()*B110*R110)))</f>
        <v>4.0884406200142651E-2</v>
      </c>
      <c r="U110" t="str">
        <f t="shared" si="18"/>
        <v>按单位面积散热损失 qp</v>
      </c>
      <c r="V110" s="6">
        <f t="shared" si="19"/>
        <v>0.29294389465375559</v>
      </c>
    </row>
    <row r="111" spans="1:22" x14ac:dyDescent="0.15">
      <c r="A111">
        <v>106</v>
      </c>
      <c r="B111" s="6">
        <f>首页!$B$4+2*A111/1000</f>
        <v>0.33199999999999996</v>
      </c>
      <c r="C111" s="6">
        <f>首页!$B$7+273.15</f>
        <v>388.15</v>
      </c>
      <c r="D111" s="6">
        <f>首页!$B$6+273.15</f>
        <v>293.14999999999998</v>
      </c>
      <c r="E111" s="6">
        <f>首页!$B$5+273.15</f>
        <v>1373.15</v>
      </c>
      <c r="F111" s="6">
        <f t="shared" si="10"/>
        <v>95</v>
      </c>
      <c r="G111" s="6">
        <f t="shared" si="11"/>
        <v>340.65</v>
      </c>
      <c r="H111" s="6">
        <f t="shared" si="12"/>
        <v>1.9926207055139041E-5</v>
      </c>
      <c r="I111" s="7">
        <f t="shared" si="13"/>
        <v>1158916576932337.8</v>
      </c>
      <c r="J111" s="6">
        <f t="shared" si="14"/>
        <v>1.0226038455893147</v>
      </c>
      <c r="K111" s="7">
        <f>J111*H111*首页!$B$12/P111</f>
        <v>0.69532757496605813</v>
      </c>
      <c r="L111" s="6">
        <f>首页!$B$9*0.0000000567*((C111^4-D111^4)/(C111-D111))</f>
        <v>7.7687338005019564</v>
      </c>
      <c r="M111" s="6">
        <f>IF(首页!$B$13="自然对流",IF(首页!$B$14="立式圆筒",首页!$B$10,PI()*B111/2),PI()*B111/2)</f>
        <v>55.2</v>
      </c>
      <c r="N111" s="7">
        <f>IF(首页!$B$13="强制对流",首页!$B$11*M111/H111,0)</f>
        <v>0</v>
      </c>
      <c r="O111" s="7">
        <f>IF(首页!$B$13="自然对流",IF(首页!$B$14="立式圆筒",(0.825+0.3063*I111^(1/6))^2+0.87*(M111/B111),(0.752+0.303*I111^(1/6))^2),0.3+SQRT((0.592*N111^0.5)^2+(0.0262*N111^0.8/(1-0.5/N111^0.1))^2))</f>
        <v>10163.858105344538</v>
      </c>
      <c r="P111" s="6">
        <f t="shared" si="15"/>
        <v>2.9510194925512497E-2</v>
      </c>
      <c r="Q111" s="6">
        <f t="shared" si="16"/>
        <v>5.4336491645646277</v>
      </c>
      <c r="R111" s="6">
        <f t="shared" si="17"/>
        <v>13.202382965066583</v>
      </c>
      <c r="S111" s="6">
        <f>IF($Y$2="按单位面积散热损失 qp",B111*LN(B111/首页!$B$4),LN(B111/首页!$B$4))</f>
        <v>0.3378575510766349</v>
      </c>
      <c r="T111" s="6">
        <f>IF($Y$2="按单位面积散热损失 qp",2*PI()*首页!$B$8*((E111-D111)/$Y$3-1/R111),2*PI()*首页!$B$8*((E111-D111)/$Y$4-1/(PI()*B111*R111)))</f>
        <v>4.0883645976073253E-2</v>
      </c>
      <c r="U111" t="str">
        <f t="shared" si="18"/>
        <v>按单位面积散热损失 qp</v>
      </c>
      <c r="V111" s="6">
        <f t="shared" si="19"/>
        <v>0.29697390510056165</v>
      </c>
    </row>
    <row r="112" spans="1:22" x14ac:dyDescent="0.15">
      <c r="A112">
        <v>107</v>
      </c>
      <c r="B112" s="6">
        <f>首页!$B$4+2*A112/1000</f>
        <v>0.33399999999999996</v>
      </c>
      <c r="C112" s="6">
        <f>首页!$B$7+273.15</f>
        <v>388.15</v>
      </c>
      <c r="D112" s="6">
        <f>首页!$B$6+273.15</f>
        <v>293.14999999999998</v>
      </c>
      <c r="E112" s="6">
        <f>首页!$B$5+273.15</f>
        <v>1373.15</v>
      </c>
      <c r="F112" s="6">
        <f t="shared" si="10"/>
        <v>95</v>
      </c>
      <c r="G112" s="6">
        <f t="shared" si="11"/>
        <v>340.65</v>
      </c>
      <c r="H112" s="6">
        <f t="shared" si="12"/>
        <v>1.9926207055139041E-5</v>
      </c>
      <c r="I112" s="7">
        <f t="shared" si="13"/>
        <v>1158916576932337.8</v>
      </c>
      <c r="J112" s="6">
        <f t="shared" si="14"/>
        <v>1.0226038455893147</v>
      </c>
      <c r="K112" s="7">
        <f>J112*H112*首页!$B$12/P112</f>
        <v>0.69532757496605813</v>
      </c>
      <c r="L112" s="6">
        <f>首页!$B$9*0.0000000567*((C112^4-D112^4)/(C112-D112))</f>
        <v>7.7687338005019564</v>
      </c>
      <c r="M112" s="6">
        <f>IF(首页!$B$13="自然对流",IF(首页!$B$14="立式圆筒",首页!$B$10,PI()*B112/2),PI()*B112/2)</f>
        <v>55.2</v>
      </c>
      <c r="N112" s="7">
        <f>IF(首页!$B$13="强制对流",首页!$B$11*M112/H112,0)</f>
        <v>0</v>
      </c>
      <c r="O112" s="7">
        <f>IF(首页!$B$13="自然对流",IF(首页!$B$14="立式圆筒",(0.825+0.3063*I112^(1/6))^2+0.87*(M112/B112),(0.752+0.303*I112^(1/6))^2),0.3+SQRT((0.592*N112^0.5)^2+(0.0262*N112^0.8/(1-0.5/N112^0.1))^2))</f>
        <v>10162.991934072625</v>
      </c>
      <c r="P112" s="6">
        <f t="shared" si="15"/>
        <v>2.9510194925512497E-2</v>
      </c>
      <c r="Q112" s="6">
        <f t="shared" si="16"/>
        <v>5.4331861050886658</v>
      </c>
      <c r="R112" s="6">
        <f t="shared" si="17"/>
        <v>13.201919905590621</v>
      </c>
      <c r="S112" s="6">
        <f>IF($Y$2="按单位面积散热损失 qp",B112*LN(B112/首页!$B$4),LN(B112/首页!$B$4))</f>
        <v>0.34189884956501454</v>
      </c>
      <c r="T112" s="6">
        <f>IF($Y$2="按单位面积散热损失 qp",2*PI()*首页!$B$8*((E112-D112)/$Y$3-1/R112),2*PI()*首页!$B$8*((E112-D112)/$Y$4-1/(PI()*B112*R112)))</f>
        <v>4.0882894803473104E-2</v>
      </c>
      <c r="U112" t="str">
        <f t="shared" si="18"/>
        <v>按单位面积散热损失 qp</v>
      </c>
      <c r="V112" s="6">
        <f t="shared" si="19"/>
        <v>0.30101595476154142</v>
      </c>
    </row>
    <row r="113" spans="1:22" x14ac:dyDescent="0.15">
      <c r="A113">
        <v>108</v>
      </c>
      <c r="B113" s="6">
        <f>首页!$B$4+2*A113/1000</f>
        <v>0.33599999999999997</v>
      </c>
      <c r="C113" s="6">
        <f>首页!$B$7+273.15</f>
        <v>388.15</v>
      </c>
      <c r="D113" s="6">
        <f>首页!$B$6+273.15</f>
        <v>293.14999999999998</v>
      </c>
      <c r="E113" s="6">
        <f>首页!$B$5+273.15</f>
        <v>1373.15</v>
      </c>
      <c r="F113" s="6">
        <f t="shared" si="10"/>
        <v>95</v>
      </c>
      <c r="G113" s="6">
        <f t="shared" si="11"/>
        <v>340.65</v>
      </c>
      <c r="H113" s="6">
        <f t="shared" si="12"/>
        <v>1.9926207055139041E-5</v>
      </c>
      <c r="I113" s="7">
        <f t="shared" si="13"/>
        <v>1158916576932337.8</v>
      </c>
      <c r="J113" s="6">
        <f t="shared" si="14"/>
        <v>1.0226038455893147</v>
      </c>
      <c r="K113" s="7">
        <f>J113*H113*首页!$B$12/P113</f>
        <v>0.69532757496605813</v>
      </c>
      <c r="L113" s="6">
        <f>首页!$B$9*0.0000000567*((C113^4-D113^4)/(C113-D113))</f>
        <v>7.7687338005019564</v>
      </c>
      <c r="M113" s="6">
        <f>IF(首页!$B$13="自然对流",IF(首页!$B$14="立式圆筒",首页!$B$10,PI()*B113/2),PI()*B113/2)</f>
        <v>55.2</v>
      </c>
      <c r="N113" s="7">
        <f>IF(首页!$B$13="强制对流",首页!$B$11*M113/H113,0)</f>
        <v>0</v>
      </c>
      <c r="O113" s="7">
        <f>IF(首页!$B$13="自然对流",IF(首页!$B$14="立式圆筒",(0.825+0.3063*I113^(1/6))^2+0.87*(M113/B113),(0.752+0.303*I113^(1/6))^2),0.3+SQRT((0.592*N113^0.5)^2+(0.0262*N113^0.8/(1-0.5/N113^0.1))^2))</f>
        <v>10162.13607436347</v>
      </c>
      <c r="P113" s="6">
        <f t="shared" si="15"/>
        <v>2.9510194925512497E-2</v>
      </c>
      <c r="Q113" s="6">
        <f t="shared" si="16"/>
        <v>5.4327285582255138</v>
      </c>
      <c r="R113" s="6">
        <f t="shared" si="17"/>
        <v>13.20146235872747</v>
      </c>
      <c r="S113" s="6">
        <f>IF($Y$2="按单位面积散热损失 qp",B113*LN(B113/首页!$B$4),LN(B113/首页!$B$4))</f>
        <v>0.34595212417286908</v>
      </c>
      <c r="T113" s="6">
        <f>IF($Y$2="按单位面积散热损失 qp",2*PI()*首页!$B$8*((E113-D113)/$Y$3-1/R113),2*PI()*首页!$B$8*((E113-D113)/$Y$4-1/(PI()*B113*R113)))</f>
        <v>4.0882152521644365E-2</v>
      </c>
      <c r="U113" t="str">
        <f t="shared" si="18"/>
        <v>按单位面积散热损失 qp</v>
      </c>
      <c r="V113" s="6">
        <f t="shared" si="19"/>
        <v>0.30506997165122474</v>
      </c>
    </row>
    <row r="114" spans="1:22" x14ac:dyDescent="0.15">
      <c r="A114">
        <v>109</v>
      </c>
      <c r="B114" s="6">
        <f>首页!$B$4+2*A114/1000</f>
        <v>0.33799999999999997</v>
      </c>
      <c r="C114" s="6">
        <f>首页!$B$7+273.15</f>
        <v>388.15</v>
      </c>
      <c r="D114" s="6">
        <f>首页!$B$6+273.15</f>
        <v>293.14999999999998</v>
      </c>
      <c r="E114" s="6">
        <f>首页!$B$5+273.15</f>
        <v>1373.15</v>
      </c>
      <c r="F114" s="6">
        <f t="shared" si="10"/>
        <v>95</v>
      </c>
      <c r="G114" s="6">
        <f t="shared" si="11"/>
        <v>340.65</v>
      </c>
      <c r="H114" s="6">
        <f t="shared" si="12"/>
        <v>1.9926207055139041E-5</v>
      </c>
      <c r="I114" s="7">
        <f t="shared" si="13"/>
        <v>1158916576932337.8</v>
      </c>
      <c r="J114" s="6">
        <f t="shared" si="14"/>
        <v>1.0226038455893147</v>
      </c>
      <c r="K114" s="7">
        <f>J114*H114*首页!$B$12/P114</f>
        <v>0.69532757496605813</v>
      </c>
      <c r="L114" s="6">
        <f>首页!$B$9*0.0000000567*((C114^4-D114^4)/(C114-D114))</f>
        <v>7.7687338005019564</v>
      </c>
      <c r="M114" s="6">
        <f>IF(首页!$B$13="自然对流",IF(首页!$B$14="立式圆筒",首页!$B$10,PI()*B114/2),PI()*B114/2)</f>
        <v>55.2</v>
      </c>
      <c r="N114" s="7">
        <f>IF(首页!$B$13="强制对流",首页!$B$11*M114/H114,0)</f>
        <v>0</v>
      </c>
      <c r="O114" s="7">
        <f>IF(首页!$B$13="自然对流",IF(首页!$B$14="立式圆筒",(0.825+0.3063*I114^(1/6))^2+0.87*(M114/B114),(0.752+0.303*I114^(1/6))^2),0.3+SQRT((0.592*N114^0.5)^2+(0.0262*N114^0.8/(1-0.5/N114^0.1))^2))</f>
        <v>10161.290343171586</v>
      </c>
      <c r="P114" s="6">
        <f t="shared" si="15"/>
        <v>2.9510194925512497E-2</v>
      </c>
      <c r="Q114" s="6">
        <f t="shared" si="16"/>
        <v>5.432276426118138</v>
      </c>
      <c r="R114" s="6">
        <f t="shared" si="17"/>
        <v>13.201010226620095</v>
      </c>
      <c r="S114" s="6">
        <f>IF($Y$2="按单位面积散热损失 qp",B114*LN(B114/首页!$B$4),LN(B114/首页!$B$4))</f>
        <v>0.35001730361292871</v>
      </c>
      <c r="T114" s="6">
        <f>IF($Y$2="按单位面积散热损失 qp",2*PI()*首页!$B$8*((E114-D114)/$Y$3-1/R114),2*PI()*首页!$B$8*((E114-D114)/$Y$4-1/(PI()*B114*R114)))</f>
        <v>4.0881418973670806E-2</v>
      </c>
      <c r="U114" t="str">
        <f t="shared" si="18"/>
        <v>按单位面积散热损失 qp</v>
      </c>
      <c r="V114" s="6">
        <f t="shared" si="19"/>
        <v>0.3091358846392579</v>
      </c>
    </row>
    <row r="115" spans="1:22" x14ac:dyDescent="0.15">
      <c r="A115">
        <v>110</v>
      </c>
      <c r="B115" s="6">
        <f>首页!$B$4+2*A115/1000</f>
        <v>0.33999999999999997</v>
      </c>
      <c r="C115" s="6">
        <f>首页!$B$7+273.15</f>
        <v>388.15</v>
      </c>
      <c r="D115" s="6">
        <f>首页!$B$6+273.15</f>
        <v>293.14999999999998</v>
      </c>
      <c r="E115" s="6">
        <f>首页!$B$5+273.15</f>
        <v>1373.15</v>
      </c>
      <c r="F115" s="6">
        <f t="shared" si="10"/>
        <v>95</v>
      </c>
      <c r="G115" s="6">
        <f t="shared" si="11"/>
        <v>340.65</v>
      </c>
      <c r="H115" s="6">
        <f t="shared" si="12"/>
        <v>1.9926207055139041E-5</v>
      </c>
      <c r="I115" s="7">
        <f t="shared" si="13"/>
        <v>1158916576932337.8</v>
      </c>
      <c r="J115" s="6">
        <f t="shared" si="14"/>
        <v>1.0226038455893147</v>
      </c>
      <c r="K115" s="7">
        <f>J115*H115*首页!$B$12/P115</f>
        <v>0.69532757496605813</v>
      </c>
      <c r="L115" s="6">
        <f>首页!$B$9*0.0000000567*((C115^4-D115^4)/(C115-D115))</f>
        <v>7.7687338005019564</v>
      </c>
      <c r="M115" s="6">
        <f>IF(首页!$B$13="自然对流",IF(首页!$B$14="立式圆筒",首页!$B$10,PI()*B115/2),PI()*B115/2)</f>
        <v>55.2</v>
      </c>
      <c r="N115" s="7">
        <f>IF(首页!$B$13="强制对流",首页!$B$11*M115/H115,0)</f>
        <v>0</v>
      </c>
      <c r="O115" s="7">
        <f>IF(首页!$B$13="自然对流",IF(首页!$B$14="立式圆筒",(0.825+0.3063*I115^(1/6))^2+0.87*(M115/B115),(0.752+0.303*I115^(1/6))^2),0.3+SQRT((0.592*N115^0.5)^2+(0.0262*N115^0.8/(1-0.5/N115^0.1))^2))</f>
        <v>10160.45456175843</v>
      </c>
      <c r="P115" s="6">
        <f t="shared" si="15"/>
        <v>2.9510194925512497E-2</v>
      </c>
      <c r="Q115" s="6">
        <f t="shared" si="16"/>
        <v>5.4318296132120274</v>
      </c>
      <c r="R115" s="6">
        <f t="shared" si="17"/>
        <v>13.200563413713983</v>
      </c>
      <c r="S115" s="6">
        <f>IF($Y$2="按单位面积散热损失 qp",B115*LN(B115/首页!$B$4),LN(B115/首页!$B$4))</f>
        <v>0.35409431744157471</v>
      </c>
      <c r="T115" s="6">
        <f>IF($Y$2="按单位面积散热损失 qp",2*PI()*首页!$B$8*((E115-D115)/$Y$3-1/R115),2*PI()*首页!$B$8*((E115-D115)/$Y$4-1/(PI()*B115*R115)))</f>
        <v>4.0880694006307221E-2</v>
      </c>
      <c r="U115" t="str">
        <f t="shared" si="18"/>
        <v>按单位面积散热损失 qp</v>
      </c>
      <c r="V115" s="6">
        <f t="shared" si="19"/>
        <v>0.31321362343526749</v>
      </c>
    </row>
    <row r="116" spans="1:22" x14ac:dyDescent="0.15">
      <c r="A116">
        <v>111</v>
      </c>
      <c r="B116" s="6">
        <f>首页!$B$4+2*A116/1000</f>
        <v>0.34199999999999997</v>
      </c>
      <c r="C116" s="6">
        <f>首页!$B$7+273.15</f>
        <v>388.15</v>
      </c>
      <c r="D116" s="6">
        <f>首页!$B$6+273.15</f>
        <v>293.14999999999998</v>
      </c>
      <c r="E116" s="6">
        <f>首页!$B$5+273.15</f>
        <v>1373.15</v>
      </c>
      <c r="F116" s="6">
        <f t="shared" si="10"/>
        <v>95</v>
      </c>
      <c r="G116" s="6">
        <f t="shared" si="11"/>
        <v>340.65</v>
      </c>
      <c r="H116" s="6">
        <f t="shared" si="12"/>
        <v>1.9926207055139041E-5</v>
      </c>
      <c r="I116" s="7">
        <f t="shared" si="13"/>
        <v>1158916576932337.8</v>
      </c>
      <c r="J116" s="6">
        <f t="shared" si="14"/>
        <v>1.0226038455893147</v>
      </c>
      <c r="K116" s="7">
        <f>J116*H116*首页!$B$12/P116</f>
        <v>0.69532757496605813</v>
      </c>
      <c r="L116" s="6">
        <f>首页!$B$9*0.0000000567*((C116^4-D116^4)/(C116-D116))</f>
        <v>7.7687338005019564</v>
      </c>
      <c r="M116" s="6">
        <f>IF(首页!$B$13="自然对流",IF(首页!$B$14="立式圆筒",首页!$B$10,PI()*B116/2),PI()*B116/2)</f>
        <v>55.2</v>
      </c>
      <c r="N116" s="7">
        <f>IF(首页!$B$13="强制对流",首页!$B$11*M116/H116,0)</f>
        <v>0</v>
      </c>
      <c r="O116" s="7">
        <f>IF(首页!$B$13="自然对流",IF(首页!$B$14="立式圆筒",(0.825+0.3063*I116^(1/6))^2+0.87*(M116/B116),(0.752+0.303*I116^(1/6))^2),0.3+SQRT((0.592*N116^0.5)^2+(0.0262*N116^0.8/(1-0.5/N116^0.1))^2))</f>
        <v>10159.628555566478</v>
      </c>
      <c r="P116" s="6">
        <f t="shared" si="15"/>
        <v>2.9510194925512497E-2</v>
      </c>
      <c r="Q116" s="6">
        <f t="shared" si="16"/>
        <v>5.4313880261878573</v>
      </c>
      <c r="R116" s="6">
        <f t="shared" si="17"/>
        <v>13.200121826689813</v>
      </c>
      <c r="S116" s="6">
        <f>IF($Y$2="按单位面积散热损失 qp",B116*LN(B116/首页!$B$4),LN(B116/首页!$B$4))</f>
        <v>0.35818309604395115</v>
      </c>
      <c r="T116" s="6">
        <f>IF($Y$2="按单位面积散热损失 qp",2*PI()*首页!$B$8*((E116-D116)/$Y$3-1/R116),2*PI()*首页!$B$8*((E116-D116)/$Y$4-1/(PI()*B116*R116)))</f>
        <v>4.0879977469872708E-2</v>
      </c>
      <c r="U116" t="str">
        <f t="shared" si="18"/>
        <v>按单位面积散热损失 qp</v>
      </c>
      <c r="V116" s="6">
        <f t="shared" si="19"/>
        <v>0.31730311857407845</v>
      </c>
    </row>
    <row r="117" spans="1:22" x14ac:dyDescent="0.15">
      <c r="A117">
        <v>112</v>
      </c>
      <c r="B117" s="6">
        <f>首页!$B$4+2*A117/1000</f>
        <v>0.34399999999999997</v>
      </c>
      <c r="C117" s="6">
        <f>首页!$B$7+273.15</f>
        <v>388.15</v>
      </c>
      <c r="D117" s="6">
        <f>首页!$B$6+273.15</f>
        <v>293.14999999999998</v>
      </c>
      <c r="E117" s="6">
        <f>首页!$B$5+273.15</f>
        <v>1373.15</v>
      </c>
      <c r="F117" s="6">
        <f t="shared" si="10"/>
        <v>95</v>
      </c>
      <c r="G117" s="6">
        <f t="shared" si="11"/>
        <v>340.65</v>
      </c>
      <c r="H117" s="6">
        <f t="shared" si="12"/>
        <v>1.9926207055139041E-5</v>
      </c>
      <c r="I117" s="7">
        <f t="shared" si="13"/>
        <v>1158916576932337.8</v>
      </c>
      <c r="J117" s="6">
        <f t="shared" si="14"/>
        <v>1.0226038455893147</v>
      </c>
      <c r="K117" s="7">
        <f>J117*H117*首页!$B$12/P117</f>
        <v>0.69532757496605813</v>
      </c>
      <c r="L117" s="6">
        <f>首页!$B$9*0.0000000567*((C117^4-D117^4)/(C117-D117))</f>
        <v>7.7687338005019564</v>
      </c>
      <c r="M117" s="6">
        <f>IF(首页!$B$13="自然对流",IF(首页!$B$14="立式圆筒",首页!$B$10,PI()*B117/2),PI()*B117/2)</f>
        <v>55.2</v>
      </c>
      <c r="N117" s="7">
        <f>IF(首页!$B$13="强制对流",首页!$B$11*M117/H117,0)</f>
        <v>0</v>
      </c>
      <c r="O117" s="7">
        <f>IF(首页!$B$13="自然对流",IF(首页!$B$14="立式圆筒",(0.825+0.3063*I117^(1/6))^2+0.87*(M117/B117),(0.752+0.303*I117^(1/6))^2),0.3+SQRT((0.592*N117^0.5)^2+(0.0262*N117^0.8/(1-0.5/N117^0.1))^2))</f>
        <v>10158.81215409769</v>
      </c>
      <c r="P117" s="6">
        <f t="shared" si="15"/>
        <v>2.9510194925512497E-2</v>
      </c>
      <c r="Q117" s="6">
        <f t="shared" si="16"/>
        <v>5.4309515738965271</v>
      </c>
      <c r="R117" s="6">
        <f t="shared" si="17"/>
        <v>13.199685374398484</v>
      </c>
      <c r="S117" s="6">
        <f>IF($Y$2="按单位面积散热损失 qp",B117*LN(B117/首页!$B$4),LN(B117/首页!$B$4))</f>
        <v>0.36228357061942518</v>
      </c>
      <c r="T117" s="6">
        <f>IF($Y$2="按单位面积散热损失 qp",2*PI()*首页!$B$8*((E117-D117)/$Y$3-1/R117),2*PI()*首页!$B$8*((E117-D117)/$Y$4-1/(PI()*B117*R117)))</f>
        <v>4.0879269218147635E-2</v>
      </c>
      <c r="U117" t="str">
        <f t="shared" si="18"/>
        <v>按单位面积散热损失 qp</v>
      </c>
      <c r="V117" s="6">
        <f t="shared" si="19"/>
        <v>0.32140430140127751</v>
      </c>
    </row>
    <row r="118" spans="1:22" x14ac:dyDescent="0.15">
      <c r="A118">
        <v>113</v>
      </c>
      <c r="B118" s="6">
        <f>首页!$B$4+2*A118/1000</f>
        <v>0.34599999999999997</v>
      </c>
      <c r="C118" s="6">
        <f>首页!$B$7+273.15</f>
        <v>388.15</v>
      </c>
      <c r="D118" s="6">
        <f>首页!$B$6+273.15</f>
        <v>293.14999999999998</v>
      </c>
      <c r="E118" s="6">
        <f>首页!$B$5+273.15</f>
        <v>1373.15</v>
      </c>
      <c r="F118" s="6">
        <f t="shared" si="10"/>
        <v>95</v>
      </c>
      <c r="G118" s="6">
        <f t="shared" si="11"/>
        <v>340.65</v>
      </c>
      <c r="H118" s="6">
        <f t="shared" si="12"/>
        <v>1.9926207055139041E-5</v>
      </c>
      <c r="I118" s="7">
        <f t="shared" si="13"/>
        <v>1158916576932337.8</v>
      </c>
      <c r="J118" s="6">
        <f t="shared" si="14"/>
        <v>1.0226038455893147</v>
      </c>
      <c r="K118" s="7">
        <f>J118*H118*首页!$B$12/P118</f>
        <v>0.69532757496605813</v>
      </c>
      <c r="L118" s="6">
        <f>首页!$B$9*0.0000000567*((C118^4-D118^4)/(C118-D118))</f>
        <v>7.7687338005019564</v>
      </c>
      <c r="M118" s="6">
        <f>IF(首页!$B$13="自然对流",IF(首页!$B$14="立式圆筒",首页!$B$10,PI()*B118/2),PI()*B118/2)</f>
        <v>55.2</v>
      </c>
      <c r="N118" s="7">
        <f>IF(首页!$B$13="强制对流",首页!$B$11*M118/H118,0)</f>
        <v>0</v>
      </c>
      <c r="O118" s="7">
        <f>IF(首页!$B$13="自然对流",IF(首页!$B$14="立式圆筒",(0.825+0.3063*I118^(1/6))^2+0.87*(M118/B118),(0.752+0.303*I118^(1/6))^2),0.3+SQRT((0.592*N118^0.5)^2+(0.0262*N118^0.8/(1-0.5/N118^0.1))^2))</f>
        <v>10158.005190796172</v>
      </c>
      <c r="P118" s="6">
        <f t="shared" si="15"/>
        <v>2.9510194925512497E-2</v>
      </c>
      <c r="Q118" s="6">
        <f t="shared" si="16"/>
        <v>5.4305201672964269</v>
      </c>
      <c r="R118" s="6">
        <f t="shared" si="17"/>
        <v>13.199253967798384</v>
      </c>
      <c r="S118" s="6">
        <f>IF($Y$2="按单位面积散热损失 qp",B118*LN(B118/首页!$B$4),LN(B118/首页!$B$4))</f>
        <v>0.36639567316738464</v>
      </c>
      <c r="T118" s="6">
        <f>IF($Y$2="按单位面积散热损失 qp",2*PI()*首页!$B$8*((E118-D118)/$Y$3-1/R118),2*PI()*首页!$B$8*((E118-D118)/$Y$4-1/(PI()*B118*R118)))</f>
        <v>4.0878569108274164E-2</v>
      </c>
      <c r="U118" t="str">
        <f t="shared" si="18"/>
        <v>按单位面积散热损失 qp</v>
      </c>
      <c r="V118" s="6">
        <f t="shared" si="19"/>
        <v>0.3255171040591105</v>
      </c>
    </row>
    <row r="119" spans="1:22" x14ac:dyDescent="0.15">
      <c r="A119">
        <v>114</v>
      </c>
      <c r="B119" s="6">
        <f>首页!$B$4+2*A119/1000</f>
        <v>0.34799999999999998</v>
      </c>
      <c r="C119" s="6">
        <f>首页!$B$7+273.15</f>
        <v>388.15</v>
      </c>
      <c r="D119" s="6">
        <f>首页!$B$6+273.15</f>
        <v>293.14999999999998</v>
      </c>
      <c r="E119" s="6">
        <f>首页!$B$5+273.15</f>
        <v>1373.15</v>
      </c>
      <c r="F119" s="6">
        <f t="shared" si="10"/>
        <v>95</v>
      </c>
      <c r="G119" s="6">
        <f t="shared" si="11"/>
        <v>340.65</v>
      </c>
      <c r="H119" s="6">
        <f t="shared" si="12"/>
        <v>1.9926207055139041E-5</v>
      </c>
      <c r="I119" s="7">
        <f t="shared" si="13"/>
        <v>1158916576932337.8</v>
      </c>
      <c r="J119" s="6">
        <f t="shared" si="14"/>
        <v>1.0226038455893147</v>
      </c>
      <c r="K119" s="7">
        <f>J119*H119*首页!$B$12/P119</f>
        <v>0.69532757496605813</v>
      </c>
      <c r="L119" s="6">
        <f>首页!$B$9*0.0000000567*((C119^4-D119^4)/(C119-D119))</f>
        <v>7.7687338005019564</v>
      </c>
      <c r="M119" s="6">
        <f>IF(首页!$B$13="自然对流",IF(首页!$B$14="立式圆筒",首页!$B$10,PI()*B119/2),PI()*B119/2)</f>
        <v>55.2</v>
      </c>
      <c r="N119" s="7">
        <f>IF(首页!$B$13="强制对流",首页!$B$11*M119/H119,0)</f>
        <v>0</v>
      </c>
      <c r="O119" s="7">
        <f>IF(首页!$B$13="自然对流",IF(首页!$B$14="立式圆筒",(0.825+0.3063*I119^(1/6))^2+0.87*(M119/B119),(0.752+0.303*I119^(1/6))^2),0.3+SQRT((0.592*N119^0.5)^2+(0.0262*N119^0.8/(1-0.5/N119^0.1))^2))</f>
        <v>10157.2075029349</v>
      </c>
      <c r="P119" s="6">
        <f t="shared" si="15"/>
        <v>2.9510194925512497E-2</v>
      </c>
      <c r="Q119" s="6">
        <f t="shared" si="16"/>
        <v>5.4300937193928789</v>
      </c>
      <c r="R119" s="6">
        <f t="shared" si="17"/>
        <v>13.198827519894834</v>
      </c>
      <c r="S119" s="6">
        <f>IF($Y$2="按单位面积散热损失 qp",B119*LN(B119/首页!$B$4),LN(B119/首页!$B$4))</f>
        <v>0.37051933647336499</v>
      </c>
      <c r="T119" s="6">
        <f>IF($Y$2="按单位面积散热损失 qp",2*PI()*首页!$B$8*((E119-D119)/$Y$3-1/R119),2*PI()*首页!$B$8*((E119-D119)/$Y$4-1/(PI()*B119*R119)))</f>
        <v>4.0877877000660166E-2</v>
      </c>
      <c r="U119" t="str">
        <f t="shared" si="18"/>
        <v>按单位面积散热损失 qp</v>
      </c>
      <c r="V119" s="6">
        <f t="shared" si="19"/>
        <v>0.32964145947270485</v>
      </c>
    </row>
    <row r="120" spans="1:22" x14ac:dyDescent="0.15">
      <c r="A120">
        <v>115</v>
      </c>
      <c r="B120" s="6">
        <f>首页!$B$4+2*A120/1000</f>
        <v>0.35</v>
      </c>
      <c r="C120" s="6">
        <f>首页!$B$7+273.15</f>
        <v>388.15</v>
      </c>
      <c r="D120" s="6">
        <f>首页!$B$6+273.15</f>
        <v>293.14999999999998</v>
      </c>
      <c r="E120" s="6">
        <f>首页!$B$5+273.15</f>
        <v>1373.15</v>
      </c>
      <c r="F120" s="6">
        <f t="shared" si="10"/>
        <v>95</v>
      </c>
      <c r="G120" s="6">
        <f t="shared" si="11"/>
        <v>340.65</v>
      </c>
      <c r="H120" s="6">
        <f t="shared" si="12"/>
        <v>1.9926207055139041E-5</v>
      </c>
      <c r="I120" s="7">
        <f t="shared" si="13"/>
        <v>1158916576932337.8</v>
      </c>
      <c r="J120" s="6">
        <f t="shared" si="14"/>
        <v>1.0226038455893147</v>
      </c>
      <c r="K120" s="7">
        <f>J120*H120*首页!$B$12/P120</f>
        <v>0.69532757496605813</v>
      </c>
      <c r="L120" s="6">
        <f>首页!$B$9*0.0000000567*((C120^4-D120^4)/(C120-D120))</f>
        <v>7.7687338005019564</v>
      </c>
      <c r="M120" s="6">
        <f>IF(首页!$B$13="自然对流",IF(首页!$B$14="立式圆筒",首页!$B$10,PI()*B120/2),PI()*B120/2)</f>
        <v>55.2</v>
      </c>
      <c r="N120" s="7">
        <f>IF(首页!$B$13="强制对流",首页!$B$11*M120/H120,0)</f>
        <v>0</v>
      </c>
      <c r="O120" s="7">
        <f>IF(首页!$B$13="自然对流",IF(首页!$B$14="立式圆筒",(0.825+0.3063*I120^(1/6))^2+0.87*(M120/B120),(0.752+0.303*I120^(1/6))^2),0.3+SQRT((0.592*N120^0.5)^2+(0.0262*N120^0.8/(1-0.5/N120^0.1))^2))</f>
        <v>10156.418931506329</v>
      </c>
      <c r="P120" s="6">
        <f t="shared" si="15"/>
        <v>2.9510194925512497E-2</v>
      </c>
      <c r="Q120" s="6">
        <f t="shared" si="16"/>
        <v>5.4296721451796577</v>
      </c>
      <c r="R120" s="6">
        <f t="shared" si="17"/>
        <v>13.198405945681614</v>
      </c>
      <c r="S120" s="6">
        <f>IF($Y$2="按单位面积散热损失 qp",B120*LN(B120/首页!$B$4),LN(B120/首页!$B$4))</f>
        <v>0.37465449409549467</v>
      </c>
      <c r="T120" s="6">
        <f>IF($Y$2="按单位面积散热损失 qp",2*PI()*首页!$B$8*((E120-D120)/$Y$3-1/R120),2*PI()*首页!$B$8*((E120-D120)/$Y$4-1/(PI()*B120*R120)))</f>
        <v>4.0877192758886502E-2</v>
      </c>
      <c r="U120" t="str">
        <f t="shared" si="18"/>
        <v>按单位面积散热损失 qp</v>
      </c>
      <c r="V120" s="6">
        <f t="shared" si="19"/>
        <v>0.33377730133660816</v>
      </c>
    </row>
    <row r="121" spans="1:22" x14ac:dyDescent="0.15">
      <c r="A121">
        <v>116</v>
      </c>
      <c r="B121" s="6">
        <f>首页!$B$4+2*A121/1000</f>
        <v>0.35199999999999998</v>
      </c>
      <c r="C121" s="6">
        <f>首页!$B$7+273.15</f>
        <v>388.15</v>
      </c>
      <c r="D121" s="6">
        <f>首页!$B$6+273.15</f>
        <v>293.14999999999998</v>
      </c>
      <c r="E121" s="6">
        <f>首页!$B$5+273.15</f>
        <v>1373.15</v>
      </c>
      <c r="F121" s="6">
        <f t="shared" si="10"/>
        <v>95</v>
      </c>
      <c r="G121" s="6">
        <f t="shared" si="11"/>
        <v>340.65</v>
      </c>
      <c r="H121" s="6">
        <f t="shared" si="12"/>
        <v>1.9926207055139041E-5</v>
      </c>
      <c r="I121" s="7">
        <f t="shared" si="13"/>
        <v>1158916576932337.8</v>
      </c>
      <c r="J121" s="6">
        <f t="shared" si="14"/>
        <v>1.0226038455893147</v>
      </c>
      <c r="K121" s="7">
        <f>J121*H121*首页!$B$12/P121</f>
        <v>0.69532757496605813</v>
      </c>
      <c r="L121" s="6">
        <f>首页!$B$9*0.0000000567*((C121^4-D121^4)/(C121-D121))</f>
        <v>7.7687338005019564</v>
      </c>
      <c r="M121" s="6">
        <f>IF(首页!$B$13="自然对流",IF(首页!$B$14="立式圆筒",首页!$B$10,PI()*B121/2),PI()*B121/2)</f>
        <v>55.2</v>
      </c>
      <c r="N121" s="7">
        <f>IF(首页!$B$13="强制对流",首页!$B$11*M121/H121,0)</f>
        <v>0</v>
      </c>
      <c r="O121" s="7">
        <f>IF(首页!$B$13="自然对流",IF(首页!$B$14="立式圆筒",(0.825+0.3063*I121^(1/6))^2+0.87*(M121/B121),(0.752+0.303*I121^(1/6))^2),0.3+SQRT((0.592*N121^0.5)^2+(0.0262*N121^0.8/(1-0.5/N121^0.1))^2))</f>
        <v>10155.639321116718</v>
      </c>
      <c r="P121" s="6">
        <f t="shared" si="15"/>
        <v>2.9510194925512497E-2</v>
      </c>
      <c r="Q121" s="6">
        <f t="shared" si="16"/>
        <v>5.429255361582495</v>
      </c>
      <c r="R121" s="6">
        <f t="shared" si="17"/>
        <v>13.19798916208445</v>
      </c>
      <c r="S121" s="6">
        <f>IF($Y$2="按单位面积散热损失 qp",B121*LN(B121/首页!$B$4),LN(B121/首页!$B$4))</f>
        <v>0.37880108035124993</v>
      </c>
      <c r="T121" s="6">
        <f>IF($Y$2="按单位面积散热损失 qp",2*PI()*首页!$B$8*((E121-D121)/$Y$3-1/R121),2*PI()*首页!$B$8*((E121-D121)/$Y$4-1/(PI()*B121*R121)))</f>
        <v>4.087651624961728E-2</v>
      </c>
      <c r="U121" t="str">
        <f t="shared" si="18"/>
        <v>按单位面积散热损失 qp</v>
      </c>
      <c r="V121" s="6">
        <f t="shared" si="19"/>
        <v>0.33792456410163263</v>
      </c>
    </row>
    <row r="122" spans="1:22" x14ac:dyDescent="0.15">
      <c r="A122">
        <v>117</v>
      </c>
      <c r="B122" s="6">
        <f>首页!$B$4+2*A122/1000</f>
        <v>0.35399999999999998</v>
      </c>
      <c r="C122" s="6">
        <f>首页!$B$7+273.15</f>
        <v>388.15</v>
      </c>
      <c r="D122" s="6">
        <f>首页!$B$6+273.15</f>
        <v>293.14999999999998</v>
      </c>
      <c r="E122" s="6">
        <f>首页!$B$5+273.15</f>
        <v>1373.15</v>
      </c>
      <c r="F122" s="6">
        <f t="shared" si="10"/>
        <v>95</v>
      </c>
      <c r="G122" s="6">
        <f t="shared" si="11"/>
        <v>340.65</v>
      </c>
      <c r="H122" s="6">
        <f t="shared" si="12"/>
        <v>1.9926207055139041E-5</v>
      </c>
      <c r="I122" s="7">
        <f t="shared" si="13"/>
        <v>1158916576932337.8</v>
      </c>
      <c r="J122" s="6">
        <f t="shared" si="14"/>
        <v>1.0226038455893147</v>
      </c>
      <c r="K122" s="7">
        <f>J122*H122*首页!$B$12/P122</f>
        <v>0.69532757496605813</v>
      </c>
      <c r="L122" s="6">
        <f>首页!$B$9*0.0000000567*((C122^4-D122^4)/(C122-D122))</f>
        <v>7.7687338005019564</v>
      </c>
      <c r="M122" s="6">
        <f>IF(首页!$B$13="自然对流",IF(首页!$B$14="立式圆筒",首页!$B$10,PI()*B122/2),PI()*B122/2)</f>
        <v>55.2</v>
      </c>
      <c r="N122" s="7">
        <f>IF(首页!$B$13="强制对流",首页!$B$11*M122/H122,0)</f>
        <v>0</v>
      </c>
      <c r="O122" s="7">
        <f>IF(首页!$B$13="自然对流",IF(首页!$B$14="立式圆筒",(0.825+0.3063*I122^(1/6))^2+0.87*(M122/B122),(0.752+0.303*I122^(1/6))^2),0.3+SQRT((0.592*N122^0.5)^2+(0.0262*N122^0.8/(1-0.5/N122^0.1))^2))</f>
        <v>10154.868519884052</v>
      </c>
      <c r="P122" s="6">
        <f t="shared" si="15"/>
        <v>2.9510194925512497E-2</v>
      </c>
      <c r="Q122" s="6">
        <f t="shared" si="16"/>
        <v>5.4288432874045096</v>
      </c>
      <c r="R122" s="6">
        <f t="shared" si="17"/>
        <v>13.197577087906467</v>
      </c>
      <c r="S122" s="6">
        <f>IF($Y$2="按单位面积散热损失 qp",B122*LN(B122/首页!$B$4),LN(B122/首页!$B$4))</f>
        <v>0.38295903030451184</v>
      </c>
      <c r="T122" s="6">
        <f>IF($Y$2="按单位面积散热损失 qp",2*PI()*首页!$B$8*((E122-D122)/$Y$3-1/R122),2*PI()*首页!$B$8*((E122-D122)/$Y$4-1/(PI()*B122*R122)))</f>
        <v>4.0875847342513344E-2</v>
      </c>
      <c r="U122" t="str">
        <f t="shared" si="18"/>
        <v>按单位面积散热损失 qp</v>
      </c>
      <c r="V122" s="6">
        <f t="shared" si="19"/>
        <v>0.34208318296199847</v>
      </c>
    </row>
    <row r="123" spans="1:22" x14ac:dyDescent="0.15">
      <c r="A123">
        <v>118</v>
      </c>
      <c r="B123" s="6">
        <f>首页!$B$4+2*A123/1000</f>
        <v>0.35599999999999998</v>
      </c>
      <c r="C123" s="6">
        <f>首页!$B$7+273.15</f>
        <v>388.15</v>
      </c>
      <c r="D123" s="6">
        <f>首页!$B$6+273.15</f>
        <v>293.14999999999998</v>
      </c>
      <c r="E123" s="6">
        <f>首页!$B$5+273.15</f>
        <v>1373.15</v>
      </c>
      <c r="F123" s="6">
        <f t="shared" si="10"/>
        <v>95</v>
      </c>
      <c r="G123" s="6">
        <f t="shared" si="11"/>
        <v>340.65</v>
      </c>
      <c r="H123" s="6">
        <f t="shared" si="12"/>
        <v>1.9926207055139041E-5</v>
      </c>
      <c r="I123" s="7">
        <f t="shared" si="13"/>
        <v>1158916576932337.8</v>
      </c>
      <c r="J123" s="6">
        <f t="shared" si="14"/>
        <v>1.0226038455893147</v>
      </c>
      <c r="K123" s="7">
        <f>J123*H123*首页!$B$12/P123</f>
        <v>0.69532757496605813</v>
      </c>
      <c r="L123" s="6">
        <f>首页!$B$9*0.0000000567*((C123^4-D123^4)/(C123-D123))</f>
        <v>7.7687338005019564</v>
      </c>
      <c r="M123" s="6">
        <f>IF(首页!$B$13="自然对流",IF(首页!$B$14="立式圆筒",首页!$B$10,PI()*B123/2),PI()*B123/2)</f>
        <v>55.2</v>
      </c>
      <c r="N123" s="7">
        <f>IF(首页!$B$13="强制对流",首页!$B$11*M123/H123,0)</f>
        <v>0</v>
      </c>
      <c r="O123" s="7">
        <f>IF(首页!$B$13="自然对流",IF(首页!$B$14="立式圆筒",(0.825+0.3063*I123^(1/6))^2+0.87*(M123/B123),(0.752+0.303*I123^(1/6))^2),0.3+SQRT((0.592*N123^0.5)^2+(0.0262*N123^0.8/(1-0.5/N123^0.1))^2))</f>
        <v>10154.106379339395</v>
      </c>
      <c r="P123" s="6">
        <f t="shared" si="15"/>
        <v>2.9510194925512497E-2</v>
      </c>
      <c r="Q123" s="6">
        <f t="shared" si="16"/>
        <v>5.4284358432734683</v>
      </c>
      <c r="R123" s="6">
        <f t="shared" si="17"/>
        <v>13.197169643775425</v>
      </c>
      <c r="S123" s="6">
        <f>IF($Y$2="按单位面积散热损失 qp",B123*LN(B123/首页!$B$4),LN(B123/首页!$B$4))</f>
        <v>0.38712827975291442</v>
      </c>
      <c r="T123" s="6">
        <f>IF($Y$2="按单位面积散热损失 qp",2*PI()*首页!$B$8*((E123-D123)/$Y$3-1/R123),2*PI()*首页!$B$8*((E123-D123)/$Y$4-1/(PI()*B123*R123)))</f>
        <v>4.0875185910148465E-2</v>
      </c>
      <c r="U123" t="str">
        <f t="shared" si="18"/>
        <v>按单位面积散热损失 qp</v>
      </c>
      <c r="V123" s="6">
        <f t="shared" si="19"/>
        <v>0.34625309384276592</v>
      </c>
    </row>
    <row r="124" spans="1:22" x14ac:dyDescent="0.15">
      <c r="A124">
        <v>119</v>
      </c>
      <c r="B124" s="6">
        <f>首页!$B$4+2*A124/1000</f>
        <v>0.35799999999999998</v>
      </c>
      <c r="C124" s="6">
        <f>首页!$B$7+273.15</f>
        <v>388.15</v>
      </c>
      <c r="D124" s="6">
        <f>首页!$B$6+273.15</f>
        <v>293.14999999999998</v>
      </c>
      <c r="E124" s="6">
        <f>首页!$B$5+273.15</f>
        <v>1373.15</v>
      </c>
      <c r="F124" s="6">
        <f t="shared" si="10"/>
        <v>95</v>
      </c>
      <c r="G124" s="6">
        <f t="shared" si="11"/>
        <v>340.65</v>
      </c>
      <c r="H124" s="6">
        <f t="shared" si="12"/>
        <v>1.9926207055139041E-5</v>
      </c>
      <c r="I124" s="7">
        <f t="shared" si="13"/>
        <v>1158916576932337.8</v>
      </c>
      <c r="J124" s="6">
        <f t="shared" si="14"/>
        <v>1.0226038455893147</v>
      </c>
      <c r="K124" s="7">
        <f>J124*H124*首页!$B$12/P124</f>
        <v>0.69532757496605813</v>
      </c>
      <c r="L124" s="6">
        <f>首页!$B$9*0.0000000567*((C124^4-D124^4)/(C124-D124))</f>
        <v>7.7687338005019564</v>
      </c>
      <c r="M124" s="6">
        <f>IF(首页!$B$13="自然对流",IF(首页!$B$14="立式圆筒",首页!$B$10,PI()*B124/2),PI()*B124/2)</f>
        <v>55.2</v>
      </c>
      <c r="N124" s="7">
        <f>IF(首页!$B$13="强制对流",首页!$B$11*M124/H124,0)</f>
        <v>0</v>
      </c>
      <c r="O124" s="7">
        <f>IF(首页!$B$13="自然对流",IF(首页!$B$14="立式圆筒",(0.825+0.3063*I124^(1/6))^2+0.87*(M124/B124),(0.752+0.303*I124^(1/6))^2),0.3+SQRT((0.592*N124^0.5)^2+(0.0262*N124^0.8/(1-0.5/N124^0.1))^2))</f>
        <v>10153.352754331549</v>
      </c>
      <c r="P124" s="6">
        <f t="shared" si="15"/>
        <v>2.9510194925512497E-2</v>
      </c>
      <c r="Q124" s="6">
        <f t="shared" si="16"/>
        <v>5.4280329515908186</v>
      </c>
      <c r="R124" s="6">
        <f t="shared" si="17"/>
        <v>13.196766752092774</v>
      </c>
      <c r="S124" s="6">
        <f>IF($Y$2="按单位面积散热损失 qp",B124*LN(B124/首页!$B$4),LN(B124/首页!$B$4))</f>
        <v>0.39130876521547819</v>
      </c>
      <c r="T124" s="6">
        <f>IF($Y$2="按单位面积散热损失 qp",2*PI()*首页!$B$8*((E124-D124)/$Y$3-1/R124),2*PI()*首页!$B$8*((E124-D124)/$Y$4-1/(PI()*B124*R124)))</f>
        <v>4.0874531827928461E-2</v>
      </c>
      <c r="U124" t="str">
        <f t="shared" si="18"/>
        <v>按单位面积散热损失 qp</v>
      </c>
      <c r="V124" s="6">
        <f t="shared" si="19"/>
        <v>0.35043423338754975</v>
      </c>
    </row>
    <row r="125" spans="1:22" x14ac:dyDescent="0.15">
      <c r="A125">
        <v>120</v>
      </c>
      <c r="B125" s="6">
        <f>首页!$B$4+2*A125/1000</f>
        <v>0.36</v>
      </c>
      <c r="C125" s="6">
        <f>首页!$B$7+273.15</f>
        <v>388.15</v>
      </c>
      <c r="D125" s="6">
        <f>首页!$B$6+273.15</f>
        <v>293.14999999999998</v>
      </c>
      <c r="E125" s="6">
        <f>首页!$B$5+273.15</f>
        <v>1373.15</v>
      </c>
      <c r="F125" s="6">
        <f t="shared" si="10"/>
        <v>95</v>
      </c>
      <c r="G125" s="6">
        <f t="shared" si="11"/>
        <v>340.65</v>
      </c>
      <c r="H125" s="6">
        <f t="shared" si="12"/>
        <v>1.9926207055139041E-5</v>
      </c>
      <c r="I125" s="7">
        <f t="shared" si="13"/>
        <v>1158916576932337.8</v>
      </c>
      <c r="J125" s="6">
        <f t="shared" si="14"/>
        <v>1.0226038455893147</v>
      </c>
      <c r="K125" s="7">
        <f>J125*H125*首页!$B$12/P125</f>
        <v>0.69532757496605813</v>
      </c>
      <c r="L125" s="6">
        <f>首页!$B$9*0.0000000567*((C125^4-D125^4)/(C125-D125))</f>
        <v>7.7687338005019564</v>
      </c>
      <c r="M125" s="6">
        <f>IF(首页!$B$13="自然对流",IF(首页!$B$14="立式圆筒",首页!$B$10,PI()*B125/2),PI()*B125/2)</f>
        <v>55.2</v>
      </c>
      <c r="N125" s="7">
        <f>IF(首页!$B$13="强制对流",首页!$B$11*M125/H125,0)</f>
        <v>0</v>
      </c>
      <c r="O125" s="7">
        <f>IF(首页!$B$13="自然对流",IF(首页!$B$14="立式圆筒",(0.825+0.3063*I125^(1/6))^2+0.87*(M125/B125),(0.752+0.303*I125^(1/6))^2),0.3+SQRT((0.592*N125^0.5)^2+(0.0262*N125^0.8/(1-0.5/N125^0.1))^2))</f>
        <v>10152.607502934899</v>
      </c>
      <c r="P125" s="6">
        <f t="shared" si="15"/>
        <v>2.9510194925512497E-2</v>
      </c>
      <c r="Q125" s="6">
        <f t="shared" si="16"/>
        <v>5.4276345364824188</v>
      </c>
      <c r="R125" s="6">
        <f t="shared" si="17"/>
        <v>13.196368336984374</v>
      </c>
      <c r="S125" s="6">
        <f>IF($Y$2="按单位面积散热损失 qp",B125*LN(B125/首页!$B$4),LN(B125/首页!$B$4))</f>
        <v>0.39550042392051948</v>
      </c>
      <c r="T125" s="6">
        <f>IF($Y$2="按单位面积散热损失 qp",2*PI()*首页!$B$8*((E125-D125)/$Y$3-1/R125),2*PI()*首页!$B$8*((E125-D125)/$Y$4-1/(PI()*B125*R125)))</f>
        <v>4.0873884974012953E-2</v>
      </c>
      <c r="U125" t="str">
        <f t="shared" si="18"/>
        <v>按单位面积散热损失 qp</v>
      </c>
      <c r="V125" s="6">
        <f t="shared" si="19"/>
        <v>0.35462653894650653</v>
      </c>
    </row>
    <row r="126" spans="1:22" x14ac:dyDescent="0.15">
      <c r="A126">
        <v>121</v>
      </c>
      <c r="B126" s="6">
        <f>首页!$B$4+2*A126/1000</f>
        <v>0.36199999999999999</v>
      </c>
      <c r="C126" s="6">
        <f>首页!$B$7+273.15</f>
        <v>388.15</v>
      </c>
      <c r="D126" s="6">
        <f>首页!$B$6+273.15</f>
        <v>293.14999999999998</v>
      </c>
      <c r="E126" s="6">
        <f>首页!$B$5+273.15</f>
        <v>1373.15</v>
      </c>
      <c r="F126" s="6">
        <f t="shared" si="10"/>
        <v>95</v>
      </c>
      <c r="G126" s="6">
        <f t="shared" si="11"/>
        <v>340.65</v>
      </c>
      <c r="H126" s="6">
        <f t="shared" si="12"/>
        <v>1.9926207055139041E-5</v>
      </c>
      <c r="I126" s="7">
        <f t="shared" si="13"/>
        <v>1158916576932337.8</v>
      </c>
      <c r="J126" s="6">
        <f t="shared" si="14"/>
        <v>1.0226038455893147</v>
      </c>
      <c r="K126" s="7">
        <f>J126*H126*首页!$B$12/P126</f>
        <v>0.69532757496605813</v>
      </c>
      <c r="L126" s="6">
        <f>首页!$B$9*0.0000000567*((C126^4-D126^4)/(C126-D126))</f>
        <v>7.7687338005019564</v>
      </c>
      <c r="M126" s="6">
        <f>IF(首页!$B$13="自然对流",IF(首页!$B$14="立式圆筒",首页!$B$10,PI()*B126/2),PI()*B126/2)</f>
        <v>55.2</v>
      </c>
      <c r="N126" s="7">
        <f>IF(首页!$B$13="强制对流",首页!$B$11*M126/H126,0)</f>
        <v>0</v>
      </c>
      <c r="O126" s="7">
        <f>IF(首页!$B$13="自然对流",IF(首页!$B$14="立式圆筒",(0.825+0.3063*I126^(1/6))^2+0.87*(M126/B126),(0.752+0.303*I126^(1/6))^2),0.3+SQRT((0.592*N126^0.5)^2+(0.0262*N126^0.8/(1-0.5/N126^0.1))^2))</f>
        <v>10151.870486360314</v>
      </c>
      <c r="P126" s="6">
        <f t="shared" si="15"/>
        <v>2.9510194925512497E-2</v>
      </c>
      <c r="Q126" s="6">
        <f t="shared" si="16"/>
        <v>5.4272405237509096</v>
      </c>
      <c r="R126" s="6">
        <f t="shared" si="17"/>
        <v>13.195974324252866</v>
      </c>
      <c r="S126" s="6">
        <f>IF($Y$2="按单位面积散热损失 qp",B126*LN(B126/首页!$B$4),LN(B126/首页!$B$4))</f>
        <v>0.39970319379382846</v>
      </c>
      <c r="T126" s="6">
        <f>IF($Y$2="按单位面积散热损失 qp",2*PI()*首页!$B$8*((E126-D126)/$Y$3-1/R126),2*PI()*首页!$B$8*((E126-D126)/$Y$4-1/(PI()*B126*R126)))</f>
        <v>4.0873245229239692E-2</v>
      </c>
      <c r="U126" t="str">
        <f t="shared" si="18"/>
        <v>按单位面积散热损失 qp</v>
      </c>
      <c r="V126" s="6">
        <f t="shared" si="19"/>
        <v>0.35882994856458877</v>
      </c>
    </row>
    <row r="127" spans="1:22" x14ac:dyDescent="0.15">
      <c r="A127">
        <v>122</v>
      </c>
      <c r="B127" s="6">
        <f>首页!$B$4+2*A127/1000</f>
        <v>0.36399999999999999</v>
      </c>
      <c r="C127" s="6">
        <f>首页!$B$7+273.15</f>
        <v>388.15</v>
      </c>
      <c r="D127" s="6">
        <f>首页!$B$6+273.15</f>
        <v>293.14999999999998</v>
      </c>
      <c r="E127" s="6">
        <f>首页!$B$5+273.15</f>
        <v>1373.15</v>
      </c>
      <c r="F127" s="6">
        <f t="shared" si="10"/>
        <v>95</v>
      </c>
      <c r="G127" s="6">
        <f t="shared" si="11"/>
        <v>340.65</v>
      </c>
      <c r="H127" s="6">
        <f t="shared" si="12"/>
        <v>1.9926207055139041E-5</v>
      </c>
      <c r="I127" s="7">
        <f t="shared" si="13"/>
        <v>1158916576932337.8</v>
      </c>
      <c r="J127" s="6">
        <f t="shared" si="14"/>
        <v>1.0226038455893147</v>
      </c>
      <c r="K127" s="7">
        <f>J127*H127*首页!$B$12/P127</f>
        <v>0.69532757496605813</v>
      </c>
      <c r="L127" s="6">
        <f>首页!$B$9*0.0000000567*((C127^4-D127^4)/(C127-D127))</f>
        <v>7.7687338005019564</v>
      </c>
      <c r="M127" s="6">
        <f>IF(首页!$B$13="自然对流",IF(首页!$B$14="立式圆筒",首页!$B$10,PI()*B127/2),PI()*B127/2)</f>
        <v>55.2</v>
      </c>
      <c r="N127" s="7">
        <f>IF(首页!$B$13="强制对流",首页!$B$11*M127/H127,0)</f>
        <v>0</v>
      </c>
      <c r="O127" s="7">
        <f>IF(首页!$B$13="自然对流",IF(首页!$B$14="立式圆筒",(0.825+0.3063*I127^(1/6))^2+0.87*(M127/B127),(0.752+0.303*I127^(1/6))^2),0.3+SQRT((0.592*N127^0.5)^2+(0.0262*N127^0.8/(1-0.5/N127^0.1))^2))</f>
        <v>10151.141568868965</v>
      </c>
      <c r="P127" s="6">
        <f t="shared" si="15"/>
        <v>2.9510194925512497E-2</v>
      </c>
      <c r="Q127" s="6">
        <f t="shared" si="16"/>
        <v>5.4268508408296352</v>
      </c>
      <c r="R127" s="6">
        <f t="shared" si="17"/>
        <v>13.195584641331592</v>
      </c>
      <c r="S127" s="6">
        <f>IF($Y$2="按单位面积散热损失 qp",B127*LN(B127/首页!$B$4),LN(B127/首页!$B$4))</f>
        <v>0.4039170134471089</v>
      </c>
      <c r="T127" s="6">
        <f>IF($Y$2="按单位面积散热损失 qp",2*PI()*首页!$B$8*((E127-D127)/$Y$3-1/R127),2*PI()*首页!$B$8*((E127-D127)/$Y$4-1/(PI()*B127*R127)))</f>
        <v>4.0872612477051373E-2</v>
      </c>
      <c r="U127" t="str">
        <f t="shared" si="18"/>
        <v>按单位面积散热损失 qp</v>
      </c>
      <c r="V127" s="6">
        <f t="shared" si="19"/>
        <v>0.36304440097005752</v>
      </c>
    </row>
    <row r="128" spans="1:22" x14ac:dyDescent="0.15">
      <c r="A128">
        <v>123</v>
      </c>
      <c r="B128" s="6">
        <f>首页!$B$4+2*A128/1000</f>
        <v>0.36599999999999999</v>
      </c>
      <c r="C128" s="6">
        <f>首页!$B$7+273.15</f>
        <v>388.15</v>
      </c>
      <c r="D128" s="6">
        <f>首页!$B$6+273.15</f>
        <v>293.14999999999998</v>
      </c>
      <c r="E128" s="6">
        <f>首页!$B$5+273.15</f>
        <v>1373.15</v>
      </c>
      <c r="F128" s="6">
        <f t="shared" si="10"/>
        <v>95</v>
      </c>
      <c r="G128" s="6">
        <f t="shared" si="11"/>
        <v>340.65</v>
      </c>
      <c r="H128" s="6">
        <f t="shared" si="12"/>
        <v>1.9926207055139041E-5</v>
      </c>
      <c r="I128" s="7">
        <f t="shared" si="13"/>
        <v>1158916576932337.8</v>
      </c>
      <c r="J128" s="6">
        <f t="shared" si="14"/>
        <v>1.0226038455893147</v>
      </c>
      <c r="K128" s="7">
        <f>J128*H128*首页!$B$12/P128</f>
        <v>0.69532757496605813</v>
      </c>
      <c r="L128" s="6">
        <f>首页!$B$9*0.0000000567*((C128^4-D128^4)/(C128-D128))</f>
        <v>7.7687338005019564</v>
      </c>
      <c r="M128" s="6">
        <f>IF(首页!$B$13="自然对流",IF(首页!$B$14="立式圆筒",首页!$B$10,PI()*B128/2),PI()*B128/2)</f>
        <v>55.2</v>
      </c>
      <c r="N128" s="7">
        <f>IF(首页!$B$13="强制对流",首页!$B$11*M128/H128,0)</f>
        <v>0</v>
      </c>
      <c r="O128" s="7">
        <f>IF(首页!$B$13="自然对流",IF(首页!$B$14="立式圆筒",(0.825+0.3063*I128^(1/6))^2+0.87*(M128/B128),(0.752+0.303*I128^(1/6))^2),0.3+SQRT((0.592*N128^0.5)^2+(0.0262*N128^0.8/(1-0.5/N128^0.1))^2))</f>
        <v>10150.420617688998</v>
      </c>
      <c r="P128" s="6">
        <f t="shared" si="15"/>
        <v>2.9510194925512497E-2</v>
      </c>
      <c r="Q128" s="6">
        <f t="shared" si="16"/>
        <v>5.4264654167381021</v>
      </c>
      <c r="R128" s="6">
        <f t="shared" si="17"/>
        <v>13.195199217240059</v>
      </c>
      <c r="S128" s="6">
        <f>IF($Y$2="按单位面积散热损失 qp",B128*LN(B128/首页!$B$4),LN(B128/首页!$B$4))</f>
        <v>0.40814182216667122</v>
      </c>
      <c r="T128" s="6">
        <f>IF($Y$2="按单位面积散热损失 qp",2*PI()*首页!$B$8*((E128-D128)/$Y$3-1/R128),2*PI()*首页!$B$8*((E128-D128)/$Y$4-1/(PI()*B128*R128)))</f>
        <v>4.0871986603424872E-2</v>
      </c>
      <c r="U128" t="str">
        <f t="shared" si="18"/>
        <v>按单位面积散热损失 qp</v>
      </c>
      <c r="V128" s="6">
        <f t="shared" si="19"/>
        <v>0.36726983556324633</v>
      </c>
    </row>
    <row r="129" spans="1:22" x14ac:dyDescent="0.15">
      <c r="A129">
        <v>124</v>
      </c>
      <c r="B129" s="6">
        <f>首页!$B$4+2*A129/1000</f>
        <v>0.36799999999999999</v>
      </c>
      <c r="C129" s="6">
        <f>首页!$B$7+273.15</f>
        <v>388.15</v>
      </c>
      <c r="D129" s="6">
        <f>首页!$B$6+273.15</f>
        <v>293.14999999999998</v>
      </c>
      <c r="E129" s="6">
        <f>首页!$B$5+273.15</f>
        <v>1373.15</v>
      </c>
      <c r="F129" s="6">
        <f t="shared" si="10"/>
        <v>95</v>
      </c>
      <c r="G129" s="6">
        <f t="shared" si="11"/>
        <v>340.65</v>
      </c>
      <c r="H129" s="6">
        <f t="shared" si="12"/>
        <v>1.9926207055139041E-5</v>
      </c>
      <c r="I129" s="7">
        <f t="shared" si="13"/>
        <v>1158916576932337.8</v>
      </c>
      <c r="J129" s="6">
        <f t="shared" si="14"/>
        <v>1.0226038455893147</v>
      </c>
      <c r="K129" s="7">
        <f>J129*H129*首页!$B$12/P129</f>
        <v>0.69532757496605813</v>
      </c>
      <c r="L129" s="6">
        <f>首页!$B$9*0.0000000567*((C129^4-D129^4)/(C129-D129))</f>
        <v>7.7687338005019564</v>
      </c>
      <c r="M129" s="6">
        <f>IF(首页!$B$13="自然对流",IF(首页!$B$14="立式圆筒",首页!$B$10,PI()*B129/2),PI()*B129/2)</f>
        <v>55.2</v>
      </c>
      <c r="N129" s="7">
        <f>IF(首页!$B$13="强制对流",首页!$B$11*M129/H129,0)</f>
        <v>0</v>
      </c>
      <c r="O129" s="7">
        <f>IF(首页!$B$13="自然对流",IF(首页!$B$14="立式圆筒",(0.825+0.3063*I129^(1/6))^2+0.87*(M129/B129),(0.752+0.303*I129^(1/6))^2),0.3+SQRT((0.592*N129^0.5)^2+(0.0262*N129^0.8/(1-0.5/N129^0.1))^2))</f>
        <v>10149.7075029349</v>
      </c>
      <c r="P129" s="6">
        <f t="shared" si="15"/>
        <v>2.9510194925512497E-2</v>
      </c>
      <c r="Q129" s="6">
        <f t="shared" si="16"/>
        <v>5.4260841820388688</v>
      </c>
      <c r="R129" s="6">
        <f t="shared" si="17"/>
        <v>13.194817982540826</v>
      </c>
      <c r="S129" s="6">
        <f>IF($Y$2="按单位面积散热损失 qp",B129*LN(B129/首页!$B$4),LN(B129/首页!$B$4))</f>
        <v>0.41237755990237368</v>
      </c>
      <c r="T129" s="6">
        <f>IF($Y$2="按单位面积散热损失 qp",2*PI()*首页!$B$8*((E129-D129)/$Y$3-1/R129),2*PI()*首页!$B$8*((E129-D129)/$Y$4-1/(PI()*B129*R129)))</f>
        <v>4.0871367496802695E-2</v>
      </c>
      <c r="U129" t="str">
        <f t="shared" si="18"/>
        <v>按单位面积散热损失 qp</v>
      </c>
      <c r="V129" s="6">
        <f t="shared" si="19"/>
        <v>0.37150619240557098</v>
      </c>
    </row>
    <row r="130" spans="1:22" x14ac:dyDescent="0.15">
      <c r="A130">
        <v>125</v>
      </c>
      <c r="B130" s="6">
        <f>首页!$B$4+2*A130/1000</f>
        <v>0.37</v>
      </c>
      <c r="C130" s="6">
        <f>首页!$B$7+273.15</f>
        <v>388.15</v>
      </c>
      <c r="D130" s="6">
        <f>首页!$B$6+273.15</f>
        <v>293.14999999999998</v>
      </c>
      <c r="E130" s="6">
        <f>首页!$B$5+273.15</f>
        <v>1373.15</v>
      </c>
      <c r="F130" s="6">
        <f t="shared" si="10"/>
        <v>95</v>
      </c>
      <c r="G130" s="6">
        <f t="shared" si="11"/>
        <v>340.65</v>
      </c>
      <c r="H130" s="6">
        <f t="shared" si="12"/>
        <v>1.9926207055139041E-5</v>
      </c>
      <c r="I130" s="7">
        <f t="shared" si="13"/>
        <v>1158916576932337.8</v>
      </c>
      <c r="J130" s="6">
        <f t="shared" si="14"/>
        <v>1.0226038455893147</v>
      </c>
      <c r="K130" s="7">
        <f>J130*H130*首页!$B$12/P130</f>
        <v>0.69532757496605813</v>
      </c>
      <c r="L130" s="6">
        <f>首页!$B$9*0.0000000567*((C130^4-D130^4)/(C130-D130))</f>
        <v>7.7687338005019564</v>
      </c>
      <c r="M130" s="6">
        <f>IF(首页!$B$13="自然对流",IF(首页!$B$14="立式圆筒",首页!$B$10,PI()*B130/2),PI()*B130/2)</f>
        <v>55.2</v>
      </c>
      <c r="N130" s="7">
        <f>IF(首页!$B$13="强制对流",首页!$B$11*M130/H130,0)</f>
        <v>0</v>
      </c>
      <c r="O130" s="7">
        <f>IF(首页!$B$13="自然对流",IF(首页!$B$14="立式圆筒",(0.825+0.3063*I130^(1/6))^2+0.87*(M130/B130),(0.752+0.303*I130^(1/6))^2),0.3+SQRT((0.592*N130^0.5)^2+(0.0262*N130^0.8/(1-0.5/N130^0.1))^2))</f>
        <v>10149.002097529494</v>
      </c>
      <c r="P130" s="6">
        <f t="shared" si="15"/>
        <v>2.9510194925512497E-2</v>
      </c>
      <c r="Q130" s="6">
        <f t="shared" si="16"/>
        <v>5.4257070687958429</v>
      </c>
      <c r="R130" s="6">
        <f t="shared" si="17"/>
        <v>13.1944408692978</v>
      </c>
      <c r="S130" s="6">
        <f>IF($Y$2="按单位面积散热损失 qp",B130*LN(B130/首页!$B$4),LN(B130/首页!$B$4))</f>
        <v>0.41662416725680296</v>
      </c>
      <c r="T130" s="6">
        <f>IF($Y$2="按单位面积散热损失 qp",2*PI()*首页!$B$8*((E130-D130)/$Y$3-1/R130),2*PI()*首页!$B$8*((E130-D130)/$Y$4-1/(PI()*B130*R130)))</f>
        <v>4.0870755048026723E-2</v>
      </c>
      <c r="U130" t="str">
        <f t="shared" si="18"/>
        <v>按单位面积散热损失 qp</v>
      </c>
      <c r="V130" s="6">
        <f t="shared" si="19"/>
        <v>0.37575341220877623</v>
      </c>
    </row>
    <row r="131" spans="1:22" x14ac:dyDescent="0.15">
      <c r="A131">
        <v>126</v>
      </c>
      <c r="B131" s="6">
        <f>首页!$B$4+2*A131/1000</f>
        <v>0.372</v>
      </c>
      <c r="C131" s="6">
        <f>首页!$B$7+273.15</f>
        <v>388.15</v>
      </c>
      <c r="D131" s="6">
        <f>首页!$B$6+273.15</f>
        <v>293.14999999999998</v>
      </c>
      <c r="E131" s="6">
        <f>首页!$B$5+273.15</f>
        <v>1373.15</v>
      </c>
      <c r="F131" s="6">
        <f t="shared" si="10"/>
        <v>95</v>
      </c>
      <c r="G131" s="6">
        <f t="shared" si="11"/>
        <v>340.65</v>
      </c>
      <c r="H131" s="6">
        <f t="shared" si="12"/>
        <v>1.9926207055139041E-5</v>
      </c>
      <c r="I131" s="7">
        <f t="shared" si="13"/>
        <v>1158916576932337.8</v>
      </c>
      <c r="J131" s="6">
        <f t="shared" si="14"/>
        <v>1.0226038455893147</v>
      </c>
      <c r="K131" s="7">
        <f>J131*H131*首页!$B$12/P131</f>
        <v>0.69532757496605813</v>
      </c>
      <c r="L131" s="6">
        <f>首页!$B$9*0.0000000567*((C131^4-D131^4)/(C131-D131))</f>
        <v>7.7687338005019564</v>
      </c>
      <c r="M131" s="6">
        <f>IF(首页!$B$13="自然对流",IF(首页!$B$14="立式圆筒",首页!$B$10,PI()*B131/2),PI()*B131/2)</f>
        <v>55.2</v>
      </c>
      <c r="N131" s="7">
        <f>IF(首页!$B$13="强制对流",首页!$B$11*M131/H131,0)</f>
        <v>0</v>
      </c>
      <c r="O131" s="7">
        <f>IF(首页!$B$13="自然对流",IF(首页!$B$14="立式圆筒",(0.825+0.3063*I131^(1/6))^2+0.87*(M131/B131),(0.752+0.303*I131^(1/6))^2),0.3+SQRT((0.592*N131^0.5)^2+(0.0262*N131^0.8/(1-0.5/N131^0.1))^2))</f>
        <v>10148.304277128449</v>
      </c>
      <c r="P131" s="6">
        <f t="shared" si="15"/>
        <v>2.9510194925512497E-2</v>
      </c>
      <c r="Q131" s="6">
        <f t="shared" si="16"/>
        <v>5.4253340105339252</v>
      </c>
      <c r="R131" s="6">
        <f t="shared" si="17"/>
        <v>13.194067811035882</v>
      </c>
      <c r="S131" s="6">
        <f>IF($Y$2="按单位面积散热损失 qp",B131*LN(B131/首页!$B$4),LN(B131/首页!$B$4))</f>
        <v>0.4208815854746894</v>
      </c>
      <c r="T131" s="6">
        <f>IF($Y$2="按单位面积散热损失 qp",2*PI()*首页!$B$8*((E131-D131)/$Y$3-1/R131),2*PI()*首页!$B$8*((E131-D131)/$Y$4-1/(PI()*B131*R131)))</f>
        <v>4.0870149150274059E-2</v>
      </c>
      <c r="U131" t="str">
        <f t="shared" si="18"/>
        <v>按单位面积散热损失 qp</v>
      </c>
      <c r="V131" s="6">
        <f t="shared" si="19"/>
        <v>0.38001143632441536</v>
      </c>
    </row>
    <row r="132" spans="1:22" x14ac:dyDescent="0.15">
      <c r="A132">
        <v>127</v>
      </c>
      <c r="B132" s="6">
        <f>首页!$B$4+2*A132/1000</f>
        <v>0.374</v>
      </c>
      <c r="C132" s="6">
        <f>首页!$B$7+273.15</f>
        <v>388.15</v>
      </c>
      <c r="D132" s="6">
        <f>首页!$B$6+273.15</f>
        <v>293.14999999999998</v>
      </c>
      <c r="E132" s="6">
        <f>首页!$B$5+273.15</f>
        <v>1373.15</v>
      </c>
      <c r="F132" s="6">
        <f t="shared" si="10"/>
        <v>95</v>
      </c>
      <c r="G132" s="6">
        <f t="shared" si="11"/>
        <v>340.65</v>
      </c>
      <c r="H132" s="6">
        <f t="shared" si="12"/>
        <v>1.9926207055139041E-5</v>
      </c>
      <c r="I132" s="7">
        <f t="shared" si="13"/>
        <v>1158916576932337.8</v>
      </c>
      <c r="J132" s="6">
        <f t="shared" si="14"/>
        <v>1.0226038455893147</v>
      </c>
      <c r="K132" s="7">
        <f>J132*H132*首页!$B$12/P132</f>
        <v>0.69532757496605813</v>
      </c>
      <c r="L132" s="6">
        <f>首页!$B$9*0.0000000567*((C132^4-D132^4)/(C132-D132))</f>
        <v>7.7687338005019564</v>
      </c>
      <c r="M132" s="6">
        <f>IF(首页!$B$13="自然对流",IF(首页!$B$14="立式圆筒",首页!$B$10,PI()*B132/2),PI()*B132/2)</f>
        <v>55.2</v>
      </c>
      <c r="N132" s="7">
        <f>IF(首页!$B$13="强制对流",首页!$B$11*M132/H132,0)</f>
        <v>0</v>
      </c>
      <c r="O132" s="7">
        <f>IF(首页!$B$13="自然对流",IF(首页!$B$14="立式圆筒",(0.825+0.3063*I132^(1/6))^2+0.87*(M132/B132),(0.752+0.303*I132^(1/6))^2),0.3+SQRT((0.592*N132^0.5)^2+(0.0262*N132^0.8/(1-0.5/N132^0.1))^2))</f>
        <v>10147.613920047199</v>
      </c>
      <c r="P132" s="6">
        <f t="shared" si="15"/>
        <v>2.9510194925512497E-2</v>
      </c>
      <c r="Q132" s="6">
        <f t="shared" si="16"/>
        <v>5.4249649421999422</v>
      </c>
      <c r="R132" s="6">
        <f t="shared" si="17"/>
        <v>13.193698742701898</v>
      </c>
      <c r="S132" s="6">
        <f>IF($Y$2="按单位面积散热损失 qp",B132*LN(B132/首页!$B$4),LN(B132/首页!$B$4))</f>
        <v>0.42514975643254976</v>
      </c>
      <c r="T132" s="6">
        <f>IF($Y$2="按单位面积散热损失 qp",2*PI()*首页!$B$8*((E132-D132)/$Y$3-1/R132),2*PI()*首页!$B$8*((E132-D132)/$Y$4-1/(PI()*B132*R132)))</f>
        <v>4.0869549698994888E-2</v>
      </c>
      <c r="U132" t="str">
        <f t="shared" si="18"/>
        <v>按单位面积散热损失 qp</v>
      </c>
      <c r="V132" s="6">
        <f t="shared" si="19"/>
        <v>0.3842802067335549</v>
      </c>
    </row>
    <row r="133" spans="1:22" x14ac:dyDescent="0.15">
      <c r="A133">
        <v>128</v>
      </c>
      <c r="B133" s="6">
        <f>首页!$B$4+2*A133/1000</f>
        <v>0.376</v>
      </c>
      <c r="C133" s="6">
        <f>首页!$B$7+273.15</f>
        <v>388.15</v>
      </c>
      <c r="D133" s="6">
        <f>首页!$B$6+273.15</f>
        <v>293.14999999999998</v>
      </c>
      <c r="E133" s="6">
        <f>首页!$B$5+273.15</f>
        <v>1373.15</v>
      </c>
      <c r="F133" s="6">
        <f t="shared" ref="F133:F196" si="20">C133-D133</f>
        <v>95</v>
      </c>
      <c r="G133" s="6">
        <f t="shared" ref="G133:G196" si="21">(C133+D133)/2</f>
        <v>340.65</v>
      </c>
      <c r="H133" s="6">
        <f t="shared" ref="H133:H196" si="22">0.0000000042113*G133^2.5/(112+G133)</f>
        <v>1.9926207055139041E-5</v>
      </c>
      <c r="I133" s="7">
        <f t="shared" ref="I133:I196" si="23">9.81*M133^3*F133/(H133^2*G133)</f>
        <v>1158916576932337.8</v>
      </c>
      <c r="J133" s="6">
        <f t="shared" ref="J133:J196" si="24">348.35/G133</f>
        <v>1.0226038455893147</v>
      </c>
      <c r="K133" s="7">
        <f>J133*H133*首页!$B$12/P133</f>
        <v>0.69532757496605813</v>
      </c>
      <c r="L133" s="6">
        <f>首页!$B$9*0.0000000567*((C133^4-D133^4)/(C133-D133))</f>
        <v>7.7687338005019564</v>
      </c>
      <c r="M133" s="6">
        <f>IF(首页!$B$13="自然对流",IF(首页!$B$14="立式圆筒",首页!$B$10,PI()*B133/2),PI()*B133/2)</f>
        <v>55.2</v>
      </c>
      <c r="N133" s="7">
        <f>IF(首页!$B$13="强制对流",首页!$B$11*M133/H133,0)</f>
        <v>0</v>
      </c>
      <c r="O133" s="7">
        <f>IF(首页!$B$13="自然对流",IF(首页!$B$14="立式圆筒",(0.825+0.3063*I133^(1/6))^2+0.87*(M133/B133),(0.752+0.303*I133^(1/6))^2),0.3+SQRT((0.592*N133^0.5)^2+(0.0262*N133^0.8/(1-0.5/N133^0.1))^2))</f>
        <v>10146.930907190219</v>
      </c>
      <c r="P133" s="6">
        <f t="shared" ref="P133:P196" si="25">0.0243+0.000078421*(G133-273)-0.000000020755*(G133-273)^2</f>
        <v>2.9510194925512497E-2</v>
      </c>
      <c r="Q133" s="6">
        <f t="shared" ref="Q133:Q196" si="26">O133*P133/M133</f>
        <v>5.424599800124831</v>
      </c>
      <c r="R133" s="6">
        <f t="shared" ref="R133:R196" si="27">L133+Q133</f>
        <v>13.193333600626787</v>
      </c>
      <c r="S133" s="6">
        <f>IF($Y$2="按单位面积散热损失 qp",B133*LN(B133/首页!$B$4),LN(B133/首页!$B$4))</f>
        <v>0.42942862262855108</v>
      </c>
      <c r="T133" s="6">
        <f>IF($Y$2="按单位面积散热损失 qp",2*PI()*首页!$B$8*((E133-D133)/$Y$3-1/R133),2*PI()*首页!$B$8*((E133-D133)/$Y$4-1/(PI()*B133*R133)))</f>
        <v>4.086895659185235E-2</v>
      </c>
      <c r="U133" t="str">
        <f t="shared" ref="U133:U196" si="28">IF($Y$2="按单位面积散热损失 qp","按单位面积散热损失 qp","按单位长度散热损失 ql")</f>
        <v>按单位面积散热损失 qp</v>
      </c>
      <c r="V133" s="6">
        <f t="shared" ref="V133:V196" si="29">ABS(S133-T133)</f>
        <v>0.38855966603669873</v>
      </c>
    </row>
    <row r="134" spans="1:22" x14ac:dyDescent="0.15">
      <c r="A134">
        <v>129</v>
      </c>
      <c r="B134" s="6">
        <f>首页!$B$4+2*A134/1000</f>
        <v>0.378</v>
      </c>
      <c r="C134" s="6">
        <f>首页!$B$7+273.15</f>
        <v>388.15</v>
      </c>
      <c r="D134" s="6">
        <f>首页!$B$6+273.15</f>
        <v>293.14999999999998</v>
      </c>
      <c r="E134" s="6">
        <f>首页!$B$5+273.15</f>
        <v>1373.15</v>
      </c>
      <c r="F134" s="6">
        <f t="shared" si="20"/>
        <v>95</v>
      </c>
      <c r="G134" s="6">
        <f t="shared" si="21"/>
        <v>340.65</v>
      </c>
      <c r="H134" s="6">
        <f t="shared" si="22"/>
        <v>1.9926207055139041E-5</v>
      </c>
      <c r="I134" s="7">
        <f t="shared" si="23"/>
        <v>1158916576932337.8</v>
      </c>
      <c r="J134" s="6">
        <f t="shared" si="24"/>
        <v>1.0226038455893147</v>
      </c>
      <c r="K134" s="7">
        <f>J134*H134*首页!$B$12/P134</f>
        <v>0.69532757496605813</v>
      </c>
      <c r="L134" s="6">
        <f>首页!$B$9*0.0000000567*((C134^4-D134^4)/(C134-D134))</f>
        <v>7.7687338005019564</v>
      </c>
      <c r="M134" s="6">
        <f>IF(首页!$B$13="自然对流",IF(首页!$B$14="立式圆筒",首页!$B$10,PI()*B134/2),PI()*B134/2)</f>
        <v>55.2</v>
      </c>
      <c r="N134" s="7">
        <f>IF(首页!$B$13="强制对流",首页!$B$11*M134/H134,0)</f>
        <v>0</v>
      </c>
      <c r="O134" s="7">
        <f>IF(首页!$B$13="自然对流",IF(首页!$B$14="立式圆筒",(0.825+0.3063*I134^(1/6))^2+0.87*(M134/B134),(0.752+0.303*I134^(1/6))^2),0.3+SQRT((0.592*N134^0.5)^2+(0.0262*N134^0.8/(1-0.5/N134^0.1))^2))</f>
        <v>10146.255121982518</v>
      </c>
      <c r="P134" s="6">
        <f t="shared" si="25"/>
        <v>2.9510194925512497E-2</v>
      </c>
      <c r="Q134" s="6">
        <f t="shared" si="26"/>
        <v>5.4242385219870233</v>
      </c>
      <c r="R134" s="6">
        <f t="shared" si="27"/>
        <v>13.192972322488981</v>
      </c>
      <c r="S134" s="6">
        <f>IF($Y$2="按单位面积散热损失 qp",B134*LN(B134/首页!$B$4),LN(B134/首页!$B$4))</f>
        <v>0.43371812717259078</v>
      </c>
      <c r="T134" s="6">
        <f>IF($Y$2="按单位面积散热损失 qp",2*PI()*首页!$B$8*((E134-D134)/$Y$3-1/R134),2*PI()*首页!$B$8*((E134-D134)/$Y$4-1/(PI()*B134*R134)))</f>
        <v>4.0868369728664283E-2</v>
      </c>
      <c r="U134" t="str">
        <f t="shared" si="28"/>
        <v>按单位面积散热损失 qp</v>
      </c>
      <c r="V134" s="6">
        <f t="shared" si="29"/>
        <v>0.39284975744392647</v>
      </c>
    </row>
    <row r="135" spans="1:22" x14ac:dyDescent="0.15">
      <c r="A135">
        <v>130</v>
      </c>
      <c r="B135" s="6">
        <f>首页!$B$4+2*A135/1000</f>
        <v>0.38</v>
      </c>
      <c r="C135" s="6">
        <f>首页!$B$7+273.15</f>
        <v>388.15</v>
      </c>
      <c r="D135" s="6">
        <f>首页!$B$6+273.15</f>
        <v>293.14999999999998</v>
      </c>
      <c r="E135" s="6">
        <f>首页!$B$5+273.15</f>
        <v>1373.15</v>
      </c>
      <c r="F135" s="6">
        <f t="shared" si="20"/>
        <v>95</v>
      </c>
      <c r="G135" s="6">
        <f t="shared" si="21"/>
        <v>340.65</v>
      </c>
      <c r="H135" s="6">
        <f t="shared" si="22"/>
        <v>1.9926207055139041E-5</v>
      </c>
      <c r="I135" s="7">
        <f t="shared" si="23"/>
        <v>1158916576932337.8</v>
      </c>
      <c r="J135" s="6">
        <f t="shared" si="24"/>
        <v>1.0226038455893147</v>
      </c>
      <c r="K135" s="7">
        <f>J135*H135*首页!$B$12/P135</f>
        <v>0.69532757496605813</v>
      </c>
      <c r="L135" s="6">
        <f>首页!$B$9*0.0000000567*((C135^4-D135^4)/(C135-D135))</f>
        <v>7.7687338005019564</v>
      </c>
      <c r="M135" s="6">
        <f>IF(首页!$B$13="自然对流",IF(首页!$B$14="立式圆筒",首页!$B$10,PI()*B135/2),PI()*B135/2)</f>
        <v>55.2</v>
      </c>
      <c r="N135" s="7">
        <f>IF(首页!$B$13="强制对流",首页!$B$11*M135/H135,0)</f>
        <v>0</v>
      </c>
      <c r="O135" s="7">
        <f>IF(首页!$B$13="自然对流",IF(首页!$B$14="立式圆筒",(0.825+0.3063*I135^(1/6))^2+0.87*(M135/B135),(0.752+0.303*I135^(1/6))^2),0.3+SQRT((0.592*N135^0.5)^2+(0.0262*N135^0.8/(1-0.5/N135^0.1))^2))</f>
        <v>10145.586450303321</v>
      </c>
      <c r="P135" s="6">
        <f t="shared" si="25"/>
        <v>2.9510194925512497E-2</v>
      </c>
      <c r="Q135" s="6">
        <f t="shared" si="26"/>
        <v>5.4238810467769811</v>
      </c>
      <c r="R135" s="6">
        <f t="shared" si="27"/>
        <v>13.192614847278938</v>
      </c>
      <c r="S135" s="6">
        <f>IF($Y$2="按单位面积散热损失 qp",B135*LN(B135/首页!$B$4),LN(B135/首页!$B$4))</f>
        <v>0.43801821377658651</v>
      </c>
      <c r="T135" s="6">
        <f>IF($Y$2="按单位面积散热损失 qp",2*PI()*首页!$B$8*((E135-D135)/$Y$3-1/R135),2*PI()*首页!$B$8*((E135-D135)/$Y$4-1/(PI()*B135*R135)))</f>
        <v>4.0867789011346842E-2</v>
      </c>
      <c r="U135" t="str">
        <f t="shared" si="28"/>
        <v>按单位面积散热损失 qp</v>
      </c>
      <c r="V135" s="6">
        <f t="shared" si="29"/>
        <v>0.39715042476523965</v>
      </c>
    </row>
    <row r="136" spans="1:22" x14ac:dyDescent="0.15">
      <c r="A136">
        <v>131</v>
      </c>
      <c r="B136" s="6">
        <f>首页!$B$4+2*A136/1000</f>
        <v>0.38200000000000001</v>
      </c>
      <c r="C136" s="6">
        <f>首页!$B$7+273.15</f>
        <v>388.15</v>
      </c>
      <c r="D136" s="6">
        <f>首页!$B$6+273.15</f>
        <v>293.14999999999998</v>
      </c>
      <c r="E136" s="6">
        <f>首页!$B$5+273.15</f>
        <v>1373.15</v>
      </c>
      <c r="F136" s="6">
        <f t="shared" si="20"/>
        <v>95</v>
      </c>
      <c r="G136" s="6">
        <f t="shared" si="21"/>
        <v>340.65</v>
      </c>
      <c r="H136" s="6">
        <f t="shared" si="22"/>
        <v>1.9926207055139041E-5</v>
      </c>
      <c r="I136" s="7">
        <f t="shared" si="23"/>
        <v>1158916576932337.8</v>
      </c>
      <c r="J136" s="6">
        <f t="shared" si="24"/>
        <v>1.0226038455893147</v>
      </c>
      <c r="K136" s="7">
        <f>J136*H136*首页!$B$12/P136</f>
        <v>0.69532757496605813</v>
      </c>
      <c r="L136" s="6">
        <f>首页!$B$9*0.0000000567*((C136^4-D136^4)/(C136-D136))</f>
        <v>7.7687338005019564</v>
      </c>
      <c r="M136" s="6">
        <f>IF(首页!$B$13="自然对流",IF(首页!$B$14="立式圆筒",首页!$B$10,PI()*B136/2),PI()*B136/2)</f>
        <v>55.2</v>
      </c>
      <c r="N136" s="7">
        <f>IF(首页!$B$13="强制对流",首页!$B$11*M136/H136,0)</f>
        <v>0</v>
      </c>
      <c r="O136" s="7">
        <f>IF(首页!$B$13="自然对流",IF(首页!$B$14="立式圆筒",(0.825+0.3063*I136^(1/6))^2+0.87*(M136/B136),(0.752+0.303*I136^(1/6))^2),0.3+SQRT((0.592*N136^0.5)^2+(0.0262*N136^0.8/(1-0.5/N136^0.1))^2))</f>
        <v>10144.92478042181</v>
      </c>
      <c r="P136" s="6">
        <f t="shared" si="25"/>
        <v>2.9510194925512497E-2</v>
      </c>
      <c r="Q136" s="6">
        <f t="shared" si="26"/>
        <v>5.4235273147628567</v>
      </c>
      <c r="R136" s="6">
        <f t="shared" si="27"/>
        <v>13.192261115264813</v>
      </c>
      <c r="S136" s="6">
        <f>IF($Y$2="按单位面积散热损失 qp",B136*LN(B136/首页!$B$4),LN(B136/首页!$B$4))</f>
        <v>0.4423288267449702</v>
      </c>
      <c r="T136" s="6">
        <f>IF($Y$2="按单位面积散热损失 qp",2*PI()*首页!$B$8*((E136-D136)/$Y$3-1/R136),2*PI()*首页!$B$8*((E136-D136)/$Y$4-1/(PI()*B136*R136)))</f>
        <v>4.0867214343859808E-2</v>
      </c>
      <c r="U136" t="str">
        <f t="shared" si="28"/>
        <v>按单位面积散热损失 qp</v>
      </c>
      <c r="V136" s="6">
        <f t="shared" si="29"/>
        <v>0.40146161240111039</v>
      </c>
    </row>
    <row r="137" spans="1:22" x14ac:dyDescent="0.15">
      <c r="A137">
        <v>132</v>
      </c>
      <c r="B137" s="6">
        <f>首页!$B$4+2*A137/1000</f>
        <v>0.38400000000000001</v>
      </c>
      <c r="C137" s="6">
        <f>首页!$B$7+273.15</f>
        <v>388.15</v>
      </c>
      <c r="D137" s="6">
        <f>首页!$B$6+273.15</f>
        <v>293.14999999999998</v>
      </c>
      <c r="E137" s="6">
        <f>首页!$B$5+273.15</f>
        <v>1373.15</v>
      </c>
      <c r="F137" s="6">
        <f t="shared" si="20"/>
        <v>95</v>
      </c>
      <c r="G137" s="6">
        <f t="shared" si="21"/>
        <v>340.65</v>
      </c>
      <c r="H137" s="6">
        <f t="shared" si="22"/>
        <v>1.9926207055139041E-5</v>
      </c>
      <c r="I137" s="7">
        <f t="shared" si="23"/>
        <v>1158916576932337.8</v>
      </c>
      <c r="J137" s="6">
        <f t="shared" si="24"/>
        <v>1.0226038455893147</v>
      </c>
      <c r="K137" s="7">
        <f>J137*H137*首页!$B$12/P137</f>
        <v>0.69532757496605813</v>
      </c>
      <c r="L137" s="6">
        <f>首页!$B$9*0.0000000567*((C137^4-D137^4)/(C137-D137))</f>
        <v>7.7687338005019564</v>
      </c>
      <c r="M137" s="6">
        <f>IF(首页!$B$13="自然对流",IF(首页!$B$14="立式圆筒",首页!$B$10,PI()*B137/2),PI()*B137/2)</f>
        <v>55.2</v>
      </c>
      <c r="N137" s="7">
        <f>IF(首页!$B$13="强制对流",首页!$B$11*M137/H137,0)</f>
        <v>0</v>
      </c>
      <c r="O137" s="7">
        <f>IF(首页!$B$13="自然对流",IF(首页!$B$14="立式圆筒",(0.825+0.3063*I137^(1/6))^2+0.87*(M137/B137),(0.752+0.303*I137^(1/6))^2),0.3+SQRT((0.592*N137^0.5)^2+(0.0262*N137^0.8/(1-0.5/N137^0.1))^2))</f>
        <v>10144.2700029349</v>
      </c>
      <c r="P137" s="6">
        <f t="shared" si="25"/>
        <v>2.9510194925512497E-2</v>
      </c>
      <c r="Q137" s="6">
        <f t="shared" si="26"/>
        <v>5.4231772674572127</v>
      </c>
      <c r="R137" s="6">
        <f t="shared" si="27"/>
        <v>13.191911067959168</v>
      </c>
      <c r="S137" s="6">
        <f>IF($Y$2="按单位面积散热损失 qp",B137*LN(B137/首页!$B$4),LN(B137/首页!$B$4))</f>
        <v>0.44664991096538148</v>
      </c>
      <c r="T137" s="6">
        <f>IF($Y$2="按单位面积散热损失 qp",2*PI()*首页!$B$8*((E137-D137)/$Y$3-1/R137),2*PI()*首页!$B$8*((E137-D137)/$Y$4-1/(PI()*B137*R137)))</f>
        <v>4.086664563215367E-2</v>
      </c>
      <c r="U137" t="str">
        <f t="shared" si="28"/>
        <v>按单位面积散热损失 qp</v>
      </c>
      <c r="V137" s="6">
        <f t="shared" si="29"/>
        <v>0.40578326533322784</v>
      </c>
    </row>
    <row r="138" spans="1:22" x14ac:dyDescent="0.15">
      <c r="A138">
        <v>133</v>
      </c>
      <c r="B138" s="6">
        <f>首页!$B$4+2*A138/1000</f>
        <v>0.38600000000000001</v>
      </c>
      <c r="C138" s="6">
        <f>首页!$B$7+273.15</f>
        <v>388.15</v>
      </c>
      <c r="D138" s="6">
        <f>首页!$B$6+273.15</f>
        <v>293.14999999999998</v>
      </c>
      <c r="E138" s="6">
        <f>首页!$B$5+273.15</f>
        <v>1373.15</v>
      </c>
      <c r="F138" s="6">
        <f t="shared" si="20"/>
        <v>95</v>
      </c>
      <c r="G138" s="6">
        <f t="shared" si="21"/>
        <v>340.65</v>
      </c>
      <c r="H138" s="6">
        <f t="shared" si="22"/>
        <v>1.9926207055139041E-5</v>
      </c>
      <c r="I138" s="7">
        <f t="shared" si="23"/>
        <v>1158916576932337.8</v>
      </c>
      <c r="J138" s="6">
        <f t="shared" si="24"/>
        <v>1.0226038455893147</v>
      </c>
      <c r="K138" s="7">
        <f>J138*H138*首页!$B$12/P138</f>
        <v>0.69532757496605813</v>
      </c>
      <c r="L138" s="6">
        <f>首页!$B$9*0.0000000567*((C138^4-D138^4)/(C138-D138))</f>
        <v>7.7687338005019564</v>
      </c>
      <c r="M138" s="6">
        <f>IF(首页!$B$13="自然对流",IF(首页!$B$14="立式圆筒",首页!$B$10,PI()*B138/2),PI()*B138/2)</f>
        <v>55.2</v>
      </c>
      <c r="N138" s="7">
        <f>IF(首页!$B$13="强制对流",首页!$B$11*M138/H138,0)</f>
        <v>0</v>
      </c>
      <c r="O138" s="7">
        <f>IF(首页!$B$13="自然对流",IF(首页!$B$14="立式圆筒",(0.825+0.3063*I138^(1/6))^2+0.87*(M138/B138),(0.752+0.303*I138^(1/6))^2),0.3+SQRT((0.592*N138^0.5)^2+(0.0262*N138^0.8/(1-0.5/N138^0.1))^2))</f>
        <v>10143.62201070692</v>
      </c>
      <c r="P138" s="6">
        <f t="shared" si="25"/>
        <v>2.9510194925512497E-2</v>
      </c>
      <c r="Q138" s="6">
        <f t="shared" si="26"/>
        <v>5.4228308475847866</v>
      </c>
      <c r="R138" s="6">
        <f t="shared" si="27"/>
        <v>13.191564648086743</v>
      </c>
      <c r="S138" s="6">
        <f>IF($Y$2="按单位面积散热损失 qp",B138*LN(B138/首页!$B$4),LN(B138/首页!$B$4))</f>
        <v>0.45098141189955498</v>
      </c>
      <c r="T138" s="6">
        <f>IF($Y$2="按单位面积散热损失 qp",2*PI()*首页!$B$8*((E138-D138)/$Y$3-1/R138),2*PI()*首页!$B$8*((E138-D138)/$Y$4-1/(PI()*B138*R138)))</f>
        <v>4.086608278411831E-2</v>
      </c>
      <c r="U138" t="str">
        <f t="shared" si="28"/>
        <v>按单位面积散热损失 qp</v>
      </c>
      <c r="V138" s="6">
        <f t="shared" si="29"/>
        <v>0.41011532911543669</v>
      </c>
    </row>
    <row r="139" spans="1:22" x14ac:dyDescent="0.15">
      <c r="A139">
        <v>134</v>
      </c>
      <c r="B139" s="6">
        <f>首页!$B$4+2*A139/1000</f>
        <v>0.38800000000000001</v>
      </c>
      <c r="C139" s="6">
        <f>首页!$B$7+273.15</f>
        <v>388.15</v>
      </c>
      <c r="D139" s="6">
        <f>首页!$B$6+273.15</f>
        <v>293.14999999999998</v>
      </c>
      <c r="E139" s="6">
        <f>首页!$B$5+273.15</f>
        <v>1373.15</v>
      </c>
      <c r="F139" s="6">
        <f t="shared" si="20"/>
        <v>95</v>
      </c>
      <c r="G139" s="6">
        <f t="shared" si="21"/>
        <v>340.65</v>
      </c>
      <c r="H139" s="6">
        <f t="shared" si="22"/>
        <v>1.9926207055139041E-5</v>
      </c>
      <c r="I139" s="7">
        <f t="shared" si="23"/>
        <v>1158916576932337.8</v>
      </c>
      <c r="J139" s="6">
        <f t="shared" si="24"/>
        <v>1.0226038455893147</v>
      </c>
      <c r="K139" s="7">
        <f>J139*H139*首页!$B$12/P139</f>
        <v>0.69532757496605813</v>
      </c>
      <c r="L139" s="6">
        <f>首页!$B$9*0.0000000567*((C139^4-D139^4)/(C139-D139))</f>
        <v>7.7687338005019564</v>
      </c>
      <c r="M139" s="6">
        <f>IF(首页!$B$13="自然对流",IF(首页!$B$14="立式圆筒",首页!$B$10,PI()*B139/2),PI()*B139/2)</f>
        <v>55.2</v>
      </c>
      <c r="N139" s="7">
        <f>IF(首页!$B$13="强制对流",首页!$B$11*M139/H139,0)</f>
        <v>0</v>
      </c>
      <c r="O139" s="7">
        <f>IF(首页!$B$13="自然对流",IF(首页!$B$14="立式圆筒",(0.825+0.3063*I139^(1/6))^2+0.87*(M139/B139),(0.752+0.303*I139^(1/6))^2),0.3+SQRT((0.592*N139^0.5)^2+(0.0262*N139^0.8/(1-0.5/N139^0.1))^2))</f>
        <v>10142.980698811189</v>
      </c>
      <c r="P139" s="6">
        <f t="shared" si="25"/>
        <v>2.9510194925512497E-2</v>
      </c>
      <c r="Q139" s="6">
        <f t="shared" si="26"/>
        <v>5.4224879990512518</v>
      </c>
      <c r="R139" s="6">
        <f t="shared" si="27"/>
        <v>13.191221799553208</v>
      </c>
      <c r="S139" s="6">
        <f>IF($Y$2="按单位面积散热损失 qp",B139*LN(B139/首页!$B$4),LN(B139/首页!$B$4))</f>
        <v>0.45532327557439622</v>
      </c>
      <c r="T139" s="6">
        <f>IF($Y$2="按单位面积散热损失 qp",2*PI()*首页!$B$8*((E139-D139)/$Y$3-1/R139),2*PI()*首页!$B$8*((E139-D139)/$Y$4-1/(PI()*B139*R139)))</f>
        <v>4.0865525709533244E-2</v>
      </c>
      <c r="U139" t="str">
        <f t="shared" si="28"/>
        <v>按单位面积散热损失 qp</v>
      </c>
      <c r="V139" s="6">
        <f t="shared" si="29"/>
        <v>0.414457749864863</v>
      </c>
    </row>
    <row r="140" spans="1:22" x14ac:dyDescent="0.15">
      <c r="A140">
        <v>135</v>
      </c>
      <c r="B140" s="6">
        <f>首页!$B$4+2*A140/1000</f>
        <v>0.39</v>
      </c>
      <c r="C140" s="6">
        <f>首页!$B$7+273.15</f>
        <v>388.15</v>
      </c>
      <c r="D140" s="6">
        <f>首页!$B$6+273.15</f>
        <v>293.14999999999998</v>
      </c>
      <c r="E140" s="6">
        <f>首页!$B$5+273.15</f>
        <v>1373.15</v>
      </c>
      <c r="F140" s="6">
        <f t="shared" si="20"/>
        <v>95</v>
      </c>
      <c r="G140" s="6">
        <f t="shared" si="21"/>
        <v>340.65</v>
      </c>
      <c r="H140" s="6">
        <f t="shared" si="22"/>
        <v>1.9926207055139041E-5</v>
      </c>
      <c r="I140" s="7">
        <f t="shared" si="23"/>
        <v>1158916576932337.8</v>
      </c>
      <c r="J140" s="6">
        <f t="shared" si="24"/>
        <v>1.0226038455893147</v>
      </c>
      <c r="K140" s="7">
        <f>J140*H140*首页!$B$12/P140</f>
        <v>0.69532757496605813</v>
      </c>
      <c r="L140" s="6">
        <f>首页!$B$9*0.0000000567*((C140^4-D140^4)/(C140-D140))</f>
        <v>7.7687338005019564</v>
      </c>
      <c r="M140" s="6">
        <f>IF(首页!$B$13="自然对流",IF(首页!$B$14="立式圆筒",首页!$B$10,PI()*B140/2),PI()*B140/2)</f>
        <v>55.2</v>
      </c>
      <c r="N140" s="7">
        <f>IF(首页!$B$13="强制对流",首页!$B$11*M140/H140,0)</f>
        <v>0</v>
      </c>
      <c r="O140" s="7">
        <f>IF(首页!$B$13="自然对流",IF(首页!$B$14="立式圆筒",(0.825+0.3063*I140^(1/6))^2+0.87*(M140/B140),(0.752+0.303*I140^(1/6))^2),0.3+SQRT((0.592*N140^0.5)^2+(0.0262*N140^0.8/(1-0.5/N140^0.1))^2))</f>
        <v>10142.345964473361</v>
      </c>
      <c r="P140" s="6">
        <f t="shared" si="25"/>
        <v>2.9510194925512497E-2</v>
      </c>
      <c r="Q140" s="6">
        <f t="shared" si="26"/>
        <v>5.4221486669129337</v>
      </c>
      <c r="R140" s="6">
        <f t="shared" si="27"/>
        <v>13.190882467414891</v>
      </c>
      <c r="S140" s="6">
        <f>IF($Y$2="按单位面积散热损失 qp",B140*LN(B140/首页!$B$4),LN(B140/首页!$B$4))</f>
        <v>0.459675448573242</v>
      </c>
      <c r="T140" s="6">
        <f>IF($Y$2="按单位面积散热损失 qp",2*PI()*首页!$B$8*((E140-D140)/$Y$3-1/R140),2*PI()*首页!$B$8*((E140-D140)/$Y$4-1/(PI()*B140*R140)))</f>
        <v>4.086497432001944E-2</v>
      </c>
      <c r="U140" t="str">
        <f t="shared" si="28"/>
        <v>按单位面积散热损失 qp</v>
      </c>
      <c r="V140" s="6">
        <f t="shared" si="29"/>
        <v>0.41881047425322254</v>
      </c>
    </row>
    <row r="141" spans="1:22" x14ac:dyDescent="0.15">
      <c r="A141">
        <v>136</v>
      </c>
      <c r="B141" s="6">
        <f>首页!$B$4+2*A141/1000</f>
        <v>0.39200000000000002</v>
      </c>
      <c r="C141" s="6">
        <f>首页!$B$7+273.15</f>
        <v>388.15</v>
      </c>
      <c r="D141" s="6">
        <f>首页!$B$6+273.15</f>
        <v>293.14999999999998</v>
      </c>
      <c r="E141" s="6">
        <f>首页!$B$5+273.15</f>
        <v>1373.15</v>
      </c>
      <c r="F141" s="6">
        <f t="shared" si="20"/>
        <v>95</v>
      </c>
      <c r="G141" s="6">
        <f t="shared" si="21"/>
        <v>340.65</v>
      </c>
      <c r="H141" s="6">
        <f t="shared" si="22"/>
        <v>1.9926207055139041E-5</v>
      </c>
      <c r="I141" s="7">
        <f t="shared" si="23"/>
        <v>1158916576932337.8</v>
      </c>
      <c r="J141" s="6">
        <f t="shared" si="24"/>
        <v>1.0226038455893147</v>
      </c>
      <c r="K141" s="7">
        <f>J141*H141*首页!$B$12/P141</f>
        <v>0.69532757496605813</v>
      </c>
      <c r="L141" s="6">
        <f>首页!$B$9*0.0000000567*((C141^4-D141^4)/(C141-D141))</f>
        <v>7.7687338005019564</v>
      </c>
      <c r="M141" s="6">
        <f>IF(首页!$B$13="自然对流",IF(首页!$B$14="立式圆筒",首页!$B$10,PI()*B141/2),PI()*B141/2)</f>
        <v>55.2</v>
      </c>
      <c r="N141" s="7">
        <f>IF(首页!$B$13="强制对流",首页!$B$11*M141/H141,0)</f>
        <v>0</v>
      </c>
      <c r="O141" s="7">
        <f>IF(首页!$B$13="自然对流",IF(首页!$B$14="立式圆筒",(0.825+0.3063*I141^(1/6))^2+0.87*(M141/B141),(0.752+0.303*I141^(1/6))^2),0.3+SQRT((0.592*N141^0.5)^2+(0.0262*N141^0.8/(1-0.5/N141^0.1))^2))</f>
        <v>10141.717707016533</v>
      </c>
      <c r="P141" s="6">
        <f t="shared" si="25"/>
        <v>2.9510194925512497E-2</v>
      </c>
      <c r="Q141" s="6">
        <f t="shared" si="26"/>
        <v>5.4218127973474548</v>
      </c>
      <c r="R141" s="6">
        <f t="shared" si="27"/>
        <v>13.190546597849412</v>
      </c>
      <c r="S141" s="6">
        <f>IF($Y$2="按单位面积散热损失 qp",B141*LN(B141/首页!$B$4),LN(B141/首页!$B$4))</f>
        <v>0.46403787802729934</v>
      </c>
      <c r="T141" s="6">
        <f>IF($Y$2="按单位面积散热损失 qp",2*PI()*首页!$B$8*((E141-D141)/$Y$3-1/R141),2*PI()*首页!$B$8*((E141-D141)/$Y$4-1/(PI()*B141*R141)))</f>
        <v>4.0864428528992566E-2</v>
      </c>
      <c r="U141" t="str">
        <f t="shared" si="28"/>
        <v>按单位面积散热损失 qp</v>
      </c>
      <c r="V141" s="6">
        <f t="shared" si="29"/>
        <v>0.42317344949830676</v>
      </c>
    </row>
    <row r="142" spans="1:22" x14ac:dyDescent="0.15">
      <c r="A142">
        <v>137</v>
      </c>
      <c r="B142" s="6">
        <f>首页!$B$4+2*A142/1000</f>
        <v>0.39400000000000002</v>
      </c>
      <c r="C142" s="6">
        <f>首页!$B$7+273.15</f>
        <v>388.15</v>
      </c>
      <c r="D142" s="6">
        <f>首页!$B$6+273.15</f>
        <v>293.14999999999998</v>
      </c>
      <c r="E142" s="6">
        <f>首页!$B$5+273.15</f>
        <v>1373.15</v>
      </c>
      <c r="F142" s="6">
        <f t="shared" si="20"/>
        <v>95</v>
      </c>
      <c r="G142" s="6">
        <f t="shared" si="21"/>
        <v>340.65</v>
      </c>
      <c r="H142" s="6">
        <f t="shared" si="22"/>
        <v>1.9926207055139041E-5</v>
      </c>
      <c r="I142" s="7">
        <f t="shared" si="23"/>
        <v>1158916576932337.8</v>
      </c>
      <c r="J142" s="6">
        <f t="shared" si="24"/>
        <v>1.0226038455893147</v>
      </c>
      <c r="K142" s="7">
        <f>J142*H142*首页!$B$12/P142</f>
        <v>0.69532757496605813</v>
      </c>
      <c r="L142" s="6">
        <f>首页!$B$9*0.0000000567*((C142^4-D142^4)/(C142-D142))</f>
        <v>7.7687338005019564</v>
      </c>
      <c r="M142" s="6">
        <f>IF(首页!$B$13="自然对流",IF(首页!$B$14="立式圆筒",首页!$B$10,PI()*B142/2),PI()*B142/2)</f>
        <v>55.2</v>
      </c>
      <c r="N142" s="7">
        <f>IF(首页!$B$13="强制对流",首页!$B$11*M142/H142,0)</f>
        <v>0</v>
      </c>
      <c r="O142" s="7">
        <f>IF(首页!$B$13="自然对流",IF(首页!$B$14="立式圆筒",(0.825+0.3063*I142^(1/6))^2+0.87*(M142/B142),(0.752+0.303*I142^(1/6))^2),0.3+SQRT((0.592*N142^0.5)^2+(0.0262*N142^0.8/(1-0.5/N142^0.1))^2))</f>
        <v>10141.095827807996</v>
      </c>
      <c r="P142" s="6">
        <f t="shared" si="25"/>
        <v>2.9510194925512497E-2</v>
      </c>
      <c r="Q142" s="6">
        <f t="shared" si="26"/>
        <v>5.4214803376252805</v>
      </c>
      <c r="R142" s="6">
        <f t="shared" si="27"/>
        <v>13.190214138127237</v>
      </c>
      <c r="S142" s="6">
        <f>IF($Y$2="按单位面积散热损失 qp",B142*LN(B142/首页!$B$4),LN(B142/首页!$B$4))</f>
        <v>0.46841051160725983</v>
      </c>
      <c r="T142" s="6">
        <f>IF($Y$2="按单位面积散热损失 qp",2*PI()*首页!$B$8*((E142-D142)/$Y$3-1/R142),2*PI()*首页!$B$8*((E142-D142)/$Y$4-1/(PI()*B142*R142)))</f>
        <v>4.0863888251617637E-2</v>
      </c>
      <c r="U142" t="str">
        <f t="shared" si="28"/>
        <v>按单位面积散热损失 qp</v>
      </c>
      <c r="V142" s="6">
        <f t="shared" si="29"/>
        <v>0.4275466233556422</v>
      </c>
    </row>
    <row r="143" spans="1:22" x14ac:dyDescent="0.15">
      <c r="A143">
        <v>138</v>
      </c>
      <c r="B143" s="6">
        <f>首页!$B$4+2*A143/1000</f>
        <v>0.39600000000000002</v>
      </c>
      <c r="C143" s="6">
        <f>首页!$B$7+273.15</f>
        <v>388.15</v>
      </c>
      <c r="D143" s="6">
        <f>首页!$B$6+273.15</f>
        <v>293.14999999999998</v>
      </c>
      <c r="E143" s="6">
        <f>首页!$B$5+273.15</f>
        <v>1373.15</v>
      </c>
      <c r="F143" s="6">
        <f t="shared" si="20"/>
        <v>95</v>
      </c>
      <c r="G143" s="6">
        <f t="shared" si="21"/>
        <v>340.65</v>
      </c>
      <c r="H143" s="6">
        <f t="shared" si="22"/>
        <v>1.9926207055139041E-5</v>
      </c>
      <c r="I143" s="7">
        <f t="shared" si="23"/>
        <v>1158916576932337.8</v>
      </c>
      <c r="J143" s="6">
        <f t="shared" si="24"/>
        <v>1.0226038455893147</v>
      </c>
      <c r="K143" s="7">
        <f>J143*H143*首页!$B$12/P143</f>
        <v>0.69532757496605813</v>
      </c>
      <c r="L143" s="6">
        <f>首页!$B$9*0.0000000567*((C143^4-D143^4)/(C143-D143))</f>
        <v>7.7687338005019564</v>
      </c>
      <c r="M143" s="6">
        <f>IF(首页!$B$13="自然对流",IF(首页!$B$14="立式圆筒",首页!$B$10,PI()*B143/2),PI()*B143/2)</f>
        <v>55.2</v>
      </c>
      <c r="N143" s="7">
        <f>IF(首页!$B$13="强制对流",首页!$B$11*M143/H143,0)</f>
        <v>0</v>
      </c>
      <c r="O143" s="7">
        <f>IF(首页!$B$13="自然对流",IF(首页!$B$14="立式圆筒",(0.825+0.3063*I143^(1/6))^2+0.87*(M143/B143),(0.752+0.303*I143^(1/6))^2),0.3+SQRT((0.592*N143^0.5)^2+(0.0262*N143^0.8/(1-0.5/N143^0.1))^2))</f>
        <v>10140.480230207628</v>
      </c>
      <c r="P143" s="6">
        <f t="shared" si="25"/>
        <v>2.9510194925512497E-2</v>
      </c>
      <c r="Q143" s="6">
        <f t="shared" si="26"/>
        <v>5.4211512360821184</v>
      </c>
      <c r="R143" s="6">
        <f t="shared" si="27"/>
        <v>13.189885036584075</v>
      </c>
      <c r="S143" s="6">
        <f>IF($Y$2="按单位面积散热损失 qp",B143*LN(B143/首页!$B$4),LN(B143/首页!$B$4))</f>
        <v>0.47279329751508409</v>
      </c>
      <c r="T143" s="6">
        <f>IF($Y$2="按单位面积散热损失 qp",2*PI()*首页!$B$8*((E143-D143)/$Y$3-1/R143),2*PI()*首页!$B$8*((E143-D143)/$Y$4-1/(PI()*B143*R143)))</f>
        <v>4.0863353404765115E-2</v>
      </c>
      <c r="U143" t="str">
        <f t="shared" si="28"/>
        <v>按单位面积散热损失 qp</v>
      </c>
      <c r="V143" s="6">
        <f t="shared" si="29"/>
        <v>0.43192994411031899</v>
      </c>
    </row>
    <row r="144" spans="1:22" x14ac:dyDescent="0.15">
      <c r="A144">
        <v>139</v>
      </c>
      <c r="B144" s="6">
        <f>首页!$B$4+2*A144/1000</f>
        <v>0.39800000000000002</v>
      </c>
      <c r="C144" s="6">
        <f>首页!$B$7+273.15</f>
        <v>388.15</v>
      </c>
      <c r="D144" s="6">
        <f>首页!$B$6+273.15</f>
        <v>293.14999999999998</v>
      </c>
      <c r="E144" s="6">
        <f>首页!$B$5+273.15</f>
        <v>1373.15</v>
      </c>
      <c r="F144" s="6">
        <f t="shared" si="20"/>
        <v>95</v>
      </c>
      <c r="G144" s="6">
        <f t="shared" si="21"/>
        <v>340.65</v>
      </c>
      <c r="H144" s="6">
        <f t="shared" si="22"/>
        <v>1.9926207055139041E-5</v>
      </c>
      <c r="I144" s="7">
        <f t="shared" si="23"/>
        <v>1158916576932337.8</v>
      </c>
      <c r="J144" s="6">
        <f t="shared" si="24"/>
        <v>1.0226038455893147</v>
      </c>
      <c r="K144" s="7">
        <f>J144*H144*首页!$B$12/P144</f>
        <v>0.69532757496605813</v>
      </c>
      <c r="L144" s="6">
        <f>首页!$B$9*0.0000000567*((C144^4-D144^4)/(C144-D144))</f>
        <v>7.7687338005019564</v>
      </c>
      <c r="M144" s="6">
        <f>IF(首页!$B$13="自然对流",IF(首页!$B$14="立式圆筒",首页!$B$10,PI()*B144/2),PI()*B144/2)</f>
        <v>55.2</v>
      </c>
      <c r="N144" s="7">
        <f>IF(首页!$B$13="强制对流",首页!$B$11*M144/H144,0)</f>
        <v>0</v>
      </c>
      <c r="O144" s="7">
        <f>IF(首页!$B$13="自然对流",IF(首页!$B$14="立式圆筒",(0.825+0.3063*I144^(1/6))^2+0.87*(M144/B144),(0.752+0.303*I144^(1/6))^2),0.3+SQRT((0.592*N144^0.5)^2+(0.0262*N144^0.8/(1-0.5/N144^0.1))^2))</f>
        <v>10139.870819517815</v>
      </c>
      <c r="P144" s="6">
        <f t="shared" si="25"/>
        <v>2.9510194925512497E-2</v>
      </c>
      <c r="Q144" s="6">
        <f t="shared" si="26"/>
        <v>5.4208254420921529</v>
      </c>
      <c r="R144" s="6">
        <f t="shared" si="27"/>
        <v>13.189559242594109</v>
      </c>
      <c r="S144" s="6">
        <f>IF($Y$2="按单位面积散热损失 qp",B144*LN(B144/首页!$B$4),LN(B144/首页!$B$4))</f>
        <v>0.47718618447595196</v>
      </c>
      <c r="T144" s="6">
        <f>IF($Y$2="按单位面积散热损失 qp",2*PI()*首页!$B$8*((E144-D144)/$Y$3-1/R144),2*PI()*首页!$B$8*((E144-D144)/$Y$4-1/(PI()*B144*R144)))</f>
        <v>4.0862823906968236E-2</v>
      </c>
      <c r="U144" t="str">
        <f t="shared" si="28"/>
        <v>按单位面积散热损失 qp</v>
      </c>
      <c r="V144" s="6">
        <f t="shared" si="29"/>
        <v>0.43632336056898374</v>
      </c>
    </row>
    <row r="145" spans="1:22" x14ac:dyDescent="0.15">
      <c r="A145">
        <v>140</v>
      </c>
      <c r="B145" s="6">
        <f>首页!$B$4+2*A145/1000</f>
        <v>0.4</v>
      </c>
      <c r="C145" s="6">
        <f>首页!$B$7+273.15</f>
        <v>388.15</v>
      </c>
      <c r="D145" s="6">
        <f>首页!$B$6+273.15</f>
        <v>293.14999999999998</v>
      </c>
      <c r="E145" s="6">
        <f>首页!$B$5+273.15</f>
        <v>1373.15</v>
      </c>
      <c r="F145" s="6">
        <f t="shared" si="20"/>
        <v>95</v>
      </c>
      <c r="G145" s="6">
        <f t="shared" si="21"/>
        <v>340.65</v>
      </c>
      <c r="H145" s="6">
        <f t="shared" si="22"/>
        <v>1.9926207055139041E-5</v>
      </c>
      <c r="I145" s="7">
        <f t="shared" si="23"/>
        <v>1158916576932337.8</v>
      </c>
      <c r="J145" s="6">
        <f t="shared" si="24"/>
        <v>1.0226038455893147</v>
      </c>
      <c r="K145" s="7">
        <f>J145*H145*首页!$B$12/P145</f>
        <v>0.69532757496605813</v>
      </c>
      <c r="L145" s="6">
        <f>首页!$B$9*0.0000000567*((C145^4-D145^4)/(C145-D145))</f>
        <v>7.7687338005019564</v>
      </c>
      <c r="M145" s="6">
        <f>IF(首页!$B$13="自然对流",IF(首页!$B$14="立式圆筒",首页!$B$10,PI()*B145/2),PI()*B145/2)</f>
        <v>55.2</v>
      </c>
      <c r="N145" s="7">
        <f>IF(首页!$B$13="强制对流",首页!$B$11*M145/H145,0)</f>
        <v>0</v>
      </c>
      <c r="O145" s="7">
        <f>IF(首页!$B$13="自然对流",IF(首页!$B$14="立式圆筒",(0.825+0.3063*I145^(1/6))^2+0.87*(M145/B145),(0.752+0.303*I145^(1/6))^2),0.3+SQRT((0.592*N145^0.5)^2+(0.0262*N145^0.8/(1-0.5/N145^0.1))^2))</f>
        <v>10139.267502934899</v>
      </c>
      <c r="P145" s="6">
        <f t="shared" si="25"/>
        <v>2.9510194925512497E-2</v>
      </c>
      <c r="Q145" s="6">
        <f t="shared" si="26"/>
        <v>5.4205029060420875</v>
      </c>
      <c r="R145" s="6">
        <f t="shared" si="27"/>
        <v>13.189236706544044</v>
      </c>
      <c r="S145" s="6">
        <f>IF($Y$2="按单位面积散热损失 qp",B145*LN(B145/首页!$B$4),LN(B145/首页!$B$4))</f>
        <v>0.48158912173037449</v>
      </c>
      <c r="T145" s="6">
        <f>IF($Y$2="按单位面积散热损失 qp",2*PI()*首页!$B$8*((E145-D145)/$Y$3-1/R145),2*PI()*首页!$B$8*((E145-D145)/$Y$4-1/(PI()*B145*R145)))</f>
        <v>4.0862299678381606E-2</v>
      </c>
      <c r="U145" t="str">
        <f t="shared" si="28"/>
        <v>按单位面积散热损失 qp</v>
      </c>
      <c r="V145" s="6">
        <f t="shared" si="29"/>
        <v>0.44072682205199287</v>
      </c>
    </row>
    <row r="146" spans="1:22" x14ac:dyDescent="0.15">
      <c r="A146">
        <v>141</v>
      </c>
      <c r="B146" s="6">
        <f>首页!$B$4+2*A146/1000</f>
        <v>0.40199999999999997</v>
      </c>
      <c r="C146" s="6">
        <f>首页!$B$7+273.15</f>
        <v>388.15</v>
      </c>
      <c r="D146" s="6">
        <f>首页!$B$6+273.15</f>
        <v>293.14999999999998</v>
      </c>
      <c r="E146" s="6">
        <f>首页!$B$5+273.15</f>
        <v>1373.15</v>
      </c>
      <c r="F146" s="6">
        <f t="shared" si="20"/>
        <v>95</v>
      </c>
      <c r="G146" s="6">
        <f t="shared" si="21"/>
        <v>340.65</v>
      </c>
      <c r="H146" s="6">
        <f t="shared" si="22"/>
        <v>1.9926207055139041E-5</v>
      </c>
      <c r="I146" s="7">
        <f t="shared" si="23"/>
        <v>1158916576932337.8</v>
      </c>
      <c r="J146" s="6">
        <f t="shared" si="24"/>
        <v>1.0226038455893147</v>
      </c>
      <c r="K146" s="7">
        <f>J146*H146*首页!$B$12/P146</f>
        <v>0.69532757496605813</v>
      </c>
      <c r="L146" s="6">
        <f>首页!$B$9*0.0000000567*((C146^4-D146^4)/(C146-D146))</f>
        <v>7.7687338005019564</v>
      </c>
      <c r="M146" s="6">
        <f>IF(首页!$B$13="自然对流",IF(首页!$B$14="立式圆筒",首页!$B$10,PI()*B146/2),PI()*B146/2)</f>
        <v>55.2</v>
      </c>
      <c r="N146" s="7">
        <f>IF(首页!$B$13="强制对流",首页!$B$11*M146/H146,0)</f>
        <v>0</v>
      </c>
      <c r="O146" s="7">
        <f>IF(首页!$B$13="自然对流",IF(首页!$B$14="立式圆筒",(0.825+0.3063*I146^(1/6))^2+0.87*(M146/B146),(0.752+0.303*I146^(1/6))^2),0.3+SQRT((0.592*N146^0.5)^2+(0.0262*N146^0.8/(1-0.5/N146^0.1))^2))</f>
        <v>10138.670189502063</v>
      </c>
      <c r="P146" s="6">
        <f t="shared" si="25"/>
        <v>2.9510194925512497E-2</v>
      </c>
      <c r="Q146" s="6">
        <f t="shared" si="26"/>
        <v>5.4201835793059523</v>
      </c>
      <c r="R146" s="6">
        <f t="shared" si="27"/>
        <v>13.188917379807908</v>
      </c>
      <c r="S146" s="6">
        <f>IF($Y$2="按单位面积散热损失 qp",B146*LN(B146/首页!$B$4),LN(B146/首页!$B$4))</f>
        <v>0.48600205902646387</v>
      </c>
      <c r="T146" s="6">
        <f>IF($Y$2="按单位面积散热损失 qp",2*PI()*首页!$B$8*((E146-D146)/$Y$3-1/R146),2*PI()*首页!$B$8*((E146-D146)/$Y$4-1/(PI()*B146*R146)))</f>
        <v>4.0861780640741127E-2</v>
      </c>
      <c r="U146" t="str">
        <f t="shared" si="28"/>
        <v>按单位面积散热损失 qp</v>
      </c>
      <c r="V146" s="6">
        <f t="shared" si="29"/>
        <v>0.44514027838572273</v>
      </c>
    </row>
    <row r="147" spans="1:22" x14ac:dyDescent="0.15">
      <c r="A147">
        <v>142</v>
      </c>
      <c r="B147" s="6">
        <f>首页!$B$4+2*A147/1000</f>
        <v>0.40399999999999997</v>
      </c>
      <c r="C147" s="6">
        <f>首页!$B$7+273.15</f>
        <v>388.15</v>
      </c>
      <c r="D147" s="6">
        <f>首页!$B$6+273.15</f>
        <v>293.14999999999998</v>
      </c>
      <c r="E147" s="6">
        <f>首页!$B$5+273.15</f>
        <v>1373.15</v>
      </c>
      <c r="F147" s="6">
        <f t="shared" si="20"/>
        <v>95</v>
      </c>
      <c r="G147" s="6">
        <f t="shared" si="21"/>
        <v>340.65</v>
      </c>
      <c r="H147" s="6">
        <f t="shared" si="22"/>
        <v>1.9926207055139041E-5</v>
      </c>
      <c r="I147" s="7">
        <f t="shared" si="23"/>
        <v>1158916576932337.8</v>
      </c>
      <c r="J147" s="6">
        <f t="shared" si="24"/>
        <v>1.0226038455893147</v>
      </c>
      <c r="K147" s="7">
        <f>J147*H147*首页!$B$12/P147</f>
        <v>0.69532757496605813</v>
      </c>
      <c r="L147" s="6">
        <f>首页!$B$9*0.0000000567*((C147^4-D147^4)/(C147-D147))</f>
        <v>7.7687338005019564</v>
      </c>
      <c r="M147" s="6">
        <f>IF(首页!$B$13="自然对流",IF(首页!$B$14="立式圆筒",首页!$B$10,PI()*B147/2),PI()*B147/2)</f>
        <v>55.2</v>
      </c>
      <c r="N147" s="7">
        <f>IF(首页!$B$13="强制对流",首页!$B$11*M147/H147,0)</f>
        <v>0</v>
      </c>
      <c r="O147" s="7">
        <f>IF(首页!$B$13="自然对流",IF(首页!$B$14="立式圆筒",(0.825+0.3063*I147^(1/6))^2+0.87*(M147/B147),(0.752+0.303*I147^(1/6))^2),0.3+SQRT((0.592*N147^0.5)^2+(0.0262*N147^0.8/(1-0.5/N147^0.1))^2))</f>
        <v>10138.078790063613</v>
      </c>
      <c r="P147" s="6">
        <f t="shared" si="25"/>
        <v>2.9510194925512497E-2</v>
      </c>
      <c r="Q147" s="6">
        <f t="shared" si="26"/>
        <v>5.419867414220672</v>
      </c>
      <c r="R147" s="6">
        <f t="shared" si="27"/>
        <v>13.188601214722627</v>
      </c>
      <c r="S147" s="6">
        <f>IF($Y$2="按单位面积散热损失 qp",B147*LN(B147/首页!$B$4),LN(B147/首页!$B$4))</f>
        <v>0.49042494661235797</v>
      </c>
      <c r="T147" s="6">
        <f>IF($Y$2="按单位面积散热损失 qp",2*PI()*首页!$B$8*((E147-D147)/$Y$3-1/R147),2*PI()*首页!$B$8*((E147-D147)/$Y$4-1/(PI()*B147*R147)))</f>
        <v>4.0861266717325033E-2</v>
      </c>
      <c r="U147" t="str">
        <f t="shared" si="28"/>
        <v>按单位面积散热损失 qp</v>
      </c>
      <c r="V147" s="6">
        <f t="shared" si="29"/>
        <v>0.44956367989503293</v>
      </c>
    </row>
    <row r="148" spans="1:22" x14ac:dyDescent="0.15">
      <c r="A148">
        <v>143</v>
      </c>
      <c r="B148" s="6">
        <f>首页!$B$4+2*A148/1000</f>
        <v>0.40599999999999997</v>
      </c>
      <c r="C148" s="6">
        <f>首页!$B$7+273.15</f>
        <v>388.15</v>
      </c>
      <c r="D148" s="6">
        <f>首页!$B$6+273.15</f>
        <v>293.14999999999998</v>
      </c>
      <c r="E148" s="6">
        <f>首页!$B$5+273.15</f>
        <v>1373.15</v>
      </c>
      <c r="F148" s="6">
        <f t="shared" si="20"/>
        <v>95</v>
      </c>
      <c r="G148" s="6">
        <f t="shared" si="21"/>
        <v>340.65</v>
      </c>
      <c r="H148" s="6">
        <f t="shared" si="22"/>
        <v>1.9926207055139041E-5</v>
      </c>
      <c r="I148" s="7">
        <f t="shared" si="23"/>
        <v>1158916576932337.8</v>
      </c>
      <c r="J148" s="6">
        <f t="shared" si="24"/>
        <v>1.0226038455893147</v>
      </c>
      <c r="K148" s="7">
        <f>J148*H148*首页!$B$12/P148</f>
        <v>0.69532757496605813</v>
      </c>
      <c r="L148" s="6">
        <f>首页!$B$9*0.0000000567*((C148^4-D148^4)/(C148-D148))</f>
        <v>7.7687338005019564</v>
      </c>
      <c r="M148" s="6">
        <f>IF(首页!$B$13="自然对流",IF(首页!$B$14="立式圆筒",首页!$B$10,PI()*B148/2),PI()*B148/2)</f>
        <v>55.2</v>
      </c>
      <c r="N148" s="7">
        <f>IF(首页!$B$13="强制对流",首页!$B$11*M148/H148,0)</f>
        <v>0</v>
      </c>
      <c r="O148" s="7">
        <f>IF(首页!$B$13="自然对流",IF(首页!$B$14="立式圆筒",(0.825+0.3063*I148^(1/6))^2+0.87*(M148/B148),(0.752+0.303*I148^(1/6))^2),0.3+SQRT((0.592*N148^0.5)^2+(0.0262*N148^0.8/(1-0.5/N148^0.1))^2))</f>
        <v>10137.493217220614</v>
      </c>
      <c r="P148" s="6">
        <f t="shared" si="25"/>
        <v>2.9510194925512497E-2</v>
      </c>
      <c r="Q148" s="6">
        <f t="shared" si="26"/>
        <v>5.4195543640623383</v>
      </c>
      <c r="R148" s="6">
        <f t="shared" si="27"/>
        <v>13.188288164564295</v>
      </c>
      <c r="S148" s="6">
        <f>IF($Y$2="按单位面积散热损失 qp",B148*LN(B148/首页!$B$4),LN(B148/首页!$B$4))</f>
        <v>0.49485773522879278</v>
      </c>
      <c r="T148" s="6">
        <f>IF($Y$2="按单位面积散热损失 qp",2*PI()*首页!$B$8*((E148-D148)/$Y$3-1/R148),2*PI()*首页!$B$8*((E148-D148)/$Y$4-1/(PI()*B148*R148)))</f>
        <v>4.0860757832916018E-2</v>
      </c>
      <c r="U148" t="str">
        <f t="shared" si="28"/>
        <v>按单位面积散热损失 qp</v>
      </c>
      <c r="V148" s="6">
        <f t="shared" si="29"/>
        <v>0.45399697739587674</v>
      </c>
    </row>
    <row r="149" spans="1:22" x14ac:dyDescent="0.15">
      <c r="A149">
        <v>144</v>
      </c>
      <c r="B149" s="6">
        <f>首页!$B$4+2*A149/1000</f>
        <v>0.40799999999999997</v>
      </c>
      <c r="C149" s="6">
        <f>首页!$B$7+273.15</f>
        <v>388.15</v>
      </c>
      <c r="D149" s="6">
        <f>首页!$B$6+273.15</f>
        <v>293.14999999999998</v>
      </c>
      <c r="E149" s="6">
        <f>首页!$B$5+273.15</f>
        <v>1373.15</v>
      </c>
      <c r="F149" s="6">
        <f t="shared" si="20"/>
        <v>95</v>
      </c>
      <c r="G149" s="6">
        <f t="shared" si="21"/>
        <v>340.65</v>
      </c>
      <c r="H149" s="6">
        <f t="shared" si="22"/>
        <v>1.9926207055139041E-5</v>
      </c>
      <c r="I149" s="7">
        <f t="shared" si="23"/>
        <v>1158916576932337.8</v>
      </c>
      <c r="J149" s="6">
        <f t="shared" si="24"/>
        <v>1.0226038455893147</v>
      </c>
      <c r="K149" s="7">
        <f>J149*H149*首页!$B$12/P149</f>
        <v>0.69532757496605813</v>
      </c>
      <c r="L149" s="6">
        <f>首页!$B$9*0.0000000567*((C149^4-D149^4)/(C149-D149))</f>
        <v>7.7687338005019564</v>
      </c>
      <c r="M149" s="6">
        <f>IF(首页!$B$13="自然对流",IF(首页!$B$14="立式圆筒",首页!$B$10,PI()*B149/2),PI()*B149/2)</f>
        <v>55.2</v>
      </c>
      <c r="N149" s="7">
        <f>IF(首页!$B$13="强制对流",首页!$B$11*M149/H149,0)</f>
        <v>0</v>
      </c>
      <c r="O149" s="7">
        <f>IF(首页!$B$13="自然对流",IF(首页!$B$14="立式圆筒",(0.825+0.3063*I149^(1/6))^2+0.87*(M149/B149),(0.752+0.303*I149^(1/6))^2),0.3+SQRT((0.592*N149^0.5)^2+(0.0262*N149^0.8/(1-0.5/N149^0.1))^2))</f>
        <v>10136.91338528784</v>
      </c>
      <c r="P149" s="6">
        <f t="shared" si="25"/>
        <v>2.9510194925512497E-2</v>
      </c>
      <c r="Q149" s="6">
        <f t="shared" si="26"/>
        <v>5.4192443830232051</v>
      </c>
      <c r="R149" s="6">
        <f t="shared" si="27"/>
        <v>13.187978183525161</v>
      </c>
      <c r="S149" s="6">
        <f>IF($Y$2="按单位面积散热损失 qp",B149*LN(B149/首页!$B$4),LN(B149/首页!$B$4))</f>
        <v>0.49930037610182315</v>
      </c>
      <c r="T149" s="6">
        <f>IF($Y$2="按单位面积散热损失 qp",2*PI()*首页!$B$8*((E149-D149)/$Y$3-1/R149),2*PI()*首页!$B$8*((E149-D149)/$Y$4-1/(PI()*B149*R149)))</f>
        <v>4.0860253913764639E-2</v>
      </c>
      <c r="U149" t="str">
        <f t="shared" si="28"/>
        <v>按单位面积散热损失 qp</v>
      </c>
      <c r="V149" s="6">
        <f t="shared" si="29"/>
        <v>0.45844012218805852</v>
      </c>
    </row>
    <row r="150" spans="1:22" x14ac:dyDescent="0.15">
      <c r="A150">
        <v>145</v>
      </c>
      <c r="B150" s="6">
        <f>首页!$B$4+2*A150/1000</f>
        <v>0.41</v>
      </c>
      <c r="C150" s="6">
        <f>首页!$B$7+273.15</f>
        <v>388.15</v>
      </c>
      <c r="D150" s="6">
        <f>首页!$B$6+273.15</f>
        <v>293.14999999999998</v>
      </c>
      <c r="E150" s="6">
        <f>首页!$B$5+273.15</f>
        <v>1373.15</v>
      </c>
      <c r="F150" s="6">
        <f t="shared" si="20"/>
        <v>95</v>
      </c>
      <c r="G150" s="6">
        <f t="shared" si="21"/>
        <v>340.65</v>
      </c>
      <c r="H150" s="6">
        <f t="shared" si="22"/>
        <v>1.9926207055139041E-5</v>
      </c>
      <c r="I150" s="7">
        <f t="shared" si="23"/>
        <v>1158916576932337.8</v>
      </c>
      <c r="J150" s="6">
        <f t="shared" si="24"/>
        <v>1.0226038455893147</v>
      </c>
      <c r="K150" s="7">
        <f>J150*H150*首页!$B$12/P150</f>
        <v>0.69532757496605813</v>
      </c>
      <c r="L150" s="6">
        <f>首页!$B$9*0.0000000567*((C150^4-D150^4)/(C150-D150))</f>
        <v>7.7687338005019564</v>
      </c>
      <c r="M150" s="6">
        <f>IF(首页!$B$13="自然对流",IF(首页!$B$14="立式圆筒",首页!$B$10,PI()*B150/2),PI()*B150/2)</f>
        <v>55.2</v>
      </c>
      <c r="N150" s="7">
        <f>IF(首页!$B$13="强制对流",首页!$B$11*M150/H150,0)</f>
        <v>0</v>
      </c>
      <c r="O150" s="7">
        <f>IF(首页!$B$13="自然对流",IF(首页!$B$14="立式圆筒",(0.825+0.3063*I150^(1/6))^2+0.87*(M150/B150),(0.752+0.303*I150^(1/6))^2),0.3+SQRT((0.592*N150^0.5)^2+(0.0262*N150^0.8/(1-0.5/N150^0.1))^2))</f>
        <v>10136.339210251974</v>
      </c>
      <c r="P150" s="6">
        <f t="shared" si="25"/>
        <v>2.9510194925512497E-2</v>
      </c>
      <c r="Q150" s="6">
        <f t="shared" si="26"/>
        <v>5.4189374261893315</v>
      </c>
      <c r="R150" s="6">
        <f t="shared" si="27"/>
        <v>13.187671226691288</v>
      </c>
      <c r="S150" s="6">
        <f>IF($Y$2="按单位面积散热损失 qp",B150*LN(B150/首页!$B$4),LN(B150/首页!$B$4))</f>
        <v>0.50375282093568596</v>
      </c>
      <c r="T150" s="6">
        <f>IF($Y$2="按单位面积散热损失 qp",2*PI()*首页!$B$8*((E150-D150)/$Y$3-1/R150),2*PI()*首页!$B$8*((E150-D150)/$Y$4-1/(PI()*B150*R150)))</f>
        <v>4.0859754887553605E-2</v>
      </c>
      <c r="U150" t="str">
        <f t="shared" si="28"/>
        <v>按单位面积散热损失 qp</v>
      </c>
      <c r="V150" s="6">
        <f t="shared" si="29"/>
        <v>0.46289306604813235</v>
      </c>
    </row>
    <row r="151" spans="1:22" x14ac:dyDescent="0.15">
      <c r="A151">
        <v>146</v>
      </c>
      <c r="B151" s="6">
        <f>首页!$B$4+2*A151/1000</f>
        <v>0.41199999999999998</v>
      </c>
      <c r="C151" s="6">
        <f>首页!$B$7+273.15</f>
        <v>388.15</v>
      </c>
      <c r="D151" s="6">
        <f>首页!$B$6+273.15</f>
        <v>293.14999999999998</v>
      </c>
      <c r="E151" s="6">
        <f>首页!$B$5+273.15</f>
        <v>1373.15</v>
      </c>
      <c r="F151" s="6">
        <f t="shared" si="20"/>
        <v>95</v>
      </c>
      <c r="G151" s="6">
        <f t="shared" si="21"/>
        <v>340.65</v>
      </c>
      <c r="H151" s="6">
        <f t="shared" si="22"/>
        <v>1.9926207055139041E-5</v>
      </c>
      <c r="I151" s="7">
        <f t="shared" si="23"/>
        <v>1158916576932337.8</v>
      </c>
      <c r="J151" s="6">
        <f t="shared" si="24"/>
        <v>1.0226038455893147</v>
      </c>
      <c r="K151" s="7">
        <f>J151*H151*首页!$B$12/P151</f>
        <v>0.69532757496605813</v>
      </c>
      <c r="L151" s="6">
        <f>首页!$B$9*0.0000000567*((C151^4-D151^4)/(C151-D151))</f>
        <v>7.7687338005019564</v>
      </c>
      <c r="M151" s="6">
        <f>IF(首页!$B$13="自然对流",IF(首页!$B$14="立式圆筒",首页!$B$10,PI()*B151/2),PI()*B151/2)</f>
        <v>55.2</v>
      </c>
      <c r="N151" s="7">
        <f>IF(首页!$B$13="强制对流",首页!$B$11*M151/H151,0)</f>
        <v>0</v>
      </c>
      <c r="O151" s="7">
        <f>IF(首页!$B$13="自然对流",IF(首页!$B$14="立式圆筒",(0.825+0.3063*I151^(1/6))^2+0.87*(M151/B151),(0.752+0.303*I151^(1/6))^2),0.3+SQRT((0.592*N151^0.5)^2+(0.0262*N151^0.8/(1-0.5/N151^0.1))^2))</f>
        <v>10135.770609731017</v>
      </c>
      <c r="P151" s="6">
        <f t="shared" si="25"/>
        <v>2.9510194925512497E-2</v>
      </c>
      <c r="Q151" s="6">
        <f t="shared" si="26"/>
        <v>5.418633449518893</v>
      </c>
      <c r="R151" s="6">
        <f t="shared" si="27"/>
        <v>13.187367250020849</v>
      </c>
      <c r="S151" s="6">
        <f>IF($Y$2="按单位面积散热损失 qp",B151*LN(B151/首页!$B$4),LN(B151/首页!$B$4))</f>
        <v>0.50821502190580192</v>
      </c>
      <c r="T151" s="6">
        <f>IF($Y$2="按单位面积散热损失 qp",2*PI()*首页!$B$8*((E151-D151)/$Y$3-1/R151),2*PI()*首页!$B$8*((E151-D151)/$Y$4-1/(PI()*B151*R151)))</f>
        <v>4.0859260683363208E-2</v>
      </c>
      <c r="U151" t="str">
        <f t="shared" si="28"/>
        <v>按单位面积散热损失 qp</v>
      </c>
      <c r="V151" s="6">
        <f t="shared" si="29"/>
        <v>0.46735576122243871</v>
      </c>
    </row>
    <row r="152" spans="1:22" x14ac:dyDescent="0.15">
      <c r="A152">
        <v>147</v>
      </c>
      <c r="B152" s="6">
        <f>首页!$B$4+2*A152/1000</f>
        <v>0.41399999999999998</v>
      </c>
      <c r="C152" s="6">
        <f>首页!$B$7+273.15</f>
        <v>388.15</v>
      </c>
      <c r="D152" s="6">
        <f>首页!$B$6+273.15</f>
        <v>293.14999999999998</v>
      </c>
      <c r="E152" s="6">
        <f>首页!$B$5+273.15</f>
        <v>1373.15</v>
      </c>
      <c r="F152" s="6">
        <f t="shared" si="20"/>
        <v>95</v>
      </c>
      <c r="G152" s="6">
        <f t="shared" si="21"/>
        <v>340.65</v>
      </c>
      <c r="H152" s="6">
        <f t="shared" si="22"/>
        <v>1.9926207055139041E-5</v>
      </c>
      <c r="I152" s="7">
        <f t="shared" si="23"/>
        <v>1158916576932337.8</v>
      </c>
      <c r="J152" s="6">
        <f t="shared" si="24"/>
        <v>1.0226038455893147</v>
      </c>
      <c r="K152" s="7">
        <f>J152*H152*首页!$B$12/P152</f>
        <v>0.69532757496605813</v>
      </c>
      <c r="L152" s="6">
        <f>首页!$B$9*0.0000000567*((C152^4-D152^4)/(C152-D152))</f>
        <v>7.7687338005019564</v>
      </c>
      <c r="M152" s="6">
        <f>IF(首页!$B$13="自然对流",IF(首页!$B$14="立式圆筒",首页!$B$10,PI()*B152/2),PI()*B152/2)</f>
        <v>55.2</v>
      </c>
      <c r="N152" s="7">
        <f>IF(首页!$B$13="强制对流",首页!$B$11*M152/H152,0)</f>
        <v>0</v>
      </c>
      <c r="O152" s="7">
        <f>IF(首页!$B$13="自然对流",IF(首页!$B$14="立式圆筒",(0.825+0.3063*I152^(1/6))^2+0.87*(M152/B152),(0.752+0.303*I152^(1/6))^2),0.3+SQRT((0.592*N152^0.5)^2+(0.0262*N152^0.8/(1-0.5/N152^0.1))^2))</f>
        <v>10135.2075029349</v>
      </c>
      <c r="P152" s="6">
        <f t="shared" si="25"/>
        <v>2.9510194925512497E-2</v>
      </c>
      <c r="Q152" s="6">
        <f t="shared" si="26"/>
        <v>5.418332409821117</v>
      </c>
      <c r="R152" s="6">
        <f t="shared" si="27"/>
        <v>13.187066210323074</v>
      </c>
      <c r="S152" s="6">
        <f>IF($Y$2="按单位面积散热损失 qp",B152*LN(B152/首页!$B$4),LN(B152/首页!$B$4))</f>
        <v>0.51268693165191304</v>
      </c>
      <c r="T152" s="6">
        <f>IF($Y$2="按单位面积散热损失 qp",2*PI()*首页!$B$8*((E152-D152)/$Y$3-1/R152),2*PI()*首页!$B$8*((E152-D152)/$Y$4-1/(PI()*B152*R152)))</f>
        <v>4.0858771231637753E-2</v>
      </c>
      <c r="U152" t="str">
        <f t="shared" si="28"/>
        <v>按单位面积散热损失 qp</v>
      </c>
      <c r="V152" s="6">
        <f t="shared" si="29"/>
        <v>0.47182816042027531</v>
      </c>
    </row>
    <row r="153" spans="1:22" x14ac:dyDescent="0.15">
      <c r="A153">
        <v>148</v>
      </c>
      <c r="B153" s="6">
        <f>首页!$B$4+2*A153/1000</f>
        <v>0.41599999999999998</v>
      </c>
      <c r="C153" s="6">
        <f>首页!$B$7+273.15</f>
        <v>388.15</v>
      </c>
      <c r="D153" s="6">
        <f>首页!$B$6+273.15</f>
        <v>293.14999999999998</v>
      </c>
      <c r="E153" s="6">
        <f>首页!$B$5+273.15</f>
        <v>1373.15</v>
      </c>
      <c r="F153" s="6">
        <f t="shared" si="20"/>
        <v>95</v>
      </c>
      <c r="G153" s="6">
        <f t="shared" si="21"/>
        <v>340.65</v>
      </c>
      <c r="H153" s="6">
        <f t="shared" si="22"/>
        <v>1.9926207055139041E-5</v>
      </c>
      <c r="I153" s="7">
        <f t="shared" si="23"/>
        <v>1158916576932337.8</v>
      </c>
      <c r="J153" s="6">
        <f t="shared" si="24"/>
        <v>1.0226038455893147</v>
      </c>
      <c r="K153" s="7">
        <f>J153*H153*首页!$B$12/P153</f>
        <v>0.69532757496605813</v>
      </c>
      <c r="L153" s="6">
        <f>首页!$B$9*0.0000000567*((C153^4-D153^4)/(C153-D153))</f>
        <v>7.7687338005019564</v>
      </c>
      <c r="M153" s="6">
        <f>IF(首页!$B$13="自然对流",IF(首页!$B$14="立式圆筒",首页!$B$10,PI()*B153/2),PI()*B153/2)</f>
        <v>55.2</v>
      </c>
      <c r="N153" s="7">
        <f>IF(首页!$B$13="强制对流",首页!$B$11*M153/H153,0)</f>
        <v>0</v>
      </c>
      <c r="O153" s="7">
        <f>IF(首页!$B$13="自然对流",IF(首页!$B$14="立式圆筒",(0.825+0.3063*I153^(1/6))^2+0.87*(M153/B153),(0.752+0.303*I153^(1/6))^2),0.3+SQRT((0.592*N153^0.5)^2+(0.0262*N153^0.8/(1-0.5/N153^0.1))^2))</f>
        <v>10134.649810627208</v>
      </c>
      <c r="P153" s="6">
        <f t="shared" si="25"/>
        <v>2.9510194925512497E-2</v>
      </c>
      <c r="Q153" s="6">
        <f t="shared" si="26"/>
        <v>5.4180342647358195</v>
      </c>
      <c r="R153" s="6">
        <f t="shared" si="27"/>
        <v>13.186768065237775</v>
      </c>
      <c r="S153" s="6">
        <f>IF($Y$2="按单位面积散热损失 qp",B153*LN(B153/首页!$B$4),LN(B153/首页!$B$4))</f>
        <v>0.51716850327135433</v>
      </c>
      <c r="T153" s="6">
        <f>IF($Y$2="按单位面积散热损失 qp",2*PI()*首页!$B$8*((E153-D153)/$Y$3-1/R153),2*PI()*首页!$B$8*((E153-D153)/$Y$4-1/(PI()*B153*R153)))</f>
        <v>4.0858286464152856E-2</v>
      </c>
      <c r="U153" t="str">
        <f t="shared" si="28"/>
        <v>按单位面积散热损失 qp</v>
      </c>
      <c r="V153" s="6">
        <f t="shared" si="29"/>
        <v>0.47631021680720148</v>
      </c>
    </row>
    <row r="154" spans="1:22" x14ac:dyDescent="0.15">
      <c r="A154">
        <v>149</v>
      </c>
      <c r="B154" s="6">
        <f>首页!$B$4+2*A154/1000</f>
        <v>0.41799999999999998</v>
      </c>
      <c r="C154" s="6">
        <f>首页!$B$7+273.15</f>
        <v>388.15</v>
      </c>
      <c r="D154" s="6">
        <f>首页!$B$6+273.15</f>
        <v>293.14999999999998</v>
      </c>
      <c r="E154" s="6">
        <f>首页!$B$5+273.15</f>
        <v>1373.15</v>
      </c>
      <c r="F154" s="6">
        <f t="shared" si="20"/>
        <v>95</v>
      </c>
      <c r="G154" s="6">
        <f t="shared" si="21"/>
        <v>340.65</v>
      </c>
      <c r="H154" s="6">
        <f t="shared" si="22"/>
        <v>1.9926207055139041E-5</v>
      </c>
      <c r="I154" s="7">
        <f t="shared" si="23"/>
        <v>1158916576932337.8</v>
      </c>
      <c r="J154" s="6">
        <f t="shared" si="24"/>
        <v>1.0226038455893147</v>
      </c>
      <c r="K154" s="7">
        <f>J154*H154*首页!$B$12/P154</f>
        <v>0.69532757496605813</v>
      </c>
      <c r="L154" s="6">
        <f>首页!$B$9*0.0000000567*((C154^4-D154^4)/(C154-D154))</f>
        <v>7.7687338005019564</v>
      </c>
      <c r="M154" s="6">
        <f>IF(首页!$B$13="自然对流",IF(首页!$B$14="立式圆筒",首页!$B$10,PI()*B154/2),PI()*B154/2)</f>
        <v>55.2</v>
      </c>
      <c r="N154" s="7">
        <f>IF(首页!$B$13="强制对流",首页!$B$11*M154/H154,0)</f>
        <v>0</v>
      </c>
      <c r="O154" s="7">
        <f>IF(首页!$B$13="自然对流",IF(首页!$B$14="立式圆筒",(0.825+0.3063*I154^(1/6))^2+0.87*(M154/B154),(0.752+0.303*I154^(1/6))^2),0.3+SQRT((0.592*N154^0.5)^2+(0.0262*N154^0.8/(1-0.5/N154^0.1))^2))</f>
        <v>10134.097455088009</v>
      </c>
      <c r="P154" s="6">
        <f t="shared" si="25"/>
        <v>2.9510194925512497E-2</v>
      </c>
      <c r="Q154" s="6">
        <f t="shared" si="26"/>
        <v>5.4177389727135372</v>
      </c>
      <c r="R154" s="6">
        <f t="shared" si="27"/>
        <v>13.186472773215494</v>
      </c>
      <c r="S154" s="6">
        <f>IF($Y$2="按单位面积散热损失 qp",B154*LN(B154/首页!$B$4),LN(B154/首页!$B$4))</f>
        <v>0.52165969031245285</v>
      </c>
      <c r="T154" s="6">
        <f>IF($Y$2="按单位面积散热损失 qp",2*PI()*首页!$B$8*((E154-D154)/$Y$3-1/R154),2*PI()*首页!$B$8*((E154-D154)/$Y$4-1/(PI()*B154*R154)))</f>
        <v>4.0857806313983808E-2</v>
      </c>
      <c r="U154" t="str">
        <f t="shared" si="28"/>
        <v>按单位面积散热损失 qp</v>
      </c>
      <c r="V154" s="6">
        <f t="shared" si="29"/>
        <v>0.48080188399846902</v>
      </c>
    </row>
    <row r="155" spans="1:22" x14ac:dyDescent="0.15">
      <c r="A155">
        <v>150</v>
      </c>
      <c r="B155" s="6">
        <f>首页!$B$4+2*A155/1000</f>
        <v>0.42</v>
      </c>
      <c r="C155" s="6">
        <f>首页!$B$7+273.15</f>
        <v>388.15</v>
      </c>
      <c r="D155" s="6">
        <f>首页!$B$6+273.15</f>
        <v>293.14999999999998</v>
      </c>
      <c r="E155" s="6">
        <f>首页!$B$5+273.15</f>
        <v>1373.15</v>
      </c>
      <c r="F155" s="6">
        <f t="shared" si="20"/>
        <v>95</v>
      </c>
      <c r="G155" s="6">
        <f t="shared" si="21"/>
        <v>340.65</v>
      </c>
      <c r="H155" s="6">
        <f t="shared" si="22"/>
        <v>1.9926207055139041E-5</v>
      </c>
      <c r="I155" s="7">
        <f t="shared" si="23"/>
        <v>1158916576932337.8</v>
      </c>
      <c r="J155" s="6">
        <f t="shared" si="24"/>
        <v>1.0226038455893147</v>
      </c>
      <c r="K155" s="7">
        <f>J155*H155*首页!$B$12/P155</f>
        <v>0.69532757496605813</v>
      </c>
      <c r="L155" s="6">
        <f>首页!$B$9*0.0000000567*((C155^4-D155^4)/(C155-D155))</f>
        <v>7.7687338005019564</v>
      </c>
      <c r="M155" s="6">
        <f>IF(首页!$B$13="自然对流",IF(首页!$B$14="立式圆筒",首页!$B$10,PI()*B155/2),PI()*B155/2)</f>
        <v>55.2</v>
      </c>
      <c r="N155" s="7">
        <f>IF(首页!$B$13="强制对流",首页!$B$11*M155/H155,0)</f>
        <v>0</v>
      </c>
      <c r="O155" s="7">
        <f>IF(首页!$B$13="自然对流",IF(首页!$B$14="立式圆筒",(0.825+0.3063*I155^(1/6))^2+0.87*(M155/B155),(0.752+0.303*I155^(1/6))^2),0.3+SQRT((0.592*N155^0.5)^2+(0.0262*N155^0.8/(1-0.5/N155^0.1))^2))</f>
        <v>10133.550360077757</v>
      </c>
      <c r="P155" s="6">
        <f t="shared" si="25"/>
        <v>2.9510194925512497E-2</v>
      </c>
      <c r="Q155" s="6">
        <f t="shared" si="26"/>
        <v>5.4174464929962305</v>
      </c>
      <c r="R155" s="6">
        <f t="shared" si="27"/>
        <v>13.186180293498186</v>
      </c>
      <c r="S155" s="6">
        <f>IF($Y$2="按单位面积散热损失 qp",B155*LN(B155/首页!$B$4),LN(B155/首页!$B$4))</f>
        <v>0.52616044676805451</v>
      </c>
      <c r="T155" s="6">
        <f>IF($Y$2="按单位面积散热损失 qp",2*PI()*首页!$B$8*((E155-D155)/$Y$3-1/R155),2*PI()*首页!$B$8*((E155-D155)/$Y$4-1/(PI()*B155*R155)))</f>
        <v>4.0857330715474732E-2</v>
      </c>
      <c r="U155" t="str">
        <f t="shared" si="28"/>
        <v>按单位面积散热损失 qp</v>
      </c>
      <c r="V155" s="6">
        <f t="shared" si="29"/>
        <v>0.48530311605257981</v>
      </c>
    </row>
    <row r="156" spans="1:22" x14ac:dyDescent="0.15">
      <c r="A156">
        <v>151</v>
      </c>
      <c r="B156" s="6">
        <f>首页!$B$4+2*A156/1000</f>
        <v>0.42199999999999999</v>
      </c>
      <c r="C156" s="6">
        <f>首页!$B$7+273.15</f>
        <v>388.15</v>
      </c>
      <c r="D156" s="6">
        <f>首页!$B$6+273.15</f>
        <v>293.14999999999998</v>
      </c>
      <c r="E156" s="6">
        <f>首页!$B$5+273.15</f>
        <v>1373.15</v>
      </c>
      <c r="F156" s="6">
        <f t="shared" si="20"/>
        <v>95</v>
      </c>
      <c r="G156" s="6">
        <f t="shared" si="21"/>
        <v>340.65</v>
      </c>
      <c r="H156" s="6">
        <f t="shared" si="22"/>
        <v>1.9926207055139041E-5</v>
      </c>
      <c r="I156" s="7">
        <f t="shared" si="23"/>
        <v>1158916576932337.8</v>
      </c>
      <c r="J156" s="6">
        <f t="shared" si="24"/>
        <v>1.0226038455893147</v>
      </c>
      <c r="K156" s="7">
        <f>J156*H156*首页!$B$12/P156</f>
        <v>0.69532757496605813</v>
      </c>
      <c r="L156" s="6">
        <f>首页!$B$9*0.0000000567*((C156^4-D156^4)/(C156-D156))</f>
        <v>7.7687338005019564</v>
      </c>
      <c r="M156" s="6">
        <f>IF(首页!$B$13="自然对流",IF(首页!$B$14="立式圆筒",首页!$B$10,PI()*B156/2),PI()*B156/2)</f>
        <v>55.2</v>
      </c>
      <c r="N156" s="7">
        <f>IF(首页!$B$13="强制对流",首页!$B$11*M156/H156,0)</f>
        <v>0</v>
      </c>
      <c r="O156" s="7">
        <f>IF(首页!$B$13="自然对流",IF(首页!$B$14="立式圆筒",(0.825+0.3063*I156^(1/6))^2+0.87*(M156/B156),(0.752+0.303*I156^(1/6))^2),0.3+SQRT((0.592*N156^0.5)^2+(0.0262*N156^0.8/(1-0.5/N156^0.1))^2))</f>
        <v>10133.008450802199</v>
      </c>
      <c r="P156" s="6">
        <f t="shared" si="25"/>
        <v>2.9510194925512497E-2</v>
      </c>
      <c r="Q156" s="6">
        <f t="shared" si="26"/>
        <v>5.4171567855985199</v>
      </c>
      <c r="R156" s="6">
        <f t="shared" si="27"/>
        <v>13.185890586100477</v>
      </c>
      <c r="S156" s="6">
        <f>IF($Y$2="按单位面积散热损失 qp",B156*LN(B156/首页!$B$4),LN(B156/首页!$B$4))</f>
        <v>0.53067072706917351</v>
      </c>
      <c r="T156" s="6">
        <f>IF($Y$2="按单位面积散热损失 qp",2*PI()*首页!$B$8*((E156-D156)/$Y$3-1/R156),2*PI()*首页!$B$8*((E156-D156)/$Y$4-1/(PI()*B156*R156)))</f>
        <v>4.0856859604208685E-2</v>
      </c>
      <c r="U156" t="str">
        <f t="shared" si="28"/>
        <v>按单位面积散热损失 qp</v>
      </c>
      <c r="V156" s="6">
        <f t="shared" si="29"/>
        <v>0.4898138674649648</v>
      </c>
    </row>
    <row r="157" spans="1:22" x14ac:dyDescent="0.15">
      <c r="A157">
        <v>152</v>
      </c>
      <c r="B157" s="6">
        <f>首页!$B$4+2*A157/1000</f>
        <v>0.42399999999999999</v>
      </c>
      <c r="C157" s="6">
        <f>首页!$B$7+273.15</f>
        <v>388.15</v>
      </c>
      <c r="D157" s="6">
        <f>首页!$B$6+273.15</f>
        <v>293.14999999999998</v>
      </c>
      <c r="E157" s="6">
        <f>首页!$B$5+273.15</f>
        <v>1373.15</v>
      </c>
      <c r="F157" s="6">
        <f t="shared" si="20"/>
        <v>95</v>
      </c>
      <c r="G157" s="6">
        <f t="shared" si="21"/>
        <v>340.65</v>
      </c>
      <c r="H157" s="6">
        <f t="shared" si="22"/>
        <v>1.9926207055139041E-5</v>
      </c>
      <c r="I157" s="7">
        <f t="shared" si="23"/>
        <v>1158916576932337.8</v>
      </c>
      <c r="J157" s="6">
        <f t="shared" si="24"/>
        <v>1.0226038455893147</v>
      </c>
      <c r="K157" s="7">
        <f>J157*H157*首页!$B$12/P157</f>
        <v>0.69532757496605813</v>
      </c>
      <c r="L157" s="6">
        <f>首页!$B$9*0.0000000567*((C157^4-D157^4)/(C157-D157))</f>
        <v>7.7687338005019564</v>
      </c>
      <c r="M157" s="6">
        <f>IF(首页!$B$13="自然对流",IF(首页!$B$14="立式圆筒",首页!$B$10,PI()*B157/2),PI()*B157/2)</f>
        <v>55.2</v>
      </c>
      <c r="N157" s="7">
        <f>IF(首页!$B$13="强制对流",首页!$B$11*M157/H157,0)</f>
        <v>0</v>
      </c>
      <c r="O157" s="7">
        <f>IF(首页!$B$13="自然对流",IF(首页!$B$14="立式圆筒",(0.825+0.3063*I157^(1/6))^2+0.87*(M157/B157),(0.752+0.303*I157^(1/6))^2),0.3+SQRT((0.592*N157^0.5)^2+(0.0262*N157^0.8/(1-0.5/N157^0.1))^2))</f>
        <v>10132.471653878296</v>
      </c>
      <c r="P157" s="6">
        <f t="shared" si="25"/>
        <v>2.9510194925512497E-2</v>
      </c>
      <c r="Q157" s="6">
        <f t="shared" si="26"/>
        <v>5.416869811289466</v>
      </c>
      <c r="R157" s="6">
        <f t="shared" si="27"/>
        <v>13.185603611791421</v>
      </c>
      <c r="S157" s="6">
        <f>IF($Y$2="按单位面积散热损失 qp",B157*LN(B157/首页!$B$4),LN(B157/首页!$B$4))</f>
        <v>0.53519048607876252</v>
      </c>
      <c r="T157" s="6">
        <f>IF($Y$2="按单位面积散热损失 qp",2*PI()*首页!$B$8*((E157-D157)/$Y$3-1/R157),2*PI()*首页!$B$8*((E157-D157)/$Y$4-1/(PI()*B157*R157)))</f>
        <v>4.0856392916978526E-2</v>
      </c>
      <c r="U157" t="str">
        <f t="shared" si="28"/>
        <v>按单位面积散热损失 qp</v>
      </c>
      <c r="V157" s="6">
        <f t="shared" si="29"/>
        <v>0.49433409316178401</v>
      </c>
    </row>
    <row r="158" spans="1:22" x14ac:dyDescent="0.15">
      <c r="A158">
        <v>153</v>
      </c>
      <c r="B158" s="6">
        <f>首页!$B$4+2*A158/1000</f>
        <v>0.42599999999999999</v>
      </c>
      <c r="C158" s="6">
        <f>首页!$B$7+273.15</f>
        <v>388.15</v>
      </c>
      <c r="D158" s="6">
        <f>首页!$B$6+273.15</f>
        <v>293.14999999999998</v>
      </c>
      <c r="E158" s="6">
        <f>首页!$B$5+273.15</f>
        <v>1373.15</v>
      </c>
      <c r="F158" s="6">
        <f t="shared" si="20"/>
        <v>95</v>
      </c>
      <c r="G158" s="6">
        <f t="shared" si="21"/>
        <v>340.65</v>
      </c>
      <c r="H158" s="6">
        <f t="shared" si="22"/>
        <v>1.9926207055139041E-5</v>
      </c>
      <c r="I158" s="7">
        <f t="shared" si="23"/>
        <v>1158916576932337.8</v>
      </c>
      <c r="J158" s="6">
        <f t="shared" si="24"/>
        <v>1.0226038455893147</v>
      </c>
      <c r="K158" s="7">
        <f>J158*H158*首页!$B$12/P158</f>
        <v>0.69532757496605813</v>
      </c>
      <c r="L158" s="6">
        <f>首页!$B$9*0.0000000567*((C158^4-D158^4)/(C158-D158))</f>
        <v>7.7687338005019564</v>
      </c>
      <c r="M158" s="6">
        <f>IF(首页!$B$13="自然对流",IF(首页!$B$14="立式圆筒",首页!$B$10,PI()*B158/2),PI()*B158/2)</f>
        <v>55.2</v>
      </c>
      <c r="N158" s="7">
        <f>IF(首页!$B$13="强制对流",首页!$B$11*M158/H158,0)</f>
        <v>0</v>
      </c>
      <c r="O158" s="7">
        <f>IF(首页!$B$13="自然对流",IF(首页!$B$14="立式圆筒",(0.825+0.3063*I158^(1/6))^2+0.87*(M158/B158),(0.752+0.303*I158^(1/6))^2),0.3+SQRT((0.592*N158^0.5)^2+(0.0262*N158^0.8/(1-0.5/N158^0.1))^2))</f>
        <v>10131.939897301098</v>
      </c>
      <c r="P158" s="6">
        <f t="shared" si="25"/>
        <v>2.9510194925512497E-2</v>
      </c>
      <c r="Q158" s="6">
        <f t="shared" si="26"/>
        <v>5.4165855315748637</v>
      </c>
      <c r="R158" s="6">
        <f t="shared" si="27"/>
        <v>13.185319332076819</v>
      </c>
      <c r="S158" s="6">
        <f>IF($Y$2="按单位面积散热损失 qp",B158*LN(B158/首页!$B$4),LN(B158/首页!$B$4))</f>
        <v>0.53971967908560026</v>
      </c>
      <c r="T158" s="6">
        <f>IF($Y$2="按单位面积散热损失 qp",2*PI()*首页!$B$8*((E158-D158)/$Y$3-1/R158),2*PI()*首页!$B$8*((E158-D158)/$Y$4-1/(PI()*B158*R158)))</f>
        <v>4.0855930591758724E-2</v>
      </c>
      <c r="U158" t="str">
        <f t="shared" si="28"/>
        <v>按单位面积散热损失 qp</v>
      </c>
      <c r="V158" s="6">
        <f t="shared" si="29"/>
        <v>0.49886374849384152</v>
      </c>
    </row>
    <row r="159" spans="1:22" x14ac:dyDescent="0.15">
      <c r="A159">
        <v>154</v>
      </c>
      <c r="B159" s="6">
        <f>首页!$B$4+2*A159/1000</f>
        <v>0.42799999999999999</v>
      </c>
      <c r="C159" s="6">
        <f>首页!$B$7+273.15</f>
        <v>388.15</v>
      </c>
      <c r="D159" s="6">
        <f>首页!$B$6+273.15</f>
        <v>293.14999999999998</v>
      </c>
      <c r="E159" s="6">
        <f>首页!$B$5+273.15</f>
        <v>1373.15</v>
      </c>
      <c r="F159" s="6">
        <f t="shared" si="20"/>
        <v>95</v>
      </c>
      <c r="G159" s="6">
        <f t="shared" si="21"/>
        <v>340.65</v>
      </c>
      <c r="H159" s="6">
        <f t="shared" si="22"/>
        <v>1.9926207055139041E-5</v>
      </c>
      <c r="I159" s="7">
        <f t="shared" si="23"/>
        <v>1158916576932337.8</v>
      </c>
      <c r="J159" s="6">
        <f t="shared" si="24"/>
        <v>1.0226038455893147</v>
      </c>
      <c r="K159" s="7">
        <f>J159*H159*首页!$B$12/P159</f>
        <v>0.69532757496605813</v>
      </c>
      <c r="L159" s="6">
        <f>首页!$B$9*0.0000000567*((C159^4-D159^4)/(C159-D159))</f>
        <v>7.7687338005019564</v>
      </c>
      <c r="M159" s="6">
        <f>IF(首页!$B$13="自然对流",IF(首页!$B$14="立式圆筒",首页!$B$10,PI()*B159/2),PI()*B159/2)</f>
        <v>55.2</v>
      </c>
      <c r="N159" s="7">
        <f>IF(首页!$B$13="强制对流",首页!$B$11*M159/H159,0)</f>
        <v>0</v>
      </c>
      <c r="O159" s="7">
        <f>IF(首页!$B$13="自然对流",IF(首页!$B$14="立式圆筒",(0.825+0.3063*I159^(1/6))^2+0.87*(M159/B159),(0.752+0.303*I159^(1/6))^2),0.3+SQRT((0.592*N159^0.5)^2+(0.0262*N159^0.8/(1-0.5/N159^0.1))^2))</f>
        <v>10131.413110411535</v>
      </c>
      <c r="P159" s="6">
        <f t="shared" si="25"/>
        <v>2.9510194925512497E-2</v>
      </c>
      <c r="Q159" s="6">
        <f t="shared" si="26"/>
        <v>5.416303908680022</v>
      </c>
      <c r="R159" s="6">
        <f t="shared" si="27"/>
        <v>13.185037709181978</v>
      </c>
      <c r="S159" s="6">
        <f>IF($Y$2="按单位面积散热损失 qp",B159*LN(B159/首页!$B$4),LN(B159/首页!$B$4))</f>
        <v>0.54425826179829329</v>
      </c>
      <c r="T159" s="6">
        <f>IF($Y$2="按单位面积散热损失 qp",2*PI()*首页!$B$8*((E159-D159)/$Y$3-1/R159),2*PI()*首页!$B$8*((E159-D159)/$Y$4-1/(PI()*B159*R159)))</f>
        <v>4.0855472567677797E-2</v>
      </c>
      <c r="U159" t="str">
        <f t="shared" si="28"/>
        <v>按单位面积散热损失 qp</v>
      </c>
      <c r="V159" s="6">
        <f t="shared" si="29"/>
        <v>0.50340278923061543</v>
      </c>
    </row>
    <row r="160" spans="1:22" x14ac:dyDescent="0.15">
      <c r="A160">
        <v>155</v>
      </c>
      <c r="B160" s="6">
        <f>首页!$B$4+2*A160/1000</f>
        <v>0.43</v>
      </c>
      <c r="C160" s="6">
        <f>首页!$B$7+273.15</f>
        <v>388.15</v>
      </c>
      <c r="D160" s="6">
        <f>首页!$B$6+273.15</f>
        <v>293.14999999999998</v>
      </c>
      <c r="E160" s="6">
        <f>首页!$B$5+273.15</f>
        <v>1373.15</v>
      </c>
      <c r="F160" s="6">
        <f t="shared" si="20"/>
        <v>95</v>
      </c>
      <c r="G160" s="6">
        <f t="shared" si="21"/>
        <v>340.65</v>
      </c>
      <c r="H160" s="6">
        <f t="shared" si="22"/>
        <v>1.9926207055139041E-5</v>
      </c>
      <c r="I160" s="7">
        <f t="shared" si="23"/>
        <v>1158916576932337.8</v>
      </c>
      <c r="J160" s="6">
        <f t="shared" si="24"/>
        <v>1.0226038455893147</v>
      </c>
      <c r="K160" s="7">
        <f>J160*H160*首页!$B$12/P160</f>
        <v>0.69532757496605813</v>
      </c>
      <c r="L160" s="6">
        <f>首页!$B$9*0.0000000567*((C160^4-D160^4)/(C160-D160))</f>
        <v>7.7687338005019564</v>
      </c>
      <c r="M160" s="6">
        <f>IF(首页!$B$13="自然对流",IF(首页!$B$14="立式圆筒",首页!$B$10,PI()*B160/2),PI()*B160/2)</f>
        <v>55.2</v>
      </c>
      <c r="N160" s="7">
        <f>IF(首页!$B$13="强制对流",首页!$B$11*M160/H160,0)</f>
        <v>0</v>
      </c>
      <c r="O160" s="7">
        <f>IF(首页!$B$13="自然对流",IF(首页!$B$14="立式圆筒",(0.825+0.3063*I160^(1/6))^2+0.87*(M160/B160),(0.752+0.303*I160^(1/6))^2),0.3+SQRT((0.592*N160^0.5)^2+(0.0262*N160^0.8/(1-0.5/N160^0.1))^2))</f>
        <v>10130.891223865132</v>
      </c>
      <c r="P160" s="6">
        <f t="shared" si="25"/>
        <v>2.9510194925512497E-2</v>
      </c>
      <c r="Q160" s="6">
        <f t="shared" si="26"/>
        <v>5.4160249055330416</v>
      </c>
      <c r="R160" s="6">
        <f t="shared" si="27"/>
        <v>13.184758706034998</v>
      </c>
      <c r="S160" s="6">
        <f>IF($Y$2="按单位面积散热损失 qp",B160*LN(B160/首页!$B$4),LN(B160/首页!$B$4))</f>
        <v>0.54880619033939171</v>
      </c>
      <c r="T160" s="6">
        <f>IF($Y$2="按单位面积散热损失 qp",2*PI()*首页!$B$8*((E160-D160)/$Y$3-1/R160),2*PI()*首页!$B$8*((E160-D160)/$Y$4-1/(PI()*B160*R160)))</f>
        <v>4.085501878499162E-2</v>
      </c>
      <c r="U160" t="str">
        <f t="shared" si="28"/>
        <v>按单位面积散热损失 qp</v>
      </c>
      <c r="V160" s="6">
        <f t="shared" si="29"/>
        <v>0.50795117155440006</v>
      </c>
    </row>
    <row r="161" spans="1:22" x14ac:dyDescent="0.15">
      <c r="A161">
        <v>156</v>
      </c>
      <c r="B161" s="6">
        <f>首页!$B$4+2*A161/1000</f>
        <v>0.432</v>
      </c>
      <c r="C161" s="6">
        <f>首页!$B$7+273.15</f>
        <v>388.15</v>
      </c>
      <c r="D161" s="6">
        <f>首页!$B$6+273.15</f>
        <v>293.14999999999998</v>
      </c>
      <c r="E161" s="6">
        <f>首页!$B$5+273.15</f>
        <v>1373.15</v>
      </c>
      <c r="F161" s="6">
        <f t="shared" si="20"/>
        <v>95</v>
      </c>
      <c r="G161" s="6">
        <f t="shared" si="21"/>
        <v>340.65</v>
      </c>
      <c r="H161" s="6">
        <f t="shared" si="22"/>
        <v>1.9926207055139041E-5</v>
      </c>
      <c r="I161" s="7">
        <f t="shared" si="23"/>
        <v>1158916576932337.8</v>
      </c>
      <c r="J161" s="6">
        <f t="shared" si="24"/>
        <v>1.0226038455893147</v>
      </c>
      <c r="K161" s="7">
        <f>J161*H161*首页!$B$12/P161</f>
        <v>0.69532757496605813</v>
      </c>
      <c r="L161" s="6">
        <f>首页!$B$9*0.0000000567*((C161^4-D161^4)/(C161-D161))</f>
        <v>7.7687338005019564</v>
      </c>
      <c r="M161" s="6">
        <f>IF(首页!$B$13="自然对流",IF(首页!$B$14="立式圆筒",首页!$B$10,PI()*B161/2),PI()*B161/2)</f>
        <v>55.2</v>
      </c>
      <c r="N161" s="7">
        <f>IF(首页!$B$13="强制对流",首页!$B$11*M161/H161,0)</f>
        <v>0</v>
      </c>
      <c r="O161" s="7">
        <f>IF(首页!$B$13="自然对流",IF(首页!$B$14="立式圆筒",(0.825+0.3063*I161^(1/6))^2+0.87*(M161/B161),(0.752+0.303*I161^(1/6))^2),0.3+SQRT((0.592*N161^0.5)^2+(0.0262*N161^0.8/(1-0.5/N161^0.1))^2))</f>
        <v>10130.374169601566</v>
      </c>
      <c r="P161" s="6">
        <f t="shared" si="25"/>
        <v>2.9510194925512497E-2</v>
      </c>
      <c r="Q161" s="6">
        <f t="shared" si="26"/>
        <v>5.4157484857485327</v>
      </c>
      <c r="R161" s="6">
        <f t="shared" si="27"/>
        <v>13.184482286250489</v>
      </c>
      <c r="S161" s="6">
        <f>IF($Y$2="按单位面积散热损失 qp",B161*LN(B161/首页!$B$4),LN(B161/首页!$B$4))</f>
        <v>0.5533634212396118</v>
      </c>
      <c r="T161" s="6">
        <f>IF($Y$2="按单位面积散热损失 qp",2*PI()*首页!$B$8*((E161-D161)/$Y$3-1/R161),2*PI()*首页!$B$8*((E161-D161)/$Y$4-1/(PI()*B161*R161)))</f>
        <v>4.085456918505747E-2</v>
      </c>
      <c r="U161" t="str">
        <f t="shared" si="28"/>
        <v>按单位面积散热损失 qp</v>
      </c>
      <c r="V161" s="6">
        <f t="shared" si="29"/>
        <v>0.51250885205455432</v>
      </c>
    </row>
    <row r="162" spans="1:22" x14ac:dyDescent="0.15">
      <c r="A162">
        <v>157</v>
      </c>
      <c r="B162" s="6">
        <f>首页!$B$4+2*A162/1000</f>
        <v>0.434</v>
      </c>
      <c r="C162" s="6">
        <f>首页!$B$7+273.15</f>
        <v>388.15</v>
      </c>
      <c r="D162" s="6">
        <f>首页!$B$6+273.15</f>
        <v>293.14999999999998</v>
      </c>
      <c r="E162" s="6">
        <f>首页!$B$5+273.15</f>
        <v>1373.15</v>
      </c>
      <c r="F162" s="6">
        <f t="shared" si="20"/>
        <v>95</v>
      </c>
      <c r="G162" s="6">
        <f t="shared" si="21"/>
        <v>340.65</v>
      </c>
      <c r="H162" s="6">
        <f t="shared" si="22"/>
        <v>1.9926207055139041E-5</v>
      </c>
      <c r="I162" s="7">
        <f t="shared" si="23"/>
        <v>1158916576932337.8</v>
      </c>
      <c r="J162" s="6">
        <f t="shared" si="24"/>
        <v>1.0226038455893147</v>
      </c>
      <c r="K162" s="7">
        <f>J162*H162*首页!$B$12/P162</f>
        <v>0.69532757496605813</v>
      </c>
      <c r="L162" s="6">
        <f>首页!$B$9*0.0000000567*((C162^4-D162^4)/(C162-D162))</f>
        <v>7.7687338005019564</v>
      </c>
      <c r="M162" s="6">
        <f>IF(首页!$B$13="自然对流",IF(首页!$B$14="立式圆筒",首页!$B$10,PI()*B162/2),PI()*B162/2)</f>
        <v>55.2</v>
      </c>
      <c r="N162" s="7">
        <f>IF(首页!$B$13="强制对流",首页!$B$11*M162/H162,0)</f>
        <v>0</v>
      </c>
      <c r="O162" s="7">
        <f>IF(首页!$B$13="自然对流",IF(首页!$B$14="立式圆筒",(0.825+0.3063*I162^(1/6))^2+0.87*(M162/B162),(0.752+0.303*I162^(1/6))^2),0.3+SQRT((0.592*N162^0.5)^2+(0.0262*N162^0.8/(1-0.5/N162^0.1))^2))</f>
        <v>10129.861880815084</v>
      </c>
      <c r="P162" s="6">
        <f t="shared" si="25"/>
        <v>2.9510194925512497E-2</v>
      </c>
      <c r="Q162" s="6">
        <f t="shared" si="26"/>
        <v>5.4154746136118064</v>
      </c>
      <c r="R162" s="6">
        <f t="shared" si="27"/>
        <v>13.184208414113762</v>
      </c>
      <c r="S162" s="6">
        <f>IF($Y$2="按单位面积散热损失 qp",B162*LN(B162/首页!$B$4),LN(B162/首页!$B$4))</f>
        <v>0.55792991143216775</v>
      </c>
      <c r="T162" s="6">
        <f>IF($Y$2="按单位面积散热损失 qp",2*PI()*首页!$B$8*((E162-D162)/$Y$3-1/R162),2*PI()*首页!$B$8*((E162-D162)/$Y$4-1/(PI()*B162*R162)))</f>
        <v>4.0854123710308748E-2</v>
      </c>
      <c r="U162" t="str">
        <f t="shared" si="28"/>
        <v>按单位面积散热损失 qp</v>
      </c>
      <c r="V162" s="6">
        <f t="shared" si="29"/>
        <v>0.51707578772185903</v>
      </c>
    </row>
    <row r="163" spans="1:22" x14ac:dyDescent="0.15">
      <c r="A163">
        <v>158</v>
      </c>
      <c r="B163" s="6">
        <f>首页!$B$4+2*A163/1000</f>
        <v>0.436</v>
      </c>
      <c r="C163" s="6">
        <f>首页!$B$7+273.15</f>
        <v>388.15</v>
      </c>
      <c r="D163" s="6">
        <f>首页!$B$6+273.15</f>
        <v>293.14999999999998</v>
      </c>
      <c r="E163" s="6">
        <f>首页!$B$5+273.15</f>
        <v>1373.15</v>
      </c>
      <c r="F163" s="6">
        <f t="shared" si="20"/>
        <v>95</v>
      </c>
      <c r="G163" s="6">
        <f t="shared" si="21"/>
        <v>340.65</v>
      </c>
      <c r="H163" s="6">
        <f t="shared" si="22"/>
        <v>1.9926207055139041E-5</v>
      </c>
      <c r="I163" s="7">
        <f t="shared" si="23"/>
        <v>1158916576932337.8</v>
      </c>
      <c r="J163" s="6">
        <f t="shared" si="24"/>
        <v>1.0226038455893147</v>
      </c>
      <c r="K163" s="7">
        <f>J163*H163*首页!$B$12/P163</f>
        <v>0.69532757496605813</v>
      </c>
      <c r="L163" s="6">
        <f>首页!$B$9*0.0000000567*((C163^4-D163^4)/(C163-D163))</f>
        <v>7.7687338005019564</v>
      </c>
      <c r="M163" s="6">
        <f>IF(首页!$B$13="自然对流",IF(首页!$B$14="立式圆筒",首页!$B$10,PI()*B163/2),PI()*B163/2)</f>
        <v>55.2</v>
      </c>
      <c r="N163" s="7">
        <f>IF(首页!$B$13="强制对流",首页!$B$11*M163/H163,0)</f>
        <v>0</v>
      </c>
      <c r="O163" s="7">
        <f>IF(首页!$B$13="自然对流",IF(首页!$B$14="立式圆筒",(0.825+0.3063*I163^(1/6))^2+0.87*(M163/B163),(0.752+0.303*I163^(1/6))^2),0.3+SQRT((0.592*N163^0.5)^2+(0.0262*N163^0.8/(1-0.5/N163^0.1))^2))</f>
        <v>10129.354291925725</v>
      </c>
      <c r="P163" s="6">
        <f t="shared" si="25"/>
        <v>2.9510194925512497E-2</v>
      </c>
      <c r="Q163" s="6">
        <f t="shared" si="26"/>
        <v>5.415203254063492</v>
      </c>
      <c r="R163" s="6">
        <f t="shared" si="27"/>
        <v>13.183937054565448</v>
      </c>
      <c r="S163" s="6">
        <f>IF($Y$2="按单位面积散热损失 qp",B163*LN(B163/首页!$B$4),LN(B163/首页!$B$4))</f>
        <v>0.56250561824720691</v>
      </c>
      <c r="T163" s="6">
        <f>IF($Y$2="按单位面积散热损失 qp",2*PI()*首页!$B$8*((E163-D163)/$Y$3-1/R163),2*PI()*首页!$B$8*((E163-D163)/$Y$4-1/(PI()*B163*R163)))</f>
        <v>4.0853682304230407E-2</v>
      </c>
      <c r="U163" t="str">
        <f t="shared" si="28"/>
        <v>按单位面积散热损失 qp</v>
      </c>
      <c r="V163" s="6">
        <f t="shared" si="29"/>
        <v>0.52165193594297654</v>
      </c>
    </row>
    <row r="164" spans="1:22" x14ac:dyDescent="0.15">
      <c r="A164">
        <v>159</v>
      </c>
      <c r="B164" s="6">
        <f>首页!$B$4+2*A164/1000</f>
        <v>0.438</v>
      </c>
      <c r="C164" s="6">
        <f>首页!$B$7+273.15</f>
        <v>388.15</v>
      </c>
      <c r="D164" s="6">
        <f>首页!$B$6+273.15</f>
        <v>293.14999999999998</v>
      </c>
      <c r="E164" s="6">
        <f>首页!$B$5+273.15</f>
        <v>1373.15</v>
      </c>
      <c r="F164" s="6">
        <f t="shared" si="20"/>
        <v>95</v>
      </c>
      <c r="G164" s="6">
        <f t="shared" si="21"/>
        <v>340.65</v>
      </c>
      <c r="H164" s="6">
        <f t="shared" si="22"/>
        <v>1.9926207055139041E-5</v>
      </c>
      <c r="I164" s="7">
        <f t="shared" si="23"/>
        <v>1158916576932337.8</v>
      </c>
      <c r="J164" s="6">
        <f t="shared" si="24"/>
        <v>1.0226038455893147</v>
      </c>
      <c r="K164" s="7">
        <f>J164*H164*首页!$B$12/P164</f>
        <v>0.69532757496605813</v>
      </c>
      <c r="L164" s="6">
        <f>首页!$B$9*0.0000000567*((C164^4-D164^4)/(C164-D164))</f>
        <v>7.7687338005019564</v>
      </c>
      <c r="M164" s="6">
        <f>IF(首页!$B$13="自然对流",IF(首页!$B$14="立式圆筒",首页!$B$10,PI()*B164/2),PI()*B164/2)</f>
        <v>55.2</v>
      </c>
      <c r="N164" s="7">
        <f>IF(首页!$B$13="强制对流",首页!$B$11*M164/H164,0)</f>
        <v>0</v>
      </c>
      <c r="O164" s="7">
        <f>IF(首页!$B$13="自然对流",IF(首页!$B$14="立式圆筒",(0.825+0.3063*I164^(1/6))^2+0.87*(M164/B164),(0.752+0.303*I164^(1/6))^2),0.3+SQRT((0.592*N164^0.5)^2+(0.0262*N164^0.8/(1-0.5/N164^0.1))^2))</f>
        <v>10128.851338551338</v>
      </c>
      <c r="P164" s="6">
        <f t="shared" si="25"/>
        <v>2.9510194925512497E-2</v>
      </c>
      <c r="Q164" s="6">
        <f t="shared" si="26"/>
        <v>5.4149343726845673</v>
      </c>
      <c r="R164" s="6">
        <f t="shared" si="27"/>
        <v>13.183668173186524</v>
      </c>
      <c r="S164" s="6">
        <f>IF($Y$2="按单位面积散热损失 qp",B164*LN(B164/首页!$B$4),LN(B164/首页!$B$4))</f>
        <v>0.56709049940634737</v>
      </c>
      <c r="T164" s="6">
        <f>IF($Y$2="按单位面积散热损失 qp",2*PI()*首页!$B$8*((E164-D164)/$Y$3-1/R164),2*PI()*首页!$B$8*((E164-D164)/$Y$4-1/(PI()*B164*R164)))</f>
        <v>4.0853244911335032E-2</v>
      </c>
      <c r="U164" t="str">
        <f t="shared" si="28"/>
        <v>按单位面积散热损失 qp</v>
      </c>
      <c r="V164" s="6">
        <f t="shared" si="29"/>
        <v>0.52623725449501235</v>
      </c>
    </row>
    <row r="165" spans="1:22" x14ac:dyDescent="0.15">
      <c r="A165">
        <v>160</v>
      </c>
      <c r="B165" s="6">
        <f>首页!$B$4+2*A165/1000</f>
        <v>0.44</v>
      </c>
      <c r="C165" s="6">
        <f>首页!$B$7+273.15</f>
        <v>388.15</v>
      </c>
      <c r="D165" s="6">
        <f>首页!$B$6+273.15</f>
        <v>293.14999999999998</v>
      </c>
      <c r="E165" s="6">
        <f>首页!$B$5+273.15</f>
        <v>1373.15</v>
      </c>
      <c r="F165" s="6">
        <f t="shared" si="20"/>
        <v>95</v>
      </c>
      <c r="G165" s="6">
        <f t="shared" si="21"/>
        <v>340.65</v>
      </c>
      <c r="H165" s="6">
        <f t="shared" si="22"/>
        <v>1.9926207055139041E-5</v>
      </c>
      <c r="I165" s="7">
        <f t="shared" si="23"/>
        <v>1158916576932337.8</v>
      </c>
      <c r="J165" s="6">
        <f t="shared" si="24"/>
        <v>1.0226038455893147</v>
      </c>
      <c r="K165" s="7">
        <f>J165*H165*首页!$B$12/P165</f>
        <v>0.69532757496605813</v>
      </c>
      <c r="L165" s="6">
        <f>首页!$B$9*0.0000000567*((C165^4-D165^4)/(C165-D165))</f>
        <v>7.7687338005019564</v>
      </c>
      <c r="M165" s="6">
        <f>IF(首页!$B$13="自然对流",IF(首页!$B$14="立式圆筒",首页!$B$10,PI()*B165/2),PI()*B165/2)</f>
        <v>55.2</v>
      </c>
      <c r="N165" s="7">
        <f>IF(首页!$B$13="强制对流",首页!$B$11*M165/H165,0)</f>
        <v>0</v>
      </c>
      <c r="O165" s="7">
        <f>IF(首页!$B$13="自然对流",IF(首页!$B$14="立式圆筒",(0.825+0.3063*I165^(1/6))^2+0.87*(M165/B165),(0.752+0.303*I165^(1/6))^2),0.3+SQRT((0.592*N165^0.5)^2+(0.0262*N165^0.8/(1-0.5/N165^0.1))^2))</f>
        <v>10128.352957480354</v>
      </c>
      <c r="P165" s="6">
        <f t="shared" si="25"/>
        <v>2.9510194925512497E-2</v>
      </c>
      <c r="Q165" s="6">
        <f t="shared" si="26"/>
        <v>5.4146679356818153</v>
      </c>
      <c r="R165" s="6">
        <f t="shared" si="27"/>
        <v>13.183401736183772</v>
      </c>
      <c r="S165" s="6">
        <f>IF($Y$2="按单位面积散热损失 qp",B165*LN(B165/首页!$B$4),LN(B165/首页!$B$4))</f>
        <v>0.57168451301731482</v>
      </c>
      <c r="T165" s="6">
        <f>IF($Y$2="按单位面积散热损失 qp",2*PI()*首页!$B$8*((E165-D165)/$Y$3-1/R165),2*PI()*首页!$B$8*((E165-D165)/$Y$4-1/(PI()*B165*R165)))</f>
        <v>4.0852811477139608E-2</v>
      </c>
      <c r="U165" t="str">
        <f t="shared" si="28"/>
        <v>按单位面积散热损失 qp</v>
      </c>
      <c r="V165" s="6">
        <f t="shared" si="29"/>
        <v>0.53083170154017523</v>
      </c>
    </row>
    <row r="166" spans="1:22" x14ac:dyDescent="0.15">
      <c r="A166">
        <v>161</v>
      </c>
      <c r="B166" s="6">
        <f>首页!$B$4+2*A166/1000</f>
        <v>0.442</v>
      </c>
      <c r="C166" s="6">
        <f>首页!$B$7+273.15</f>
        <v>388.15</v>
      </c>
      <c r="D166" s="6">
        <f>首页!$B$6+273.15</f>
        <v>293.14999999999998</v>
      </c>
      <c r="E166" s="6">
        <f>首页!$B$5+273.15</f>
        <v>1373.15</v>
      </c>
      <c r="F166" s="6">
        <f t="shared" si="20"/>
        <v>95</v>
      </c>
      <c r="G166" s="6">
        <f t="shared" si="21"/>
        <v>340.65</v>
      </c>
      <c r="H166" s="6">
        <f t="shared" si="22"/>
        <v>1.9926207055139041E-5</v>
      </c>
      <c r="I166" s="7">
        <f t="shared" si="23"/>
        <v>1158916576932337.8</v>
      </c>
      <c r="J166" s="6">
        <f t="shared" si="24"/>
        <v>1.0226038455893147</v>
      </c>
      <c r="K166" s="7">
        <f>J166*H166*首页!$B$12/P166</f>
        <v>0.69532757496605813</v>
      </c>
      <c r="L166" s="6">
        <f>首页!$B$9*0.0000000567*((C166^4-D166^4)/(C166-D166))</f>
        <v>7.7687338005019564</v>
      </c>
      <c r="M166" s="6">
        <f>IF(首页!$B$13="自然对流",IF(首页!$B$14="立式圆筒",首页!$B$10,PI()*B166/2),PI()*B166/2)</f>
        <v>55.2</v>
      </c>
      <c r="N166" s="7">
        <f>IF(首页!$B$13="强制对流",首页!$B$11*M166/H166,0)</f>
        <v>0</v>
      </c>
      <c r="O166" s="7">
        <f>IF(首页!$B$13="自然对流",IF(首页!$B$14="立式圆筒",(0.825+0.3063*I166^(1/6))^2+0.87*(M166/B166),(0.752+0.303*I166^(1/6))^2),0.3+SQRT((0.592*N166^0.5)^2+(0.0262*N166^0.8/(1-0.5/N166^0.1))^2))</f>
        <v>10127.859086645307</v>
      </c>
      <c r="P166" s="6">
        <f t="shared" si="25"/>
        <v>2.9510194925512497E-2</v>
      </c>
      <c r="Q166" s="6">
        <f t="shared" si="26"/>
        <v>5.4144039098736583</v>
      </c>
      <c r="R166" s="6">
        <f t="shared" si="27"/>
        <v>13.183137710375615</v>
      </c>
      <c r="S166" s="6">
        <f>IF($Y$2="按单位面积散热损失 qp",B166*LN(B166/首页!$B$4),LN(B166/首页!$B$4))</f>
        <v>0.5762876175686783</v>
      </c>
      <c r="T166" s="6">
        <f>IF($Y$2="按单位面积散热损失 qp",2*PI()*首页!$B$8*((E166-D166)/$Y$3-1/R166),2*PI()*首页!$B$8*((E166-D166)/$Y$4-1/(PI()*B166*R166)))</f>
        <v>4.0852381948142912E-2</v>
      </c>
      <c r="U166" t="str">
        <f t="shared" si="28"/>
        <v>按单位面积散热损失 qp</v>
      </c>
      <c r="V166" s="6">
        <f t="shared" si="29"/>
        <v>0.53543523562053541</v>
      </c>
    </row>
    <row r="167" spans="1:22" x14ac:dyDescent="0.15">
      <c r="A167">
        <v>162</v>
      </c>
      <c r="B167" s="6">
        <f>首页!$B$4+2*A167/1000</f>
        <v>0.44400000000000001</v>
      </c>
      <c r="C167" s="6">
        <f>首页!$B$7+273.15</f>
        <v>388.15</v>
      </c>
      <c r="D167" s="6">
        <f>首页!$B$6+273.15</f>
        <v>293.14999999999998</v>
      </c>
      <c r="E167" s="6">
        <f>首页!$B$5+273.15</f>
        <v>1373.15</v>
      </c>
      <c r="F167" s="6">
        <f t="shared" si="20"/>
        <v>95</v>
      </c>
      <c r="G167" s="6">
        <f t="shared" si="21"/>
        <v>340.65</v>
      </c>
      <c r="H167" s="6">
        <f t="shared" si="22"/>
        <v>1.9926207055139041E-5</v>
      </c>
      <c r="I167" s="7">
        <f t="shared" si="23"/>
        <v>1158916576932337.8</v>
      </c>
      <c r="J167" s="6">
        <f t="shared" si="24"/>
        <v>1.0226038455893147</v>
      </c>
      <c r="K167" s="7">
        <f>J167*H167*首页!$B$12/P167</f>
        <v>0.69532757496605813</v>
      </c>
      <c r="L167" s="6">
        <f>首页!$B$9*0.0000000567*((C167^4-D167^4)/(C167-D167))</f>
        <v>7.7687338005019564</v>
      </c>
      <c r="M167" s="6">
        <f>IF(首页!$B$13="自然对流",IF(首页!$B$14="立式圆筒",首页!$B$10,PI()*B167/2),PI()*B167/2)</f>
        <v>55.2</v>
      </c>
      <c r="N167" s="7">
        <f>IF(首页!$B$13="强制对流",首页!$B$11*M167/H167,0)</f>
        <v>0</v>
      </c>
      <c r="O167" s="7">
        <f>IF(首页!$B$13="自然对流",IF(首页!$B$14="立式圆筒",(0.825+0.3063*I167^(1/6))^2+0.87*(M167/B167),(0.752+0.303*I167^(1/6))^2),0.3+SQRT((0.592*N167^0.5)^2+(0.0262*N167^0.8/(1-0.5/N167^0.1))^2))</f>
        <v>10127.369665097061</v>
      </c>
      <c r="P167" s="6">
        <f t="shared" si="25"/>
        <v>2.9510194925512497E-2</v>
      </c>
      <c r="Q167" s="6">
        <f t="shared" si="26"/>
        <v>5.4141422626763855</v>
      </c>
      <c r="R167" s="6">
        <f t="shared" si="27"/>
        <v>13.182876063178341</v>
      </c>
      <c r="S167" s="6">
        <f>IF($Y$2="按单位面积散热损失 qp",B167*LN(B167/首页!$B$4),LN(B167/首页!$B$4))</f>
        <v>0.58089977192467945</v>
      </c>
      <c r="T167" s="6">
        <f>IF($Y$2="按单位面积散热损失 qp",2*PI()*首页!$B$8*((E167-D167)/$Y$3-1/R167),2*PI()*首页!$B$8*((E167-D167)/$Y$4-1/(PI()*B167*R167)))</f>
        <v>4.0851956271803463E-2</v>
      </c>
      <c r="U167" t="str">
        <f t="shared" si="28"/>
        <v>按单位面积散热损失 qp</v>
      </c>
      <c r="V167" s="6">
        <f t="shared" si="29"/>
        <v>0.54004781565287596</v>
      </c>
    </row>
    <row r="168" spans="1:22" x14ac:dyDescent="0.15">
      <c r="A168">
        <v>163</v>
      </c>
      <c r="B168" s="6">
        <f>首页!$B$4+2*A168/1000</f>
        <v>0.44600000000000001</v>
      </c>
      <c r="C168" s="6">
        <f>首页!$B$7+273.15</f>
        <v>388.15</v>
      </c>
      <c r="D168" s="6">
        <f>首页!$B$6+273.15</f>
        <v>293.14999999999998</v>
      </c>
      <c r="E168" s="6">
        <f>首页!$B$5+273.15</f>
        <v>1373.15</v>
      </c>
      <c r="F168" s="6">
        <f t="shared" si="20"/>
        <v>95</v>
      </c>
      <c r="G168" s="6">
        <f t="shared" si="21"/>
        <v>340.65</v>
      </c>
      <c r="H168" s="6">
        <f t="shared" si="22"/>
        <v>1.9926207055139041E-5</v>
      </c>
      <c r="I168" s="7">
        <f t="shared" si="23"/>
        <v>1158916576932337.8</v>
      </c>
      <c r="J168" s="6">
        <f t="shared" si="24"/>
        <v>1.0226038455893147</v>
      </c>
      <c r="K168" s="7">
        <f>J168*H168*首页!$B$12/P168</f>
        <v>0.69532757496605813</v>
      </c>
      <c r="L168" s="6">
        <f>首页!$B$9*0.0000000567*((C168^4-D168^4)/(C168-D168))</f>
        <v>7.7687338005019564</v>
      </c>
      <c r="M168" s="6">
        <f>IF(首页!$B$13="自然对流",IF(首页!$B$14="立式圆筒",首页!$B$10,PI()*B168/2),PI()*B168/2)</f>
        <v>55.2</v>
      </c>
      <c r="N168" s="7">
        <f>IF(首页!$B$13="强制对流",首页!$B$11*M168/H168,0)</f>
        <v>0</v>
      </c>
      <c r="O168" s="7">
        <f>IF(首页!$B$13="自然对流",IF(首页!$B$14="立式圆筒",(0.825+0.3063*I168^(1/6))^2+0.87*(M168/B168),(0.752+0.303*I168^(1/6))^2),0.3+SQRT((0.592*N168^0.5)^2+(0.0262*N168^0.8/(1-0.5/N168^0.1))^2))</f>
        <v>10126.884632979743</v>
      </c>
      <c r="P168" s="6">
        <f t="shared" si="25"/>
        <v>2.9510194925512497E-2</v>
      </c>
      <c r="Q168" s="6">
        <f t="shared" si="26"/>
        <v>5.4138829620907485</v>
      </c>
      <c r="R168" s="6">
        <f t="shared" si="27"/>
        <v>13.182616762592705</v>
      </c>
      <c r="S168" s="6">
        <f>IF($Y$2="按单位面积散热损失 qp",B168*LN(B168/首页!$B$4),LN(B168/首页!$B$4))</f>
        <v>0.58552093532015614</v>
      </c>
      <c r="T168" s="6">
        <f>IF($Y$2="按单位面积散热损失 qp",2*PI()*首页!$B$8*((E168-D168)/$Y$3-1/R168),2*PI()*首页!$B$8*((E168-D168)/$Y$4-1/(PI()*B168*R168)))</f>
        <v>4.0851534396518126E-2</v>
      </c>
      <c r="U168" t="str">
        <f t="shared" si="28"/>
        <v>按单位面积散热损失 qp</v>
      </c>
      <c r="V168" s="6">
        <f t="shared" si="29"/>
        <v>0.54466940092363803</v>
      </c>
    </row>
    <row r="169" spans="1:22" x14ac:dyDescent="0.15">
      <c r="A169">
        <v>164</v>
      </c>
      <c r="B169" s="6">
        <f>首页!$B$4+2*A169/1000</f>
        <v>0.44800000000000001</v>
      </c>
      <c r="C169" s="6">
        <f>首页!$B$7+273.15</f>
        <v>388.15</v>
      </c>
      <c r="D169" s="6">
        <f>首页!$B$6+273.15</f>
        <v>293.14999999999998</v>
      </c>
      <c r="E169" s="6">
        <f>首页!$B$5+273.15</f>
        <v>1373.15</v>
      </c>
      <c r="F169" s="6">
        <f t="shared" si="20"/>
        <v>95</v>
      </c>
      <c r="G169" s="6">
        <f t="shared" si="21"/>
        <v>340.65</v>
      </c>
      <c r="H169" s="6">
        <f t="shared" si="22"/>
        <v>1.9926207055139041E-5</v>
      </c>
      <c r="I169" s="7">
        <f t="shared" si="23"/>
        <v>1158916576932337.8</v>
      </c>
      <c r="J169" s="6">
        <f t="shared" si="24"/>
        <v>1.0226038455893147</v>
      </c>
      <c r="K169" s="7">
        <f>J169*H169*首页!$B$12/P169</f>
        <v>0.69532757496605813</v>
      </c>
      <c r="L169" s="6">
        <f>首页!$B$9*0.0000000567*((C169^4-D169^4)/(C169-D169))</f>
        <v>7.7687338005019564</v>
      </c>
      <c r="M169" s="6">
        <f>IF(首页!$B$13="自然对流",IF(首页!$B$14="立式圆筒",首页!$B$10,PI()*B169/2),PI()*B169/2)</f>
        <v>55.2</v>
      </c>
      <c r="N169" s="7">
        <f>IF(首页!$B$13="强制对流",首页!$B$11*M169/H169,0)</f>
        <v>0</v>
      </c>
      <c r="O169" s="7">
        <f>IF(首页!$B$13="自然对流",IF(首页!$B$14="立式圆筒",(0.825+0.3063*I169^(1/6))^2+0.87*(M169/B169),(0.752+0.303*I169^(1/6))^2),0.3+SQRT((0.592*N169^0.5)^2+(0.0262*N169^0.8/(1-0.5/N169^0.1))^2))</f>
        <v>10126.403931506329</v>
      </c>
      <c r="P169" s="6">
        <f t="shared" si="25"/>
        <v>2.9510194925512497E-2</v>
      </c>
      <c r="Q169" s="6">
        <f t="shared" si="26"/>
        <v>5.4136259766889099</v>
      </c>
      <c r="R169" s="6">
        <f t="shared" si="27"/>
        <v>13.182359777190866</v>
      </c>
      <c r="S169" s="6">
        <f>IF($Y$2="按单位面积散热损失 qp",B169*LN(B169/首页!$B$4),LN(B169/首页!$B$4))</f>
        <v>0.59015106735555678</v>
      </c>
      <c r="T169" s="6">
        <f>IF($Y$2="按单位面积散热损失 qp",2*PI()*首页!$B$8*((E169-D169)/$Y$3-1/R169),2*PI()*首页!$B$8*((E169-D169)/$Y$4-1/(PI()*B169*R169)))</f>
        <v>4.0851116271601207E-2</v>
      </c>
      <c r="U169" t="str">
        <f t="shared" si="28"/>
        <v>按单位面积散热损失 qp</v>
      </c>
      <c r="V169" s="6">
        <f t="shared" si="29"/>
        <v>0.54929995108395557</v>
      </c>
    </row>
    <row r="170" spans="1:22" x14ac:dyDescent="0.15">
      <c r="A170">
        <v>165</v>
      </c>
      <c r="B170" s="6">
        <f>首页!$B$4+2*A170/1000</f>
        <v>0.45</v>
      </c>
      <c r="C170" s="6">
        <f>首页!$B$7+273.15</f>
        <v>388.15</v>
      </c>
      <c r="D170" s="6">
        <f>首页!$B$6+273.15</f>
        <v>293.14999999999998</v>
      </c>
      <c r="E170" s="6">
        <f>首页!$B$5+273.15</f>
        <v>1373.15</v>
      </c>
      <c r="F170" s="6">
        <f t="shared" si="20"/>
        <v>95</v>
      </c>
      <c r="G170" s="6">
        <f t="shared" si="21"/>
        <v>340.65</v>
      </c>
      <c r="H170" s="6">
        <f t="shared" si="22"/>
        <v>1.9926207055139041E-5</v>
      </c>
      <c r="I170" s="7">
        <f t="shared" si="23"/>
        <v>1158916576932337.8</v>
      </c>
      <c r="J170" s="6">
        <f t="shared" si="24"/>
        <v>1.0226038455893147</v>
      </c>
      <c r="K170" s="7">
        <f>J170*H170*首页!$B$12/P170</f>
        <v>0.69532757496605813</v>
      </c>
      <c r="L170" s="6">
        <f>首页!$B$9*0.0000000567*((C170^4-D170^4)/(C170-D170))</f>
        <v>7.7687338005019564</v>
      </c>
      <c r="M170" s="6">
        <f>IF(首页!$B$13="自然对流",IF(首页!$B$14="立式圆筒",首页!$B$10,PI()*B170/2),PI()*B170/2)</f>
        <v>55.2</v>
      </c>
      <c r="N170" s="7">
        <f>IF(首页!$B$13="强制对流",首页!$B$11*M170/H170,0)</f>
        <v>0</v>
      </c>
      <c r="O170" s="7">
        <f>IF(首页!$B$13="自然对流",IF(首页!$B$14="立式圆筒",(0.825+0.3063*I170^(1/6))^2+0.87*(M170/B170),(0.752+0.303*I170^(1/6))^2),0.3+SQRT((0.592*N170^0.5)^2+(0.0262*N170^0.8/(1-0.5/N170^0.1))^2))</f>
        <v>10125.927502934899</v>
      </c>
      <c r="P170" s="6">
        <f t="shared" si="25"/>
        <v>2.9510194925512497E-2</v>
      </c>
      <c r="Q170" s="6">
        <f t="shared" si="26"/>
        <v>5.4133712756017554</v>
      </c>
      <c r="R170" s="6">
        <f t="shared" si="27"/>
        <v>13.182105076103712</v>
      </c>
      <c r="S170" s="6">
        <f>IF($Y$2="按单位面积散热损失 qp",B170*LN(B170/首页!$B$4),LN(B170/首页!$B$4))</f>
        <v>0.59479012799204378</v>
      </c>
      <c r="T170" s="6">
        <f>IF($Y$2="按单位面积散热损失 qp",2*PI()*首页!$B$8*((E170-D170)/$Y$3-1/R170),2*PI()*首页!$B$8*((E170-D170)/$Y$4-1/(PI()*B170*R170)))</f>
        <v>4.0850701847264234E-2</v>
      </c>
      <c r="U170" t="str">
        <f t="shared" si="28"/>
        <v>按单位面积散热损失 qp</v>
      </c>
      <c r="V170" s="6">
        <f t="shared" si="29"/>
        <v>0.55393942614477953</v>
      </c>
    </row>
    <row r="171" spans="1:22" x14ac:dyDescent="0.15">
      <c r="A171">
        <v>166</v>
      </c>
      <c r="B171" s="6">
        <f>首页!$B$4+2*A171/1000</f>
        <v>0.45200000000000001</v>
      </c>
      <c r="C171" s="6">
        <f>首页!$B$7+273.15</f>
        <v>388.15</v>
      </c>
      <c r="D171" s="6">
        <f>首页!$B$6+273.15</f>
        <v>293.14999999999998</v>
      </c>
      <c r="E171" s="6">
        <f>首页!$B$5+273.15</f>
        <v>1373.15</v>
      </c>
      <c r="F171" s="6">
        <f t="shared" si="20"/>
        <v>95</v>
      </c>
      <c r="G171" s="6">
        <f t="shared" si="21"/>
        <v>340.65</v>
      </c>
      <c r="H171" s="6">
        <f t="shared" si="22"/>
        <v>1.9926207055139041E-5</v>
      </c>
      <c r="I171" s="7">
        <f t="shared" si="23"/>
        <v>1158916576932337.8</v>
      </c>
      <c r="J171" s="6">
        <f t="shared" si="24"/>
        <v>1.0226038455893147</v>
      </c>
      <c r="K171" s="7">
        <f>J171*H171*首页!$B$12/P171</f>
        <v>0.69532757496605813</v>
      </c>
      <c r="L171" s="6">
        <f>首页!$B$9*0.0000000567*((C171^4-D171^4)/(C171-D171))</f>
        <v>7.7687338005019564</v>
      </c>
      <c r="M171" s="6">
        <f>IF(首页!$B$13="自然对流",IF(首页!$B$14="立式圆筒",首页!$B$10,PI()*B171/2),PI()*B171/2)</f>
        <v>55.2</v>
      </c>
      <c r="N171" s="7">
        <f>IF(首页!$B$13="强制对流",首页!$B$11*M171/H171,0)</f>
        <v>0</v>
      </c>
      <c r="O171" s="7">
        <f>IF(首页!$B$13="自然对流",IF(首页!$B$14="立式圆筒",(0.825+0.3063*I171^(1/6))^2+0.87*(M171/B171),(0.752+0.303*I171^(1/6))^2),0.3+SQRT((0.592*N171^0.5)^2+(0.0262*N171^0.8/(1-0.5/N171^0.1))^2))</f>
        <v>10125.455290545518</v>
      </c>
      <c r="P171" s="6">
        <f t="shared" si="25"/>
        <v>2.9510194925512497E-2</v>
      </c>
      <c r="Q171" s="6">
        <f t="shared" si="26"/>
        <v>5.413118828506521</v>
      </c>
      <c r="R171" s="6">
        <f t="shared" si="27"/>
        <v>13.181852629008478</v>
      </c>
      <c r="S171" s="6">
        <f>IF($Y$2="按单位面积散热损失 qp",B171*LN(B171/首页!$B$4),LN(B171/首页!$B$4))</f>
        <v>0.59943807754668377</v>
      </c>
      <c r="T171" s="6">
        <f>IF($Y$2="按单位面积散热损失 qp",2*PI()*首页!$B$8*((E171-D171)/$Y$3-1/R171),2*PI()*首页!$B$8*((E171-D171)/$Y$4-1/(PI()*B171*R171)))</f>
        <v>4.0850291074596139E-2</v>
      </c>
      <c r="U171" t="str">
        <f t="shared" si="28"/>
        <v>按单位面积散热损失 qp</v>
      </c>
      <c r="V171" s="6">
        <f t="shared" si="29"/>
        <v>0.55858778647208762</v>
      </c>
    </row>
    <row r="172" spans="1:22" x14ac:dyDescent="0.15">
      <c r="A172">
        <v>167</v>
      </c>
      <c r="B172" s="6">
        <f>首页!$B$4+2*A172/1000</f>
        <v>0.45400000000000001</v>
      </c>
      <c r="C172" s="6">
        <f>首页!$B$7+273.15</f>
        <v>388.15</v>
      </c>
      <c r="D172" s="6">
        <f>首页!$B$6+273.15</f>
        <v>293.14999999999998</v>
      </c>
      <c r="E172" s="6">
        <f>首页!$B$5+273.15</f>
        <v>1373.15</v>
      </c>
      <c r="F172" s="6">
        <f t="shared" si="20"/>
        <v>95</v>
      </c>
      <c r="G172" s="6">
        <f t="shared" si="21"/>
        <v>340.65</v>
      </c>
      <c r="H172" s="6">
        <f t="shared" si="22"/>
        <v>1.9926207055139041E-5</v>
      </c>
      <c r="I172" s="7">
        <f t="shared" si="23"/>
        <v>1158916576932337.8</v>
      </c>
      <c r="J172" s="6">
        <f t="shared" si="24"/>
        <v>1.0226038455893147</v>
      </c>
      <c r="K172" s="7">
        <f>J172*H172*首页!$B$12/P172</f>
        <v>0.69532757496605813</v>
      </c>
      <c r="L172" s="6">
        <f>首页!$B$9*0.0000000567*((C172^4-D172^4)/(C172-D172))</f>
        <v>7.7687338005019564</v>
      </c>
      <c r="M172" s="6">
        <f>IF(首页!$B$13="自然对流",IF(首页!$B$14="立式圆筒",首页!$B$10,PI()*B172/2),PI()*B172/2)</f>
        <v>55.2</v>
      </c>
      <c r="N172" s="7">
        <f>IF(首页!$B$13="强制对流",首页!$B$11*M172/H172,0)</f>
        <v>0</v>
      </c>
      <c r="O172" s="7">
        <f>IF(首页!$B$13="自然对流",IF(首页!$B$14="立式圆筒",(0.825+0.3063*I172^(1/6))^2+0.87*(M172/B172),(0.752+0.303*I172^(1/6))^2),0.3+SQRT((0.592*N172^0.5)^2+(0.0262*N172^0.8/(1-0.5/N172^0.1))^2))</f>
        <v>10124.987238617719</v>
      </c>
      <c r="P172" s="6">
        <f t="shared" si="25"/>
        <v>2.9510194925512497E-2</v>
      </c>
      <c r="Q172" s="6">
        <f t="shared" si="26"/>
        <v>5.4128686056147712</v>
      </c>
      <c r="R172" s="6">
        <f t="shared" si="27"/>
        <v>13.181602406116728</v>
      </c>
      <c r="S172" s="6">
        <f>IF($Y$2="按单位面积散热损失 qp",B172*LN(B172/首页!$B$4),LN(B172/首页!$B$4))</f>
        <v>0.60409487668772321</v>
      </c>
      <c r="T172" s="6">
        <f>IF($Y$2="按单位面积散热损失 qp",2*PI()*首页!$B$8*((E172-D172)/$Y$3-1/R172),2*PI()*首页!$B$8*((E172-D172)/$Y$4-1/(PI()*B172*R172)))</f>
        <v>4.0849883905544025E-2</v>
      </c>
      <c r="U172" t="str">
        <f t="shared" si="28"/>
        <v>按单位面积散热损失 qp</v>
      </c>
      <c r="V172" s="6">
        <f t="shared" si="29"/>
        <v>0.56324499278217921</v>
      </c>
    </row>
    <row r="173" spans="1:22" x14ac:dyDescent="0.15">
      <c r="A173">
        <v>168</v>
      </c>
      <c r="B173" s="6">
        <f>首页!$B$4+2*A173/1000</f>
        <v>0.45600000000000002</v>
      </c>
      <c r="C173" s="6">
        <f>首页!$B$7+273.15</f>
        <v>388.15</v>
      </c>
      <c r="D173" s="6">
        <f>首页!$B$6+273.15</f>
        <v>293.14999999999998</v>
      </c>
      <c r="E173" s="6">
        <f>首页!$B$5+273.15</f>
        <v>1373.15</v>
      </c>
      <c r="F173" s="6">
        <f t="shared" si="20"/>
        <v>95</v>
      </c>
      <c r="G173" s="6">
        <f t="shared" si="21"/>
        <v>340.65</v>
      </c>
      <c r="H173" s="6">
        <f t="shared" si="22"/>
        <v>1.9926207055139041E-5</v>
      </c>
      <c r="I173" s="7">
        <f t="shared" si="23"/>
        <v>1158916576932337.8</v>
      </c>
      <c r="J173" s="6">
        <f t="shared" si="24"/>
        <v>1.0226038455893147</v>
      </c>
      <c r="K173" s="7">
        <f>J173*H173*首页!$B$12/P173</f>
        <v>0.69532757496605813</v>
      </c>
      <c r="L173" s="6">
        <f>首页!$B$9*0.0000000567*((C173^4-D173^4)/(C173-D173))</f>
        <v>7.7687338005019564</v>
      </c>
      <c r="M173" s="6">
        <f>IF(首页!$B$13="自然对流",IF(首页!$B$14="立式圆筒",首页!$B$10,PI()*B173/2),PI()*B173/2)</f>
        <v>55.2</v>
      </c>
      <c r="N173" s="7">
        <f>IF(首页!$B$13="强制对流",首页!$B$11*M173/H173,0)</f>
        <v>0</v>
      </c>
      <c r="O173" s="7">
        <f>IF(首页!$B$13="自然对流",IF(首页!$B$14="立式圆筒",(0.825+0.3063*I173^(1/6))^2+0.87*(M173/B173),(0.752+0.303*I173^(1/6))^2),0.3+SQRT((0.592*N173^0.5)^2+(0.0262*N173^0.8/(1-0.5/N173^0.1))^2))</f>
        <v>10124.523292408585</v>
      </c>
      <c r="P173" s="6">
        <f t="shared" si="25"/>
        <v>2.9510194925512497E-2</v>
      </c>
      <c r="Q173" s="6">
        <f t="shared" si="26"/>
        <v>5.4126205776606682</v>
      </c>
      <c r="R173" s="6">
        <f t="shared" si="27"/>
        <v>13.181354378162624</v>
      </c>
      <c r="S173" s="6">
        <f>IF($Y$2="按单位面积散热损失 qp",B173*LN(B173/首页!$B$4),LN(B173/首页!$B$4))</f>
        <v>0.60876048642994718</v>
      </c>
      <c r="T173" s="6">
        <f>IF($Y$2="按单位面积散热损失 qp",2*PI()*首页!$B$8*((E173-D173)/$Y$3-1/R173),2*PI()*首页!$B$8*((E173-D173)/$Y$4-1/(PI()*B173*R173)))</f>
        <v>4.0849480292894397E-2</v>
      </c>
      <c r="U173" t="str">
        <f t="shared" si="28"/>
        <v>按单位面积散热损失 qp</v>
      </c>
      <c r="V173" s="6">
        <f t="shared" si="29"/>
        <v>0.56791100613705281</v>
      </c>
    </row>
    <row r="174" spans="1:22" x14ac:dyDescent="0.15">
      <c r="A174">
        <v>169</v>
      </c>
      <c r="B174" s="6">
        <f>首页!$B$4+2*A174/1000</f>
        <v>0.45800000000000002</v>
      </c>
      <c r="C174" s="6">
        <f>首页!$B$7+273.15</f>
        <v>388.15</v>
      </c>
      <c r="D174" s="6">
        <f>首页!$B$6+273.15</f>
        <v>293.14999999999998</v>
      </c>
      <c r="E174" s="6">
        <f>首页!$B$5+273.15</f>
        <v>1373.15</v>
      </c>
      <c r="F174" s="6">
        <f t="shared" si="20"/>
        <v>95</v>
      </c>
      <c r="G174" s="6">
        <f t="shared" si="21"/>
        <v>340.65</v>
      </c>
      <c r="H174" s="6">
        <f t="shared" si="22"/>
        <v>1.9926207055139041E-5</v>
      </c>
      <c r="I174" s="7">
        <f t="shared" si="23"/>
        <v>1158916576932337.8</v>
      </c>
      <c r="J174" s="6">
        <f t="shared" si="24"/>
        <v>1.0226038455893147</v>
      </c>
      <c r="K174" s="7">
        <f>J174*H174*首页!$B$12/P174</f>
        <v>0.69532757496605813</v>
      </c>
      <c r="L174" s="6">
        <f>首页!$B$9*0.0000000567*((C174^4-D174^4)/(C174-D174))</f>
        <v>7.7687338005019564</v>
      </c>
      <c r="M174" s="6">
        <f>IF(首页!$B$13="自然对流",IF(首页!$B$14="立式圆筒",首页!$B$10,PI()*B174/2),PI()*B174/2)</f>
        <v>55.2</v>
      </c>
      <c r="N174" s="7">
        <f>IF(首页!$B$13="强制对流",首页!$B$11*M174/H174,0)</f>
        <v>0</v>
      </c>
      <c r="O174" s="7">
        <f>IF(首页!$B$13="自然对流",IF(首页!$B$14="立式圆筒",(0.825+0.3063*I174^(1/6))^2+0.87*(M174/B174),(0.752+0.303*I174^(1/6))^2),0.3+SQRT((0.592*N174^0.5)^2+(0.0262*N174^0.8/(1-0.5/N174^0.1))^2))</f>
        <v>10124.063398131406</v>
      </c>
      <c r="P174" s="6">
        <f t="shared" si="25"/>
        <v>2.9510194925512497E-2</v>
      </c>
      <c r="Q174" s="6">
        <f t="shared" si="26"/>
        <v>5.4123747158895688</v>
      </c>
      <c r="R174" s="6">
        <f t="shared" si="27"/>
        <v>13.181108516391525</v>
      </c>
      <c r="S174" s="6">
        <f>IF($Y$2="按单位面积散热损失 qp",B174*LN(B174/首页!$B$4),LN(B174/首页!$B$4))</f>
        <v>0.61343486813011971</v>
      </c>
      <c r="T174" s="6">
        <f>IF($Y$2="按单位面积散热损失 qp",2*PI()*首页!$B$8*((E174-D174)/$Y$3-1/R174),2*PI()*首页!$B$8*((E174-D174)/$Y$4-1/(PI()*B174*R174)))</f>
        <v>4.0849080190254995E-2</v>
      </c>
      <c r="U174" t="str">
        <f t="shared" si="28"/>
        <v>按单位面积散热损失 qp</v>
      </c>
      <c r="V174" s="6">
        <f t="shared" si="29"/>
        <v>0.5725857879398647</v>
      </c>
    </row>
    <row r="175" spans="1:22" x14ac:dyDescent="0.15">
      <c r="A175">
        <v>170</v>
      </c>
      <c r="B175" s="6">
        <f>首页!$B$4+2*A175/1000</f>
        <v>0.46</v>
      </c>
      <c r="C175" s="6">
        <f>首页!$B$7+273.15</f>
        <v>388.15</v>
      </c>
      <c r="D175" s="6">
        <f>首页!$B$6+273.15</f>
        <v>293.14999999999998</v>
      </c>
      <c r="E175" s="6">
        <f>首页!$B$5+273.15</f>
        <v>1373.15</v>
      </c>
      <c r="F175" s="6">
        <f t="shared" si="20"/>
        <v>95</v>
      </c>
      <c r="G175" s="6">
        <f t="shared" si="21"/>
        <v>340.65</v>
      </c>
      <c r="H175" s="6">
        <f t="shared" si="22"/>
        <v>1.9926207055139041E-5</v>
      </c>
      <c r="I175" s="7">
        <f t="shared" si="23"/>
        <v>1158916576932337.8</v>
      </c>
      <c r="J175" s="6">
        <f t="shared" si="24"/>
        <v>1.0226038455893147</v>
      </c>
      <c r="K175" s="7">
        <f>J175*H175*首页!$B$12/P175</f>
        <v>0.69532757496605813</v>
      </c>
      <c r="L175" s="6">
        <f>首页!$B$9*0.0000000567*((C175^4-D175^4)/(C175-D175))</f>
        <v>7.7687338005019564</v>
      </c>
      <c r="M175" s="6">
        <f>IF(首页!$B$13="自然对流",IF(首页!$B$14="立式圆筒",首页!$B$10,PI()*B175/2),PI()*B175/2)</f>
        <v>55.2</v>
      </c>
      <c r="N175" s="7">
        <f>IF(首页!$B$13="强制对流",首页!$B$11*M175/H175,0)</f>
        <v>0</v>
      </c>
      <c r="O175" s="7">
        <f>IF(首页!$B$13="自然对流",IF(首页!$B$14="立式圆筒",(0.825+0.3063*I175^(1/6))^2+0.87*(M175/B175),(0.752+0.303*I175^(1/6))^2),0.3+SQRT((0.592*N175^0.5)^2+(0.0262*N175^0.8/(1-0.5/N175^0.1))^2))</f>
        <v>10123.607502934899</v>
      </c>
      <c r="P175" s="6">
        <f t="shared" si="25"/>
        <v>2.9510194925512497E-2</v>
      </c>
      <c r="Q175" s="6">
        <f t="shared" si="26"/>
        <v>5.4121309920469143</v>
      </c>
      <c r="R175" s="6">
        <f t="shared" si="27"/>
        <v>13.180864792548871</v>
      </c>
      <c r="S175" s="6">
        <f>IF($Y$2="按单位面积散热损失 qp",B175*LN(B175/首页!$B$4),LN(B175/首页!$B$4))</f>
        <v>0.61811798348250357</v>
      </c>
      <c r="T175" s="6">
        <f>IF($Y$2="按单位面积散热损失 qp",2*PI()*首页!$B$8*((E175-D175)/$Y$3-1/R175),2*PI()*首页!$B$8*((E175-D175)/$Y$4-1/(PI()*B175*R175)))</f>
        <v>4.0848683552036927E-2</v>
      </c>
      <c r="U175" t="str">
        <f t="shared" si="28"/>
        <v>按单位面积散热损失 qp</v>
      </c>
      <c r="V175" s="6">
        <f t="shared" si="29"/>
        <v>0.57726929993046661</v>
      </c>
    </row>
    <row r="176" spans="1:22" x14ac:dyDescent="0.15">
      <c r="A176">
        <v>171</v>
      </c>
      <c r="B176" s="6">
        <f>首页!$B$4+2*A176/1000</f>
        <v>0.46200000000000002</v>
      </c>
      <c r="C176" s="6">
        <f>首页!$B$7+273.15</f>
        <v>388.15</v>
      </c>
      <c r="D176" s="6">
        <f>首页!$B$6+273.15</f>
        <v>293.14999999999998</v>
      </c>
      <c r="E176" s="6">
        <f>首页!$B$5+273.15</f>
        <v>1373.15</v>
      </c>
      <c r="F176" s="6">
        <f t="shared" si="20"/>
        <v>95</v>
      </c>
      <c r="G176" s="6">
        <f t="shared" si="21"/>
        <v>340.65</v>
      </c>
      <c r="H176" s="6">
        <f t="shared" si="22"/>
        <v>1.9926207055139041E-5</v>
      </c>
      <c r="I176" s="7">
        <f t="shared" si="23"/>
        <v>1158916576932337.8</v>
      </c>
      <c r="J176" s="6">
        <f t="shared" si="24"/>
        <v>1.0226038455893147</v>
      </c>
      <c r="K176" s="7">
        <f>J176*H176*首页!$B$12/P176</f>
        <v>0.69532757496605813</v>
      </c>
      <c r="L176" s="6">
        <f>首页!$B$9*0.0000000567*((C176^4-D176^4)/(C176-D176))</f>
        <v>7.7687338005019564</v>
      </c>
      <c r="M176" s="6">
        <f>IF(首页!$B$13="自然对流",IF(首页!$B$14="立式圆筒",首页!$B$10,PI()*B176/2),PI()*B176/2)</f>
        <v>55.2</v>
      </c>
      <c r="N176" s="7">
        <f>IF(首页!$B$13="强制对流",首页!$B$11*M176/H176,0)</f>
        <v>0</v>
      </c>
      <c r="O176" s="7">
        <f>IF(首页!$B$13="自然对流",IF(首页!$B$14="立式圆筒",(0.825+0.3063*I176^(1/6))^2+0.87*(M176/B176),(0.752+0.303*I176^(1/6))^2),0.3+SQRT((0.592*N176^0.5)^2+(0.0262*N176^0.8/(1-0.5/N176^0.1))^2))</f>
        <v>10123.155554882951</v>
      </c>
      <c r="P176" s="6">
        <f t="shared" si="25"/>
        <v>2.9510194925512497E-2</v>
      </c>
      <c r="Q176" s="6">
        <f t="shared" si="26"/>
        <v>5.4118893783674009</v>
      </c>
      <c r="R176" s="6">
        <f t="shared" si="27"/>
        <v>13.180623178869357</v>
      </c>
      <c r="S176" s="6">
        <f>IF($Y$2="按单位面积散热损失 qp",B176*LN(B176/首页!$B$4),LN(B176/首页!$B$4))</f>
        <v>0.62280979451445817</v>
      </c>
      <c r="T176" s="6">
        <f>IF($Y$2="按单位面积散热损失 qp",2*PI()*首页!$B$8*((E176-D176)/$Y$3-1/R176),2*PI()*首页!$B$8*((E176-D176)/$Y$4-1/(PI()*B176*R176)))</f>
        <v>4.0848290333437419E-2</v>
      </c>
      <c r="U176" t="str">
        <f t="shared" si="28"/>
        <v>按单位面积散热损失 qp</v>
      </c>
      <c r="V176" s="6">
        <f t="shared" si="29"/>
        <v>0.58196150418102077</v>
      </c>
    </row>
    <row r="177" spans="1:22" x14ac:dyDescent="0.15">
      <c r="A177">
        <v>172</v>
      </c>
      <c r="B177" s="6">
        <f>首页!$B$4+2*A177/1000</f>
        <v>0.46399999999999997</v>
      </c>
      <c r="C177" s="6">
        <f>首页!$B$7+273.15</f>
        <v>388.15</v>
      </c>
      <c r="D177" s="6">
        <f>首页!$B$6+273.15</f>
        <v>293.14999999999998</v>
      </c>
      <c r="E177" s="6">
        <f>首页!$B$5+273.15</f>
        <v>1373.15</v>
      </c>
      <c r="F177" s="6">
        <f t="shared" si="20"/>
        <v>95</v>
      </c>
      <c r="G177" s="6">
        <f t="shared" si="21"/>
        <v>340.65</v>
      </c>
      <c r="H177" s="6">
        <f t="shared" si="22"/>
        <v>1.9926207055139041E-5</v>
      </c>
      <c r="I177" s="7">
        <f t="shared" si="23"/>
        <v>1158916576932337.8</v>
      </c>
      <c r="J177" s="6">
        <f t="shared" si="24"/>
        <v>1.0226038455893147</v>
      </c>
      <c r="K177" s="7">
        <f>J177*H177*首页!$B$12/P177</f>
        <v>0.69532757496605813</v>
      </c>
      <c r="L177" s="6">
        <f>首页!$B$9*0.0000000567*((C177^4-D177^4)/(C177-D177))</f>
        <v>7.7687338005019564</v>
      </c>
      <c r="M177" s="6">
        <f>IF(首页!$B$13="自然对流",IF(首页!$B$14="立式圆筒",首页!$B$10,PI()*B177/2),PI()*B177/2)</f>
        <v>55.2</v>
      </c>
      <c r="N177" s="7">
        <f>IF(首页!$B$13="强制对流",首页!$B$11*M177/H177,0)</f>
        <v>0</v>
      </c>
      <c r="O177" s="7">
        <f>IF(首页!$B$13="自然对流",IF(首页!$B$14="立式圆筒",(0.825+0.3063*I177^(1/6))^2+0.87*(M177/B177),(0.752+0.303*I177^(1/6))^2),0.3+SQRT((0.592*N177^0.5)^2+(0.0262*N177^0.8/(1-0.5/N177^0.1))^2))</f>
        <v>10122.7075029349</v>
      </c>
      <c r="P177" s="6">
        <f t="shared" si="25"/>
        <v>2.9510194925512497E-2</v>
      </c>
      <c r="Q177" s="6">
        <f t="shared" si="26"/>
        <v>5.4116498475644335</v>
      </c>
      <c r="R177" s="6">
        <f t="shared" si="27"/>
        <v>13.180383648066389</v>
      </c>
      <c r="S177" s="6">
        <f>IF($Y$2="按单位面积散热损失 qp",B177*LN(B177/首页!$B$4),LN(B177/首页!$B$4))</f>
        <v>0.62751026358211304</v>
      </c>
      <c r="T177" s="6">
        <f>IF($Y$2="按单位面积散热损失 qp",2*PI()*首页!$B$8*((E177-D177)/$Y$3-1/R177),2*PI()*首页!$B$8*((E177-D177)/$Y$4-1/(PI()*B177*R177)))</f>
        <v>4.0847900490422862E-2</v>
      </c>
      <c r="U177" t="str">
        <f t="shared" si="28"/>
        <v>按单位面积散热损失 qp</v>
      </c>
      <c r="V177" s="6">
        <f t="shared" si="29"/>
        <v>0.58666236309169018</v>
      </c>
    </row>
    <row r="178" spans="1:22" x14ac:dyDescent="0.15">
      <c r="A178">
        <v>173</v>
      </c>
      <c r="B178" s="6">
        <f>首页!$B$4+2*A178/1000</f>
        <v>0.46599999999999997</v>
      </c>
      <c r="C178" s="6">
        <f>首页!$B$7+273.15</f>
        <v>388.15</v>
      </c>
      <c r="D178" s="6">
        <f>首页!$B$6+273.15</f>
        <v>293.14999999999998</v>
      </c>
      <c r="E178" s="6">
        <f>首页!$B$5+273.15</f>
        <v>1373.15</v>
      </c>
      <c r="F178" s="6">
        <f t="shared" si="20"/>
        <v>95</v>
      </c>
      <c r="G178" s="6">
        <f t="shared" si="21"/>
        <v>340.65</v>
      </c>
      <c r="H178" s="6">
        <f t="shared" si="22"/>
        <v>1.9926207055139041E-5</v>
      </c>
      <c r="I178" s="7">
        <f t="shared" si="23"/>
        <v>1158916576932337.8</v>
      </c>
      <c r="J178" s="6">
        <f t="shared" si="24"/>
        <v>1.0226038455893147</v>
      </c>
      <c r="K178" s="7">
        <f>J178*H178*首页!$B$12/P178</f>
        <v>0.69532757496605813</v>
      </c>
      <c r="L178" s="6">
        <f>首页!$B$9*0.0000000567*((C178^4-D178^4)/(C178-D178))</f>
        <v>7.7687338005019564</v>
      </c>
      <c r="M178" s="6">
        <f>IF(首页!$B$13="自然对流",IF(首页!$B$14="立式圆筒",首页!$B$10,PI()*B178/2),PI()*B178/2)</f>
        <v>55.2</v>
      </c>
      <c r="N178" s="7">
        <f>IF(首页!$B$13="强制对流",首页!$B$11*M178/H178,0)</f>
        <v>0</v>
      </c>
      <c r="O178" s="7">
        <f>IF(首页!$B$13="自然对流",IF(首页!$B$14="立式圆筒",(0.825+0.3063*I178^(1/6))^2+0.87*(M178/B178),(0.752+0.303*I178^(1/6))^2),0.3+SQRT((0.592*N178^0.5)^2+(0.0262*N178^0.8/(1-0.5/N178^0.1))^2))</f>
        <v>10122.263296926316</v>
      </c>
      <c r="P178" s="6">
        <f t="shared" si="25"/>
        <v>2.9510194925512497E-2</v>
      </c>
      <c r="Q178" s="6">
        <f t="shared" si="26"/>
        <v>5.4114123728198615</v>
      </c>
      <c r="R178" s="6">
        <f t="shared" si="27"/>
        <v>13.180146173321818</v>
      </c>
      <c r="S178" s="6">
        <f>IF($Y$2="按单位面积散热损失 qp",B178*LN(B178/首页!$B$4),LN(B178/首页!$B$4))</f>
        <v>0.63221935336611756</v>
      </c>
      <c r="T178" s="6">
        <f>IF($Y$2="按单位面积散热损失 qp",2*PI()*首页!$B$8*((E178-D178)/$Y$3-1/R178),2*PI()*首页!$B$8*((E178-D178)/$Y$4-1/(PI()*B178*R178)))</f>
        <v>4.0847513979712508E-2</v>
      </c>
      <c r="U178" t="str">
        <f t="shared" si="28"/>
        <v>按单位面积散热损失 qp</v>
      </c>
      <c r="V178" s="6">
        <f t="shared" si="29"/>
        <v>0.59137183938640503</v>
      </c>
    </row>
    <row r="179" spans="1:22" x14ac:dyDescent="0.15">
      <c r="A179">
        <v>174</v>
      </c>
      <c r="B179" s="6">
        <f>首页!$B$4+2*A179/1000</f>
        <v>0.46799999999999997</v>
      </c>
      <c r="C179" s="6">
        <f>首页!$B$7+273.15</f>
        <v>388.15</v>
      </c>
      <c r="D179" s="6">
        <f>首页!$B$6+273.15</f>
        <v>293.14999999999998</v>
      </c>
      <c r="E179" s="6">
        <f>首页!$B$5+273.15</f>
        <v>1373.15</v>
      </c>
      <c r="F179" s="6">
        <f t="shared" si="20"/>
        <v>95</v>
      </c>
      <c r="G179" s="6">
        <f t="shared" si="21"/>
        <v>340.65</v>
      </c>
      <c r="H179" s="6">
        <f t="shared" si="22"/>
        <v>1.9926207055139041E-5</v>
      </c>
      <c r="I179" s="7">
        <f t="shared" si="23"/>
        <v>1158916576932337.8</v>
      </c>
      <c r="J179" s="6">
        <f t="shared" si="24"/>
        <v>1.0226038455893147</v>
      </c>
      <c r="K179" s="7">
        <f>J179*H179*首页!$B$12/P179</f>
        <v>0.69532757496605813</v>
      </c>
      <c r="L179" s="6">
        <f>首页!$B$9*0.0000000567*((C179^4-D179^4)/(C179-D179))</f>
        <v>7.7687338005019564</v>
      </c>
      <c r="M179" s="6">
        <f>IF(首页!$B$13="自然对流",IF(首页!$B$14="立式圆筒",首页!$B$10,PI()*B179/2),PI()*B179/2)</f>
        <v>55.2</v>
      </c>
      <c r="N179" s="7">
        <f>IF(首页!$B$13="强制对流",首页!$B$11*M179/H179,0)</f>
        <v>0</v>
      </c>
      <c r="O179" s="7">
        <f>IF(首页!$B$13="自然对流",IF(首页!$B$14="立式圆筒",(0.825+0.3063*I179^(1/6))^2+0.87*(M179/B179),(0.752+0.303*I179^(1/6))^2),0.3+SQRT((0.592*N179^0.5)^2+(0.0262*N179^0.8/(1-0.5/N179^0.1))^2))</f>
        <v>10121.822887550285</v>
      </c>
      <c r="P179" s="6">
        <f t="shared" si="25"/>
        <v>2.9510194925512497E-2</v>
      </c>
      <c r="Q179" s="6">
        <f t="shared" si="26"/>
        <v>5.411176927773961</v>
      </c>
      <c r="R179" s="6">
        <f t="shared" si="27"/>
        <v>13.179910728275917</v>
      </c>
      <c r="S179" s="6">
        <f>IF($Y$2="按单位面积散热损失 qp",B179*LN(B179/首页!$B$4),LN(B179/首页!$B$4))</f>
        <v>0.63693702686746101</v>
      </c>
      <c r="T179" s="6">
        <f>IF($Y$2="按单位面积散热损失 qp",2*PI()*首页!$B$8*((E179-D179)/$Y$3-1/R179),2*PI()*首页!$B$8*((E179-D179)/$Y$4-1/(PI()*B179*R179)))</f>
        <v>4.0847130758762298E-2</v>
      </c>
      <c r="U179" t="str">
        <f t="shared" si="28"/>
        <v>按单位面积散热损失 qp</v>
      </c>
      <c r="V179" s="6">
        <f t="shared" si="29"/>
        <v>0.59608989610869867</v>
      </c>
    </row>
    <row r="180" spans="1:22" x14ac:dyDescent="0.15">
      <c r="A180">
        <v>175</v>
      </c>
      <c r="B180" s="6">
        <f>首页!$B$4+2*A180/1000</f>
        <v>0.47</v>
      </c>
      <c r="C180" s="6">
        <f>首页!$B$7+273.15</f>
        <v>388.15</v>
      </c>
      <c r="D180" s="6">
        <f>首页!$B$6+273.15</f>
        <v>293.14999999999998</v>
      </c>
      <c r="E180" s="6">
        <f>首页!$B$5+273.15</f>
        <v>1373.15</v>
      </c>
      <c r="F180" s="6">
        <f t="shared" si="20"/>
        <v>95</v>
      </c>
      <c r="G180" s="6">
        <f t="shared" si="21"/>
        <v>340.65</v>
      </c>
      <c r="H180" s="6">
        <f t="shared" si="22"/>
        <v>1.9926207055139041E-5</v>
      </c>
      <c r="I180" s="7">
        <f t="shared" si="23"/>
        <v>1158916576932337.8</v>
      </c>
      <c r="J180" s="6">
        <f t="shared" si="24"/>
        <v>1.0226038455893147</v>
      </c>
      <c r="K180" s="7">
        <f>J180*H180*首页!$B$12/P180</f>
        <v>0.69532757496605813</v>
      </c>
      <c r="L180" s="6">
        <f>首页!$B$9*0.0000000567*((C180^4-D180^4)/(C180-D180))</f>
        <v>7.7687338005019564</v>
      </c>
      <c r="M180" s="6">
        <f>IF(首页!$B$13="自然对流",IF(首页!$B$14="立式圆筒",首页!$B$10,PI()*B180/2),PI()*B180/2)</f>
        <v>55.2</v>
      </c>
      <c r="N180" s="7">
        <f>IF(首页!$B$13="强制对流",首页!$B$11*M180/H180,0)</f>
        <v>0</v>
      </c>
      <c r="O180" s="7">
        <f>IF(首页!$B$13="自然对流",IF(首页!$B$14="立式圆筒",(0.825+0.3063*I180^(1/6))^2+0.87*(M180/B180),(0.752+0.303*I180^(1/6))^2),0.3+SQRT((0.592*N180^0.5)^2+(0.0262*N180^0.8/(1-0.5/N180^0.1))^2))</f>
        <v>10121.386226339155</v>
      </c>
      <c r="P180" s="6">
        <f t="shared" si="25"/>
        <v>2.9510194925512497E-2</v>
      </c>
      <c r="Q180" s="6">
        <f t="shared" si="26"/>
        <v>5.4109434865156851</v>
      </c>
      <c r="R180" s="6">
        <f t="shared" si="27"/>
        <v>13.179677287017642</v>
      </c>
      <c r="S180" s="6">
        <f>IF($Y$2="按单位面积散热损失 qp",B180*LN(B180/首页!$B$4),LN(B180/首页!$B$4))</f>
        <v>0.64166324740336733</v>
      </c>
      <c r="T180" s="6">
        <f>IF($Y$2="按单位面积散热损失 qp",2*PI()*首页!$B$8*((E180-D180)/$Y$3-1/R180),2*PI()*首页!$B$8*((E180-D180)/$Y$4-1/(PI()*B180*R180)))</f>
        <v>4.0846750785749376E-2</v>
      </c>
      <c r="U180" t="str">
        <f t="shared" si="28"/>
        <v>按单位面积散热损失 qp</v>
      </c>
      <c r="V180" s="6">
        <f t="shared" si="29"/>
        <v>0.60081649661761793</v>
      </c>
    </row>
    <row r="181" spans="1:22" x14ac:dyDescent="0.15">
      <c r="A181">
        <v>176</v>
      </c>
      <c r="B181" s="6">
        <f>首页!$B$4+2*A181/1000</f>
        <v>0.47199999999999998</v>
      </c>
      <c r="C181" s="6">
        <f>首页!$B$7+273.15</f>
        <v>388.15</v>
      </c>
      <c r="D181" s="6">
        <f>首页!$B$6+273.15</f>
        <v>293.14999999999998</v>
      </c>
      <c r="E181" s="6">
        <f>首页!$B$5+273.15</f>
        <v>1373.15</v>
      </c>
      <c r="F181" s="6">
        <f t="shared" si="20"/>
        <v>95</v>
      </c>
      <c r="G181" s="6">
        <f t="shared" si="21"/>
        <v>340.65</v>
      </c>
      <c r="H181" s="6">
        <f t="shared" si="22"/>
        <v>1.9926207055139041E-5</v>
      </c>
      <c r="I181" s="7">
        <f t="shared" si="23"/>
        <v>1158916576932337.8</v>
      </c>
      <c r="J181" s="6">
        <f t="shared" si="24"/>
        <v>1.0226038455893147</v>
      </c>
      <c r="K181" s="7">
        <f>J181*H181*首页!$B$12/P181</f>
        <v>0.69532757496605813</v>
      </c>
      <c r="L181" s="6">
        <f>首页!$B$9*0.0000000567*((C181^4-D181^4)/(C181-D181))</f>
        <v>7.7687338005019564</v>
      </c>
      <c r="M181" s="6">
        <f>IF(首页!$B$13="自然对流",IF(首页!$B$14="立式圆筒",首页!$B$10,PI()*B181/2),PI()*B181/2)</f>
        <v>55.2</v>
      </c>
      <c r="N181" s="7">
        <f>IF(首页!$B$13="强制对流",首页!$B$11*M181/H181,0)</f>
        <v>0</v>
      </c>
      <c r="O181" s="7">
        <f>IF(首页!$B$13="自然对流",IF(首页!$B$14="立式圆筒",(0.825+0.3063*I181^(1/6))^2+0.87*(M181/B181),(0.752+0.303*I181^(1/6))^2),0.3+SQRT((0.592*N181^0.5)^2+(0.0262*N181^0.8/(1-0.5/N181^0.1))^2))</f>
        <v>10120.953265646764</v>
      </c>
      <c r="P181" s="6">
        <f t="shared" si="25"/>
        <v>2.9510194925512497E-2</v>
      </c>
      <c r="Q181" s="6">
        <f t="shared" si="26"/>
        <v>5.4107120235731561</v>
      </c>
      <c r="R181" s="6">
        <f t="shared" si="27"/>
        <v>13.179445824075113</v>
      </c>
      <c r="S181" s="6">
        <f>IF($Y$2="按单位面积散热损失 qp",B181*LN(B181/首页!$B$4),LN(B181/首页!$B$4))</f>
        <v>0.64639797860325643</v>
      </c>
      <c r="T181" s="6">
        <f>IF($Y$2="按单位面积散热损失 qp",2*PI()*首页!$B$8*((E181-D181)/$Y$3-1/R181),2*PI()*首页!$B$8*((E181-D181)/$Y$4-1/(PI()*B181*R181)))</f>
        <v>4.0846374019556785E-2</v>
      </c>
      <c r="U181" t="str">
        <f t="shared" si="28"/>
        <v>按单位面积散热损失 qp</v>
      </c>
      <c r="V181" s="6">
        <f t="shared" si="29"/>
        <v>0.60555160458369961</v>
      </c>
    </row>
    <row r="182" spans="1:22" x14ac:dyDescent="0.15">
      <c r="A182">
        <v>177</v>
      </c>
      <c r="B182" s="6">
        <f>首页!$B$4+2*A182/1000</f>
        <v>0.47399999999999998</v>
      </c>
      <c r="C182" s="6">
        <f>首页!$B$7+273.15</f>
        <v>388.15</v>
      </c>
      <c r="D182" s="6">
        <f>首页!$B$6+273.15</f>
        <v>293.14999999999998</v>
      </c>
      <c r="E182" s="6">
        <f>首页!$B$5+273.15</f>
        <v>1373.15</v>
      </c>
      <c r="F182" s="6">
        <f t="shared" si="20"/>
        <v>95</v>
      </c>
      <c r="G182" s="6">
        <f t="shared" si="21"/>
        <v>340.65</v>
      </c>
      <c r="H182" s="6">
        <f t="shared" si="22"/>
        <v>1.9926207055139041E-5</v>
      </c>
      <c r="I182" s="7">
        <f t="shared" si="23"/>
        <v>1158916576932337.8</v>
      </c>
      <c r="J182" s="6">
        <f t="shared" si="24"/>
        <v>1.0226038455893147</v>
      </c>
      <c r="K182" s="7">
        <f>J182*H182*首页!$B$12/P182</f>
        <v>0.69532757496605813</v>
      </c>
      <c r="L182" s="6">
        <f>首页!$B$9*0.0000000567*((C182^4-D182^4)/(C182-D182))</f>
        <v>7.7687338005019564</v>
      </c>
      <c r="M182" s="6">
        <f>IF(首页!$B$13="自然对流",IF(首页!$B$14="立式圆筒",首页!$B$10,PI()*B182/2),PI()*B182/2)</f>
        <v>55.2</v>
      </c>
      <c r="N182" s="7">
        <f>IF(首页!$B$13="强制对流",首页!$B$11*M182/H182,0)</f>
        <v>0</v>
      </c>
      <c r="O182" s="7">
        <f>IF(首页!$B$13="自然对流",IF(首页!$B$14="立式圆筒",(0.825+0.3063*I182^(1/6))^2+0.87*(M182/B182),(0.752+0.303*I182^(1/6))^2),0.3+SQRT((0.592*N182^0.5)^2+(0.0262*N182^0.8/(1-0.5/N182^0.1))^2))</f>
        <v>10120.523958631102</v>
      </c>
      <c r="P182" s="6">
        <f t="shared" si="25"/>
        <v>2.9510194925512497E-2</v>
      </c>
      <c r="Q182" s="6">
        <f t="shared" si="26"/>
        <v>5.4104825139044053</v>
      </c>
      <c r="R182" s="6">
        <f t="shared" si="27"/>
        <v>13.179216314406361</v>
      </c>
      <c r="S182" s="6">
        <f>IF($Y$2="按单位面积散热损失 qp",B182*LN(B182/首页!$B$4),LN(B182/首页!$B$4))</f>
        <v>0.65114118440477642</v>
      </c>
      <c r="T182" s="6">
        <f>IF($Y$2="按单位面积散热损失 qp",2*PI()*首页!$B$8*((E182-D182)/$Y$3-1/R182),2*PI()*首页!$B$8*((E182-D182)/$Y$4-1/(PI()*B182*R182)))</f>
        <v>4.08460004197587E-2</v>
      </c>
      <c r="U182" t="str">
        <f t="shared" si="28"/>
        <v>按单位面积散热损失 qp</v>
      </c>
      <c r="V182" s="6">
        <f t="shared" si="29"/>
        <v>0.6102951839850177</v>
      </c>
    </row>
    <row r="183" spans="1:22" x14ac:dyDescent="0.15">
      <c r="A183">
        <v>178</v>
      </c>
      <c r="B183" s="6">
        <f>首页!$B$4+2*A183/1000</f>
        <v>0.47599999999999998</v>
      </c>
      <c r="C183" s="6">
        <f>首页!$B$7+273.15</f>
        <v>388.15</v>
      </c>
      <c r="D183" s="6">
        <f>首页!$B$6+273.15</f>
        <v>293.14999999999998</v>
      </c>
      <c r="E183" s="6">
        <f>首页!$B$5+273.15</f>
        <v>1373.15</v>
      </c>
      <c r="F183" s="6">
        <f t="shared" si="20"/>
        <v>95</v>
      </c>
      <c r="G183" s="6">
        <f t="shared" si="21"/>
        <v>340.65</v>
      </c>
      <c r="H183" s="6">
        <f t="shared" si="22"/>
        <v>1.9926207055139041E-5</v>
      </c>
      <c r="I183" s="7">
        <f t="shared" si="23"/>
        <v>1158916576932337.8</v>
      </c>
      <c r="J183" s="6">
        <f t="shared" si="24"/>
        <v>1.0226038455893147</v>
      </c>
      <c r="K183" s="7">
        <f>J183*H183*首页!$B$12/P183</f>
        <v>0.69532757496605813</v>
      </c>
      <c r="L183" s="6">
        <f>首页!$B$9*0.0000000567*((C183^4-D183^4)/(C183-D183))</f>
        <v>7.7687338005019564</v>
      </c>
      <c r="M183" s="6">
        <f>IF(首页!$B$13="自然对流",IF(首页!$B$14="立式圆筒",首页!$B$10,PI()*B183/2),PI()*B183/2)</f>
        <v>55.2</v>
      </c>
      <c r="N183" s="7">
        <f>IF(首页!$B$13="强制对流",首页!$B$11*M183/H183,0)</f>
        <v>0</v>
      </c>
      <c r="O183" s="7">
        <f>IF(首页!$B$13="自然对流",IF(首页!$B$14="立式圆筒",(0.825+0.3063*I183^(1/6))^2+0.87*(M183/B183),(0.752+0.303*I183^(1/6))^2),0.3+SQRT((0.592*N183^0.5)^2+(0.0262*N183^0.8/(1-0.5/N183^0.1))^2))</f>
        <v>10120.09825923742</v>
      </c>
      <c r="P183" s="6">
        <f t="shared" si="25"/>
        <v>2.9510194925512497E-2</v>
      </c>
      <c r="Q183" s="6">
        <f t="shared" si="26"/>
        <v>5.410254932888332</v>
      </c>
      <c r="R183" s="6">
        <f t="shared" si="27"/>
        <v>13.178988733390288</v>
      </c>
      <c r="S183" s="6">
        <f>IF($Y$2="按单位面积散热损失 qp",B183*LN(B183/首页!$B$4),LN(B183/首页!$B$4))</f>
        <v>0.65589282904990198</v>
      </c>
      <c r="T183" s="6">
        <f>IF($Y$2="按单位面积散热损失 qp",2*PI()*首页!$B$8*((E183-D183)/$Y$3-1/R183),2*PI()*首页!$B$8*((E183-D183)/$Y$4-1/(PI()*B183*R183)))</f>
        <v>4.0845629946605948E-2</v>
      </c>
      <c r="U183" t="str">
        <f t="shared" si="28"/>
        <v>按单位面积散热损失 qp</v>
      </c>
      <c r="V183" s="6">
        <f t="shared" si="29"/>
        <v>0.61504719910329608</v>
      </c>
    </row>
    <row r="184" spans="1:22" x14ac:dyDescent="0.15">
      <c r="A184">
        <v>179</v>
      </c>
      <c r="B184" s="6">
        <f>首页!$B$4+2*A184/1000</f>
        <v>0.47799999999999998</v>
      </c>
      <c r="C184" s="6">
        <f>首页!$B$7+273.15</f>
        <v>388.15</v>
      </c>
      <c r="D184" s="6">
        <f>首页!$B$6+273.15</f>
        <v>293.14999999999998</v>
      </c>
      <c r="E184" s="6">
        <f>首页!$B$5+273.15</f>
        <v>1373.15</v>
      </c>
      <c r="F184" s="6">
        <f t="shared" si="20"/>
        <v>95</v>
      </c>
      <c r="G184" s="6">
        <f t="shared" si="21"/>
        <v>340.65</v>
      </c>
      <c r="H184" s="6">
        <f t="shared" si="22"/>
        <v>1.9926207055139041E-5</v>
      </c>
      <c r="I184" s="7">
        <f t="shared" si="23"/>
        <v>1158916576932337.8</v>
      </c>
      <c r="J184" s="6">
        <f t="shared" si="24"/>
        <v>1.0226038455893147</v>
      </c>
      <c r="K184" s="7">
        <f>J184*H184*首页!$B$12/P184</f>
        <v>0.69532757496605813</v>
      </c>
      <c r="L184" s="6">
        <f>首页!$B$9*0.0000000567*((C184^4-D184^4)/(C184-D184))</f>
        <v>7.7687338005019564</v>
      </c>
      <c r="M184" s="6">
        <f>IF(首页!$B$13="自然对流",IF(首页!$B$14="立式圆筒",首页!$B$10,PI()*B184/2),PI()*B184/2)</f>
        <v>55.2</v>
      </c>
      <c r="N184" s="7">
        <f>IF(首页!$B$13="强制对流",首页!$B$11*M184/H184,0)</f>
        <v>0</v>
      </c>
      <c r="O184" s="7">
        <f>IF(首页!$B$13="自然对流",IF(首页!$B$14="立式圆筒",(0.825+0.3063*I184^(1/6))^2+0.87*(M184/B184),(0.752+0.303*I184^(1/6))^2),0.3+SQRT((0.592*N184^0.5)^2+(0.0262*N184^0.8/(1-0.5/N184^0.1))^2))</f>
        <v>10119.676122181761</v>
      </c>
      <c r="P184" s="6">
        <f t="shared" si="25"/>
        <v>2.9510194925512497E-2</v>
      </c>
      <c r="Q184" s="6">
        <f t="shared" si="26"/>
        <v>5.4100292563159087</v>
      </c>
      <c r="R184" s="6">
        <f t="shared" si="27"/>
        <v>13.178763056817864</v>
      </c>
      <c r="S184" s="6">
        <f>IF($Y$2="按单位面积散热损失 qp",B184*LN(B184/首页!$B$4),LN(B184/首页!$B$4))</f>
        <v>0.66065287708109788</v>
      </c>
      <c r="T184" s="6">
        <f>IF($Y$2="按单位面积散热损失 qp",2*PI()*首页!$B$8*((E184-D184)/$Y$3-1/R184),2*PI()*首页!$B$8*((E184-D184)/$Y$4-1/(PI()*B184*R184)))</f>
        <v>4.0845262561011869E-2</v>
      </c>
      <c r="U184" t="str">
        <f t="shared" si="28"/>
        <v>按单位面积散热损失 qp</v>
      </c>
      <c r="V184" s="6">
        <f t="shared" si="29"/>
        <v>0.61980761452008604</v>
      </c>
    </row>
    <row r="185" spans="1:22" x14ac:dyDescent="0.15">
      <c r="A185">
        <v>180</v>
      </c>
      <c r="B185" s="6">
        <f>首页!$B$4+2*A185/1000</f>
        <v>0.48</v>
      </c>
      <c r="C185" s="6">
        <f>首页!$B$7+273.15</f>
        <v>388.15</v>
      </c>
      <c r="D185" s="6">
        <f>首页!$B$6+273.15</f>
        <v>293.14999999999998</v>
      </c>
      <c r="E185" s="6">
        <f>首页!$B$5+273.15</f>
        <v>1373.15</v>
      </c>
      <c r="F185" s="6">
        <f t="shared" si="20"/>
        <v>95</v>
      </c>
      <c r="G185" s="6">
        <f t="shared" si="21"/>
        <v>340.65</v>
      </c>
      <c r="H185" s="6">
        <f t="shared" si="22"/>
        <v>1.9926207055139041E-5</v>
      </c>
      <c r="I185" s="7">
        <f t="shared" si="23"/>
        <v>1158916576932337.8</v>
      </c>
      <c r="J185" s="6">
        <f t="shared" si="24"/>
        <v>1.0226038455893147</v>
      </c>
      <c r="K185" s="7">
        <f>J185*H185*首页!$B$12/P185</f>
        <v>0.69532757496605813</v>
      </c>
      <c r="L185" s="6">
        <f>首页!$B$9*0.0000000567*((C185^4-D185^4)/(C185-D185))</f>
        <v>7.7687338005019564</v>
      </c>
      <c r="M185" s="6">
        <f>IF(首页!$B$13="自然对流",IF(首页!$B$14="立式圆筒",首页!$B$10,PI()*B185/2),PI()*B185/2)</f>
        <v>55.2</v>
      </c>
      <c r="N185" s="7">
        <f>IF(首页!$B$13="强制对流",首页!$B$11*M185/H185,0)</f>
        <v>0</v>
      </c>
      <c r="O185" s="7">
        <f>IF(首页!$B$13="自然对流",IF(首页!$B$14="立式圆筒",(0.825+0.3063*I185^(1/6))^2+0.87*(M185/B185),(0.752+0.303*I185^(1/6))^2),0.3+SQRT((0.592*N185^0.5)^2+(0.0262*N185^0.8/(1-0.5/N185^0.1))^2))</f>
        <v>10119.257502934899</v>
      </c>
      <c r="P185" s="6">
        <f t="shared" si="25"/>
        <v>2.9510194925512497E-2</v>
      </c>
      <c r="Q185" s="6">
        <f t="shared" si="26"/>
        <v>5.4098054603815893</v>
      </c>
      <c r="R185" s="6">
        <f t="shared" si="27"/>
        <v>13.178539260883547</v>
      </c>
      <c r="S185" s="6">
        <f>IF($Y$2="按单位面积散热损失 qp",B185*LN(B185/首页!$B$4),LN(B185/首页!$B$4))</f>
        <v>0.6654212933375474</v>
      </c>
      <c r="T185" s="6">
        <f>IF($Y$2="按单位面积散热损失 qp",2*PI()*首页!$B$8*((E185-D185)/$Y$3-1/R185),2*PI()*首页!$B$8*((E185-D185)/$Y$4-1/(PI()*B185*R185)))</f>
        <v>4.0844898224538628E-2</v>
      </c>
      <c r="U185" t="str">
        <f t="shared" si="28"/>
        <v>按单位面积散热损失 qp</v>
      </c>
      <c r="V185" s="6">
        <f t="shared" si="29"/>
        <v>0.62457639511300878</v>
      </c>
    </row>
    <row r="186" spans="1:22" x14ac:dyDescent="0.15">
      <c r="A186">
        <v>181</v>
      </c>
      <c r="B186" s="6">
        <f>首页!$B$4+2*A186/1000</f>
        <v>0.48199999999999998</v>
      </c>
      <c r="C186" s="6">
        <f>首页!$B$7+273.15</f>
        <v>388.15</v>
      </c>
      <c r="D186" s="6">
        <f>首页!$B$6+273.15</f>
        <v>293.14999999999998</v>
      </c>
      <c r="E186" s="6">
        <f>首页!$B$5+273.15</f>
        <v>1373.15</v>
      </c>
      <c r="F186" s="6">
        <f t="shared" si="20"/>
        <v>95</v>
      </c>
      <c r="G186" s="6">
        <f t="shared" si="21"/>
        <v>340.65</v>
      </c>
      <c r="H186" s="6">
        <f t="shared" si="22"/>
        <v>1.9926207055139041E-5</v>
      </c>
      <c r="I186" s="7">
        <f t="shared" si="23"/>
        <v>1158916576932337.8</v>
      </c>
      <c r="J186" s="6">
        <f t="shared" si="24"/>
        <v>1.0226038455893147</v>
      </c>
      <c r="K186" s="7">
        <f>J186*H186*首页!$B$12/P186</f>
        <v>0.69532757496605813</v>
      </c>
      <c r="L186" s="6">
        <f>首页!$B$9*0.0000000567*((C186^4-D186^4)/(C186-D186))</f>
        <v>7.7687338005019564</v>
      </c>
      <c r="M186" s="6">
        <f>IF(首页!$B$13="自然对流",IF(首页!$B$14="立式圆筒",首页!$B$10,PI()*B186/2),PI()*B186/2)</f>
        <v>55.2</v>
      </c>
      <c r="N186" s="7">
        <f>IF(首页!$B$13="强制对流",首页!$B$11*M186/H186,0)</f>
        <v>0</v>
      </c>
      <c r="O186" s="7">
        <f>IF(首页!$B$13="自然对流",IF(首页!$B$14="立式圆筒",(0.825+0.3063*I186^(1/6))^2+0.87*(M186/B186),(0.752+0.303*I186^(1/6))^2),0.3+SQRT((0.592*N186^0.5)^2+(0.0262*N186^0.8/(1-0.5/N186^0.1))^2))</f>
        <v>10118.842357706684</v>
      </c>
      <c r="P186" s="6">
        <f t="shared" si="25"/>
        <v>2.9510194925512497E-2</v>
      </c>
      <c r="Q186" s="6">
        <f t="shared" si="26"/>
        <v>5.4095835216749402</v>
      </c>
      <c r="R186" s="6">
        <f t="shared" si="27"/>
        <v>13.178317322176897</v>
      </c>
      <c r="S186" s="6">
        <f>IF($Y$2="按单位面积散热损失 qp",B186*LN(B186/首页!$B$4),LN(B186/首页!$B$4))</f>
        <v>0.67019804295144314</v>
      </c>
      <c r="T186" s="6">
        <f>IF($Y$2="按单位面积散热损失 qp",2*PI()*首页!$B$8*((E186-D186)/$Y$3-1/R186),2*PI()*首页!$B$8*((E186-D186)/$Y$4-1/(PI()*B186*R186)))</f>
        <v>4.084453689938377E-2</v>
      </c>
      <c r="U186" t="str">
        <f t="shared" si="28"/>
        <v>按单位面积散热损失 qp</v>
      </c>
      <c r="V186" s="6">
        <f t="shared" si="29"/>
        <v>0.62935350605205942</v>
      </c>
    </row>
    <row r="187" spans="1:22" x14ac:dyDescent="0.15">
      <c r="A187">
        <v>182</v>
      </c>
      <c r="B187" s="6">
        <f>首页!$B$4+2*A187/1000</f>
        <v>0.48399999999999999</v>
      </c>
      <c r="C187" s="6">
        <f>首页!$B$7+273.15</f>
        <v>388.15</v>
      </c>
      <c r="D187" s="6">
        <f>首页!$B$6+273.15</f>
        <v>293.14999999999998</v>
      </c>
      <c r="E187" s="6">
        <f>首页!$B$5+273.15</f>
        <v>1373.15</v>
      </c>
      <c r="F187" s="6">
        <f t="shared" si="20"/>
        <v>95</v>
      </c>
      <c r="G187" s="6">
        <f t="shared" si="21"/>
        <v>340.65</v>
      </c>
      <c r="H187" s="6">
        <f t="shared" si="22"/>
        <v>1.9926207055139041E-5</v>
      </c>
      <c r="I187" s="7">
        <f t="shared" si="23"/>
        <v>1158916576932337.8</v>
      </c>
      <c r="J187" s="6">
        <f t="shared" si="24"/>
        <v>1.0226038455893147</v>
      </c>
      <c r="K187" s="7">
        <f>J187*H187*首页!$B$12/P187</f>
        <v>0.69532757496605813</v>
      </c>
      <c r="L187" s="6">
        <f>首页!$B$9*0.0000000567*((C187^4-D187^4)/(C187-D187))</f>
        <v>7.7687338005019564</v>
      </c>
      <c r="M187" s="6">
        <f>IF(首页!$B$13="自然对流",IF(首页!$B$14="立式圆筒",首页!$B$10,PI()*B187/2),PI()*B187/2)</f>
        <v>55.2</v>
      </c>
      <c r="N187" s="7">
        <f>IF(首页!$B$13="强制对流",首页!$B$11*M187/H187,0)</f>
        <v>0</v>
      </c>
      <c r="O187" s="7">
        <f>IF(首页!$B$13="自然对流",IF(首页!$B$14="立式圆筒",(0.825+0.3063*I187^(1/6))^2+0.87*(M187/B187),(0.752+0.303*I187^(1/6))^2),0.3+SQRT((0.592*N187^0.5)^2+(0.0262*N187^0.8/(1-0.5/N187^0.1))^2))</f>
        <v>10118.430643430767</v>
      </c>
      <c r="P187" s="6">
        <f t="shared" si="25"/>
        <v>2.9510194925512497E-2</v>
      </c>
      <c r="Q187" s="6">
        <f t="shared" si="26"/>
        <v>5.4093634171724769</v>
      </c>
      <c r="R187" s="6">
        <f t="shared" si="27"/>
        <v>13.178097217674434</v>
      </c>
      <c r="S187" s="6">
        <f>IF($Y$2="按单位面积散热损失 qp",B187*LN(B187/首页!$B$4),LN(B187/首页!$B$4))</f>
        <v>0.67498309134433943</v>
      </c>
      <c r="T187" s="6">
        <f>IF($Y$2="按单位面积散热损失 qp",2*PI()*首页!$B$8*((E187-D187)/$Y$3-1/R187),2*PI()*首页!$B$8*((E187-D187)/$Y$4-1/(PI()*B187*R187)))</f>
        <v>4.084417854836718E-2</v>
      </c>
      <c r="U187" t="str">
        <f t="shared" si="28"/>
        <v>按单位面积散热损失 qp</v>
      </c>
      <c r="V187" s="6">
        <f t="shared" si="29"/>
        <v>0.63413891279597223</v>
      </c>
    </row>
    <row r="188" spans="1:22" x14ac:dyDescent="0.15">
      <c r="A188">
        <v>183</v>
      </c>
      <c r="B188" s="6">
        <f>首页!$B$4+2*A188/1000</f>
        <v>0.48599999999999999</v>
      </c>
      <c r="C188" s="6">
        <f>首页!$B$7+273.15</f>
        <v>388.15</v>
      </c>
      <c r="D188" s="6">
        <f>首页!$B$6+273.15</f>
        <v>293.14999999999998</v>
      </c>
      <c r="E188" s="6">
        <f>首页!$B$5+273.15</f>
        <v>1373.15</v>
      </c>
      <c r="F188" s="6">
        <f t="shared" si="20"/>
        <v>95</v>
      </c>
      <c r="G188" s="6">
        <f t="shared" si="21"/>
        <v>340.65</v>
      </c>
      <c r="H188" s="6">
        <f t="shared" si="22"/>
        <v>1.9926207055139041E-5</v>
      </c>
      <c r="I188" s="7">
        <f t="shared" si="23"/>
        <v>1158916576932337.8</v>
      </c>
      <c r="J188" s="6">
        <f t="shared" si="24"/>
        <v>1.0226038455893147</v>
      </c>
      <c r="K188" s="7">
        <f>J188*H188*首页!$B$12/P188</f>
        <v>0.69532757496605813</v>
      </c>
      <c r="L188" s="6">
        <f>首页!$B$9*0.0000000567*((C188^4-D188^4)/(C188-D188))</f>
        <v>7.7687338005019564</v>
      </c>
      <c r="M188" s="6">
        <f>IF(首页!$B$13="自然对流",IF(首页!$B$14="立式圆筒",首页!$B$10,PI()*B188/2),PI()*B188/2)</f>
        <v>55.2</v>
      </c>
      <c r="N188" s="7">
        <f>IF(首页!$B$13="强制对流",首页!$B$11*M188/H188,0)</f>
        <v>0</v>
      </c>
      <c r="O188" s="7">
        <f>IF(首页!$B$13="自然对流",IF(首页!$B$14="立式圆筒",(0.825+0.3063*I188^(1/6))^2+0.87*(M188/B188),(0.752+0.303*I188^(1/6))^2),0.3+SQRT((0.592*N188^0.5)^2+(0.0262*N188^0.8/(1-0.5/N188^0.1))^2))</f>
        <v>10118.022317749716</v>
      </c>
      <c r="P188" s="6">
        <f t="shared" si="25"/>
        <v>2.9510194925512497E-2</v>
      </c>
      <c r="Q188" s="6">
        <f t="shared" si="26"/>
        <v>5.4091451242297071</v>
      </c>
      <c r="R188" s="6">
        <f t="shared" si="27"/>
        <v>13.177878924731663</v>
      </c>
      <c r="S188" s="6">
        <f>IF($Y$2="按单位面积散热损失 qp",B188*LN(B188/首页!$B$4),LN(B188/首页!$B$4))</f>
        <v>0.67977640422356567</v>
      </c>
      <c r="T188" s="6">
        <f>IF($Y$2="按单位面积散热损失 qp",2*PI()*首页!$B$8*((E188-D188)/$Y$3-1/R188),2*PI()*首页!$B$8*((E188-D188)/$Y$4-1/(PI()*B188*R188)))</f>
        <v>4.0843823134918286E-2</v>
      </c>
      <c r="U188" t="str">
        <f t="shared" si="28"/>
        <v>按单位面积散热损失 qp</v>
      </c>
      <c r="V188" s="6">
        <f t="shared" si="29"/>
        <v>0.63893258108864737</v>
      </c>
    </row>
    <row r="189" spans="1:22" x14ac:dyDescent="0.15">
      <c r="A189">
        <v>184</v>
      </c>
      <c r="B189" s="6">
        <f>首页!$B$4+2*A189/1000</f>
        <v>0.48799999999999999</v>
      </c>
      <c r="C189" s="6">
        <f>首页!$B$7+273.15</f>
        <v>388.15</v>
      </c>
      <c r="D189" s="6">
        <f>首页!$B$6+273.15</f>
        <v>293.14999999999998</v>
      </c>
      <c r="E189" s="6">
        <f>首页!$B$5+273.15</f>
        <v>1373.15</v>
      </c>
      <c r="F189" s="6">
        <f t="shared" si="20"/>
        <v>95</v>
      </c>
      <c r="G189" s="6">
        <f t="shared" si="21"/>
        <v>340.65</v>
      </c>
      <c r="H189" s="6">
        <f t="shared" si="22"/>
        <v>1.9926207055139041E-5</v>
      </c>
      <c r="I189" s="7">
        <f t="shared" si="23"/>
        <v>1158916576932337.8</v>
      </c>
      <c r="J189" s="6">
        <f t="shared" si="24"/>
        <v>1.0226038455893147</v>
      </c>
      <c r="K189" s="7">
        <f>J189*H189*首页!$B$12/P189</f>
        <v>0.69532757496605813</v>
      </c>
      <c r="L189" s="6">
        <f>首页!$B$9*0.0000000567*((C189^4-D189^4)/(C189-D189))</f>
        <v>7.7687338005019564</v>
      </c>
      <c r="M189" s="6">
        <f>IF(首页!$B$13="自然对流",IF(首页!$B$14="立式圆筒",首页!$B$10,PI()*B189/2),PI()*B189/2)</f>
        <v>55.2</v>
      </c>
      <c r="N189" s="7">
        <f>IF(首页!$B$13="强制对流",首页!$B$11*M189/H189,0)</f>
        <v>0</v>
      </c>
      <c r="O189" s="7">
        <f>IF(首页!$B$13="自然对流",IF(首页!$B$14="立式圆筒",(0.825+0.3063*I189^(1/6))^2+0.87*(M189/B189),(0.752+0.303*I189^(1/6))^2),0.3+SQRT((0.592*N189^0.5)^2+(0.0262*N189^0.8/(1-0.5/N189^0.1))^2))</f>
        <v>10117.617339000473</v>
      </c>
      <c r="P189" s="6">
        <f t="shared" si="25"/>
        <v>2.9510194925512497E-2</v>
      </c>
      <c r="Q189" s="6">
        <f t="shared" si="26"/>
        <v>5.4089286205733513</v>
      </c>
      <c r="R189" s="6">
        <f t="shared" si="27"/>
        <v>13.177662421075308</v>
      </c>
      <c r="S189" s="6">
        <f>IF($Y$2="按单位面积散热损失 qp",B189*LN(B189/首页!$B$4),LN(B189/首页!$B$4))</f>
        <v>0.68457794757869728</v>
      </c>
      <c r="T189" s="6">
        <f>IF($Y$2="按单位面积散热损失 qp",2*PI()*首页!$B$8*((E189-D189)/$Y$3-1/R189),2*PI()*首页!$B$8*((E189-D189)/$Y$4-1/(PI()*B189*R189)))</f>
        <v>4.0843470623063635E-2</v>
      </c>
      <c r="U189" t="str">
        <f t="shared" si="28"/>
        <v>按单位面积散热损失 qp</v>
      </c>
      <c r="V189" s="6">
        <f t="shared" si="29"/>
        <v>0.64373447695563368</v>
      </c>
    </row>
    <row r="190" spans="1:22" x14ac:dyDescent="0.15">
      <c r="A190">
        <v>185</v>
      </c>
      <c r="B190" s="6">
        <f>首页!$B$4+2*A190/1000</f>
        <v>0.49</v>
      </c>
      <c r="C190" s="6">
        <f>首页!$B$7+273.15</f>
        <v>388.15</v>
      </c>
      <c r="D190" s="6">
        <f>首页!$B$6+273.15</f>
        <v>293.14999999999998</v>
      </c>
      <c r="E190" s="6">
        <f>首页!$B$5+273.15</f>
        <v>1373.15</v>
      </c>
      <c r="F190" s="6">
        <f t="shared" si="20"/>
        <v>95</v>
      </c>
      <c r="G190" s="6">
        <f t="shared" si="21"/>
        <v>340.65</v>
      </c>
      <c r="H190" s="6">
        <f t="shared" si="22"/>
        <v>1.9926207055139041E-5</v>
      </c>
      <c r="I190" s="7">
        <f t="shared" si="23"/>
        <v>1158916576932337.8</v>
      </c>
      <c r="J190" s="6">
        <f t="shared" si="24"/>
        <v>1.0226038455893147</v>
      </c>
      <c r="K190" s="7">
        <f>J190*H190*首页!$B$12/P190</f>
        <v>0.69532757496605813</v>
      </c>
      <c r="L190" s="6">
        <f>首页!$B$9*0.0000000567*((C190^4-D190^4)/(C190-D190))</f>
        <v>7.7687338005019564</v>
      </c>
      <c r="M190" s="6">
        <f>IF(首页!$B$13="自然对流",IF(首页!$B$14="立式圆筒",首页!$B$10,PI()*B190/2),PI()*B190/2)</f>
        <v>55.2</v>
      </c>
      <c r="N190" s="7">
        <f>IF(首页!$B$13="强制对流",首页!$B$11*M190/H190,0)</f>
        <v>0</v>
      </c>
      <c r="O190" s="7">
        <f>IF(首页!$B$13="自然对流",IF(首页!$B$14="立式圆筒",(0.825+0.3063*I190^(1/6))^2+0.87*(M190/B190),(0.752+0.303*I190^(1/6))^2),0.3+SQRT((0.592*N190^0.5)^2+(0.0262*N190^0.8/(1-0.5/N190^0.1))^2))</f>
        <v>10117.215666200205</v>
      </c>
      <c r="P190" s="6">
        <f t="shared" si="25"/>
        <v>2.9510194925512497E-2</v>
      </c>
      <c r="Q190" s="6">
        <f t="shared" si="26"/>
        <v>5.4087138842937836</v>
      </c>
      <c r="R190" s="6">
        <f t="shared" si="27"/>
        <v>13.177447684795741</v>
      </c>
      <c r="S190" s="6">
        <f>IF($Y$2="按单位面积散热损失 qp",B190*LN(B190/首页!$B$4),LN(B190/首页!$B$4))</f>
        <v>0.68938768767808689</v>
      </c>
      <c r="T190" s="6">
        <f>IF($Y$2="按单位面积散热损失 qp",2*PI()*首页!$B$8*((E190-D190)/$Y$3-1/R190),2*PI()*首页!$B$8*((E190-D190)/$Y$4-1/(PI()*B190*R190)))</f>
        <v>4.0843120977414799E-2</v>
      </c>
      <c r="U190" t="str">
        <f t="shared" si="28"/>
        <v>按单位面积散热损失 qp</v>
      </c>
      <c r="V190" s="6">
        <f t="shared" si="29"/>
        <v>0.64854456670067206</v>
      </c>
    </row>
    <row r="191" spans="1:22" x14ac:dyDescent="0.15">
      <c r="A191">
        <v>186</v>
      </c>
      <c r="B191" s="6">
        <f>首页!$B$4+2*A191/1000</f>
        <v>0.49199999999999999</v>
      </c>
      <c r="C191" s="6">
        <f>首页!$B$7+273.15</f>
        <v>388.15</v>
      </c>
      <c r="D191" s="6">
        <f>首页!$B$6+273.15</f>
        <v>293.14999999999998</v>
      </c>
      <c r="E191" s="6">
        <f>首页!$B$5+273.15</f>
        <v>1373.15</v>
      </c>
      <c r="F191" s="6">
        <f t="shared" si="20"/>
        <v>95</v>
      </c>
      <c r="G191" s="6">
        <f t="shared" si="21"/>
        <v>340.65</v>
      </c>
      <c r="H191" s="6">
        <f t="shared" si="22"/>
        <v>1.9926207055139041E-5</v>
      </c>
      <c r="I191" s="7">
        <f t="shared" si="23"/>
        <v>1158916576932337.8</v>
      </c>
      <c r="J191" s="6">
        <f t="shared" si="24"/>
        <v>1.0226038455893147</v>
      </c>
      <c r="K191" s="7">
        <f>J191*H191*首页!$B$12/P191</f>
        <v>0.69532757496605813</v>
      </c>
      <c r="L191" s="6">
        <f>首页!$B$9*0.0000000567*((C191^4-D191^4)/(C191-D191))</f>
        <v>7.7687338005019564</v>
      </c>
      <c r="M191" s="6">
        <f>IF(首页!$B$13="自然对流",IF(首页!$B$14="立式圆筒",首页!$B$10,PI()*B191/2),PI()*B191/2)</f>
        <v>55.2</v>
      </c>
      <c r="N191" s="7">
        <f>IF(首页!$B$13="强制对流",首页!$B$11*M191/H191,0)</f>
        <v>0</v>
      </c>
      <c r="O191" s="7">
        <f>IF(首页!$B$13="自然对流",IF(首页!$B$14="立式圆筒",(0.825+0.3063*I191^(1/6))^2+0.87*(M191/B191),(0.752+0.303*I191^(1/6))^2),0.3+SQRT((0.592*N191^0.5)^2+(0.0262*N191^0.8/(1-0.5/N191^0.1))^2))</f>
        <v>10116.817259032461</v>
      </c>
      <c r="P191" s="6">
        <f t="shared" si="25"/>
        <v>2.9510194925512497E-2</v>
      </c>
      <c r="Q191" s="6">
        <f t="shared" si="26"/>
        <v>5.4085008938376262</v>
      </c>
      <c r="R191" s="6">
        <f t="shared" si="27"/>
        <v>13.177234694339582</v>
      </c>
      <c r="S191" s="6">
        <f>IF($Y$2="按单位面积散热损失 qp",B191*LN(B191/首页!$B$4),LN(B191/首页!$B$4))</f>
        <v>0.69420559106544899</v>
      </c>
      <c r="T191" s="6">
        <f>IF($Y$2="按单位面积散热损失 qp",2*PI()*首页!$B$8*((E191-D191)/$Y$3-1/R191),2*PI()*首页!$B$8*((E191-D191)/$Y$4-1/(PI()*B191*R191)))</f>
        <v>4.0842774163156445E-2</v>
      </c>
      <c r="U191" t="str">
        <f t="shared" si="28"/>
        <v>按单位面积散热损失 qp</v>
      </c>
      <c r="V191" s="6">
        <f t="shared" si="29"/>
        <v>0.65336281690229259</v>
      </c>
    </row>
    <row r="192" spans="1:22" x14ac:dyDescent="0.15">
      <c r="A192">
        <v>187</v>
      </c>
      <c r="B192" s="6">
        <f>首页!$B$4+2*A192/1000</f>
        <v>0.49399999999999999</v>
      </c>
      <c r="C192" s="6">
        <f>首页!$B$7+273.15</f>
        <v>388.15</v>
      </c>
      <c r="D192" s="6">
        <f>首页!$B$6+273.15</f>
        <v>293.14999999999998</v>
      </c>
      <c r="E192" s="6">
        <f>首页!$B$5+273.15</f>
        <v>1373.15</v>
      </c>
      <c r="F192" s="6">
        <f t="shared" si="20"/>
        <v>95</v>
      </c>
      <c r="G192" s="6">
        <f t="shared" si="21"/>
        <v>340.65</v>
      </c>
      <c r="H192" s="6">
        <f t="shared" si="22"/>
        <v>1.9926207055139041E-5</v>
      </c>
      <c r="I192" s="7">
        <f t="shared" si="23"/>
        <v>1158916576932337.8</v>
      </c>
      <c r="J192" s="6">
        <f t="shared" si="24"/>
        <v>1.0226038455893147</v>
      </c>
      <c r="K192" s="7">
        <f>J192*H192*首页!$B$12/P192</f>
        <v>0.69532757496605813</v>
      </c>
      <c r="L192" s="6">
        <f>首页!$B$9*0.0000000567*((C192^4-D192^4)/(C192-D192))</f>
        <v>7.7687338005019564</v>
      </c>
      <c r="M192" s="6">
        <f>IF(首页!$B$13="自然对流",IF(首页!$B$14="立式圆筒",首页!$B$10,PI()*B192/2),PI()*B192/2)</f>
        <v>55.2</v>
      </c>
      <c r="N192" s="7">
        <f>IF(首页!$B$13="强制对流",首页!$B$11*M192/H192,0)</f>
        <v>0</v>
      </c>
      <c r="O192" s="7">
        <f>IF(首页!$B$13="自然对流",IF(首页!$B$14="立式圆筒",(0.825+0.3063*I192^(1/6))^2+0.87*(M192/B192),(0.752+0.303*I192^(1/6))^2),0.3+SQRT((0.592*N192^0.5)^2+(0.0262*N192^0.8/(1-0.5/N192^0.1))^2))</f>
        <v>10116.422077833686</v>
      </c>
      <c r="P192" s="6">
        <f t="shared" si="25"/>
        <v>2.9510194925512497E-2</v>
      </c>
      <c r="Q192" s="6">
        <f t="shared" si="26"/>
        <v>5.4082896280005475</v>
      </c>
      <c r="R192" s="6">
        <f t="shared" si="27"/>
        <v>13.177023428502505</v>
      </c>
      <c r="S192" s="6">
        <f>IF($Y$2="按单位面积散热损失 qp",B192*LN(B192/首页!$B$4),LN(B192/首页!$B$4))</f>
        <v>0.69903162455650303</v>
      </c>
      <c r="T192" s="6">
        <f>IF($Y$2="按单位面积散热损失 qp",2*PI()*首页!$B$8*((E192-D192)/$Y$3-1/R192),2*PI()*首页!$B$8*((E192-D192)/$Y$4-1/(PI()*B192*R192)))</f>
        <v>4.0842430146034871E-2</v>
      </c>
      <c r="U192" t="str">
        <f t="shared" si="28"/>
        <v>按单位面积散热损失 qp</v>
      </c>
      <c r="V192" s="6">
        <f t="shared" si="29"/>
        <v>0.65818919441046819</v>
      </c>
    </row>
    <row r="193" spans="1:22" x14ac:dyDescent="0.15">
      <c r="A193">
        <v>188</v>
      </c>
      <c r="B193" s="6">
        <f>首页!$B$4+2*A193/1000</f>
        <v>0.496</v>
      </c>
      <c r="C193" s="6">
        <f>首页!$B$7+273.15</f>
        <v>388.15</v>
      </c>
      <c r="D193" s="6">
        <f>首页!$B$6+273.15</f>
        <v>293.14999999999998</v>
      </c>
      <c r="E193" s="6">
        <f>首页!$B$5+273.15</f>
        <v>1373.15</v>
      </c>
      <c r="F193" s="6">
        <f t="shared" si="20"/>
        <v>95</v>
      </c>
      <c r="G193" s="6">
        <f t="shared" si="21"/>
        <v>340.65</v>
      </c>
      <c r="H193" s="6">
        <f t="shared" si="22"/>
        <v>1.9926207055139041E-5</v>
      </c>
      <c r="I193" s="7">
        <f t="shared" si="23"/>
        <v>1158916576932337.8</v>
      </c>
      <c r="J193" s="6">
        <f t="shared" si="24"/>
        <v>1.0226038455893147</v>
      </c>
      <c r="K193" s="7">
        <f>J193*H193*首页!$B$12/P193</f>
        <v>0.69532757496605813</v>
      </c>
      <c r="L193" s="6">
        <f>首页!$B$9*0.0000000567*((C193^4-D193^4)/(C193-D193))</f>
        <v>7.7687338005019564</v>
      </c>
      <c r="M193" s="6">
        <f>IF(首页!$B$13="自然对流",IF(首页!$B$14="立式圆筒",首页!$B$10,PI()*B193/2),PI()*B193/2)</f>
        <v>55.2</v>
      </c>
      <c r="N193" s="7">
        <f>IF(首页!$B$13="强制对流",首页!$B$11*M193/H193,0)</f>
        <v>0</v>
      </c>
      <c r="O193" s="7">
        <f>IF(首页!$B$13="自然对流",IF(首页!$B$14="立式圆筒",(0.825+0.3063*I193^(1/6))^2+0.87*(M193/B193),(0.752+0.303*I193^(1/6))^2),0.3+SQRT((0.592*N193^0.5)^2+(0.0262*N193^0.8/(1-0.5/N193^0.1))^2))</f>
        <v>10116.030083580061</v>
      </c>
      <c r="P193" s="6">
        <f t="shared" si="25"/>
        <v>2.9510194925512497E-2</v>
      </c>
      <c r="Q193" s="6">
        <f t="shared" si="26"/>
        <v>5.4080800659202186</v>
      </c>
      <c r="R193" s="6">
        <f t="shared" si="27"/>
        <v>13.176813866422176</v>
      </c>
      <c r="S193" s="6">
        <f>IF($Y$2="按单位面积散热损失 qp",B193*LN(B193/首页!$B$4),LN(B193/首页!$B$4))</f>
        <v>0.7038657552356693</v>
      </c>
      <c r="T193" s="6">
        <f>IF($Y$2="按单位面积散热损失 qp",2*PI()*首页!$B$8*((E193-D193)/$Y$3-1/R193),2*PI()*首页!$B$8*((E193-D193)/$Y$4-1/(PI()*B193*R193)))</f>
        <v>4.0842088892346647E-2</v>
      </c>
      <c r="U193" t="str">
        <f t="shared" si="28"/>
        <v>按单位面积散热损失 qp</v>
      </c>
      <c r="V193" s="6">
        <f t="shared" si="29"/>
        <v>0.66302366634332266</v>
      </c>
    </row>
    <row r="194" spans="1:22" x14ac:dyDescent="0.15">
      <c r="A194">
        <v>189</v>
      </c>
      <c r="B194" s="6">
        <f>首页!$B$4+2*A194/1000</f>
        <v>0.498</v>
      </c>
      <c r="C194" s="6">
        <f>首页!$B$7+273.15</f>
        <v>388.15</v>
      </c>
      <c r="D194" s="6">
        <f>首页!$B$6+273.15</f>
        <v>293.14999999999998</v>
      </c>
      <c r="E194" s="6">
        <f>首页!$B$5+273.15</f>
        <v>1373.15</v>
      </c>
      <c r="F194" s="6">
        <f t="shared" si="20"/>
        <v>95</v>
      </c>
      <c r="G194" s="6">
        <f t="shared" si="21"/>
        <v>340.65</v>
      </c>
      <c r="H194" s="6">
        <f t="shared" si="22"/>
        <v>1.9926207055139041E-5</v>
      </c>
      <c r="I194" s="7">
        <f t="shared" si="23"/>
        <v>1158916576932337.8</v>
      </c>
      <c r="J194" s="6">
        <f t="shared" si="24"/>
        <v>1.0226038455893147</v>
      </c>
      <c r="K194" s="7">
        <f>J194*H194*首页!$B$12/P194</f>
        <v>0.69532757496605813</v>
      </c>
      <c r="L194" s="6">
        <f>首页!$B$9*0.0000000567*((C194^4-D194^4)/(C194-D194))</f>
        <v>7.7687338005019564</v>
      </c>
      <c r="M194" s="6">
        <f>IF(首页!$B$13="自然对流",IF(首页!$B$14="立式圆筒",首页!$B$10,PI()*B194/2),PI()*B194/2)</f>
        <v>55.2</v>
      </c>
      <c r="N194" s="7">
        <f>IF(首页!$B$13="强制对流",首页!$B$11*M194/H194,0)</f>
        <v>0</v>
      </c>
      <c r="O194" s="7">
        <f>IF(首页!$B$13="自然对流",IF(首页!$B$14="立式圆筒",(0.825+0.3063*I194^(1/6))^2+0.87*(M194/B194),(0.752+0.303*I194^(1/6))^2),0.3+SQRT((0.592*N194^0.5)^2+(0.0262*N194^0.8/(1-0.5/N194^0.1))^2))</f>
        <v>10115.641237874659</v>
      </c>
      <c r="P194" s="6">
        <f t="shared" si="25"/>
        <v>2.9510194925512497E-2</v>
      </c>
      <c r="Q194" s="6">
        <f t="shared" si="26"/>
        <v>5.4078721870694517</v>
      </c>
      <c r="R194" s="6">
        <f t="shared" si="27"/>
        <v>13.176605987571408</v>
      </c>
      <c r="S194" s="6">
        <f>IF($Y$2="按单位面积散热损失 qp",B194*LN(B194/首页!$B$4),LN(B194/首页!$B$4))</f>
        <v>0.70870795045281831</v>
      </c>
      <c r="T194" s="6">
        <f>IF($Y$2="按单位面积散热损失 qp",2*PI()*首页!$B$8*((E194-D194)/$Y$3-1/R194),2*PI()*首页!$B$8*((E194-D194)/$Y$4-1/(PI()*B194*R194)))</f>
        <v>4.0841750368927662E-2</v>
      </c>
      <c r="U194" t="str">
        <f t="shared" si="28"/>
        <v>按单位面积散热损失 qp</v>
      </c>
      <c r="V194" s="6">
        <f t="shared" si="29"/>
        <v>0.66786620008389064</v>
      </c>
    </row>
    <row r="195" spans="1:22" x14ac:dyDescent="0.15">
      <c r="A195">
        <v>190</v>
      </c>
      <c r="B195" s="6">
        <f>首页!$B$4+2*A195/1000</f>
        <v>0.5</v>
      </c>
      <c r="C195" s="6">
        <f>首页!$B$7+273.15</f>
        <v>388.15</v>
      </c>
      <c r="D195" s="6">
        <f>首页!$B$6+273.15</f>
        <v>293.14999999999998</v>
      </c>
      <c r="E195" s="6">
        <f>首页!$B$5+273.15</f>
        <v>1373.15</v>
      </c>
      <c r="F195" s="6">
        <f t="shared" si="20"/>
        <v>95</v>
      </c>
      <c r="G195" s="6">
        <f t="shared" si="21"/>
        <v>340.65</v>
      </c>
      <c r="H195" s="6">
        <f t="shared" si="22"/>
        <v>1.9926207055139041E-5</v>
      </c>
      <c r="I195" s="7">
        <f t="shared" si="23"/>
        <v>1158916576932337.8</v>
      </c>
      <c r="J195" s="6">
        <f t="shared" si="24"/>
        <v>1.0226038455893147</v>
      </c>
      <c r="K195" s="7">
        <f>J195*H195*首页!$B$12/P195</f>
        <v>0.69532757496605813</v>
      </c>
      <c r="L195" s="6">
        <f>首页!$B$9*0.0000000567*((C195^4-D195^4)/(C195-D195))</f>
        <v>7.7687338005019564</v>
      </c>
      <c r="M195" s="6">
        <f>IF(首页!$B$13="自然对流",IF(首页!$B$14="立式圆筒",首页!$B$10,PI()*B195/2),PI()*B195/2)</f>
        <v>55.2</v>
      </c>
      <c r="N195" s="7">
        <f>IF(首页!$B$13="强制对流",首页!$B$11*M195/H195,0)</f>
        <v>0</v>
      </c>
      <c r="O195" s="7">
        <f>IF(首页!$B$13="自然对流",IF(首页!$B$14="立式圆筒",(0.825+0.3063*I195^(1/6))^2+0.87*(M195/B195),(0.752+0.303*I195^(1/6))^2),0.3+SQRT((0.592*N195^0.5)^2+(0.0262*N195^0.8/(1-0.5/N195^0.1))^2))</f>
        <v>10115.255502934901</v>
      </c>
      <c r="P195" s="6">
        <f t="shared" si="25"/>
        <v>2.9510194925512497E-2</v>
      </c>
      <c r="Q195" s="6">
        <f t="shared" si="26"/>
        <v>5.4076659712494894</v>
      </c>
      <c r="R195" s="6">
        <f t="shared" si="27"/>
        <v>13.176399771751445</v>
      </c>
      <c r="S195" s="6">
        <f>IF($Y$2="按单位面积散热损失 qp",B195*LN(B195/首页!$B$4),LN(B195/首页!$B$4))</f>
        <v>0.71355817782007291</v>
      </c>
      <c r="T195" s="6">
        <f>IF($Y$2="按单位面积散热损失 qp",2*PI()*首页!$B$8*((E195-D195)/$Y$3-1/R195),2*PI()*首页!$B$8*((E195-D195)/$Y$4-1/(PI()*B195*R195)))</f>
        <v>4.0841414543142364E-2</v>
      </c>
      <c r="U195" t="str">
        <f t="shared" si="28"/>
        <v>按单位面积散热损失 qp</v>
      </c>
      <c r="V195" s="6">
        <f t="shared" si="29"/>
        <v>0.67271676327693053</v>
      </c>
    </row>
    <row r="196" spans="1:22" x14ac:dyDescent="0.15">
      <c r="A196">
        <v>191</v>
      </c>
      <c r="B196" s="6">
        <f>首页!$B$4+2*A196/1000</f>
        <v>0.502</v>
      </c>
      <c r="C196" s="6">
        <f>首页!$B$7+273.15</f>
        <v>388.15</v>
      </c>
      <c r="D196" s="6">
        <f>首页!$B$6+273.15</f>
        <v>293.14999999999998</v>
      </c>
      <c r="E196" s="6">
        <f>首页!$B$5+273.15</f>
        <v>1373.15</v>
      </c>
      <c r="F196" s="6">
        <f t="shared" si="20"/>
        <v>95</v>
      </c>
      <c r="G196" s="6">
        <f t="shared" si="21"/>
        <v>340.65</v>
      </c>
      <c r="H196" s="6">
        <f t="shared" si="22"/>
        <v>1.9926207055139041E-5</v>
      </c>
      <c r="I196" s="7">
        <f t="shared" si="23"/>
        <v>1158916576932337.8</v>
      </c>
      <c r="J196" s="6">
        <f t="shared" si="24"/>
        <v>1.0226038455893147</v>
      </c>
      <c r="K196" s="7">
        <f>J196*H196*首页!$B$12/P196</f>
        <v>0.69532757496605813</v>
      </c>
      <c r="L196" s="6">
        <f>首页!$B$9*0.0000000567*((C196^4-D196^4)/(C196-D196))</f>
        <v>7.7687338005019564</v>
      </c>
      <c r="M196" s="6">
        <f>IF(首页!$B$13="自然对流",IF(首页!$B$14="立式圆筒",首页!$B$10,PI()*B196/2),PI()*B196/2)</f>
        <v>55.2</v>
      </c>
      <c r="N196" s="7">
        <f>IF(首页!$B$13="强制对流",首页!$B$11*M196/H196,0)</f>
        <v>0</v>
      </c>
      <c r="O196" s="7">
        <f>IF(首页!$B$13="自然对流",IF(首页!$B$14="立式圆筒",(0.825+0.3063*I196^(1/6))^2+0.87*(M196/B196),(0.752+0.303*I196^(1/6))^2),0.3+SQRT((0.592*N196^0.5)^2+(0.0262*N196^0.8/(1-0.5/N196^0.1))^2))</f>
        <v>10114.872841580318</v>
      </c>
      <c r="P196" s="6">
        <f t="shared" si="25"/>
        <v>2.9510194925512497E-2</v>
      </c>
      <c r="Q196" s="6">
        <f t="shared" si="26"/>
        <v>5.4074613985834716</v>
      </c>
      <c r="R196" s="6">
        <f t="shared" si="27"/>
        <v>13.176195199085427</v>
      </c>
      <c r="S196" s="6">
        <f>IF($Y$2="按单位面积散热损失 qp",B196*LN(B196/首页!$B$4),LN(B196/首页!$B$4))</f>
        <v>0.71841640520866101</v>
      </c>
      <c r="T196" s="6">
        <f>IF($Y$2="按单位面积散热损失 qp",2*PI()*首页!$B$8*((E196-D196)/$Y$3-1/R196),2*PI()*首页!$B$8*((E196-D196)/$Y$4-1/(PI()*B196*R196)))</f>
        <v>4.0841081382873276E-2</v>
      </c>
      <c r="U196" t="str">
        <f t="shared" si="28"/>
        <v>按单位面积散热损失 qp</v>
      </c>
      <c r="V196" s="6">
        <f t="shared" si="29"/>
        <v>0.67757532382578778</v>
      </c>
    </row>
    <row r="197" spans="1:22" x14ac:dyDescent="0.15">
      <c r="A197">
        <v>192</v>
      </c>
      <c r="B197" s="6">
        <f>首页!$B$4+2*A197/1000</f>
        <v>0.504</v>
      </c>
      <c r="C197" s="6">
        <f>首页!$B$7+273.15</f>
        <v>388.15</v>
      </c>
      <c r="D197" s="6">
        <f>首页!$B$6+273.15</f>
        <v>293.14999999999998</v>
      </c>
      <c r="E197" s="6">
        <f>首页!$B$5+273.15</f>
        <v>1373.15</v>
      </c>
      <c r="F197" s="6">
        <f t="shared" ref="F197:F260" si="30">C197-D197</f>
        <v>95</v>
      </c>
      <c r="G197" s="6">
        <f t="shared" ref="G197:G260" si="31">(C197+D197)/2</f>
        <v>340.65</v>
      </c>
      <c r="H197" s="6">
        <f t="shared" ref="H197:H260" si="32">0.0000000042113*G197^2.5/(112+G197)</f>
        <v>1.9926207055139041E-5</v>
      </c>
      <c r="I197" s="7">
        <f t="shared" ref="I197:I260" si="33">9.81*M197^3*F197/(H197^2*G197)</f>
        <v>1158916576932337.8</v>
      </c>
      <c r="J197" s="6">
        <f t="shared" ref="J197:J260" si="34">348.35/G197</f>
        <v>1.0226038455893147</v>
      </c>
      <c r="K197" s="7">
        <f>J197*H197*首页!$B$12/P197</f>
        <v>0.69532757496605813</v>
      </c>
      <c r="L197" s="6">
        <f>首页!$B$9*0.0000000567*((C197^4-D197^4)/(C197-D197))</f>
        <v>7.7687338005019564</v>
      </c>
      <c r="M197" s="6">
        <f>IF(首页!$B$13="自然对流",IF(首页!$B$14="立式圆筒",首页!$B$10,PI()*B197/2),PI()*B197/2)</f>
        <v>55.2</v>
      </c>
      <c r="N197" s="7">
        <f>IF(首页!$B$13="强制对流",首页!$B$11*M197/H197,0)</f>
        <v>0</v>
      </c>
      <c r="O197" s="7">
        <f>IF(首页!$B$13="自然对流",IF(首页!$B$14="立式圆筒",(0.825+0.3063*I197^(1/6))^2+0.87*(M197/B197),(0.752+0.303*I197^(1/6))^2),0.3+SQRT((0.592*N197^0.5)^2+(0.0262*N197^0.8/(1-0.5/N197^0.1))^2))</f>
        <v>10114.493217220614</v>
      </c>
      <c r="P197" s="6">
        <f t="shared" ref="P197:P260" si="35">0.0243+0.000078421*(G197-273)-0.000000020755*(G197-273)^2</f>
        <v>2.9510194925512497E-2</v>
      </c>
      <c r="Q197" s="6">
        <f t="shared" ref="Q197:Q260" si="36">O197*P197/M197</f>
        <v>5.4072584495100413</v>
      </c>
      <c r="R197" s="6">
        <f t="shared" ref="R197:R260" si="37">L197+Q197</f>
        <v>13.175992250011998</v>
      </c>
      <c r="S197" s="6">
        <f>IF($Y$2="按单位面积散热损失 qp",B197*LN(B197/首页!$B$4),LN(B197/首页!$B$4))</f>
        <v>0.72328260074581863</v>
      </c>
      <c r="T197" s="6">
        <f>IF($Y$2="按单位面积散热损失 qp",2*PI()*首页!$B$8*((E197-D197)/$Y$3-1/R197),2*PI()*首页!$B$8*((E197-D197)/$Y$4-1/(PI()*B197*R197)))</f>
        <v>4.0840750856510726E-2</v>
      </c>
      <c r="U197" t="str">
        <f t="shared" ref="U197:U260" si="38">IF($Y$2="按单位面积散热损失 qp","按单位面积散热损失 qp","按单位长度散热损失 ql")</f>
        <v>按单位面积散热损失 qp</v>
      </c>
      <c r="V197" s="6">
        <f t="shared" ref="V197:V260" si="39">ABS(S197-T197)</f>
        <v>0.68244184988930789</v>
      </c>
    </row>
    <row r="198" spans="1:22" x14ac:dyDescent="0.15">
      <c r="A198">
        <v>193</v>
      </c>
      <c r="B198" s="6">
        <f>首页!$B$4+2*A198/1000</f>
        <v>0.50600000000000001</v>
      </c>
      <c r="C198" s="6">
        <f>首页!$B$7+273.15</f>
        <v>388.15</v>
      </c>
      <c r="D198" s="6">
        <f>首页!$B$6+273.15</f>
        <v>293.14999999999998</v>
      </c>
      <c r="E198" s="6">
        <f>首页!$B$5+273.15</f>
        <v>1373.15</v>
      </c>
      <c r="F198" s="6">
        <f t="shared" si="30"/>
        <v>95</v>
      </c>
      <c r="G198" s="6">
        <f t="shared" si="31"/>
        <v>340.65</v>
      </c>
      <c r="H198" s="6">
        <f t="shared" si="32"/>
        <v>1.9926207055139041E-5</v>
      </c>
      <c r="I198" s="7">
        <f t="shared" si="33"/>
        <v>1158916576932337.8</v>
      </c>
      <c r="J198" s="6">
        <f t="shared" si="34"/>
        <v>1.0226038455893147</v>
      </c>
      <c r="K198" s="7">
        <f>J198*H198*首页!$B$12/P198</f>
        <v>0.69532757496605813</v>
      </c>
      <c r="L198" s="6">
        <f>首页!$B$9*0.0000000567*((C198^4-D198^4)/(C198-D198))</f>
        <v>7.7687338005019564</v>
      </c>
      <c r="M198" s="6">
        <f>IF(首页!$B$13="自然对流",IF(首页!$B$14="立式圆筒",首页!$B$10,PI()*B198/2),PI()*B198/2)</f>
        <v>55.2</v>
      </c>
      <c r="N198" s="7">
        <f>IF(首页!$B$13="强制对流",首页!$B$11*M198/H198,0)</f>
        <v>0</v>
      </c>
      <c r="O198" s="7">
        <f>IF(首页!$B$13="自然对流",IF(首页!$B$14="立式圆筒",(0.825+0.3063*I198^(1/6))^2+0.87*(M198/B198),(0.752+0.303*I198^(1/6))^2),0.3+SQRT((0.592*N198^0.5)^2+(0.0262*N198^0.8/(1-0.5/N198^0.1))^2))</f>
        <v>10114.11659384399</v>
      </c>
      <c r="P198" s="6">
        <f t="shared" si="35"/>
        <v>2.9510194925512497E-2</v>
      </c>
      <c r="Q198" s="6">
        <f t="shared" si="36"/>
        <v>5.4070571047771123</v>
      </c>
      <c r="R198" s="6">
        <f t="shared" si="37"/>
        <v>13.175790905279069</v>
      </c>
      <c r="S198" s="6">
        <f>IF($Y$2="按单位面积散热损失 qp",B198*LN(B198/首页!$B$4),LN(B198/首页!$B$4))</f>
        <v>0.72815673281174231</v>
      </c>
      <c r="T198" s="6">
        <f>IF($Y$2="按单位面积散热损失 qp",2*PI()*首页!$B$8*((E198-D198)/$Y$3-1/R198),2*PI()*首页!$B$8*((E198-D198)/$Y$4-1/(PI()*B198*R198)))</f>
        <v>4.0840422932942905E-2</v>
      </c>
      <c r="U198" t="str">
        <f t="shared" si="38"/>
        <v>按单位面积散热损失 qp</v>
      </c>
      <c r="V198" s="6">
        <f t="shared" si="39"/>
        <v>0.68731630987879944</v>
      </c>
    </row>
    <row r="199" spans="1:22" x14ac:dyDescent="0.15">
      <c r="A199">
        <v>194</v>
      </c>
      <c r="B199" s="6">
        <f>首页!$B$4+2*A199/1000</f>
        <v>0.50800000000000001</v>
      </c>
      <c r="C199" s="6">
        <f>首页!$B$7+273.15</f>
        <v>388.15</v>
      </c>
      <c r="D199" s="6">
        <f>首页!$B$6+273.15</f>
        <v>293.14999999999998</v>
      </c>
      <c r="E199" s="6">
        <f>首页!$B$5+273.15</f>
        <v>1373.15</v>
      </c>
      <c r="F199" s="6">
        <f t="shared" si="30"/>
        <v>95</v>
      </c>
      <c r="G199" s="6">
        <f t="shared" si="31"/>
        <v>340.65</v>
      </c>
      <c r="H199" s="6">
        <f t="shared" si="32"/>
        <v>1.9926207055139041E-5</v>
      </c>
      <c r="I199" s="7">
        <f t="shared" si="33"/>
        <v>1158916576932337.8</v>
      </c>
      <c r="J199" s="6">
        <f t="shared" si="34"/>
        <v>1.0226038455893147</v>
      </c>
      <c r="K199" s="7">
        <f>J199*H199*首页!$B$12/P199</f>
        <v>0.69532757496605813</v>
      </c>
      <c r="L199" s="6">
        <f>首页!$B$9*0.0000000567*((C199^4-D199^4)/(C199-D199))</f>
        <v>7.7687338005019564</v>
      </c>
      <c r="M199" s="6">
        <f>IF(首页!$B$13="自然对流",IF(首页!$B$14="立式圆筒",首页!$B$10,PI()*B199/2),PI()*B199/2)</f>
        <v>55.2</v>
      </c>
      <c r="N199" s="7">
        <f>IF(首页!$B$13="强制对流",首页!$B$11*M199/H199,0)</f>
        <v>0</v>
      </c>
      <c r="O199" s="7">
        <f>IF(首页!$B$13="自然对流",IF(首页!$B$14="立式圆筒",(0.825+0.3063*I199^(1/6))^2+0.87*(M199/B199),(0.752+0.303*I199^(1/6))^2),0.3+SQRT((0.592*N199^0.5)^2+(0.0262*N199^0.8/(1-0.5/N199^0.1))^2))</f>
        <v>10113.742936005767</v>
      </c>
      <c r="P199" s="6">
        <f t="shared" si="35"/>
        <v>2.9510194925512497E-2</v>
      </c>
      <c r="Q199" s="6">
        <f t="shared" si="36"/>
        <v>5.4068573454357836</v>
      </c>
      <c r="R199" s="6">
        <f t="shared" si="37"/>
        <v>13.175591145937741</v>
      </c>
      <c r="S199" s="6">
        <f>IF($Y$2="按单位面积散热损失 qp",B199*LN(B199/首页!$B$4),LN(B199/首页!$B$4))</f>
        <v>0.73303877003658946</v>
      </c>
      <c r="T199" s="6">
        <f>IF($Y$2="按单位面积散热损失 qp",2*PI()*首页!$B$8*((E199-D199)/$Y$3-1/R199),2*PI()*首页!$B$8*((E199-D199)/$Y$4-1/(PI()*B199*R199)))</f>
        <v>4.0840097581546074E-2</v>
      </c>
      <c r="U199" t="str">
        <f t="shared" si="38"/>
        <v>按单位面积散热损失 qp</v>
      </c>
      <c r="V199" s="6">
        <f t="shared" si="39"/>
        <v>0.69219867245504341</v>
      </c>
    </row>
    <row r="200" spans="1:22" x14ac:dyDescent="0.15">
      <c r="A200">
        <v>195</v>
      </c>
      <c r="B200" s="6">
        <f>首页!$B$4+2*A200/1000</f>
        <v>0.51</v>
      </c>
      <c r="C200" s="6">
        <f>首页!$B$7+273.15</f>
        <v>388.15</v>
      </c>
      <c r="D200" s="6">
        <f>首页!$B$6+273.15</f>
        <v>293.14999999999998</v>
      </c>
      <c r="E200" s="6">
        <f>首页!$B$5+273.15</f>
        <v>1373.15</v>
      </c>
      <c r="F200" s="6">
        <f t="shared" si="30"/>
        <v>95</v>
      </c>
      <c r="G200" s="6">
        <f t="shared" si="31"/>
        <v>340.65</v>
      </c>
      <c r="H200" s="6">
        <f t="shared" si="32"/>
        <v>1.9926207055139041E-5</v>
      </c>
      <c r="I200" s="7">
        <f t="shared" si="33"/>
        <v>1158916576932337.8</v>
      </c>
      <c r="J200" s="6">
        <f t="shared" si="34"/>
        <v>1.0226038455893147</v>
      </c>
      <c r="K200" s="7">
        <f>J200*H200*首页!$B$12/P200</f>
        <v>0.69532757496605813</v>
      </c>
      <c r="L200" s="6">
        <f>首页!$B$9*0.0000000567*((C200^4-D200^4)/(C200-D200))</f>
        <v>7.7687338005019564</v>
      </c>
      <c r="M200" s="6">
        <f>IF(首页!$B$13="自然对流",IF(首页!$B$14="立式圆筒",首页!$B$10,PI()*B200/2),PI()*B200/2)</f>
        <v>55.2</v>
      </c>
      <c r="N200" s="7">
        <f>IF(首页!$B$13="强制对流",首页!$B$11*M200/H200,0)</f>
        <v>0</v>
      </c>
      <c r="O200" s="7">
        <f>IF(首页!$B$13="自然对流",IF(首页!$B$14="立式圆筒",(0.825+0.3063*I200^(1/6))^2+0.87*(M200/B200),(0.752+0.303*I200^(1/6))^2),0.3+SQRT((0.592*N200^0.5)^2+(0.0262*N200^0.8/(1-0.5/N200^0.1))^2))</f>
        <v>10113.372208817253</v>
      </c>
      <c r="P200" s="6">
        <f t="shared" si="35"/>
        <v>2.9510194925512497E-2</v>
      </c>
      <c r="Q200" s="6">
        <f t="shared" si="36"/>
        <v>5.4066591528343837</v>
      </c>
      <c r="R200" s="6">
        <f t="shared" si="37"/>
        <v>13.17539295333634</v>
      </c>
      <c r="S200" s="6">
        <f>IF($Y$2="按单位面积散热损失 qp",B200*LN(B200/首页!$B$4),LN(B200/首页!$B$4))</f>
        <v>0.73792868129752598</v>
      </c>
      <c r="T200" s="6">
        <f>IF($Y$2="按单位面积散热损失 qp",2*PI()*首页!$B$8*((E200-D200)/$Y$3-1/R200),2*PI()*首页!$B$8*((E200-D200)/$Y$4-1/(PI()*B200*R200)))</f>
        <v>4.0839774772175E-2</v>
      </c>
      <c r="U200" t="str">
        <f t="shared" si="38"/>
        <v>按单位面积散热损失 qp</v>
      </c>
      <c r="V200" s="6">
        <f t="shared" si="39"/>
        <v>0.69708890652535094</v>
      </c>
    </row>
    <row r="201" spans="1:22" x14ac:dyDescent="0.15">
      <c r="A201">
        <v>196</v>
      </c>
      <c r="B201" s="6">
        <f>首页!$B$4+2*A201/1000</f>
        <v>0.51200000000000001</v>
      </c>
      <c r="C201" s="6">
        <f>首页!$B$7+273.15</f>
        <v>388.15</v>
      </c>
      <c r="D201" s="6">
        <f>首页!$B$6+273.15</f>
        <v>293.14999999999998</v>
      </c>
      <c r="E201" s="6">
        <f>首页!$B$5+273.15</f>
        <v>1373.15</v>
      </c>
      <c r="F201" s="6">
        <f t="shared" si="30"/>
        <v>95</v>
      </c>
      <c r="G201" s="6">
        <f t="shared" si="31"/>
        <v>340.65</v>
      </c>
      <c r="H201" s="6">
        <f t="shared" si="32"/>
        <v>1.9926207055139041E-5</v>
      </c>
      <c r="I201" s="7">
        <f t="shared" si="33"/>
        <v>1158916576932337.8</v>
      </c>
      <c r="J201" s="6">
        <f t="shared" si="34"/>
        <v>1.0226038455893147</v>
      </c>
      <c r="K201" s="7">
        <f>J201*H201*首页!$B$12/P201</f>
        <v>0.69532757496605813</v>
      </c>
      <c r="L201" s="6">
        <f>首页!$B$9*0.0000000567*((C201^4-D201^4)/(C201-D201))</f>
        <v>7.7687338005019564</v>
      </c>
      <c r="M201" s="6">
        <f>IF(首页!$B$13="自然对流",IF(首页!$B$14="立式圆筒",首页!$B$10,PI()*B201/2),PI()*B201/2)</f>
        <v>55.2</v>
      </c>
      <c r="N201" s="7">
        <f>IF(首页!$B$13="强制对流",首页!$B$11*M201/H201,0)</f>
        <v>0</v>
      </c>
      <c r="O201" s="7">
        <f>IF(首页!$B$13="自然对流",IF(首页!$B$14="立式圆筒",(0.825+0.3063*I201^(1/6))^2+0.87*(M201/B201),(0.752+0.303*I201^(1/6))^2),0.3+SQRT((0.592*N201^0.5)^2+(0.0262*N201^0.8/(1-0.5/N201^0.1))^2))</f>
        <v>10113.0043779349</v>
      </c>
      <c r="P201" s="6">
        <f t="shared" si="35"/>
        <v>2.9510194925512497E-2</v>
      </c>
      <c r="Q201" s="6">
        <f t="shared" si="36"/>
        <v>5.406462508612683</v>
      </c>
      <c r="R201" s="6">
        <f t="shared" si="37"/>
        <v>13.175196309114639</v>
      </c>
      <c r="S201" s="6">
        <f>IF($Y$2="按单位面积散热损失 qp",B201*LN(B201/首页!$B$4),LN(B201/首页!$B$4))</f>
        <v>0.74282643571582052</v>
      </c>
      <c r="T201" s="6">
        <f>IF($Y$2="按单位面积散热损失 qp",2*PI()*首页!$B$8*((E201-D201)/$Y$3-1/R201),2*PI()*首页!$B$8*((E201-D201)/$Y$4-1/(PI()*B201*R201)))</f>
        <v>4.0839454475153698E-2</v>
      </c>
      <c r="U201" t="str">
        <f t="shared" si="38"/>
        <v>按单位面积散热损失 qp</v>
      </c>
      <c r="V201" s="6">
        <f t="shared" si="39"/>
        <v>0.70198698124066683</v>
      </c>
    </row>
    <row r="202" spans="1:22" x14ac:dyDescent="0.15">
      <c r="A202">
        <v>197</v>
      </c>
      <c r="B202" s="6">
        <f>首页!$B$4+2*A202/1000</f>
        <v>0.51400000000000001</v>
      </c>
      <c r="C202" s="6">
        <f>首页!$B$7+273.15</f>
        <v>388.15</v>
      </c>
      <c r="D202" s="6">
        <f>首页!$B$6+273.15</f>
        <v>293.14999999999998</v>
      </c>
      <c r="E202" s="6">
        <f>首页!$B$5+273.15</f>
        <v>1373.15</v>
      </c>
      <c r="F202" s="6">
        <f t="shared" si="30"/>
        <v>95</v>
      </c>
      <c r="G202" s="6">
        <f t="shared" si="31"/>
        <v>340.65</v>
      </c>
      <c r="H202" s="6">
        <f t="shared" si="32"/>
        <v>1.9926207055139041E-5</v>
      </c>
      <c r="I202" s="7">
        <f t="shared" si="33"/>
        <v>1158916576932337.8</v>
      </c>
      <c r="J202" s="6">
        <f t="shared" si="34"/>
        <v>1.0226038455893147</v>
      </c>
      <c r="K202" s="7">
        <f>J202*H202*首页!$B$12/P202</f>
        <v>0.69532757496605813</v>
      </c>
      <c r="L202" s="6">
        <f>首页!$B$9*0.0000000567*((C202^4-D202^4)/(C202-D202))</f>
        <v>7.7687338005019564</v>
      </c>
      <c r="M202" s="6">
        <f>IF(首页!$B$13="自然对流",IF(首页!$B$14="立式圆筒",首页!$B$10,PI()*B202/2),PI()*B202/2)</f>
        <v>55.2</v>
      </c>
      <c r="N202" s="7">
        <f>IF(首页!$B$13="强制对流",首页!$B$11*M202/H202,0)</f>
        <v>0</v>
      </c>
      <c r="O202" s="7">
        <f>IF(首页!$B$13="自然对流",IF(首页!$B$14="立式圆筒",(0.825+0.3063*I202^(1/6))^2+0.87*(M202/B202),(0.752+0.303*I202^(1/6))^2),0.3+SQRT((0.592*N202^0.5)^2+(0.0262*N202^0.8/(1-0.5/N202^0.1))^2))</f>
        <v>10112.639409549685</v>
      </c>
      <c r="P202" s="6">
        <f t="shared" si="35"/>
        <v>2.9510194925512497E-2</v>
      </c>
      <c r="Q202" s="6">
        <f t="shared" si="36"/>
        <v>5.4062673946962105</v>
      </c>
      <c r="R202" s="6">
        <f t="shared" si="37"/>
        <v>13.175001195198167</v>
      </c>
      <c r="S202" s="6">
        <f>IF($Y$2="按单位面积散热损失 qp",B202*LN(B202/首页!$B$4),LN(B202/首页!$B$4))</f>
        <v>0.74773200265398321</v>
      </c>
      <c r="T202" s="6">
        <f>IF($Y$2="按单位面积散热损失 qp",2*PI()*首页!$B$8*((E202-D202)/$Y$3-1/R202),2*PI()*首页!$B$8*((E202-D202)/$Y$4-1/(PI()*B202*R202)))</f>
        <v>4.0839136661266318E-2</v>
      </c>
      <c r="U202" t="str">
        <f t="shared" si="38"/>
        <v>按单位面积散热损失 qp</v>
      </c>
      <c r="V202" s="6">
        <f t="shared" si="39"/>
        <v>0.70689286599271695</v>
      </c>
    </row>
    <row r="203" spans="1:22" x14ac:dyDescent="0.15">
      <c r="A203">
        <v>198</v>
      </c>
      <c r="B203" s="6">
        <f>首页!$B$4+2*A203/1000</f>
        <v>0.51600000000000001</v>
      </c>
      <c r="C203" s="6">
        <f>首页!$B$7+273.15</f>
        <v>388.15</v>
      </c>
      <c r="D203" s="6">
        <f>首页!$B$6+273.15</f>
        <v>293.14999999999998</v>
      </c>
      <c r="E203" s="6">
        <f>首页!$B$5+273.15</f>
        <v>1373.15</v>
      </c>
      <c r="F203" s="6">
        <f t="shared" si="30"/>
        <v>95</v>
      </c>
      <c r="G203" s="6">
        <f t="shared" si="31"/>
        <v>340.65</v>
      </c>
      <c r="H203" s="6">
        <f t="shared" si="32"/>
        <v>1.9926207055139041E-5</v>
      </c>
      <c r="I203" s="7">
        <f t="shared" si="33"/>
        <v>1158916576932337.8</v>
      </c>
      <c r="J203" s="6">
        <f t="shared" si="34"/>
        <v>1.0226038455893147</v>
      </c>
      <c r="K203" s="7">
        <f>J203*H203*首页!$B$12/P203</f>
        <v>0.69532757496605813</v>
      </c>
      <c r="L203" s="6">
        <f>首页!$B$9*0.0000000567*((C203^4-D203^4)/(C203-D203))</f>
        <v>7.7687338005019564</v>
      </c>
      <c r="M203" s="6">
        <f>IF(首页!$B$13="自然对流",IF(首页!$B$14="立式圆筒",首页!$B$10,PI()*B203/2),PI()*B203/2)</f>
        <v>55.2</v>
      </c>
      <c r="N203" s="7">
        <f>IF(首页!$B$13="强制对流",首页!$B$11*M203/H203,0)</f>
        <v>0</v>
      </c>
      <c r="O203" s="7">
        <f>IF(首页!$B$13="自然对流",IF(首页!$B$14="立式圆筒",(0.825+0.3063*I203^(1/6))^2+0.87*(M203/B203),(0.752+0.303*I203^(1/6))^2),0.3+SQRT((0.592*N203^0.5)^2+(0.0262*N203^0.8/(1-0.5/N203^0.1))^2))</f>
        <v>10112.27727037676</v>
      </c>
      <c r="P203" s="6">
        <f t="shared" si="35"/>
        <v>2.9510194925512497E-2</v>
      </c>
      <c r="Q203" s="6">
        <f t="shared" si="36"/>
        <v>5.4060737932907177</v>
      </c>
      <c r="R203" s="6">
        <f t="shared" si="37"/>
        <v>13.174807593792675</v>
      </c>
      <c r="S203" s="6">
        <f>IF($Y$2="按单位面积散热损失 qp",B203*LN(B203/首页!$B$4),LN(B203/首页!$B$4))</f>
        <v>0.75264535171295077</v>
      </c>
      <c r="T203" s="6">
        <f>IF($Y$2="按单位面积散热损失 qp",2*PI()*首页!$B$8*((E203-D203)/$Y$3-1/R203),2*PI()*首页!$B$8*((E203-D203)/$Y$4-1/(PI()*B203*R203)))</f>
        <v>4.0838821301748263E-2</v>
      </c>
      <c r="U203" t="str">
        <f t="shared" si="38"/>
        <v>按单位面积散热损失 qp</v>
      </c>
      <c r="V203" s="6">
        <f t="shared" si="39"/>
        <v>0.71180653041120245</v>
      </c>
    </row>
    <row r="204" spans="1:22" x14ac:dyDescent="0.15">
      <c r="A204">
        <v>199</v>
      </c>
      <c r="B204" s="6">
        <f>首页!$B$4+2*A204/1000</f>
        <v>0.51800000000000002</v>
      </c>
      <c r="C204" s="6">
        <f>首页!$B$7+273.15</f>
        <v>388.15</v>
      </c>
      <c r="D204" s="6">
        <f>首页!$B$6+273.15</f>
        <v>293.14999999999998</v>
      </c>
      <c r="E204" s="6">
        <f>首页!$B$5+273.15</f>
        <v>1373.15</v>
      </c>
      <c r="F204" s="6">
        <f t="shared" si="30"/>
        <v>95</v>
      </c>
      <c r="G204" s="6">
        <f t="shared" si="31"/>
        <v>340.65</v>
      </c>
      <c r="H204" s="6">
        <f t="shared" si="32"/>
        <v>1.9926207055139041E-5</v>
      </c>
      <c r="I204" s="7">
        <f t="shared" si="33"/>
        <v>1158916576932337.8</v>
      </c>
      <c r="J204" s="6">
        <f t="shared" si="34"/>
        <v>1.0226038455893147</v>
      </c>
      <c r="K204" s="7">
        <f>J204*H204*首页!$B$12/P204</f>
        <v>0.69532757496605813</v>
      </c>
      <c r="L204" s="6">
        <f>首页!$B$9*0.0000000567*((C204^4-D204^4)/(C204-D204))</f>
        <v>7.7687338005019564</v>
      </c>
      <c r="M204" s="6">
        <f>IF(首页!$B$13="自然对流",IF(首页!$B$14="立式圆筒",首页!$B$10,PI()*B204/2),PI()*B204/2)</f>
        <v>55.2</v>
      </c>
      <c r="N204" s="7">
        <f>IF(首页!$B$13="强制对流",首页!$B$11*M204/H204,0)</f>
        <v>0</v>
      </c>
      <c r="O204" s="7">
        <f>IF(首页!$B$13="自然对流",IF(首页!$B$14="立式圆筒",(0.825+0.3063*I204^(1/6))^2+0.87*(M204/B204),(0.752+0.303*I204^(1/6))^2),0.3+SQRT((0.592*N204^0.5)^2+(0.0262*N204^0.8/(1-0.5/N204^0.1))^2))</f>
        <v>10111.917927645325</v>
      </c>
      <c r="P204" s="6">
        <f t="shared" si="35"/>
        <v>2.9510194925512497E-2</v>
      </c>
      <c r="Q204" s="6">
        <f t="shared" si="36"/>
        <v>5.4058816868767741</v>
      </c>
      <c r="R204" s="6">
        <f t="shared" si="37"/>
        <v>13.17461548737873</v>
      </c>
      <c r="S204" s="6">
        <f>IF($Y$2="按单位面积散热损失 qp",B204*LN(B204/首页!$B$4),LN(B204/首页!$B$4))</f>
        <v>0.75756645272931245</v>
      </c>
      <c r="T204" s="6">
        <f>IF($Y$2="按单位面积散热损失 qp",2*PI()*首页!$B$8*((E204-D204)/$Y$3-1/R204),2*PI()*首页!$B$8*((E204-D204)/$Y$4-1/(PI()*B204*R204)))</f>
        <v>4.0838508368277474E-2</v>
      </c>
      <c r="U204" t="str">
        <f t="shared" si="38"/>
        <v>按单位面积散热损失 qp</v>
      </c>
      <c r="V204" s="6">
        <f t="shared" si="39"/>
        <v>0.71672794436103493</v>
      </c>
    </row>
    <row r="205" spans="1:22" x14ac:dyDescent="0.15">
      <c r="A205">
        <v>200</v>
      </c>
      <c r="B205" s="6">
        <f>首页!$B$4+2*A205/1000</f>
        <v>0.52</v>
      </c>
      <c r="C205" s="6">
        <f>首页!$B$7+273.15</f>
        <v>388.15</v>
      </c>
      <c r="D205" s="6">
        <f>首页!$B$6+273.15</f>
        <v>293.14999999999998</v>
      </c>
      <c r="E205" s="6">
        <f>首页!$B$5+273.15</f>
        <v>1373.15</v>
      </c>
      <c r="F205" s="6">
        <f t="shared" si="30"/>
        <v>95</v>
      </c>
      <c r="G205" s="6">
        <f t="shared" si="31"/>
        <v>340.65</v>
      </c>
      <c r="H205" s="6">
        <f t="shared" si="32"/>
        <v>1.9926207055139041E-5</v>
      </c>
      <c r="I205" s="7">
        <f t="shared" si="33"/>
        <v>1158916576932337.8</v>
      </c>
      <c r="J205" s="6">
        <f t="shared" si="34"/>
        <v>1.0226038455893147</v>
      </c>
      <c r="K205" s="7">
        <f>J205*H205*首页!$B$12/P205</f>
        <v>0.69532757496605813</v>
      </c>
      <c r="L205" s="6">
        <f>首页!$B$9*0.0000000567*((C205^4-D205^4)/(C205-D205))</f>
        <v>7.7687338005019564</v>
      </c>
      <c r="M205" s="6">
        <f>IF(首页!$B$13="自然对流",IF(首页!$B$14="立式圆筒",首页!$B$10,PI()*B205/2),PI()*B205/2)</f>
        <v>55.2</v>
      </c>
      <c r="N205" s="7">
        <f>IF(首页!$B$13="强制对流",首页!$B$11*M205/H205,0)</f>
        <v>0</v>
      </c>
      <c r="O205" s="7">
        <f>IF(首页!$B$13="自然对流",IF(首页!$B$14="立式圆筒",(0.825+0.3063*I205^(1/6))^2+0.87*(M205/B205),(0.752+0.303*I205^(1/6))^2),0.3+SQRT((0.592*N205^0.5)^2+(0.0262*N205^0.8/(1-0.5/N205^0.1))^2))</f>
        <v>10111.561349088746</v>
      </c>
      <c r="P205" s="6">
        <f t="shared" si="35"/>
        <v>2.9510194925512497E-2</v>
      </c>
      <c r="Q205" s="6">
        <f t="shared" si="36"/>
        <v>5.405691058204475</v>
      </c>
      <c r="R205" s="6">
        <f t="shared" si="37"/>
        <v>13.174424858706431</v>
      </c>
      <c r="S205" s="6">
        <f>IF($Y$2="按单位面积散热损失 qp",B205*LN(B205/首页!$B$4),LN(B205/首页!$B$4))</f>
        <v>0.76249527577258214</v>
      </c>
      <c r="T205" s="6">
        <f>IF($Y$2="按单位面积散热损失 qp",2*PI()*首页!$B$8*((E205-D205)/$Y$3-1/R205),2*PI()*首页!$B$8*((E205-D205)/$Y$4-1/(PI()*B205*R205)))</f>
        <v>4.0838197832966008E-2</v>
      </c>
      <c r="U205" t="str">
        <f t="shared" si="38"/>
        <v>按单位面积散热损失 qp</v>
      </c>
      <c r="V205" s="6">
        <f t="shared" si="39"/>
        <v>0.72165707793961609</v>
      </c>
    </row>
    <row r="206" spans="1:22" x14ac:dyDescent="0.15">
      <c r="A206">
        <v>201</v>
      </c>
      <c r="B206" s="6">
        <f>首页!$B$4+2*A206/1000</f>
        <v>0.52200000000000002</v>
      </c>
      <c r="C206" s="6">
        <f>首页!$B$7+273.15</f>
        <v>388.15</v>
      </c>
      <c r="D206" s="6">
        <f>首页!$B$6+273.15</f>
        <v>293.14999999999998</v>
      </c>
      <c r="E206" s="6">
        <f>首页!$B$5+273.15</f>
        <v>1373.15</v>
      </c>
      <c r="F206" s="6">
        <f t="shared" si="30"/>
        <v>95</v>
      </c>
      <c r="G206" s="6">
        <f t="shared" si="31"/>
        <v>340.65</v>
      </c>
      <c r="H206" s="6">
        <f t="shared" si="32"/>
        <v>1.9926207055139041E-5</v>
      </c>
      <c r="I206" s="7">
        <f t="shared" si="33"/>
        <v>1158916576932337.8</v>
      </c>
      <c r="J206" s="6">
        <f t="shared" si="34"/>
        <v>1.0226038455893147</v>
      </c>
      <c r="K206" s="7">
        <f>J206*H206*首页!$B$12/P206</f>
        <v>0.69532757496605813</v>
      </c>
      <c r="L206" s="6">
        <f>首页!$B$9*0.0000000567*((C206^4-D206^4)/(C206-D206))</f>
        <v>7.7687338005019564</v>
      </c>
      <c r="M206" s="6">
        <f>IF(首页!$B$13="自然对流",IF(首页!$B$14="立式圆筒",首页!$B$10,PI()*B206/2),PI()*B206/2)</f>
        <v>55.2</v>
      </c>
      <c r="N206" s="7">
        <f>IF(首页!$B$13="强制对流",首页!$B$11*M206/H206,0)</f>
        <v>0</v>
      </c>
      <c r="O206" s="7">
        <f>IF(首页!$B$13="自然对流",IF(首页!$B$14="立式圆筒",(0.825+0.3063*I206^(1/6))^2+0.87*(M206/B206),(0.752+0.303*I206^(1/6))^2),0.3+SQRT((0.592*N206^0.5)^2+(0.0262*N206^0.8/(1-0.5/N206^0.1))^2))</f>
        <v>10111.2075029349</v>
      </c>
      <c r="P206" s="6">
        <f t="shared" si="35"/>
        <v>2.9510194925512497E-2</v>
      </c>
      <c r="Q206" s="6">
        <f t="shared" si="36"/>
        <v>5.405501890288285</v>
      </c>
      <c r="R206" s="6">
        <f t="shared" si="37"/>
        <v>13.17423569079024</v>
      </c>
      <c r="S206" s="6">
        <f>IF($Y$2="按单位面积散热损失 qp",B206*LN(B206/首页!$B$4),LN(B206/首页!$B$4))</f>
        <v>0.76743179114250948</v>
      </c>
      <c r="T206" s="6">
        <f>IF($Y$2="按单位面积散热损失 qp",2*PI()*首页!$B$8*((E206-D206)/$Y$3-1/R206),2*PI()*首页!$B$8*((E206-D206)/$Y$4-1/(PI()*B206*R206)))</f>
        <v>4.0837889668351744E-2</v>
      </c>
      <c r="U206" t="str">
        <f t="shared" si="38"/>
        <v>按单位面积散热损失 qp</v>
      </c>
      <c r="V206" s="6">
        <f t="shared" si="39"/>
        <v>0.7265939014741577</v>
      </c>
    </row>
    <row r="207" spans="1:22" x14ac:dyDescent="0.15">
      <c r="A207">
        <v>202</v>
      </c>
      <c r="B207" s="6">
        <f>首页!$B$4+2*A207/1000</f>
        <v>0.52400000000000002</v>
      </c>
      <c r="C207" s="6">
        <f>首页!$B$7+273.15</f>
        <v>388.15</v>
      </c>
      <c r="D207" s="6">
        <f>首页!$B$6+273.15</f>
        <v>293.14999999999998</v>
      </c>
      <c r="E207" s="6">
        <f>首页!$B$5+273.15</f>
        <v>1373.15</v>
      </c>
      <c r="F207" s="6">
        <f t="shared" si="30"/>
        <v>95</v>
      </c>
      <c r="G207" s="6">
        <f t="shared" si="31"/>
        <v>340.65</v>
      </c>
      <c r="H207" s="6">
        <f t="shared" si="32"/>
        <v>1.9926207055139041E-5</v>
      </c>
      <c r="I207" s="7">
        <f t="shared" si="33"/>
        <v>1158916576932337.8</v>
      </c>
      <c r="J207" s="6">
        <f t="shared" si="34"/>
        <v>1.0226038455893147</v>
      </c>
      <c r="K207" s="7">
        <f>J207*H207*首页!$B$12/P207</f>
        <v>0.69532757496605813</v>
      </c>
      <c r="L207" s="6">
        <f>首页!$B$9*0.0000000567*((C207^4-D207^4)/(C207-D207))</f>
        <v>7.7687338005019564</v>
      </c>
      <c r="M207" s="6">
        <f>IF(首页!$B$13="自然对流",IF(首页!$B$14="立式圆筒",首页!$B$10,PI()*B207/2),PI()*B207/2)</f>
        <v>55.2</v>
      </c>
      <c r="N207" s="7">
        <f>IF(首页!$B$13="强制对流",首页!$B$11*M207/H207,0)</f>
        <v>0</v>
      </c>
      <c r="O207" s="7">
        <f>IF(首页!$B$13="自然对流",IF(首页!$B$14="立式圆筒",(0.825+0.3063*I207^(1/6))^2+0.87*(M207/B207),(0.752+0.303*I207^(1/6))^2),0.3+SQRT((0.592*N207^0.5)^2+(0.0262*N207^0.8/(1-0.5/N207^0.1))^2))</f>
        <v>10110.856357896731</v>
      </c>
      <c r="P207" s="6">
        <f t="shared" si="35"/>
        <v>2.9510194925512497E-2</v>
      </c>
      <c r="Q207" s="6">
        <f t="shared" si="36"/>
        <v>5.4053141664019906</v>
      </c>
      <c r="R207" s="6">
        <f t="shared" si="37"/>
        <v>13.174047966903947</v>
      </c>
      <c r="S207" s="6">
        <f>IF($Y$2="按单位面积散热损失 qp",B207*LN(B207/首页!$B$4),LN(B207/首页!$B$4))</f>
        <v>0.77237596936643416</v>
      </c>
      <c r="T207" s="6">
        <f>IF($Y$2="按单位面积散热损失 qp",2*PI()*首页!$B$8*((E207-D207)/$Y$3-1/R207),2*PI()*首页!$B$8*((E207-D207)/$Y$4-1/(PI()*B207*R207)))</f>
        <v>4.0837583847390245E-2</v>
      </c>
      <c r="U207" t="str">
        <f t="shared" si="38"/>
        <v>按单位面积散热损失 qp</v>
      </c>
      <c r="V207" s="6">
        <f t="shared" si="39"/>
        <v>0.73153838551904393</v>
      </c>
    </row>
    <row r="208" spans="1:22" x14ac:dyDescent="0.15">
      <c r="A208">
        <v>203</v>
      </c>
      <c r="B208" s="6">
        <f>首页!$B$4+2*A208/1000</f>
        <v>0.52600000000000002</v>
      </c>
      <c r="C208" s="6">
        <f>首页!$B$7+273.15</f>
        <v>388.15</v>
      </c>
      <c r="D208" s="6">
        <f>首页!$B$6+273.15</f>
        <v>293.14999999999998</v>
      </c>
      <c r="E208" s="6">
        <f>首页!$B$5+273.15</f>
        <v>1373.15</v>
      </c>
      <c r="F208" s="6">
        <f t="shared" si="30"/>
        <v>95</v>
      </c>
      <c r="G208" s="6">
        <f t="shared" si="31"/>
        <v>340.65</v>
      </c>
      <c r="H208" s="6">
        <f t="shared" si="32"/>
        <v>1.9926207055139041E-5</v>
      </c>
      <c r="I208" s="7">
        <f t="shared" si="33"/>
        <v>1158916576932337.8</v>
      </c>
      <c r="J208" s="6">
        <f t="shared" si="34"/>
        <v>1.0226038455893147</v>
      </c>
      <c r="K208" s="7">
        <f>J208*H208*首页!$B$12/P208</f>
        <v>0.69532757496605813</v>
      </c>
      <c r="L208" s="6">
        <f>首页!$B$9*0.0000000567*((C208^4-D208^4)/(C208-D208))</f>
        <v>7.7687338005019564</v>
      </c>
      <c r="M208" s="6">
        <f>IF(首页!$B$13="自然对流",IF(首页!$B$14="立式圆筒",首页!$B$10,PI()*B208/2),PI()*B208/2)</f>
        <v>55.2</v>
      </c>
      <c r="N208" s="7">
        <f>IF(首页!$B$13="强制对流",首页!$B$11*M208/H208,0)</f>
        <v>0</v>
      </c>
      <c r="O208" s="7">
        <f>IF(首页!$B$13="自然对流",IF(首页!$B$14="立式圆筒",(0.825+0.3063*I208^(1/6))^2+0.87*(M208/B208),(0.752+0.303*I208^(1/6))^2),0.3+SQRT((0.592*N208^0.5)^2+(0.0262*N208^0.8/(1-0.5/N208^0.1))^2))</f>
        <v>10110.507883163036</v>
      </c>
      <c r="P208" s="6">
        <f t="shared" si="35"/>
        <v>2.9510194925512497E-2</v>
      </c>
      <c r="Q208" s="6">
        <f t="shared" si="36"/>
        <v>5.405127870073767</v>
      </c>
      <c r="R208" s="6">
        <f t="shared" si="37"/>
        <v>13.173861670575723</v>
      </c>
      <c r="S208" s="6">
        <f>IF($Y$2="按单位面积散热损失 qp",B208*LN(B208/首页!$B$4),LN(B208/首页!$B$4))</f>
        <v>0.77732778119667922</v>
      </c>
      <c r="T208" s="6">
        <f>IF($Y$2="按单位面积散热损失 qp",2*PI()*首页!$B$8*((E208-D208)/$Y$3-1/R208),2*PI()*首页!$B$8*((E208-D208)/$Y$4-1/(PI()*B208*R208)))</f>
        <v>4.0837280343446858E-2</v>
      </c>
      <c r="U208" t="str">
        <f t="shared" si="38"/>
        <v>按单位面积散热损失 qp</v>
      </c>
      <c r="V208" s="6">
        <f t="shared" si="39"/>
        <v>0.73649050085323231</v>
      </c>
    </row>
    <row r="209" spans="1:22" x14ac:dyDescent="0.15">
      <c r="A209">
        <v>204</v>
      </c>
      <c r="B209" s="6">
        <f>首页!$B$4+2*A209/1000</f>
        <v>0.52800000000000002</v>
      </c>
      <c r="C209" s="6">
        <f>首页!$B$7+273.15</f>
        <v>388.15</v>
      </c>
      <c r="D209" s="6">
        <f>首页!$B$6+273.15</f>
        <v>293.14999999999998</v>
      </c>
      <c r="E209" s="6">
        <f>首页!$B$5+273.15</f>
        <v>1373.15</v>
      </c>
      <c r="F209" s="6">
        <f t="shared" si="30"/>
        <v>95</v>
      </c>
      <c r="G209" s="6">
        <f t="shared" si="31"/>
        <v>340.65</v>
      </c>
      <c r="H209" s="6">
        <f t="shared" si="32"/>
        <v>1.9926207055139041E-5</v>
      </c>
      <c r="I209" s="7">
        <f t="shared" si="33"/>
        <v>1158916576932337.8</v>
      </c>
      <c r="J209" s="6">
        <f t="shared" si="34"/>
        <v>1.0226038455893147</v>
      </c>
      <c r="K209" s="7">
        <f>J209*H209*首页!$B$12/P209</f>
        <v>0.69532757496605813</v>
      </c>
      <c r="L209" s="6">
        <f>首页!$B$9*0.0000000567*((C209^4-D209^4)/(C209-D209))</f>
        <v>7.7687338005019564</v>
      </c>
      <c r="M209" s="6">
        <f>IF(首页!$B$13="自然对流",IF(首页!$B$14="立式圆筒",首页!$B$10,PI()*B209/2),PI()*B209/2)</f>
        <v>55.2</v>
      </c>
      <c r="N209" s="7">
        <f>IF(首页!$B$13="强制对流",首页!$B$11*M209/H209,0)</f>
        <v>0</v>
      </c>
      <c r="O209" s="7">
        <f>IF(首页!$B$13="自然对流",IF(首页!$B$14="立式圆筒",(0.825+0.3063*I209^(1/6))^2+0.87*(M209/B209),(0.752+0.303*I209^(1/6))^2),0.3+SQRT((0.592*N209^0.5)^2+(0.0262*N209^0.8/(1-0.5/N209^0.1))^2))</f>
        <v>10110.162048389446</v>
      </c>
      <c r="P209" s="6">
        <f t="shared" si="35"/>
        <v>2.9510194925512497E-2</v>
      </c>
      <c r="Q209" s="6">
        <f t="shared" si="36"/>
        <v>5.4049429850813633</v>
      </c>
      <c r="R209" s="6">
        <f t="shared" si="37"/>
        <v>13.17367678558332</v>
      </c>
      <c r="S209" s="6">
        <f>IF($Y$2="按单位面积散热损失 qp",B209*LN(B209/首页!$B$4),LN(B209/首页!$B$4))</f>
        <v>0.78228719760798582</v>
      </c>
      <c r="T209" s="6">
        <f>IF($Y$2="按单位面积散热损失 qp",2*PI()*首页!$B$8*((E209-D209)/$Y$3-1/R209),2*PI()*首页!$B$8*((E209-D209)/$Y$4-1/(PI()*B209*R209)))</f>
        <v>4.0836979130289039E-2</v>
      </c>
      <c r="U209" t="str">
        <f t="shared" si="38"/>
        <v>按单位面积散热损失 qp</v>
      </c>
      <c r="V209" s="6">
        <f t="shared" si="39"/>
        <v>0.74145021847769677</v>
      </c>
    </row>
    <row r="210" spans="1:22" x14ac:dyDescent="0.15">
      <c r="A210">
        <v>205</v>
      </c>
      <c r="B210" s="6">
        <f>首页!$B$4+2*A210/1000</f>
        <v>0.53</v>
      </c>
      <c r="C210" s="6">
        <f>首页!$B$7+273.15</f>
        <v>388.15</v>
      </c>
      <c r="D210" s="6">
        <f>首页!$B$6+273.15</f>
        <v>293.14999999999998</v>
      </c>
      <c r="E210" s="6">
        <f>首页!$B$5+273.15</f>
        <v>1373.15</v>
      </c>
      <c r="F210" s="6">
        <f t="shared" si="30"/>
        <v>95</v>
      </c>
      <c r="G210" s="6">
        <f t="shared" si="31"/>
        <v>340.65</v>
      </c>
      <c r="H210" s="6">
        <f t="shared" si="32"/>
        <v>1.9926207055139041E-5</v>
      </c>
      <c r="I210" s="7">
        <f t="shared" si="33"/>
        <v>1158916576932337.8</v>
      </c>
      <c r="J210" s="6">
        <f t="shared" si="34"/>
        <v>1.0226038455893147</v>
      </c>
      <c r="K210" s="7">
        <f>J210*H210*首页!$B$12/P210</f>
        <v>0.69532757496605813</v>
      </c>
      <c r="L210" s="6">
        <f>首页!$B$9*0.0000000567*((C210^4-D210^4)/(C210-D210))</f>
        <v>7.7687338005019564</v>
      </c>
      <c r="M210" s="6">
        <f>IF(首页!$B$13="自然对流",IF(首页!$B$14="立式圆筒",首页!$B$10,PI()*B210/2),PI()*B210/2)</f>
        <v>55.2</v>
      </c>
      <c r="N210" s="7">
        <f>IF(首页!$B$13="强制对流",首页!$B$11*M210/H210,0)</f>
        <v>0</v>
      </c>
      <c r="O210" s="7">
        <f>IF(首页!$B$13="自然对流",IF(首页!$B$14="立式圆筒",(0.825+0.3063*I210^(1/6))^2+0.87*(M210/B210),(0.752+0.303*I210^(1/6))^2),0.3+SQRT((0.592*N210^0.5)^2+(0.0262*N210^0.8/(1-0.5/N210^0.1))^2))</f>
        <v>10109.818823689617</v>
      </c>
      <c r="P210" s="6">
        <f t="shared" si="35"/>
        <v>2.9510194925512497E-2</v>
      </c>
      <c r="Q210" s="6">
        <f t="shared" si="36"/>
        <v>5.4047594954473919</v>
      </c>
      <c r="R210" s="6">
        <f t="shared" si="37"/>
        <v>13.173493295949349</v>
      </c>
      <c r="S210" s="6">
        <f>IF($Y$2="按单位面积散热损失 qp",B210*LN(B210/首页!$B$4),LN(B210/首页!$B$4))</f>
        <v>0.78725418979498452</v>
      </c>
      <c r="T210" s="6">
        <f>IF($Y$2="按单位面积散热损失 qp",2*PI()*首页!$B$8*((E210-D210)/$Y$3-1/R210),2*PI()*首页!$B$8*((E210-D210)/$Y$4-1/(PI()*B210*R210)))</f>
        <v>4.083668018207872E-2</v>
      </c>
      <c r="U210" t="str">
        <f t="shared" si="38"/>
        <v>按单位面积散热损失 qp</v>
      </c>
      <c r="V210" s="6">
        <f t="shared" si="39"/>
        <v>0.74641750961290576</v>
      </c>
    </row>
    <row r="211" spans="1:22" x14ac:dyDescent="0.15">
      <c r="A211">
        <v>206</v>
      </c>
      <c r="B211" s="6">
        <f>首页!$B$4+2*A211/1000</f>
        <v>0.53200000000000003</v>
      </c>
      <c r="C211" s="6">
        <f>首页!$B$7+273.15</f>
        <v>388.15</v>
      </c>
      <c r="D211" s="6">
        <f>首页!$B$6+273.15</f>
        <v>293.14999999999998</v>
      </c>
      <c r="E211" s="6">
        <f>首页!$B$5+273.15</f>
        <v>1373.15</v>
      </c>
      <c r="F211" s="6">
        <f t="shared" si="30"/>
        <v>95</v>
      </c>
      <c r="G211" s="6">
        <f t="shared" si="31"/>
        <v>340.65</v>
      </c>
      <c r="H211" s="6">
        <f t="shared" si="32"/>
        <v>1.9926207055139041E-5</v>
      </c>
      <c r="I211" s="7">
        <f t="shared" si="33"/>
        <v>1158916576932337.8</v>
      </c>
      <c r="J211" s="6">
        <f t="shared" si="34"/>
        <v>1.0226038455893147</v>
      </c>
      <c r="K211" s="7">
        <f>J211*H211*首页!$B$12/P211</f>
        <v>0.69532757496605813</v>
      </c>
      <c r="L211" s="6">
        <f>首页!$B$9*0.0000000567*((C211^4-D211^4)/(C211-D211))</f>
        <v>7.7687338005019564</v>
      </c>
      <c r="M211" s="6">
        <f>IF(首页!$B$13="自然对流",IF(首页!$B$14="立式圆筒",首页!$B$10,PI()*B211/2),PI()*B211/2)</f>
        <v>55.2</v>
      </c>
      <c r="N211" s="7">
        <f>IF(首页!$B$13="强制对流",首页!$B$11*M211/H211,0)</f>
        <v>0</v>
      </c>
      <c r="O211" s="7">
        <f>IF(首页!$B$13="自然对流",IF(首页!$B$14="立式圆筒",(0.825+0.3063*I211^(1/6))^2+0.87*(M211/B211),(0.752+0.303*I211^(1/6))^2),0.3+SQRT((0.592*N211^0.5)^2+(0.0262*N211^0.8/(1-0.5/N211^0.1))^2))</f>
        <v>10109.478179626629</v>
      </c>
      <c r="P211" s="6">
        <f t="shared" si="35"/>
        <v>2.9510194925512497E-2</v>
      </c>
      <c r="Q211" s="6">
        <f t="shared" si="36"/>
        <v>5.4045773854347292</v>
      </c>
      <c r="R211" s="6">
        <f t="shared" si="37"/>
        <v>13.173311185936686</v>
      </c>
      <c r="S211" s="6">
        <f>IF($Y$2="按单位面积散热损失 qp",B211*LN(B211/首页!$B$4),LN(B211/首页!$B$4))</f>
        <v>0.79222872916970644</v>
      </c>
      <c r="T211" s="6">
        <f>IF($Y$2="按单位面积散热损失 qp",2*PI()*首页!$B$8*((E211-D211)/$Y$3-1/R211),2*PI()*首页!$B$8*((E211-D211)/$Y$4-1/(PI()*B211*R211)))</f>
        <v>4.0836383473364969E-2</v>
      </c>
      <c r="U211" t="str">
        <f t="shared" si="38"/>
        <v>按单位面积散热损失 qp</v>
      </c>
      <c r="V211" s="6">
        <f t="shared" si="39"/>
        <v>0.7513923456963415</v>
      </c>
    </row>
    <row r="212" spans="1:22" x14ac:dyDescent="0.15">
      <c r="A212">
        <v>207</v>
      </c>
      <c r="B212" s="6">
        <f>首页!$B$4+2*A212/1000</f>
        <v>0.53400000000000003</v>
      </c>
      <c r="C212" s="6">
        <f>首页!$B$7+273.15</f>
        <v>388.15</v>
      </c>
      <c r="D212" s="6">
        <f>首页!$B$6+273.15</f>
        <v>293.14999999999998</v>
      </c>
      <c r="E212" s="6">
        <f>首页!$B$5+273.15</f>
        <v>1373.15</v>
      </c>
      <c r="F212" s="6">
        <f t="shared" si="30"/>
        <v>95</v>
      </c>
      <c r="G212" s="6">
        <f t="shared" si="31"/>
        <v>340.65</v>
      </c>
      <c r="H212" s="6">
        <f t="shared" si="32"/>
        <v>1.9926207055139041E-5</v>
      </c>
      <c r="I212" s="7">
        <f t="shared" si="33"/>
        <v>1158916576932337.8</v>
      </c>
      <c r="J212" s="6">
        <f t="shared" si="34"/>
        <v>1.0226038455893147</v>
      </c>
      <c r="K212" s="7">
        <f>J212*H212*首页!$B$12/P212</f>
        <v>0.69532757496605813</v>
      </c>
      <c r="L212" s="6">
        <f>首页!$B$9*0.0000000567*((C212^4-D212^4)/(C212-D212))</f>
        <v>7.7687338005019564</v>
      </c>
      <c r="M212" s="6">
        <f>IF(首页!$B$13="自然对流",IF(首页!$B$14="立式圆筒",首页!$B$10,PI()*B212/2),PI()*B212/2)</f>
        <v>55.2</v>
      </c>
      <c r="N212" s="7">
        <f>IF(首页!$B$13="强制对流",首页!$B$11*M212/H212,0)</f>
        <v>0</v>
      </c>
      <c r="O212" s="7">
        <f>IF(首页!$B$13="自然对流",IF(首页!$B$14="立式圆筒",(0.825+0.3063*I212^(1/6))^2+0.87*(M212/B212),(0.752+0.303*I212^(1/6))^2),0.3+SQRT((0.592*N212^0.5)^2+(0.0262*N212^0.8/(1-0.5/N212^0.1))^2))</f>
        <v>10109.140087204563</v>
      </c>
      <c r="P212" s="6">
        <f t="shared" si="35"/>
        <v>2.9510194925512497E-2</v>
      </c>
      <c r="Q212" s="6">
        <f t="shared" si="36"/>
        <v>5.4043966395420115</v>
      </c>
      <c r="R212" s="6">
        <f t="shared" si="37"/>
        <v>13.173130440043968</v>
      </c>
      <c r="S212" s="6">
        <f>IF($Y$2="按单位面积散热损失 qp",B212*LN(B212/首页!$B$4),LN(B212/首页!$B$4))</f>
        <v>0.79721078735913153</v>
      </c>
      <c r="T212" s="6">
        <f>IF($Y$2="按单位面积散热损失 qp",2*PI()*首页!$B$8*((E212-D212)/$Y$3-1/R212),2*PI()*首页!$B$8*((E212-D212)/$Y$4-1/(PI()*B212*R212)))</f>
        <v>4.0836088979076715E-2</v>
      </c>
      <c r="U212" t="str">
        <f t="shared" si="38"/>
        <v>按单位面积散热损失 qp</v>
      </c>
      <c r="V212" s="6">
        <f t="shared" si="39"/>
        <v>0.75637469838005478</v>
      </c>
    </row>
    <row r="213" spans="1:22" x14ac:dyDescent="0.15">
      <c r="A213">
        <v>208</v>
      </c>
      <c r="B213" s="6">
        <f>首页!$B$4+2*A213/1000</f>
        <v>0.53600000000000003</v>
      </c>
      <c r="C213" s="6">
        <f>首页!$B$7+273.15</f>
        <v>388.15</v>
      </c>
      <c r="D213" s="6">
        <f>首页!$B$6+273.15</f>
        <v>293.14999999999998</v>
      </c>
      <c r="E213" s="6">
        <f>首页!$B$5+273.15</f>
        <v>1373.15</v>
      </c>
      <c r="F213" s="6">
        <f t="shared" si="30"/>
        <v>95</v>
      </c>
      <c r="G213" s="6">
        <f t="shared" si="31"/>
        <v>340.65</v>
      </c>
      <c r="H213" s="6">
        <f t="shared" si="32"/>
        <v>1.9926207055139041E-5</v>
      </c>
      <c r="I213" s="7">
        <f t="shared" si="33"/>
        <v>1158916576932337.8</v>
      </c>
      <c r="J213" s="6">
        <f t="shared" si="34"/>
        <v>1.0226038455893147</v>
      </c>
      <c r="K213" s="7">
        <f>J213*H213*首页!$B$12/P213</f>
        <v>0.69532757496605813</v>
      </c>
      <c r="L213" s="6">
        <f>首页!$B$9*0.0000000567*((C213^4-D213^4)/(C213-D213))</f>
        <v>7.7687338005019564</v>
      </c>
      <c r="M213" s="6">
        <f>IF(首页!$B$13="自然对流",IF(首页!$B$14="立式圆筒",首页!$B$10,PI()*B213/2),PI()*B213/2)</f>
        <v>55.2</v>
      </c>
      <c r="N213" s="7">
        <f>IF(首页!$B$13="强制对流",首页!$B$11*M213/H213,0)</f>
        <v>0</v>
      </c>
      <c r="O213" s="7">
        <f>IF(首页!$B$13="自然对流",IF(首页!$B$14="立式圆筒",(0.825+0.3063*I213^(1/6))^2+0.87*(M213/B213),(0.752+0.303*I213^(1/6))^2),0.3+SQRT((0.592*N213^0.5)^2+(0.0262*N213^0.8/(1-0.5/N213^0.1))^2))</f>
        <v>10108.804517860273</v>
      </c>
      <c r="P213" s="6">
        <f t="shared" si="35"/>
        <v>2.9510194925512497E-2</v>
      </c>
      <c r="Q213" s="6">
        <f t="shared" si="36"/>
        <v>5.4042172424992394</v>
      </c>
      <c r="R213" s="6">
        <f t="shared" si="37"/>
        <v>13.172951043001195</v>
      </c>
      <c r="S213" s="6">
        <f>IF($Y$2="按单位面积散热损失 qp",B213*LN(B213/首页!$B$4),LN(B213/首页!$B$4))</f>
        <v>0.80220033620277331</v>
      </c>
      <c r="T213" s="6">
        <f>IF($Y$2="按单位面积散热损失 qp",2*PI()*首页!$B$8*((E213-D213)/$Y$3-1/R213),2*PI()*首页!$B$8*((E213-D213)/$Y$4-1/(PI()*B213*R213)))</f>
        <v>4.0835796674515763E-2</v>
      </c>
      <c r="U213" t="str">
        <f t="shared" si="38"/>
        <v>按单位面积散热损失 qp</v>
      </c>
      <c r="V213" s="6">
        <f t="shared" si="39"/>
        <v>0.76136453952825756</v>
      </c>
    </row>
    <row r="214" spans="1:22" x14ac:dyDescent="0.15">
      <c r="A214">
        <v>209</v>
      </c>
      <c r="B214" s="6">
        <f>首页!$B$4+2*A214/1000</f>
        <v>0.53800000000000003</v>
      </c>
      <c r="C214" s="6">
        <f>首页!$B$7+273.15</f>
        <v>388.15</v>
      </c>
      <c r="D214" s="6">
        <f>首页!$B$6+273.15</f>
        <v>293.14999999999998</v>
      </c>
      <c r="E214" s="6">
        <f>首页!$B$5+273.15</f>
        <v>1373.15</v>
      </c>
      <c r="F214" s="6">
        <f t="shared" si="30"/>
        <v>95</v>
      </c>
      <c r="G214" s="6">
        <f t="shared" si="31"/>
        <v>340.65</v>
      </c>
      <c r="H214" s="6">
        <f t="shared" si="32"/>
        <v>1.9926207055139041E-5</v>
      </c>
      <c r="I214" s="7">
        <f t="shared" si="33"/>
        <v>1158916576932337.8</v>
      </c>
      <c r="J214" s="6">
        <f t="shared" si="34"/>
        <v>1.0226038455893147</v>
      </c>
      <c r="K214" s="7">
        <f>J214*H214*首页!$B$12/P214</f>
        <v>0.69532757496605813</v>
      </c>
      <c r="L214" s="6">
        <f>首页!$B$9*0.0000000567*((C214^4-D214^4)/(C214-D214))</f>
        <v>7.7687338005019564</v>
      </c>
      <c r="M214" s="6">
        <f>IF(首页!$B$13="自然对流",IF(首页!$B$14="立式圆筒",首页!$B$10,PI()*B214/2),PI()*B214/2)</f>
        <v>55.2</v>
      </c>
      <c r="N214" s="7">
        <f>IF(首页!$B$13="强制对流",首页!$B$11*M214/H214,0)</f>
        <v>0</v>
      </c>
      <c r="O214" s="7">
        <f>IF(首页!$B$13="自然对流",IF(首页!$B$14="立式圆筒",(0.825+0.3063*I214^(1/6))^2+0.87*(M214/B214),(0.752+0.303*I214^(1/6))^2),0.3+SQRT((0.592*N214^0.5)^2+(0.0262*N214^0.8/(1-0.5/N214^0.1))^2))</f>
        <v>10108.471443455346</v>
      </c>
      <c r="P214" s="6">
        <f t="shared" si="35"/>
        <v>2.9510194925512497E-2</v>
      </c>
      <c r="Q214" s="6">
        <f t="shared" si="36"/>
        <v>5.404039179263477</v>
      </c>
      <c r="R214" s="6">
        <f t="shared" si="37"/>
        <v>13.172772979765433</v>
      </c>
      <c r="S214" s="6">
        <f>IF($Y$2="按单位面积散热损失 qp",B214*LN(B214/首页!$B$4),LN(B214/首页!$B$4))</f>
        <v>0.80719734775029928</v>
      </c>
      <c r="T214" s="6">
        <f>IF($Y$2="按单位面积散热损失 qp",2*PI()*首页!$B$8*((E214-D214)/$Y$3-1/R214),2*PI()*首页!$B$8*((E214-D214)/$Y$4-1/(PI()*B214*R214)))</f>
        <v>4.0835506535349848E-2</v>
      </c>
      <c r="U214" t="str">
        <f t="shared" si="38"/>
        <v>按单位面积散热损失 qp</v>
      </c>
      <c r="V214" s="6">
        <f t="shared" si="39"/>
        <v>0.76636184121494944</v>
      </c>
    </row>
    <row r="215" spans="1:22" x14ac:dyDescent="0.15">
      <c r="A215">
        <v>210</v>
      </c>
      <c r="B215" s="6">
        <f>首页!$B$4+2*A215/1000</f>
        <v>0.54</v>
      </c>
      <c r="C215" s="6">
        <f>首页!$B$7+273.15</f>
        <v>388.15</v>
      </c>
      <c r="D215" s="6">
        <f>首页!$B$6+273.15</f>
        <v>293.14999999999998</v>
      </c>
      <c r="E215" s="6">
        <f>首页!$B$5+273.15</f>
        <v>1373.15</v>
      </c>
      <c r="F215" s="6">
        <f t="shared" si="30"/>
        <v>95</v>
      </c>
      <c r="G215" s="6">
        <f t="shared" si="31"/>
        <v>340.65</v>
      </c>
      <c r="H215" s="6">
        <f t="shared" si="32"/>
        <v>1.9926207055139041E-5</v>
      </c>
      <c r="I215" s="7">
        <f t="shared" si="33"/>
        <v>1158916576932337.8</v>
      </c>
      <c r="J215" s="6">
        <f t="shared" si="34"/>
        <v>1.0226038455893147</v>
      </c>
      <c r="K215" s="7">
        <f>J215*H215*首页!$B$12/P215</f>
        <v>0.69532757496605813</v>
      </c>
      <c r="L215" s="6">
        <f>首页!$B$9*0.0000000567*((C215^4-D215^4)/(C215-D215))</f>
        <v>7.7687338005019564</v>
      </c>
      <c r="M215" s="6">
        <f>IF(首页!$B$13="自然对流",IF(首页!$B$14="立式圆筒",首页!$B$10,PI()*B215/2),PI()*B215/2)</f>
        <v>55.2</v>
      </c>
      <c r="N215" s="7">
        <f>IF(首页!$B$13="强制对流",首页!$B$11*M215/H215,0)</f>
        <v>0</v>
      </c>
      <c r="O215" s="7">
        <f>IF(首页!$B$13="自然对流",IF(首页!$B$14="立式圆筒",(0.825+0.3063*I215^(1/6))^2+0.87*(M215/B215),(0.752+0.303*I215^(1/6))^2),0.3+SQRT((0.592*N215^0.5)^2+(0.0262*N215^0.8/(1-0.5/N215^0.1))^2))</f>
        <v>10108.140836268232</v>
      </c>
      <c r="P215" s="6">
        <f t="shared" si="35"/>
        <v>2.9510194925512497E-2</v>
      </c>
      <c r="Q215" s="6">
        <f t="shared" si="36"/>
        <v>5.4038624350146458</v>
      </c>
      <c r="R215" s="6">
        <f t="shared" si="37"/>
        <v>13.172596235516602</v>
      </c>
      <c r="S215" s="6">
        <f>IF($Y$2="按单位面积散热损失 qp",B215*LN(B215/首页!$B$4),LN(B215/首页!$B$4))</f>
        <v>0.81220179425918815</v>
      </c>
      <c r="T215" s="6">
        <f>IF($Y$2="按单位面积散热损失 qp",2*PI()*首页!$B$8*((E215-D215)/$Y$3-1/R215),2*PI()*首页!$B$8*((E215-D215)/$Y$4-1/(PI()*B215*R215)))</f>
        <v>4.0835218537605855E-2</v>
      </c>
      <c r="U215" t="str">
        <f t="shared" si="38"/>
        <v>按单位面积散热损失 qp</v>
      </c>
      <c r="V215" s="6">
        <f t="shared" si="39"/>
        <v>0.77136657572158229</v>
      </c>
    </row>
    <row r="216" spans="1:22" x14ac:dyDescent="0.15">
      <c r="A216">
        <v>211</v>
      </c>
      <c r="B216" s="6">
        <f>首页!$B$4+2*A216/1000</f>
        <v>0.54200000000000004</v>
      </c>
      <c r="C216" s="6">
        <f>首页!$B$7+273.15</f>
        <v>388.15</v>
      </c>
      <c r="D216" s="6">
        <f>首页!$B$6+273.15</f>
        <v>293.14999999999998</v>
      </c>
      <c r="E216" s="6">
        <f>首页!$B$5+273.15</f>
        <v>1373.15</v>
      </c>
      <c r="F216" s="6">
        <f t="shared" si="30"/>
        <v>95</v>
      </c>
      <c r="G216" s="6">
        <f t="shared" si="31"/>
        <v>340.65</v>
      </c>
      <c r="H216" s="6">
        <f t="shared" si="32"/>
        <v>1.9926207055139041E-5</v>
      </c>
      <c r="I216" s="7">
        <f t="shared" si="33"/>
        <v>1158916576932337.8</v>
      </c>
      <c r="J216" s="6">
        <f t="shared" si="34"/>
        <v>1.0226038455893147</v>
      </c>
      <c r="K216" s="7">
        <f>J216*H216*首页!$B$12/P216</f>
        <v>0.69532757496605813</v>
      </c>
      <c r="L216" s="6">
        <f>首页!$B$9*0.0000000567*((C216^4-D216^4)/(C216-D216))</f>
        <v>7.7687338005019564</v>
      </c>
      <c r="M216" s="6">
        <f>IF(首页!$B$13="自然对流",IF(首页!$B$14="立式圆筒",首页!$B$10,PI()*B216/2),PI()*B216/2)</f>
        <v>55.2</v>
      </c>
      <c r="N216" s="7">
        <f>IF(首页!$B$13="强制对流",首页!$B$11*M216/H216,0)</f>
        <v>0</v>
      </c>
      <c r="O216" s="7">
        <f>IF(首页!$B$13="自然对流",IF(首页!$B$14="立式圆筒",(0.825+0.3063*I216^(1/6))^2+0.87*(M216/B216),(0.752+0.303*I216^(1/6))^2),0.3+SQRT((0.592*N216^0.5)^2+(0.0262*N216^0.8/(1-0.5/N216^0.1))^2))</f>
        <v>10107.81266898656</v>
      </c>
      <c r="P216" s="6">
        <f t="shared" si="35"/>
        <v>2.9510194925512497E-2</v>
      </c>
      <c r="Q216" s="6">
        <f t="shared" si="36"/>
        <v>5.403686995151415</v>
      </c>
      <c r="R216" s="6">
        <f t="shared" si="37"/>
        <v>13.172420795653371</v>
      </c>
      <c r="S216" s="6">
        <f>IF($Y$2="按单位面积散热损失 qp",B216*LN(B216/首页!$B$4),LN(B216/首页!$B$4))</f>
        <v>0.81721364819241948</v>
      </c>
      <c r="T216" s="6">
        <f>IF($Y$2="按单位面积散热损失 qp",2*PI()*首页!$B$8*((E216-D216)/$Y$3-1/R216),2*PI()*首页!$B$8*((E216-D216)/$Y$4-1/(PI()*B216*R216)))</f>
        <v>4.0834932657663241E-2</v>
      </c>
      <c r="U216" t="str">
        <f t="shared" si="38"/>
        <v>按单位面积散热损失 qp</v>
      </c>
      <c r="V216" s="6">
        <f t="shared" si="39"/>
        <v>0.77637871553475624</v>
      </c>
    </row>
    <row r="217" spans="1:22" x14ac:dyDescent="0.15">
      <c r="A217">
        <v>212</v>
      </c>
      <c r="B217" s="6">
        <f>首页!$B$4+2*A217/1000</f>
        <v>0.54400000000000004</v>
      </c>
      <c r="C217" s="6">
        <f>首页!$B$7+273.15</f>
        <v>388.15</v>
      </c>
      <c r="D217" s="6">
        <f>首页!$B$6+273.15</f>
        <v>293.14999999999998</v>
      </c>
      <c r="E217" s="6">
        <f>首页!$B$5+273.15</f>
        <v>1373.15</v>
      </c>
      <c r="F217" s="6">
        <f t="shared" si="30"/>
        <v>95</v>
      </c>
      <c r="G217" s="6">
        <f t="shared" si="31"/>
        <v>340.65</v>
      </c>
      <c r="H217" s="6">
        <f t="shared" si="32"/>
        <v>1.9926207055139041E-5</v>
      </c>
      <c r="I217" s="7">
        <f t="shared" si="33"/>
        <v>1158916576932337.8</v>
      </c>
      <c r="J217" s="6">
        <f t="shared" si="34"/>
        <v>1.0226038455893147</v>
      </c>
      <c r="K217" s="7">
        <f>J217*H217*首页!$B$12/P217</f>
        <v>0.69532757496605813</v>
      </c>
      <c r="L217" s="6">
        <f>首页!$B$9*0.0000000567*((C217^4-D217^4)/(C217-D217))</f>
        <v>7.7687338005019564</v>
      </c>
      <c r="M217" s="6">
        <f>IF(首页!$B$13="自然对流",IF(首页!$B$14="立式圆筒",首页!$B$10,PI()*B217/2),PI()*B217/2)</f>
        <v>55.2</v>
      </c>
      <c r="N217" s="7">
        <f>IF(首页!$B$13="强制对流",首页!$B$11*M217/H217,0)</f>
        <v>0</v>
      </c>
      <c r="O217" s="7">
        <f>IF(首页!$B$13="自然对流",IF(首页!$B$14="立式圆筒",(0.825+0.3063*I217^(1/6))^2+0.87*(M217/B217),(0.752+0.303*I217^(1/6))^2),0.3+SQRT((0.592*N217^0.5)^2+(0.0262*N217^0.8/(1-0.5/N217^0.1))^2))</f>
        <v>10107.486914699606</v>
      </c>
      <c r="P217" s="6">
        <f t="shared" si="35"/>
        <v>2.9510194925512497E-2</v>
      </c>
      <c r="Q217" s="6">
        <f t="shared" si="36"/>
        <v>5.4035128452871781</v>
      </c>
      <c r="R217" s="6">
        <f t="shared" si="37"/>
        <v>13.172246645789134</v>
      </c>
      <c r="S217" s="6">
        <f>IF($Y$2="按单位面积散热损失 qp",B217*LN(B217/首页!$B$4),LN(B217/首页!$B$4))</f>
        <v>0.82223288221619995</v>
      </c>
      <c r="T217" s="6">
        <f>IF($Y$2="按单位面积散热损失 qp",2*PI()*首页!$B$8*((E217-D217)/$Y$3-1/R217),2*PI()*首页!$B$8*((E217-D217)/$Y$4-1/(PI()*B217*R217)))</f>
        <v>4.0834648872247595E-2</v>
      </c>
      <c r="U217" t="str">
        <f t="shared" si="38"/>
        <v>按单位面积散热损失 qp</v>
      </c>
      <c r="V217" s="6">
        <f t="shared" si="39"/>
        <v>0.78139823334395231</v>
      </c>
    </row>
    <row r="218" spans="1:22" x14ac:dyDescent="0.15">
      <c r="A218">
        <v>213</v>
      </c>
      <c r="B218" s="6">
        <f>首页!$B$4+2*A218/1000</f>
        <v>0.54600000000000004</v>
      </c>
      <c r="C218" s="6">
        <f>首页!$B$7+273.15</f>
        <v>388.15</v>
      </c>
      <c r="D218" s="6">
        <f>首页!$B$6+273.15</f>
        <v>293.14999999999998</v>
      </c>
      <c r="E218" s="6">
        <f>首页!$B$5+273.15</f>
        <v>1373.15</v>
      </c>
      <c r="F218" s="6">
        <f t="shared" si="30"/>
        <v>95</v>
      </c>
      <c r="G218" s="6">
        <f t="shared" si="31"/>
        <v>340.65</v>
      </c>
      <c r="H218" s="6">
        <f t="shared" si="32"/>
        <v>1.9926207055139041E-5</v>
      </c>
      <c r="I218" s="7">
        <f t="shared" si="33"/>
        <v>1158916576932337.8</v>
      </c>
      <c r="J218" s="6">
        <f t="shared" si="34"/>
        <v>1.0226038455893147</v>
      </c>
      <c r="K218" s="7">
        <f>J218*H218*首页!$B$12/P218</f>
        <v>0.69532757496605813</v>
      </c>
      <c r="L218" s="6">
        <f>首页!$B$9*0.0000000567*((C218^4-D218^4)/(C218-D218))</f>
        <v>7.7687338005019564</v>
      </c>
      <c r="M218" s="6">
        <f>IF(首页!$B$13="自然对流",IF(首页!$B$14="立式圆筒",首页!$B$10,PI()*B218/2),PI()*B218/2)</f>
        <v>55.2</v>
      </c>
      <c r="N218" s="7">
        <f>IF(首页!$B$13="强制对流",首页!$B$11*M218/H218,0)</f>
        <v>0</v>
      </c>
      <c r="O218" s="7">
        <f>IF(首页!$B$13="自然对流",IF(首页!$B$14="立式圆筒",(0.825+0.3063*I218^(1/6))^2+0.87*(M218/B218),(0.752+0.303*I218^(1/6))^2),0.3+SQRT((0.592*N218^0.5)^2+(0.0262*N218^0.8/(1-0.5/N218^0.1))^2))</f>
        <v>10107.163546890944</v>
      </c>
      <c r="P218" s="6">
        <f t="shared" si="35"/>
        <v>2.9510194925512497E-2</v>
      </c>
      <c r="Q218" s="6">
        <f t="shared" si="36"/>
        <v>5.4033399712461234</v>
      </c>
      <c r="R218" s="6">
        <f t="shared" si="37"/>
        <v>13.17207377174808</v>
      </c>
      <c r="S218" s="6">
        <f>IF($Y$2="按单位面积散热损失 qp",B218*LN(B218/首页!$B$4),LN(B218/首页!$B$4))</f>
        <v>0.82725946919772109</v>
      </c>
      <c r="T218" s="6">
        <f>IF($Y$2="按单位面积散热损失 qp",2*PI()*首页!$B$8*((E218-D218)/$Y$3-1/R218),2*PI()*首页!$B$8*((E218-D218)/$Y$4-1/(PI()*B218*R218)))</f>
        <v>4.0834367158424312E-2</v>
      </c>
      <c r="U218" t="str">
        <f t="shared" si="38"/>
        <v>按单位面积散热损失 qp</v>
      </c>
      <c r="V218" s="6">
        <f t="shared" si="39"/>
        <v>0.78642510203929672</v>
      </c>
    </row>
    <row r="219" spans="1:22" x14ac:dyDescent="0.15">
      <c r="A219">
        <v>214</v>
      </c>
      <c r="B219" s="6">
        <f>首页!$B$4+2*A219/1000</f>
        <v>0.54800000000000004</v>
      </c>
      <c r="C219" s="6">
        <f>首页!$B$7+273.15</f>
        <v>388.15</v>
      </c>
      <c r="D219" s="6">
        <f>首页!$B$6+273.15</f>
        <v>293.14999999999998</v>
      </c>
      <c r="E219" s="6">
        <f>首页!$B$5+273.15</f>
        <v>1373.15</v>
      </c>
      <c r="F219" s="6">
        <f t="shared" si="30"/>
        <v>95</v>
      </c>
      <c r="G219" s="6">
        <f t="shared" si="31"/>
        <v>340.65</v>
      </c>
      <c r="H219" s="6">
        <f t="shared" si="32"/>
        <v>1.9926207055139041E-5</v>
      </c>
      <c r="I219" s="7">
        <f t="shared" si="33"/>
        <v>1158916576932337.8</v>
      </c>
      <c r="J219" s="6">
        <f t="shared" si="34"/>
        <v>1.0226038455893147</v>
      </c>
      <c r="K219" s="7">
        <f>J219*H219*首页!$B$12/P219</f>
        <v>0.69532757496605813</v>
      </c>
      <c r="L219" s="6">
        <f>首页!$B$9*0.0000000567*((C219^4-D219^4)/(C219-D219))</f>
        <v>7.7687338005019564</v>
      </c>
      <c r="M219" s="6">
        <f>IF(首页!$B$13="自然对流",IF(首页!$B$14="立式圆筒",首页!$B$10,PI()*B219/2),PI()*B219/2)</f>
        <v>55.2</v>
      </c>
      <c r="N219" s="7">
        <f>IF(首页!$B$13="强制对流",首页!$B$11*M219/H219,0)</f>
        <v>0</v>
      </c>
      <c r="O219" s="7">
        <f>IF(首页!$B$13="自然对流",IF(首页!$B$14="立式圆筒",(0.825+0.3063*I219^(1/6))^2+0.87*(M219/B219),(0.752+0.303*I219^(1/6))^2),0.3+SQRT((0.592*N219^0.5)^2+(0.0262*N219^0.8/(1-0.5/N219^0.1))^2))</f>
        <v>10106.842539431251</v>
      </c>
      <c r="P219" s="6">
        <f t="shared" si="35"/>
        <v>2.9510194925512497E-2</v>
      </c>
      <c r="Q219" s="6">
        <f t="shared" si="36"/>
        <v>5.4031683590593822</v>
      </c>
      <c r="R219" s="6">
        <f t="shared" si="37"/>
        <v>13.171902159561338</v>
      </c>
      <c r="S219" s="6">
        <f>IF($Y$2="按单位面积散热损失 qp",B219*LN(B219/首页!$B$4),LN(B219/首页!$B$4))</f>
        <v>0.83229338220295146</v>
      </c>
      <c r="T219" s="6">
        <f>IF($Y$2="按单位面积散热损失 qp",2*PI()*首页!$B$8*((E219-D219)/$Y$3-1/R219),2*PI()*首页!$B$8*((E219-D219)/$Y$4-1/(PI()*B219*R219)))</f>
        <v>4.0834087493592387E-2</v>
      </c>
      <c r="U219" t="str">
        <f t="shared" si="38"/>
        <v>按单位面积散热损失 qp</v>
      </c>
      <c r="V219" s="6">
        <f t="shared" si="39"/>
        <v>0.79145929470935905</v>
      </c>
    </row>
    <row r="220" spans="1:22" x14ac:dyDescent="0.15">
      <c r="A220">
        <v>215</v>
      </c>
      <c r="B220" s="6">
        <f>首页!$B$4+2*A220/1000</f>
        <v>0.55000000000000004</v>
      </c>
      <c r="C220" s="6">
        <f>首页!$B$7+273.15</f>
        <v>388.15</v>
      </c>
      <c r="D220" s="6">
        <f>首页!$B$6+273.15</f>
        <v>293.14999999999998</v>
      </c>
      <c r="E220" s="6">
        <f>首页!$B$5+273.15</f>
        <v>1373.15</v>
      </c>
      <c r="F220" s="6">
        <f t="shared" si="30"/>
        <v>95</v>
      </c>
      <c r="G220" s="6">
        <f t="shared" si="31"/>
        <v>340.65</v>
      </c>
      <c r="H220" s="6">
        <f t="shared" si="32"/>
        <v>1.9926207055139041E-5</v>
      </c>
      <c r="I220" s="7">
        <f t="shared" si="33"/>
        <v>1158916576932337.8</v>
      </c>
      <c r="J220" s="6">
        <f t="shared" si="34"/>
        <v>1.0226038455893147</v>
      </c>
      <c r="K220" s="7">
        <f>J220*H220*首页!$B$12/P220</f>
        <v>0.69532757496605813</v>
      </c>
      <c r="L220" s="6">
        <f>首页!$B$9*0.0000000567*((C220^4-D220^4)/(C220-D220))</f>
        <v>7.7687338005019564</v>
      </c>
      <c r="M220" s="6">
        <f>IF(首页!$B$13="自然对流",IF(首页!$B$14="立式圆筒",首页!$B$10,PI()*B220/2),PI()*B220/2)</f>
        <v>55.2</v>
      </c>
      <c r="N220" s="7">
        <f>IF(首页!$B$13="强制对流",首页!$B$11*M220/H220,0)</f>
        <v>0</v>
      </c>
      <c r="O220" s="7">
        <f>IF(首页!$B$13="自然对流",IF(首页!$B$14="立式圆筒",(0.825+0.3063*I220^(1/6))^2+0.87*(M220/B220),(0.752+0.303*I220^(1/6))^2),0.3+SQRT((0.592*N220^0.5)^2+(0.0262*N220^0.8/(1-0.5/N220^0.1))^2))</f>
        <v>10106.523866571264</v>
      </c>
      <c r="P220" s="6">
        <f t="shared" si="35"/>
        <v>2.9510194925512497E-2</v>
      </c>
      <c r="Q220" s="6">
        <f t="shared" si="36"/>
        <v>5.4029979949612725</v>
      </c>
      <c r="R220" s="6">
        <f t="shared" si="37"/>
        <v>13.171731795463229</v>
      </c>
      <c r="S220" s="6">
        <f>IF($Y$2="按单位面积散热损失 qp",B220*LN(B220/首页!$B$4),LN(B220/首页!$B$4))</f>
        <v>0.83733459449445902</v>
      </c>
      <c r="T220" s="6">
        <f>IF($Y$2="按单位面积散热损失 qp",2*PI()*首页!$B$8*((E220-D220)/$Y$3-1/R220),2*PI()*首页!$B$8*((E220-D220)/$Y$4-1/(PI()*B220*R220)))</f>
        <v>4.083380985547843E-2</v>
      </c>
      <c r="U220" t="str">
        <f t="shared" si="38"/>
        <v>按单位面积散热损失 qp</v>
      </c>
      <c r="V220" s="6">
        <f t="shared" si="39"/>
        <v>0.79650078463898055</v>
      </c>
    </row>
    <row r="221" spans="1:22" x14ac:dyDescent="0.15">
      <c r="A221">
        <v>216</v>
      </c>
      <c r="B221" s="6">
        <f>首页!$B$4+2*A221/1000</f>
        <v>0.55200000000000005</v>
      </c>
      <c r="C221" s="6">
        <f>首页!$B$7+273.15</f>
        <v>388.15</v>
      </c>
      <c r="D221" s="6">
        <f>首页!$B$6+273.15</f>
        <v>293.14999999999998</v>
      </c>
      <c r="E221" s="6">
        <f>首页!$B$5+273.15</f>
        <v>1373.15</v>
      </c>
      <c r="F221" s="6">
        <f t="shared" si="30"/>
        <v>95</v>
      </c>
      <c r="G221" s="6">
        <f t="shared" si="31"/>
        <v>340.65</v>
      </c>
      <c r="H221" s="6">
        <f t="shared" si="32"/>
        <v>1.9926207055139041E-5</v>
      </c>
      <c r="I221" s="7">
        <f t="shared" si="33"/>
        <v>1158916576932337.8</v>
      </c>
      <c r="J221" s="6">
        <f t="shared" si="34"/>
        <v>1.0226038455893147</v>
      </c>
      <c r="K221" s="7">
        <f>J221*H221*首页!$B$12/P221</f>
        <v>0.69532757496605813</v>
      </c>
      <c r="L221" s="6">
        <f>首页!$B$9*0.0000000567*((C221^4-D221^4)/(C221-D221))</f>
        <v>7.7687338005019564</v>
      </c>
      <c r="M221" s="6">
        <f>IF(首页!$B$13="自然对流",IF(首页!$B$14="立式圆筒",首页!$B$10,PI()*B221/2),PI()*B221/2)</f>
        <v>55.2</v>
      </c>
      <c r="N221" s="7">
        <f>IF(首页!$B$13="强制对流",首页!$B$11*M221/H221,0)</f>
        <v>0</v>
      </c>
      <c r="O221" s="7">
        <f>IF(首页!$B$13="自然对流",IF(首页!$B$14="立式圆筒",(0.825+0.3063*I221^(1/6))^2+0.87*(M221/B221),(0.752+0.303*I221^(1/6))^2),0.3+SQRT((0.592*N221^0.5)^2+(0.0262*N221^0.8/(1-0.5/N221^0.1))^2))</f>
        <v>10106.2075029349</v>
      </c>
      <c r="P221" s="6">
        <f t="shared" si="35"/>
        <v>2.9510194925512497E-2</v>
      </c>
      <c r="Q221" s="6">
        <f t="shared" si="36"/>
        <v>5.4028288653856116</v>
      </c>
      <c r="R221" s="6">
        <f t="shared" si="37"/>
        <v>13.171562665887567</v>
      </c>
      <c r="S221" s="6">
        <f>IF($Y$2="按单位面积散热损失 qp",B221*LN(B221/首页!$B$4),LN(B221/首页!$B$4))</f>
        <v>0.84238307952926739</v>
      </c>
      <c r="T221" s="6">
        <f>IF($Y$2="按单位面积散热损失 qp",2*PI()*首页!$B$8*((E221-D221)/$Y$3-1/R221),2*PI()*首页!$B$8*((E221-D221)/$Y$4-1/(PI()*B221*R221)))</f>
        <v>4.0833534222130652E-2</v>
      </c>
      <c r="U221" t="str">
        <f t="shared" si="38"/>
        <v>按单位面积散热损失 qp</v>
      </c>
      <c r="V221" s="6">
        <f t="shared" si="39"/>
        <v>0.80154954530713673</v>
      </c>
    </row>
    <row r="222" spans="1:22" x14ac:dyDescent="0.15">
      <c r="A222">
        <v>217</v>
      </c>
      <c r="B222" s="6">
        <f>首页!$B$4+2*A222/1000</f>
        <v>0.55400000000000005</v>
      </c>
      <c r="C222" s="6">
        <f>首页!$B$7+273.15</f>
        <v>388.15</v>
      </c>
      <c r="D222" s="6">
        <f>首页!$B$6+273.15</f>
        <v>293.14999999999998</v>
      </c>
      <c r="E222" s="6">
        <f>首页!$B$5+273.15</f>
        <v>1373.15</v>
      </c>
      <c r="F222" s="6">
        <f t="shared" si="30"/>
        <v>95</v>
      </c>
      <c r="G222" s="6">
        <f t="shared" si="31"/>
        <v>340.65</v>
      </c>
      <c r="H222" s="6">
        <f t="shared" si="32"/>
        <v>1.9926207055139041E-5</v>
      </c>
      <c r="I222" s="7">
        <f t="shared" si="33"/>
        <v>1158916576932337.8</v>
      </c>
      <c r="J222" s="6">
        <f t="shared" si="34"/>
        <v>1.0226038455893147</v>
      </c>
      <c r="K222" s="7">
        <f>J222*H222*首页!$B$12/P222</f>
        <v>0.69532757496605813</v>
      </c>
      <c r="L222" s="6">
        <f>首页!$B$9*0.0000000567*((C222^4-D222^4)/(C222-D222))</f>
        <v>7.7687338005019564</v>
      </c>
      <c r="M222" s="6">
        <f>IF(首页!$B$13="自然对流",IF(首页!$B$14="立式圆筒",首页!$B$10,PI()*B222/2),PI()*B222/2)</f>
        <v>55.2</v>
      </c>
      <c r="N222" s="7">
        <f>IF(首页!$B$13="强制对流",首页!$B$11*M222/H222,0)</f>
        <v>0</v>
      </c>
      <c r="O222" s="7">
        <f>IF(首页!$B$13="自然对流",IF(首页!$B$14="立式圆筒",(0.825+0.3063*I222^(1/6))^2+0.87*(M222/B222),(0.752+0.303*I222^(1/6))^2),0.3+SQRT((0.592*N222^0.5)^2+(0.0262*N222^0.8/(1-0.5/N222^0.1))^2))</f>
        <v>10105.893423512518</v>
      </c>
      <c r="P222" s="6">
        <f t="shared" si="35"/>
        <v>2.9510194925512497E-2</v>
      </c>
      <c r="Q222" s="6">
        <f t="shared" si="36"/>
        <v>5.4026609569621229</v>
      </c>
      <c r="R222" s="6">
        <f t="shared" si="37"/>
        <v>13.171394757464078</v>
      </c>
      <c r="S222" s="6">
        <f>IF($Y$2="按单位面积散热损失 qp",B222*LN(B222/首页!$B$4),LN(B222/首页!$B$4))</f>
        <v>0.84743881095674189</v>
      </c>
      <c r="T222" s="6">
        <f>IF($Y$2="按单位面积散热损失 qp",2*PI()*首页!$B$8*((E222-D222)/$Y$3-1/R222),2*PI()*首页!$B$8*((E222-D222)/$Y$4-1/(PI()*B222*R222)))</f>
        <v>4.0833260571913194E-2</v>
      </c>
      <c r="U222" t="str">
        <f t="shared" si="38"/>
        <v>按单位面积散热损失 qp</v>
      </c>
      <c r="V222" s="6">
        <f t="shared" si="39"/>
        <v>0.80660555038482873</v>
      </c>
    </row>
    <row r="223" spans="1:22" x14ac:dyDescent="0.15">
      <c r="A223">
        <v>218</v>
      </c>
      <c r="B223" s="6">
        <f>首页!$B$4+2*A223/1000</f>
        <v>0.55600000000000005</v>
      </c>
      <c r="C223" s="6">
        <f>首页!$B$7+273.15</f>
        <v>388.15</v>
      </c>
      <c r="D223" s="6">
        <f>首页!$B$6+273.15</f>
        <v>293.14999999999998</v>
      </c>
      <c r="E223" s="6">
        <f>首页!$B$5+273.15</f>
        <v>1373.15</v>
      </c>
      <c r="F223" s="6">
        <f t="shared" si="30"/>
        <v>95</v>
      </c>
      <c r="G223" s="6">
        <f t="shared" si="31"/>
        <v>340.65</v>
      </c>
      <c r="H223" s="6">
        <f t="shared" si="32"/>
        <v>1.9926207055139041E-5</v>
      </c>
      <c r="I223" s="7">
        <f t="shared" si="33"/>
        <v>1158916576932337.8</v>
      </c>
      <c r="J223" s="6">
        <f t="shared" si="34"/>
        <v>1.0226038455893147</v>
      </c>
      <c r="K223" s="7">
        <f>J223*H223*首页!$B$12/P223</f>
        <v>0.69532757496605813</v>
      </c>
      <c r="L223" s="6">
        <f>首页!$B$9*0.0000000567*((C223^4-D223^4)/(C223-D223))</f>
        <v>7.7687338005019564</v>
      </c>
      <c r="M223" s="6">
        <f>IF(首页!$B$13="自然对流",IF(首页!$B$14="立式圆筒",首页!$B$10,PI()*B223/2),PI()*B223/2)</f>
        <v>55.2</v>
      </c>
      <c r="N223" s="7">
        <f>IF(首页!$B$13="强制对流",首页!$B$11*M223/H223,0)</f>
        <v>0</v>
      </c>
      <c r="O223" s="7">
        <f>IF(首页!$B$13="自然对流",IF(首页!$B$14="立式圆筒",(0.825+0.3063*I223^(1/6))^2+0.87*(M223/B223),(0.752+0.303*I223^(1/6))^2),0.3+SQRT((0.592*N223^0.5)^2+(0.0262*N223^0.8/(1-0.5/N223^0.1))^2))</f>
        <v>10105.581603654324</v>
      </c>
      <c r="P223" s="6">
        <f t="shared" si="35"/>
        <v>2.9510194925512497E-2</v>
      </c>
      <c r="Q223" s="6">
        <f t="shared" si="36"/>
        <v>5.4024942565129033</v>
      </c>
      <c r="R223" s="6">
        <f t="shared" si="37"/>
        <v>13.17122805701486</v>
      </c>
      <c r="S223" s="6">
        <f>IF($Y$2="按单位面积散热损失 qp",B223*LN(B223/首页!$B$4),LN(B223/首页!$B$4))</f>
        <v>0.85250176261650634</v>
      </c>
      <c r="T223" s="6">
        <f>IF($Y$2="按单位面积散热损失 qp",2*PI()*首页!$B$8*((E223-D223)/$Y$3-1/R223),2*PI()*首页!$B$8*((E223-D223)/$Y$4-1/(PI()*B223*R223)))</f>
        <v>4.0832988883500398E-2</v>
      </c>
      <c r="U223" t="str">
        <f t="shared" si="38"/>
        <v>按单位面积散热损失 qp</v>
      </c>
      <c r="V223" s="6">
        <f t="shared" si="39"/>
        <v>0.81166877373300594</v>
      </c>
    </row>
    <row r="224" spans="1:22" x14ac:dyDescent="0.15">
      <c r="A224">
        <v>219</v>
      </c>
      <c r="B224" s="6">
        <f>首页!$B$4+2*A224/1000</f>
        <v>0.55800000000000005</v>
      </c>
      <c r="C224" s="6">
        <f>首页!$B$7+273.15</f>
        <v>388.15</v>
      </c>
      <c r="D224" s="6">
        <f>首页!$B$6+273.15</f>
        <v>293.14999999999998</v>
      </c>
      <c r="E224" s="6">
        <f>首页!$B$5+273.15</f>
        <v>1373.15</v>
      </c>
      <c r="F224" s="6">
        <f t="shared" si="30"/>
        <v>95</v>
      </c>
      <c r="G224" s="6">
        <f t="shared" si="31"/>
        <v>340.65</v>
      </c>
      <c r="H224" s="6">
        <f t="shared" si="32"/>
        <v>1.9926207055139041E-5</v>
      </c>
      <c r="I224" s="7">
        <f t="shared" si="33"/>
        <v>1158916576932337.8</v>
      </c>
      <c r="J224" s="6">
        <f t="shared" si="34"/>
        <v>1.0226038455893147</v>
      </c>
      <c r="K224" s="7">
        <f>J224*H224*首页!$B$12/P224</f>
        <v>0.69532757496605813</v>
      </c>
      <c r="L224" s="6">
        <f>首页!$B$9*0.0000000567*((C224^4-D224^4)/(C224-D224))</f>
        <v>7.7687338005019564</v>
      </c>
      <c r="M224" s="6">
        <f>IF(首页!$B$13="自然对流",IF(首页!$B$14="立式圆筒",首页!$B$10,PI()*B224/2),PI()*B224/2)</f>
        <v>55.2</v>
      </c>
      <c r="N224" s="7">
        <f>IF(首页!$B$13="强制对流",首页!$B$11*M224/H224,0)</f>
        <v>0</v>
      </c>
      <c r="O224" s="7">
        <f>IF(首页!$B$13="自然对流",IF(首页!$B$14="立式圆筒",(0.825+0.3063*I224^(1/6))^2+0.87*(M224/B224),(0.752+0.303*I224^(1/6))^2),0.3+SQRT((0.592*N224^0.5)^2+(0.0262*N224^0.8/(1-0.5/N224^0.1))^2))</f>
        <v>10105.272019063932</v>
      </c>
      <c r="P224" s="6">
        <f t="shared" si="35"/>
        <v>2.9510194925512497E-2</v>
      </c>
      <c r="Q224" s="6">
        <f t="shared" si="36"/>
        <v>5.4023287510489828</v>
      </c>
      <c r="R224" s="6">
        <f t="shared" si="37"/>
        <v>13.171062551550939</v>
      </c>
      <c r="S224" s="6">
        <f>IF($Y$2="按单位面积散热损失 qp",B224*LN(B224/首页!$B$4),LN(B224/首页!$B$4))</f>
        <v>0.85757190853638998</v>
      </c>
      <c r="T224" s="6">
        <f>IF($Y$2="按单位面积散热损失 qp",2*PI()*首页!$B$8*((E224-D224)/$Y$3-1/R224),2*PI()*首页!$B$8*((E224-D224)/$Y$4-1/(PI()*B224*R224)))</f>
        <v>4.0832719135871283E-2</v>
      </c>
      <c r="U224" t="str">
        <f t="shared" si="38"/>
        <v>按单位面积散热损失 qp</v>
      </c>
      <c r="V224" s="6">
        <f t="shared" si="39"/>
        <v>0.81673918940051871</v>
      </c>
    </row>
    <row r="225" spans="1:22" x14ac:dyDescent="0.15">
      <c r="A225">
        <v>220</v>
      </c>
      <c r="B225" s="6">
        <f>首页!$B$4+2*A225/1000</f>
        <v>0.56000000000000005</v>
      </c>
      <c r="C225" s="6">
        <f>首页!$B$7+273.15</f>
        <v>388.15</v>
      </c>
      <c r="D225" s="6">
        <f>首页!$B$6+273.15</f>
        <v>293.14999999999998</v>
      </c>
      <c r="E225" s="6">
        <f>首页!$B$5+273.15</f>
        <v>1373.15</v>
      </c>
      <c r="F225" s="6">
        <f t="shared" si="30"/>
        <v>95</v>
      </c>
      <c r="G225" s="6">
        <f t="shared" si="31"/>
        <v>340.65</v>
      </c>
      <c r="H225" s="6">
        <f t="shared" si="32"/>
        <v>1.9926207055139041E-5</v>
      </c>
      <c r="I225" s="7">
        <f t="shared" si="33"/>
        <v>1158916576932337.8</v>
      </c>
      <c r="J225" s="6">
        <f t="shared" si="34"/>
        <v>1.0226038455893147</v>
      </c>
      <c r="K225" s="7">
        <f>J225*H225*首页!$B$12/P225</f>
        <v>0.69532757496605813</v>
      </c>
      <c r="L225" s="6">
        <f>首页!$B$9*0.0000000567*((C225^4-D225^4)/(C225-D225))</f>
        <v>7.7687338005019564</v>
      </c>
      <c r="M225" s="6">
        <f>IF(首页!$B$13="自然对流",IF(首页!$B$14="立式圆筒",首页!$B$10,PI()*B225/2),PI()*B225/2)</f>
        <v>55.2</v>
      </c>
      <c r="N225" s="7">
        <f>IF(首页!$B$13="强制对流",首页!$B$11*M225/H225,0)</f>
        <v>0</v>
      </c>
      <c r="O225" s="7">
        <f>IF(首页!$B$13="自然对流",IF(首页!$B$14="立式圆筒",(0.825+0.3063*I225^(1/6))^2+0.87*(M225/B225),(0.752+0.303*I225^(1/6))^2),0.3+SQRT((0.592*N225^0.5)^2+(0.0262*N225^0.8/(1-0.5/N225^0.1))^2))</f>
        <v>10104.964645792043</v>
      </c>
      <c r="P225" s="6">
        <f t="shared" si="35"/>
        <v>2.9510194925512497E-2</v>
      </c>
      <c r="Q225" s="6">
        <f t="shared" si="36"/>
        <v>5.4021644277669472</v>
      </c>
      <c r="R225" s="6">
        <f t="shared" si="37"/>
        <v>13.170898228268904</v>
      </c>
      <c r="S225" s="6">
        <f>IF($Y$2="按单位面积散热损失 qp",B225*LN(B225/首页!$B$4),LN(B225/首页!$B$4))</f>
        <v>0.86264922293040358</v>
      </c>
      <c r="T225" s="6">
        <f>IF($Y$2="按单位面积散热损失 qp",2*PI()*首页!$B$8*((E225-D225)/$Y$3-1/R225),2*PI()*首页!$B$8*((E225-D225)/$Y$4-1/(PI()*B225*R225)))</f>
        <v>4.0832451308304103E-2</v>
      </c>
      <c r="U225" t="str">
        <f t="shared" si="38"/>
        <v>按单位面积散热损失 qp</v>
      </c>
      <c r="V225" s="6">
        <f t="shared" si="39"/>
        <v>0.82181677162209943</v>
      </c>
    </row>
    <row r="226" spans="1:22" x14ac:dyDescent="0.15">
      <c r="A226">
        <v>221</v>
      </c>
      <c r="B226" s="6">
        <f>首页!$B$4+2*A226/1000</f>
        <v>0.56200000000000006</v>
      </c>
      <c r="C226" s="6">
        <f>首页!$B$7+273.15</f>
        <v>388.15</v>
      </c>
      <c r="D226" s="6">
        <f>首页!$B$6+273.15</f>
        <v>293.14999999999998</v>
      </c>
      <c r="E226" s="6">
        <f>首页!$B$5+273.15</f>
        <v>1373.15</v>
      </c>
      <c r="F226" s="6">
        <f t="shared" si="30"/>
        <v>95</v>
      </c>
      <c r="G226" s="6">
        <f t="shared" si="31"/>
        <v>340.65</v>
      </c>
      <c r="H226" s="6">
        <f t="shared" si="32"/>
        <v>1.9926207055139041E-5</v>
      </c>
      <c r="I226" s="7">
        <f t="shared" si="33"/>
        <v>1158916576932337.8</v>
      </c>
      <c r="J226" s="6">
        <f t="shared" si="34"/>
        <v>1.0226038455893147</v>
      </c>
      <c r="K226" s="7">
        <f>J226*H226*首页!$B$12/P226</f>
        <v>0.69532757496605813</v>
      </c>
      <c r="L226" s="6">
        <f>首页!$B$9*0.0000000567*((C226^4-D226^4)/(C226-D226))</f>
        <v>7.7687338005019564</v>
      </c>
      <c r="M226" s="6">
        <f>IF(首页!$B$13="自然对流",IF(首页!$B$14="立式圆筒",首页!$B$10,PI()*B226/2),PI()*B226/2)</f>
        <v>55.2</v>
      </c>
      <c r="N226" s="7">
        <f>IF(首页!$B$13="强制对流",首页!$B$11*M226/H226,0)</f>
        <v>0</v>
      </c>
      <c r="O226" s="7">
        <f>IF(首页!$B$13="自然对流",IF(首页!$B$14="立式圆筒",(0.825+0.3063*I226^(1/6))^2+0.87*(M226/B226),(0.752+0.303*I226^(1/6))^2),0.3+SQRT((0.592*N226^0.5)^2+(0.0262*N226^0.8/(1-0.5/N226^0.1))^2))</f>
        <v>10104.659460230274</v>
      </c>
      <c r="P226" s="6">
        <f t="shared" si="35"/>
        <v>2.9510194925512497E-2</v>
      </c>
      <c r="Q226" s="6">
        <f t="shared" si="36"/>
        <v>5.402001274045638</v>
      </c>
      <c r="R226" s="6">
        <f t="shared" si="37"/>
        <v>13.170735074547594</v>
      </c>
      <c r="S226" s="6">
        <f>IF($Y$2="按单位面积散热损失 qp",B226*LN(B226/首页!$B$4),LN(B226/首页!$B$4))</f>
        <v>0.86773368019674468</v>
      </c>
      <c r="T226" s="6">
        <f>IF($Y$2="按单位面积散热损失 qp",2*PI()*首页!$B$8*((E226-D226)/$Y$3-1/R226),2*PI()*首页!$B$8*((E226-D226)/$Y$4-1/(PI()*B226*R226)))</f>
        <v>4.0832185380371089E-2</v>
      </c>
      <c r="U226" t="str">
        <f t="shared" si="38"/>
        <v>按单位面积散热损失 qp</v>
      </c>
      <c r="V226" s="6">
        <f t="shared" si="39"/>
        <v>0.82690149481637354</v>
      </c>
    </row>
    <row r="227" spans="1:22" x14ac:dyDescent="0.15">
      <c r="A227">
        <v>222</v>
      </c>
      <c r="B227" s="6">
        <f>首页!$B$4+2*A227/1000</f>
        <v>0.56400000000000006</v>
      </c>
      <c r="C227" s="6">
        <f>首页!$B$7+273.15</f>
        <v>388.15</v>
      </c>
      <c r="D227" s="6">
        <f>首页!$B$6+273.15</f>
        <v>293.14999999999998</v>
      </c>
      <c r="E227" s="6">
        <f>首页!$B$5+273.15</f>
        <v>1373.15</v>
      </c>
      <c r="F227" s="6">
        <f t="shared" si="30"/>
        <v>95</v>
      </c>
      <c r="G227" s="6">
        <f t="shared" si="31"/>
        <v>340.65</v>
      </c>
      <c r="H227" s="6">
        <f t="shared" si="32"/>
        <v>1.9926207055139041E-5</v>
      </c>
      <c r="I227" s="7">
        <f t="shared" si="33"/>
        <v>1158916576932337.8</v>
      </c>
      <c r="J227" s="6">
        <f t="shared" si="34"/>
        <v>1.0226038455893147</v>
      </c>
      <c r="K227" s="7">
        <f>J227*H227*首页!$B$12/P227</f>
        <v>0.69532757496605813</v>
      </c>
      <c r="L227" s="6">
        <f>首页!$B$9*0.0000000567*((C227^4-D227^4)/(C227-D227))</f>
        <v>7.7687338005019564</v>
      </c>
      <c r="M227" s="6">
        <f>IF(首页!$B$13="自然对流",IF(首页!$B$14="立式圆筒",首页!$B$10,PI()*B227/2),PI()*B227/2)</f>
        <v>55.2</v>
      </c>
      <c r="N227" s="7">
        <f>IF(首页!$B$13="强制对流",首页!$B$11*M227/H227,0)</f>
        <v>0</v>
      </c>
      <c r="O227" s="7">
        <f>IF(首页!$B$13="自然对流",IF(首页!$B$14="立式圆筒",(0.825+0.3063*I227^(1/6))^2+0.87*(M227/B227),(0.752+0.303*I227^(1/6))^2),0.3+SQRT((0.592*N227^0.5)^2+(0.0262*N227^0.8/(1-0.5/N227^0.1))^2))</f>
        <v>10104.356439105113</v>
      </c>
      <c r="P227" s="6">
        <f t="shared" si="35"/>
        <v>2.9510194925512497E-2</v>
      </c>
      <c r="Q227" s="6">
        <f t="shared" si="36"/>
        <v>5.4018392774429209</v>
      </c>
      <c r="R227" s="6">
        <f t="shared" si="37"/>
        <v>13.170573077944876</v>
      </c>
      <c r="S227" s="6">
        <f>IF($Y$2="按单位面积散热损失 qp",B227*LN(B227/首页!$B$4),LN(B227/首页!$B$4))</f>
        <v>0.87282525491583152</v>
      </c>
      <c r="T227" s="6">
        <f>IF($Y$2="按单位面积散热损失 qp",2*PI()*首页!$B$8*((E227-D227)/$Y$3-1/R227),2*PI()*首页!$B$8*((E227-D227)/$Y$4-1/(PI()*B227*R227)))</f>
        <v>4.0831921331933224E-2</v>
      </c>
      <c r="U227" t="str">
        <f t="shared" si="38"/>
        <v>按单位面积散热损失 qp</v>
      </c>
      <c r="V227" s="6">
        <f t="shared" si="39"/>
        <v>0.83199333358389826</v>
      </c>
    </row>
    <row r="228" spans="1:22" x14ac:dyDescent="0.15">
      <c r="A228">
        <v>223</v>
      </c>
      <c r="B228" s="6">
        <f>首页!$B$4+2*A228/1000</f>
        <v>0.56600000000000006</v>
      </c>
      <c r="C228" s="6">
        <f>首页!$B$7+273.15</f>
        <v>388.15</v>
      </c>
      <c r="D228" s="6">
        <f>首页!$B$6+273.15</f>
        <v>293.14999999999998</v>
      </c>
      <c r="E228" s="6">
        <f>首页!$B$5+273.15</f>
        <v>1373.15</v>
      </c>
      <c r="F228" s="6">
        <f t="shared" si="30"/>
        <v>95</v>
      </c>
      <c r="G228" s="6">
        <f t="shared" si="31"/>
        <v>340.65</v>
      </c>
      <c r="H228" s="6">
        <f t="shared" si="32"/>
        <v>1.9926207055139041E-5</v>
      </c>
      <c r="I228" s="7">
        <f t="shared" si="33"/>
        <v>1158916576932337.8</v>
      </c>
      <c r="J228" s="6">
        <f t="shared" si="34"/>
        <v>1.0226038455893147</v>
      </c>
      <c r="K228" s="7">
        <f>J228*H228*首页!$B$12/P228</f>
        <v>0.69532757496605813</v>
      </c>
      <c r="L228" s="6">
        <f>首页!$B$9*0.0000000567*((C228^4-D228^4)/(C228-D228))</f>
        <v>7.7687338005019564</v>
      </c>
      <c r="M228" s="6">
        <f>IF(首页!$B$13="自然对流",IF(首页!$B$14="立式圆筒",首页!$B$10,PI()*B228/2),PI()*B228/2)</f>
        <v>55.2</v>
      </c>
      <c r="N228" s="7">
        <f>IF(首页!$B$13="强制对流",首页!$B$11*M228/H228,0)</f>
        <v>0</v>
      </c>
      <c r="O228" s="7">
        <f>IF(首页!$B$13="自然对流",IF(首页!$B$14="立式圆筒",(0.825+0.3063*I228^(1/6))^2+0.87*(M228/B228),(0.752+0.303*I228^(1/6))^2),0.3+SQRT((0.592*N228^0.5)^2+(0.0262*N228^0.8/(1-0.5/N228^0.1))^2))</f>
        <v>10104.055559472003</v>
      </c>
      <c r="P228" s="6">
        <f t="shared" si="35"/>
        <v>2.9510194925512497E-2</v>
      </c>
      <c r="Q228" s="6">
        <f t="shared" si="36"/>
        <v>5.4016784256925181</v>
      </c>
      <c r="R228" s="6">
        <f t="shared" si="37"/>
        <v>13.170412226194475</v>
      </c>
      <c r="S228" s="6">
        <f>IF($Y$2="按单位面积散热损失 qp",B228*LN(B228/首页!$B$4),LN(B228/首页!$B$4))</f>
        <v>0.87792392184836365</v>
      </c>
      <c r="T228" s="6">
        <f>IF($Y$2="按单位面积散热损失 qp",2*PI()*首页!$B$8*((E228-D228)/$Y$3-1/R228),2*PI()*首页!$B$8*((E228-D228)/$Y$4-1/(PI()*B228*R228)))</f>
        <v>4.0831659143135128E-2</v>
      </c>
      <c r="U228" t="str">
        <f t="shared" si="38"/>
        <v>按单位面积散热损失 qp</v>
      </c>
      <c r="V228" s="6">
        <f t="shared" si="39"/>
        <v>0.83709226270522852</v>
      </c>
    </row>
    <row r="229" spans="1:22" x14ac:dyDescent="0.15">
      <c r="A229">
        <v>224</v>
      </c>
      <c r="B229" s="6">
        <f>首页!$B$4+2*A229/1000</f>
        <v>0.56800000000000006</v>
      </c>
      <c r="C229" s="6">
        <f>首页!$B$7+273.15</f>
        <v>388.15</v>
      </c>
      <c r="D229" s="6">
        <f>首页!$B$6+273.15</f>
        <v>293.14999999999998</v>
      </c>
      <c r="E229" s="6">
        <f>首页!$B$5+273.15</f>
        <v>1373.15</v>
      </c>
      <c r="F229" s="6">
        <f t="shared" si="30"/>
        <v>95</v>
      </c>
      <c r="G229" s="6">
        <f t="shared" si="31"/>
        <v>340.65</v>
      </c>
      <c r="H229" s="6">
        <f t="shared" si="32"/>
        <v>1.9926207055139041E-5</v>
      </c>
      <c r="I229" s="7">
        <f t="shared" si="33"/>
        <v>1158916576932337.8</v>
      </c>
      <c r="J229" s="6">
        <f t="shared" si="34"/>
        <v>1.0226038455893147</v>
      </c>
      <c r="K229" s="7">
        <f>J229*H229*首页!$B$12/P229</f>
        <v>0.69532757496605813</v>
      </c>
      <c r="L229" s="6">
        <f>首页!$B$9*0.0000000567*((C229^4-D229^4)/(C229-D229))</f>
        <v>7.7687338005019564</v>
      </c>
      <c r="M229" s="6">
        <f>IF(首页!$B$13="自然对流",IF(首页!$B$14="立式圆筒",首页!$B$10,PI()*B229/2),PI()*B229/2)</f>
        <v>55.2</v>
      </c>
      <c r="N229" s="7">
        <f>IF(首页!$B$13="强制对流",首页!$B$11*M229/H229,0)</f>
        <v>0</v>
      </c>
      <c r="O229" s="7">
        <f>IF(首页!$B$13="自然对流",IF(首页!$B$14="立式圆筒",(0.825+0.3063*I229^(1/6))^2+0.87*(M229/B229),(0.752+0.303*I229^(1/6))^2),0.3+SQRT((0.592*N229^0.5)^2+(0.0262*N229^0.8/(1-0.5/N229^0.1))^2))</f>
        <v>10103.756798709548</v>
      </c>
      <c r="P229" s="6">
        <f t="shared" si="35"/>
        <v>2.9510194925512497E-2</v>
      </c>
      <c r="Q229" s="6">
        <f t="shared" si="36"/>
        <v>5.401518706700922</v>
      </c>
      <c r="R229" s="6">
        <f t="shared" si="37"/>
        <v>13.170252507202878</v>
      </c>
      <c r="S229" s="6">
        <f>IF($Y$2="按单位面积散热损失 qp",B229*LN(B229/首页!$B$4),LN(B229/首页!$B$4))</f>
        <v>0.88302965593341209</v>
      </c>
      <c r="T229" s="6">
        <f>IF($Y$2="按单位面积散热损失 qp",2*PI()*首页!$B$8*((E229-D229)/$Y$3-1/R229),2*PI()*首页!$B$8*((E229-D229)/$Y$4-1/(PI()*B229*R229)))</f>
        <v>4.0831398794400155E-2</v>
      </c>
      <c r="U229" t="str">
        <f t="shared" si="38"/>
        <v>按单位面积散热损失 qp</v>
      </c>
      <c r="V229" s="6">
        <f t="shared" si="39"/>
        <v>0.84219825713901197</v>
      </c>
    </row>
    <row r="230" spans="1:22" x14ac:dyDescent="0.15">
      <c r="A230">
        <v>225</v>
      </c>
      <c r="B230" s="6">
        <f>首页!$B$4+2*A230/1000</f>
        <v>0.57000000000000006</v>
      </c>
      <c r="C230" s="6">
        <f>首页!$B$7+273.15</f>
        <v>388.15</v>
      </c>
      <c r="D230" s="6">
        <f>首页!$B$6+273.15</f>
        <v>293.14999999999998</v>
      </c>
      <c r="E230" s="6">
        <f>首页!$B$5+273.15</f>
        <v>1373.15</v>
      </c>
      <c r="F230" s="6">
        <f t="shared" si="30"/>
        <v>95</v>
      </c>
      <c r="G230" s="6">
        <f t="shared" si="31"/>
        <v>340.65</v>
      </c>
      <c r="H230" s="6">
        <f t="shared" si="32"/>
        <v>1.9926207055139041E-5</v>
      </c>
      <c r="I230" s="7">
        <f t="shared" si="33"/>
        <v>1158916576932337.8</v>
      </c>
      <c r="J230" s="6">
        <f t="shared" si="34"/>
        <v>1.0226038455893147</v>
      </c>
      <c r="K230" s="7">
        <f>J230*H230*首页!$B$12/P230</f>
        <v>0.69532757496605813</v>
      </c>
      <c r="L230" s="6">
        <f>首页!$B$9*0.0000000567*((C230^4-D230^4)/(C230-D230))</f>
        <v>7.7687338005019564</v>
      </c>
      <c r="M230" s="6">
        <f>IF(首页!$B$13="自然对流",IF(首页!$B$14="立式圆筒",首页!$B$10,PI()*B230/2),PI()*B230/2)</f>
        <v>55.2</v>
      </c>
      <c r="N230" s="7">
        <f>IF(首页!$B$13="强制对流",首页!$B$11*M230/H230,0)</f>
        <v>0</v>
      </c>
      <c r="O230" s="7">
        <f>IF(首页!$B$13="自然对流",IF(首页!$B$14="立式圆筒",(0.825+0.3063*I230^(1/6))^2+0.87*(M230/B230),(0.752+0.303*I230^(1/6))^2),0.3+SQRT((0.592*N230^0.5)^2+(0.0262*N230^0.8/(1-0.5/N230^0.1))^2))</f>
        <v>10103.460134513847</v>
      </c>
      <c r="P230" s="6">
        <f t="shared" si="35"/>
        <v>2.9510194925512497E-2</v>
      </c>
      <c r="Q230" s="6">
        <f t="shared" si="36"/>
        <v>5.4013601085443534</v>
      </c>
      <c r="R230" s="6">
        <f t="shared" si="37"/>
        <v>13.17009390904631</v>
      </c>
      <c r="S230" s="6">
        <f>IF($Y$2="按单位面积散热损失 qp",B230*LN(B230/首页!$B$4),LN(B230/首页!$B$4))</f>
        <v>0.88814243228653367</v>
      </c>
      <c r="T230" s="6">
        <f>IF($Y$2="按单位面积散热损失 qp",2*PI()*首页!$B$8*((E230-D230)/$Y$3-1/R230),2*PI()*首页!$B$8*((E230-D230)/$Y$4-1/(PI()*B230*R230)))</f>
        <v>4.083114026642546E-2</v>
      </c>
      <c r="U230" t="str">
        <f t="shared" si="38"/>
        <v>按单位面积散热损失 qp</v>
      </c>
      <c r="V230" s="6">
        <f t="shared" si="39"/>
        <v>0.84731129202010824</v>
      </c>
    </row>
    <row r="231" spans="1:22" x14ac:dyDescent="0.15">
      <c r="A231">
        <v>226</v>
      </c>
      <c r="B231" s="6">
        <f>首页!$B$4+2*A231/1000</f>
        <v>0.57200000000000006</v>
      </c>
      <c r="C231" s="6">
        <f>首页!$B$7+273.15</f>
        <v>388.15</v>
      </c>
      <c r="D231" s="6">
        <f>首页!$B$6+273.15</f>
        <v>293.14999999999998</v>
      </c>
      <c r="E231" s="6">
        <f>首页!$B$5+273.15</f>
        <v>1373.15</v>
      </c>
      <c r="F231" s="6">
        <f t="shared" si="30"/>
        <v>95</v>
      </c>
      <c r="G231" s="6">
        <f t="shared" si="31"/>
        <v>340.65</v>
      </c>
      <c r="H231" s="6">
        <f t="shared" si="32"/>
        <v>1.9926207055139041E-5</v>
      </c>
      <c r="I231" s="7">
        <f t="shared" si="33"/>
        <v>1158916576932337.8</v>
      </c>
      <c r="J231" s="6">
        <f t="shared" si="34"/>
        <v>1.0226038455893147</v>
      </c>
      <c r="K231" s="7">
        <f>J231*H231*首页!$B$12/P231</f>
        <v>0.69532757496605813</v>
      </c>
      <c r="L231" s="6">
        <f>首页!$B$9*0.0000000567*((C231^4-D231^4)/(C231-D231))</f>
        <v>7.7687338005019564</v>
      </c>
      <c r="M231" s="6">
        <f>IF(首页!$B$13="自然对流",IF(首页!$B$14="立式圆筒",首页!$B$10,PI()*B231/2),PI()*B231/2)</f>
        <v>55.2</v>
      </c>
      <c r="N231" s="7">
        <f>IF(首页!$B$13="强制对流",首页!$B$11*M231/H231,0)</f>
        <v>0</v>
      </c>
      <c r="O231" s="7">
        <f>IF(首页!$B$13="自然对流",IF(首页!$B$14="立式圆筒",(0.825+0.3063*I231^(1/6))^2+0.87*(M231/B231),(0.752+0.303*I231^(1/6))^2),0.3+SQRT((0.592*N231^0.5)^2+(0.0262*N231^0.8/(1-0.5/N231^0.1))^2))</f>
        <v>10103.165544892941</v>
      </c>
      <c r="P231" s="6">
        <f t="shared" si="35"/>
        <v>2.9510194925512497E-2</v>
      </c>
      <c r="Q231" s="6">
        <f t="shared" si="36"/>
        <v>5.4012026194658036</v>
      </c>
      <c r="R231" s="6">
        <f t="shared" si="37"/>
        <v>13.16993641996776</v>
      </c>
      <c r="S231" s="6">
        <f>IF($Y$2="按单位面积散热损失 qp",B231*LN(B231/首页!$B$4),LN(B231/首页!$B$4))</f>
        <v>0.89326222619791429</v>
      </c>
      <c r="T231" s="6">
        <f>IF($Y$2="按单位面积散热损失 qp",2*PI()*首页!$B$8*((E231-D231)/$Y$3-1/R231),2*PI()*首页!$B$8*((E231-D231)/$Y$4-1/(PI()*B231*R231)))</f>
        <v>4.0830883540177242E-2</v>
      </c>
      <c r="U231" t="str">
        <f t="shared" si="38"/>
        <v>按单位面积散热损失 qp</v>
      </c>
      <c r="V231" s="6">
        <f t="shared" si="39"/>
        <v>0.85243134265773701</v>
      </c>
    </row>
    <row r="232" spans="1:22" x14ac:dyDescent="0.15">
      <c r="A232">
        <v>227</v>
      </c>
      <c r="B232" s="6">
        <f>首页!$B$4+2*A232/1000</f>
        <v>0.57400000000000007</v>
      </c>
      <c r="C232" s="6">
        <f>首页!$B$7+273.15</f>
        <v>388.15</v>
      </c>
      <c r="D232" s="6">
        <f>首页!$B$6+273.15</f>
        <v>293.14999999999998</v>
      </c>
      <c r="E232" s="6">
        <f>首页!$B$5+273.15</f>
        <v>1373.15</v>
      </c>
      <c r="F232" s="6">
        <f t="shared" si="30"/>
        <v>95</v>
      </c>
      <c r="G232" s="6">
        <f t="shared" si="31"/>
        <v>340.65</v>
      </c>
      <c r="H232" s="6">
        <f t="shared" si="32"/>
        <v>1.9926207055139041E-5</v>
      </c>
      <c r="I232" s="7">
        <f t="shared" si="33"/>
        <v>1158916576932337.8</v>
      </c>
      <c r="J232" s="6">
        <f t="shared" si="34"/>
        <v>1.0226038455893147</v>
      </c>
      <c r="K232" s="7">
        <f>J232*H232*首页!$B$12/P232</f>
        <v>0.69532757496605813</v>
      </c>
      <c r="L232" s="6">
        <f>首页!$B$9*0.0000000567*((C232^4-D232^4)/(C232-D232))</f>
        <v>7.7687338005019564</v>
      </c>
      <c r="M232" s="6">
        <f>IF(首页!$B$13="自然对流",IF(首页!$B$14="立式圆筒",首页!$B$10,PI()*B232/2),PI()*B232/2)</f>
        <v>55.2</v>
      </c>
      <c r="N232" s="7">
        <f>IF(首页!$B$13="强制对流",首页!$B$11*M232/H232,0)</f>
        <v>0</v>
      </c>
      <c r="O232" s="7">
        <f>IF(首页!$B$13="自然对流",IF(首页!$B$14="立式圆筒",(0.825+0.3063*I232^(1/6))^2+0.87*(M232/B232),(0.752+0.303*I232^(1/6))^2),0.3+SQRT((0.592*N232^0.5)^2+(0.0262*N232^0.8/(1-0.5/N232^0.1))^2))</f>
        <v>10102.873008161381</v>
      </c>
      <c r="P232" s="6">
        <f t="shared" si="35"/>
        <v>2.9510194925512497E-2</v>
      </c>
      <c r="Q232" s="6">
        <f t="shared" si="36"/>
        <v>5.4010462278721221</v>
      </c>
      <c r="R232" s="6">
        <f t="shared" si="37"/>
        <v>13.169780028374078</v>
      </c>
      <c r="S232" s="6">
        <f>IF($Y$2="按单位面积散热损失 qp",B232*LN(B232/首页!$B$4),LN(B232/首页!$B$4))</f>
        <v>0.89838901313053687</v>
      </c>
      <c r="T232" s="6">
        <f>IF($Y$2="按单位面积散热损失 qp",2*PI()*首页!$B$8*((E232-D232)/$Y$3-1/R232),2*PI()*首页!$B$8*((E232-D232)/$Y$4-1/(PI()*B232*R232)))</f>
        <v>4.0830628596886097E-2</v>
      </c>
      <c r="U232" t="str">
        <f t="shared" si="38"/>
        <v>按单位面积散热损失 qp</v>
      </c>
      <c r="V232" s="6">
        <f t="shared" si="39"/>
        <v>0.85755838453365074</v>
      </c>
    </row>
    <row r="233" spans="1:22" x14ac:dyDescent="0.15">
      <c r="A233">
        <v>228</v>
      </c>
      <c r="B233" s="6">
        <f>首页!$B$4+2*A233/1000</f>
        <v>0.57600000000000007</v>
      </c>
      <c r="C233" s="6">
        <f>首页!$B$7+273.15</f>
        <v>388.15</v>
      </c>
      <c r="D233" s="6">
        <f>首页!$B$6+273.15</f>
        <v>293.14999999999998</v>
      </c>
      <c r="E233" s="6">
        <f>首页!$B$5+273.15</f>
        <v>1373.15</v>
      </c>
      <c r="F233" s="6">
        <f t="shared" si="30"/>
        <v>95</v>
      </c>
      <c r="G233" s="6">
        <f t="shared" si="31"/>
        <v>340.65</v>
      </c>
      <c r="H233" s="6">
        <f t="shared" si="32"/>
        <v>1.9926207055139041E-5</v>
      </c>
      <c r="I233" s="7">
        <f t="shared" si="33"/>
        <v>1158916576932337.8</v>
      </c>
      <c r="J233" s="6">
        <f t="shared" si="34"/>
        <v>1.0226038455893147</v>
      </c>
      <c r="K233" s="7">
        <f>J233*H233*首页!$B$12/P233</f>
        <v>0.69532757496605813</v>
      </c>
      <c r="L233" s="6">
        <f>首页!$B$9*0.0000000567*((C233^4-D233^4)/(C233-D233))</f>
        <v>7.7687338005019564</v>
      </c>
      <c r="M233" s="6">
        <f>IF(首页!$B$13="自然对流",IF(首页!$B$14="立式圆筒",首页!$B$10,PI()*B233/2),PI()*B233/2)</f>
        <v>55.2</v>
      </c>
      <c r="N233" s="7">
        <f>IF(首页!$B$13="强制对流",首页!$B$11*M233/H233,0)</f>
        <v>0</v>
      </c>
      <c r="O233" s="7">
        <f>IF(首页!$B$13="自然对流",IF(首页!$B$14="立式圆筒",(0.825+0.3063*I233^(1/6))^2+0.87*(M233/B233),(0.752+0.303*I233^(1/6))^2),0.3+SQRT((0.592*N233^0.5)^2+(0.0262*N233^0.8/(1-0.5/N233^0.1))^2))</f>
        <v>10102.5825029349</v>
      </c>
      <c r="P233" s="6">
        <f t="shared" si="35"/>
        <v>2.9510194925512497E-2</v>
      </c>
      <c r="Q233" s="6">
        <f t="shared" si="36"/>
        <v>5.4008909223311736</v>
      </c>
      <c r="R233" s="6">
        <f t="shared" si="37"/>
        <v>13.169624722833131</v>
      </c>
      <c r="S233" s="6">
        <f>IF($Y$2="按单位面积散热损失 qp",B233*LN(B233/首页!$B$4),LN(B233/首页!$B$4))</f>
        <v>0.90352276871837511</v>
      </c>
      <c r="T233" s="6">
        <f>IF($Y$2="按单位面积散热损失 qp",2*PI()*首页!$B$8*((E233-D233)/$Y$3-1/R233),2*PI()*首页!$B$8*((E233-D233)/$Y$4-1/(PI()*B233*R233)))</f>
        <v>4.0830375418042408E-2</v>
      </c>
      <c r="U233" t="str">
        <f t="shared" si="38"/>
        <v>按单位面积散热损失 qp</v>
      </c>
      <c r="V233" s="6">
        <f t="shared" si="39"/>
        <v>0.86269239330033276</v>
      </c>
    </row>
    <row r="234" spans="1:22" x14ac:dyDescent="0.15">
      <c r="A234">
        <v>229</v>
      </c>
      <c r="B234" s="6">
        <f>首页!$B$4+2*A234/1000</f>
        <v>0.57800000000000007</v>
      </c>
      <c r="C234" s="6">
        <f>首页!$B$7+273.15</f>
        <v>388.15</v>
      </c>
      <c r="D234" s="6">
        <f>首页!$B$6+273.15</f>
        <v>293.14999999999998</v>
      </c>
      <c r="E234" s="6">
        <f>首页!$B$5+273.15</f>
        <v>1373.15</v>
      </c>
      <c r="F234" s="6">
        <f t="shared" si="30"/>
        <v>95</v>
      </c>
      <c r="G234" s="6">
        <f t="shared" si="31"/>
        <v>340.65</v>
      </c>
      <c r="H234" s="6">
        <f t="shared" si="32"/>
        <v>1.9926207055139041E-5</v>
      </c>
      <c r="I234" s="7">
        <f t="shared" si="33"/>
        <v>1158916576932337.8</v>
      </c>
      <c r="J234" s="6">
        <f t="shared" si="34"/>
        <v>1.0226038455893147</v>
      </c>
      <c r="K234" s="7">
        <f>J234*H234*首页!$B$12/P234</f>
        <v>0.69532757496605813</v>
      </c>
      <c r="L234" s="6">
        <f>首页!$B$9*0.0000000567*((C234^4-D234^4)/(C234-D234))</f>
        <v>7.7687338005019564</v>
      </c>
      <c r="M234" s="6">
        <f>IF(首页!$B$13="自然对流",IF(首页!$B$14="立式圆筒",首页!$B$10,PI()*B234/2),PI()*B234/2)</f>
        <v>55.2</v>
      </c>
      <c r="N234" s="7">
        <f>IF(首页!$B$13="强制对流",首页!$B$11*M234/H234,0)</f>
        <v>0</v>
      </c>
      <c r="O234" s="7">
        <f>IF(首页!$B$13="自然对流",IF(首页!$B$14="立式圆筒",(0.825+0.3063*I234^(1/6))^2+0.87*(M234/B234),(0.752+0.303*I234^(1/6))^2),0.3+SQRT((0.592*N234^0.5)^2+(0.0262*N234^0.8/(1-0.5/N234^0.1))^2))</f>
        <v>10102.294008125211</v>
      </c>
      <c r="P234" s="6">
        <f t="shared" si="35"/>
        <v>2.9510194925512497E-2</v>
      </c>
      <c r="Q234" s="6">
        <f t="shared" si="36"/>
        <v>5.4007366915690564</v>
      </c>
      <c r="R234" s="6">
        <f t="shared" si="37"/>
        <v>13.169470492071014</v>
      </c>
      <c r="S234" s="6">
        <f>IF($Y$2="按单位面积散热损失 qp",B234*LN(B234/首页!$B$4),LN(B234/首页!$B$4))</f>
        <v>0.90866346876461179</v>
      </c>
      <c r="T234" s="6">
        <f>IF($Y$2="按单位面积散热损失 qp",2*PI()*首页!$B$8*((E234-D234)/$Y$3-1/R234),2*PI()*首页!$B$8*((E234-D234)/$Y$4-1/(PI()*B234*R234)))</f>
        <v>4.0830123985391889E-2</v>
      </c>
      <c r="U234" t="str">
        <f t="shared" si="38"/>
        <v>按单位面积散热损失 qp</v>
      </c>
      <c r="V234" s="6">
        <f t="shared" si="39"/>
        <v>0.86783334477921992</v>
      </c>
    </row>
    <row r="235" spans="1:22" x14ac:dyDescent="0.15">
      <c r="A235">
        <v>230</v>
      </c>
      <c r="B235" s="6">
        <f>首页!$B$4+2*A235/1000</f>
        <v>0.58000000000000007</v>
      </c>
      <c r="C235" s="6">
        <f>首页!$B$7+273.15</f>
        <v>388.15</v>
      </c>
      <c r="D235" s="6">
        <f>首页!$B$6+273.15</f>
        <v>293.14999999999998</v>
      </c>
      <c r="E235" s="6">
        <f>首页!$B$5+273.15</f>
        <v>1373.15</v>
      </c>
      <c r="F235" s="6">
        <f t="shared" si="30"/>
        <v>95</v>
      </c>
      <c r="G235" s="6">
        <f t="shared" si="31"/>
        <v>340.65</v>
      </c>
      <c r="H235" s="6">
        <f t="shared" si="32"/>
        <v>1.9926207055139041E-5</v>
      </c>
      <c r="I235" s="7">
        <f t="shared" si="33"/>
        <v>1158916576932337.8</v>
      </c>
      <c r="J235" s="6">
        <f t="shared" si="34"/>
        <v>1.0226038455893147</v>
      </c>
      <c r="K235" s="7">
        <f>J235*H235*首页!$B$12/P235</f>
        <v>0.69532757496605813</v>
      </c>
      <c r="L235" s="6">
        <f>首页!$B$9*0.0000000567*((C235^4-D235^4)/(C235-D235))</f>
        <v>7.7687338005019564</v>
      </c>
      <c r="M235" s="6">
        <f>IF(首页!$B$13="自然对流",IF(首页!$B$14="立式圆筒",首页!$B$10,PI()*B235/2),PI()*B235/2)</f>
        <v>55.2</v>
      </c>
      <c r="N235" s="7">
        <f>IF(首页!$B$13="强制对流",首页!$B$11*M235/H235,0)</f>
        <v>0</v>
      </c>
      <c r="O235" s="7">
        <f>IF(首页!$B$13="自然对流",IF(首页!$B$14="立式圆筒",(0.825+0.3063*I235^(1/6))^2+0.87*(M235/B235),(0.752+0.303*I235^(1/6))^2),0.3+SQRT((0.592*N235^0.5)^2+(0.0262*N235^0.8/(1-0.5/N235^0.1))^2))</f>
        <v>10102.007502934899</v>
      </c>
      <c r="P235" s="6">
        <f t="shared" si="35"/>
        <v>2.9510194925512497E-2</v>
      </c>
      <c r="Q235" s="6">
        <f t="shared" si="36"/>
        <v>5.4005835244673657</v>
      </c>
      <c r="R235" s="6">
        <f t="shared" si="37"/>
        <v>13.169317324969322</v>
      </c>
      <c r="S235" s="6">
        <f>IF($Y$2="按单位面积散热损失 qp",B235*LN(B235/首页!$B$4),LN(B235/首页!$B$4))</f>
        <v>0.91381108923988319</v>
      </c>
      <c r="T235" s="6">
        <f>IF($Y$2="按单位面积散热损失 qp",2*PI()*首页!$B$8*((E235-D235)/$Y$3-1/R235),2*PI()*首页!$B$8*((E235-D235)/$Y$4-1/(PI()*B235*R235)))</f>
        <v>4.0829874280931183E-2</v>
      </c>
      <c r="U235" t="str">
        <f t="shared" si="38"/>
        <v>按单位面积散热损失 qp</v>
      </c>
      <c r="V235" s="6">
        <f t="shared" si="39"/>
        <v>0.87298121495895198</v>
      </c>
    </row>
    <row r="236" spans="1:22" x14ac:dyDescent="0.15">
      <c r="A236">
        <v>231</v>
      </c>
      <c r="B236" s="6">
        <f>首页!$B$4+2*A236/1000</f>
        <v>0.58200000000000007</v>
      </c>
      <c r="C236" s="6">
        <f>首页!$B$7+273.15</f>
        <v>388.15</v>
      </c>
      <c r="D236" s="6">
        <f>首页!$B$6+273.15</f>
        <v>293.14999999999998</v>
      </c>
      <c r="E236" s="6">
        <f>首页!$B$5+273.15</f>
        <v>1373.15</v>
      </c>
      <c r="F236" s="6">
        <f t="shared" si="30"/>
        <v>95</v>
      </c>
      <c r="G236" s="6">
        <f t="shared" si="31"/>
        <v>340.65</v>
      </c>
      <c r="H236" s="6">
        <f t="shared" si="32"/>
        <v>1.9926207055139041E-5</v>
      </c>
      <c r="I236" s="7">
        <f t="shared" si="33"/>
        <v>1158916576932337.8</v>
      </c>
      <c r="J236" s="6">
        <f t="shared" si="34"/>
        <v>1.0226038455893147</v>
      </c>
      <c r="K236" s="7">
        <f>J236*H236*首页!$B$12/P236</f>
        <v>0.69532757496605813</v>
      </c>
      <c r="L236" s="6">
        <f>首页!$B$9*0.0000000567*((C236^4-D236^4)/(C236-D236))</f>
        <v>7.7687338005019564</v>
      </c>
      <c r="M236" s="6">
        <f>IF(首页!$B$13="自然对流",IF(首页!$B$14="立式圆筒",首页!$B$10,PI()*B236/2),PI()*B236/2)</f>
        <v>55.2</v>
      </c>
      <c r="N236" s="7">
        <f>IF(首页!$B$13="强制对流",首页!$B$11*M236/H236,0)</f>
        <v>0</v>
      </c>
      <c r="O236" s="7">
        <f>IF(首页!$B$13="自然对流",IF(首页!$B$14="立式圆筒",(0.825+0.3063*I236^(1/6))^2+0.87*(M236/B236),(0.752+0.303*I236^(1/6))^2),0.3+SQRT((0.592*N236^0.5)^2+(0.0262*N236^0.8/(1-0.5/N236^0.1))^2))</f>
        <v>10101.722966852425</v>
      </c>
      <c r="P236" s="6">
        <f t="shared" si="35"/>
        <v>2.9510194925512497E-2</v>
      </c>
      <c r="Q236" s="6">
        <f t="shared" si="36"/>
        <v>5.4004314100605342</v>
      </c>
      <c r="R236" s="6">
        <f t="shared" si="37"/>
        <v>13.16916521056249</v>
      </c>
      <c r="S236" s="6">
        <f>IF($Y$2="按单位面积散热损失 qp",B236*LN(B236/首页!$B$4),LN(B236/首页!$B$4))</f>
        <v>0.91896560628054624</v>
      </c>
      <c r="T236" s="6">
        <f>IF($Y$2="按单位面积散热损失 qp",2*PI()*首页!$B$8*((E236-D236)/$Y$3-1/R236),2*PI()*首页!$B$8*((E236-D236)/$Y$4-1/(PI()*B236*R236)))</f>
        <v>4.0829626286903599E-2</v>
      </c>
      <c r="U236" t="str">
        <f t="shared" si="38"/>
        <v>按单位面积散热损失 qp</v>
      </c>
      <c r="V236" s="6">
        <f t="shared" si="39"/>
        <v>0.87813597999364268</v>
      </c>
    </row>
    <row r="237" spans="1:22" x14ac:dyDescent="0.15">
      <c r="A237">
        <v>232</v>
      </c>
      <c r="B237" s="6">
        <f>首页!$B$4+2*A237/1000</f>
        <v>0.58400000000000007</v>
      </c>
      <c r="C237" s="6">
        <f>首页!$B$7+273.15</f>
        <v>388.15</v>
      </c>
      <c r="D237" s="6">
        <f>首页!$B$6+273.15</f>
        <v>293.14999999999998</v>
      </c>
      <c r="E237" s="6">
        <f>首页!$B$5+273.15</f>
        <v>1373.15</v>
      </c>
      <c r="F237" s="6">
        <f t="shared" si="30"/>
        <v>95</v>
      </c>
      <c r="G237" s="6">
        <f t="shared" si="31"/>
        <v>340.65</v>
      </c>
      <c r="H237" s="6">
        <f t="shared" si="32"/>
        <v>1.9926207055139041E-5</v>
      </c>
      <c r="I237" s="7">
        <f t="shared" si="33"/>
        <v>1158916576932337.8</v>
      </c>
      <c r="J237" s="6">
        <f t="shared" si="34"/>
        <v>1.0226038455893147</v>
      </c>
      <c r="K237" s="7">
        <f>J237*H237*首页!$B$12/P237</f>
        <v>0.69532757496605813</v>
      </c>
      <c r="L237" s="6">
        <f>首页!$B$9*0.0000000567*((C237^4-D237^4)/(C237-D237))</f>
        <v>7.7687338005019564</v>
      </c>
      <c r="M237" s="6">
        <f>IF(首页!$B$13="自然对流",IF(首页!$B$14="立式圆筒",首页!$B$10,PI()*B237/2),PI()*B237/2)</f>
        <v>55.2</v>
      </c>
      <c r="N237" s="7">
        <f>IF(首页!$B$13="强制对流",首页!$B$11*M237/H237,0)</f>
        <v>0</v>
      </c>
      <c r="O237" s="7">
        <f>IF(首页!$B$13="自然对流",IF(首页!$B$14="立式圆筒",(0.825+0.3063*I237^(1/6))^2+0.87*(M237/B237),(0.752+0.303*I237^(1/6))^2),0.3+SQRT((0.592*N237^0.5)^2+(0.0262*N237^0.8/(1-0.5/N237^0.1))^2))</f>
        <v>10101.440379647229</v>
      </c>
      <c r="P237" s="6">
        <f t="shared" si="35"/>
        <v>2.9510194925512497E-2</v>
      </c>
      <c r="Q237" s="6">
        <f t="shared" si="36"/>
        <v>5.4002803375332009</v>
      </c>
      <c r="R237" s="6">
        <f t="shared" si="37"/>
        <v>13.169014138035157</v>
      </c>
      <c r="S237" s="6">
        <f>IF($Y$2="按单位面积散热损失 qp",B237*LN(B237/首页!$B$4),LN(B237/首页!$B$4))</f>
        <v>0.92412699618696992</v>
      </c>
      <c r="T237" s="6">
        <f>IF($Y$2="按单位面积散热损失 qp",2*PI()*首页!$B$8*((E237-D237)/$Y$3-1/R237),2*PI()*首页!$B$8*((E237-D237)/$Y$4-1/(PI()*B237*R237)))</f>
        <v>4.0829379985794841E-2</v>
      </c>
      <c r="U237" t="str">
        <f t="shared" si="38"/>
        <v>按单位面积散热损失 qp</v>
      </c>
      <c r="V237" s="6">
        <f t="shared" si="39"/>
        <v>0.88329761620117508</v>
      </c>
    </row>
    <row r="238" spans="1:22" x14ac:dyDescent="0.15">
      <c r="A238">
        <v>233</v>
      </c>
      <c r="B238" s="6">
        <f>首页!$B$4+2*A238/1000</f>
        <v>0.58600000000000008</v>
      </c>
      <c r="C238" s="6">
        <f>首页!$B$7+273.15</f>
        <v>388.15</v>
      </c>
      <c r="D238" s="6">
        <f>首页!$B$6+273.15</f>
        <v>293.14999999999998</v>
      </c>
      <c r="E238" s="6">
        <f>首页!$B$5+273.15</f>
        <v>1373.15</v>
      </c>
      <c r="F238" s="6">
        <f t="shared" si="30"/>
        <v>95</v>
      </c>
      <c r="G238" s="6">
        <f t="shared" si="31"/>
        <v>340.65</v>
      </c>
      <c r="H238" s="6">
        <f t="shared" si="32"/>
        <v>1.9926207055139041E-5</v>
      </c>
      <c r="I238" s="7">
        <f t="shared" si="33"/>
        <v>1158916576932337.8</v>
      </c>
      <c r="J238" s="6">
        <f t="shared" si="34"/>
        <v>1.0226038455893147</v>
      </c>
      <c r="K238" s="7">
        <f>J238*H238*首页!$B$12/P238</f>
        <v>0.69532757496605813</v>
      </c>
      <c r="L238" s="6">
        <f>首页!$B$9*0.0000000567*((C238^4-D238^4)/(C238-D238))</f>
        <v>7.7687338005019564</v>
      </c>
      <c r="M238" s="6">
        <f>IF(首页!$B$13="自然对流",IF(首页!$B$14="立式圆筒",首页!$B$10,PI()*B238/2),PI()*B238/2)</f>
        <v>55.2</v>
      </c>
      <c r="N238" s="7">
        <f>IF(首页!$B$13="强制对流",首页!$B$11*M238/H238,0)</f>
        <v>0</v>
      </c>
      <c r="O238" s="7">
        <f>IF(首页!$B$13="自然对流",IF(首页!$B$14="立式圆筒",(0.825+0.3063*I238^(1/6))^2+0.87*(M238/B238),(0.752+0.303*I238^(1/6))^2),0.3+SQRT((0.592*N238^0.5)^2+(0.0262*N238^0.8/(1-0.5/N238^0.1))^2))</f>
        <v>10101.159721364935</v>
      </c>
      <c r="P238" s="6">
        <f t="shared" si="35"/>
        <v>2.9510194925512497E-2</v>
      </c>
      <c r="Q238" s="6">
        <f t="shared" si="36"/>
        <v>5.4001302962176574</v>
      </c>
      <c r="R238" s="6">
        <f t="shared" si="37"/>
        <v>13.168864096719613</v>
      </c>
      <c r="S238" s="6">
        <f>IF($Y$2="按单位面积散热损失 qp",B238*LN(B238/首页!$B$4),LN(B238/首页!$B$4))</f>
        <v>0.92929523542185066</v>
      </c>
      <c r="T238" s="6">
        <f>IF($Y$2="按单位面积散热损失 qp",2*PI()*首页!$B$8*((E238-D238)/$Y$3-1/R238),2*PI()*首页!$B$8*((E238-D238)/$Y$4-1/(PI()*B238*R238)))</f>
        <v>4.0829135360328943E-2</v>
      </c>
      <c r="U238" t="str">
        <f t="shared" si="38"/>
        <v>按单位面积散热损失 qp</v>
      </c>
      <c r="V238" s="6">
        <f t="shared" si="39"/>
        <v>0.88846610006152171</v>
      </c>
    </row>
    <row r="239" spans="1:22" x14ac:dyDescent="0.15">
      <c r="A239">
        <v>234</v>
      </c>
      <c r="B239" s="6">
        <f>首页!$B$4+2*A239/1000</f>
        <v>0.58800000000000008</v>
      </c>
      <c r="C239" s="6">
        <f>首页!$B$7+273.15</f>
        <v>388.15</v>
      </c>
      <c r="D239" s="6">
        <f>首页!$B$6+273.15</f>
        <v>293.14999999999998</v>
      </c>
      <c r="E239" s="6">
        <f>首页!$B$5+273.15</f>
        <v>1373.15</v>
      </c>
      <c r="F239" s="6">
        <f t="shared" si="30"/>
        <v>95</v>
      </c>
      <c r="G239" s="6">
        <f t="shared" si="31"/>
        <v>340.65</v>
      </c>
      <c r="H239" s="6">
        <f t="shared" si="32"/>
        <v>1.9926207055139041E-5</v>
      </c>
      <c r="I239" s="7">
        <f t="shared" si="33"/>
        <v>1158916576932337.8</v>
      </c>
      <c r="J239" s="6">
        <f t="shared" si="34"/>
        <v>1.0226038455893147</v>
      </c>
      <c r="K239" s="7">
        <f>J239*H239*首页!$B$12/P239</f>
        <v>0.69532757496605813</v>
      </c>
      <c r="L239" s="6">
        <f>首页!$B$9*0.0000000567*((C239^4-D239^4)/(C239-D239))</f>
        <v>7.7687338005019564</v>
      </c>
      <c r="M239" s="6">
        <f>IF(首页!$B$13="自然对流",IF(首页!$B$14="立式圆筒",首页!$B$10,PI()*B239/2),PI()*B239/2)</f>
        <v>55.2</v>
      </c>
      <c r="N239" s="7">
        <f>IF(首页!$B$13="强制对流",首页!$B$11*M239/H239,0)</f>
        <v>0</v>
      </c>
      <c r="O239" s="7">
        <f>IF(首页!$B$13="自然对流",IF(首页!$B$14="立式圆筒",(0.825+0.3063*I239^(1/6))^2+0.87*(M239/B239),(0.752+0.303*I239^(1/6))^2),0.3+SQRT((0.592*N239^0.5)^2+(0.0262*N239^0.8/(1-0.5/N239^0.1))^2))</f>
        <v>10100.880972322655</v>
      </c>
      <c r="P239" s="6">
        <f t="shared" si="35"/>
        <v>2.9510194925512497E-2</v>
      </c>
      <c r="Q239" s="6">
        <f t="shared" si="36"/>
        <v>5.3999812755913359</v>
      </c>
      <c r="R239" s="6">
        <f t="shared" si="37"/>
        <v>13.168715076093292</v>
      </c>
      <c r="S239" s="6">
        <f>IF($Y$2="按单位面积散热损失 qp",B239*LN(B239/首页!$B$4),LN(B239/首页!$B$4))</f>
        <v>0.93447030060854985</v>
      </c>
      <c r="T239" s="6">
        <f>IF($Y$2="按单位面积散热损失 qp",2*PI()*首页!$B$8*((E239-D239)/$Y$3-1/R239),2*PI()*首页!$B$8*((E239-D239)/$Y$4-1/(PI()*B239*R239)))</f>
        <v>4.0828892393464197E-2</v>
      </c>
      <c r="U239" t="str">
        <f t="shared" si="38"/>
        <v>按单位面积散热损失 qp</v>
      </c>
      <c r="V239" s="6">
        <f t="shared" si="39"/>
        <v>0.89364140821508564</v>
      </c>
    </row>
    <row r="240" spans="1:22" x14ac:dyDescent="0.15">
      <c r="A240">
        <v>235</v>
      </c>
      <c r="B240" s="6">
        <f>首页!$B$4+2*A240/1000</f>
        <v>0.59</v>
      </c>
      <c r="C240" s="6">
        <f>首页!$B$7+273.15</f>
        <v>388.15</v>
      </c>
      <c r="D240" s="6">
        <f>首页!$B$6+273.15</f>
        <v>293.14999999999998</v>
      </c>
      <c r="E240" s="6">
        <f>首页!$B$5+273.15</f>
        <v>1373.15</v>
      </c>
      <c r="F240" s="6">
        <f t="shared" si="30"/>
        <v>95</v>
      </c>
      <c r="G240" s="6">
        <f t="shared" si="31"/>
        <v>340.65</v>
      </c>
      <c r="H240" s="6">
        <f t="shared" si="32"/>
        <v>1.9926207055139041E-5</v>
      </c>
      <c r="I240" s="7">
        <f t="shared" si="33"/>
        <v>1158916576932337.8</v>
      </c>
      <c r="J240" s="6">
        <f t="shared" si="34"/>
        <v>1.0226038455893147</v>
      </c>
      <c r="K240" s="7">
        <f>J240*H240*首页!$B$12/P240</f>
        <v>0.69532757496605813</v>
      </c>
      <c r="L240" s="6">
        <f>首页!$B$9*0.0000000567*((C240^4-D240^4)/(C240-D240))</f>
        <v>7.7687338005019564</v>
      </c>
      <c r="M240" s="6">
        <f>IF(首页!$B$13="自然对流",IF(首页!$B$14="立式圆筒",首页!$B$10,PI()*B240/2),PI()*B240/2)</f>
        <v>55.2</v>
      </c>
      <c r="N240" s="7">
        <f>IF(首页!$B$13="强制对流",首页!$B$11*M240/H240,0)</f>
        <v>0</v>
      </c>
      <c r="O240" s="7">
        <f>IF(首页!$B$13="自然对流",IF(首页!$B$14="立式圆筒",(0.825+0.3063*I240^(1/6))^2+0.87*(M240/B240),(0.752+0.303*I240^(1/6))^2),0.3+SQRT((0.592*N240^0.5)^2+(0.0262*N240^0.8/(1-0.5/N240^0.1))^2))</f>
        <v>10100.604113104391</v>
      </c>
      <c r="P240" s="6">
        <f t="shared" si="35"/>
        <v>2.9510194925512497E-2</v>
      </c>
      <c r="Q240" s="6">
        <f t="shared" si="36"/>
        <v>5.3998332652743448</v>
      </c>
      <c r="R240" s="6">
        <f t="shared" si="37"/>
        <v>13.168567065776301</v>
      </c>
      <c r="S240" s="6">
        <f>IF($Y$2="按单位面积散热损失 qp",B240*LN(B240/首页!$B$4),LN(B240/首页!$B$4))</f>
        <v>0.93965216852945421</v>
      </c>
      <c r="T240" s="6">
        <f>IF($Y$2="按单位面积散热损失 qp",2*PI()*首页!$B$8*((E240-D240)/$Y$3-1/R240),2*PI()*首页!$B$8*((E240-D240)/$Y$4-1/(PI()*B240*R240)))</f>
        <v>4.0828651068389218E-2</v>
      </c>
      <c r="U240" t="str">
        <f t="shared" si="38"/>
        <v>按单位面积散热损失 qp</v>
      </c>
      <c r="V240" s="6">
        <f t="shared" si="39"/>
        <v>0.89882351746106504</v>
      </c>
    </row>
    <row r="241" spans="1:22" x14ac:dyDescent="0.15">
      <c r="A241">
        <v>236</v>
      </c>
      <c r="B241" s="6">
        <f>首页!$B$4+2*A241/1000</f>
        <v>0.59199999999999997</v>
      </c>
      <c r="C241" s="6">
        <f>首页!$B$7+273.15</f>
        <v>388.15</v>
      </c>
      <c r="D241" s="6">
        <f>首页!$B$6+273.15</f>
        <v>293.14999999999998</v>
      </c>
      <c r="E241" s="6">
        <f>首页!$B$5+273.15</f>
        <v>1373.15</v>
      </c>
      <c r="F241" s="6">
        <f t="shared" si="30"/>
        <v>95</v>
      </c>
      <c r="G241" s="6">
        <f t="shared" si="31"/>
        <v>340.65</v>
      </c>
      <c r="H241" s="6">
        <f t="shared" si="32"/>
        <v>1.9926207055139041E-5</v>
      </c>
      <c r="I241" s="7">
        <f t="shared" si="33"/>
        <v>1158916576932337.8</v>
      </c>
      <c r="J241" s="6">
        <f t="shared" si="34"/>
        <v>1.0226038455893147</v>
      </c>
      <c r="K241" s="7">
        <f>J241*H241*首页!$B$12/P241</f>
        <v>0.69532757496605813</v>
      </c>
      <c r="L241" s="6">
        <f>首页!$B$9*0.0000000567*((C241^4-D241^4)/(C241-D241))</f>
        <v>7.7687338005019564</v>
      </c>
      <c r="M241" s="6">
        <f>IF(首页!$B$13="自然对流",IF(首页!$B$14="立式圆筒",首页!$B$10,PI()*B241/2),PI()*B241/2)</f>
        <v>55.2</v>
      </c>
      <c r="N241" s="7">
        <f>IF(首页!$B$13="强制对流",首页!$B$11*M241/H241,0)</f>
        <v>0</v>
      </c>
      <c r="O241" s="7">
        <f>IF(首页!$B$13="自然对流",IF(首页!$B$14="立式圆筒",(0.825+0.3063*I241^(1/6))^2+0.87*(M241/B241),(0.752+0.303*I241^(1/6))^2),0.3+SQRT((0.592*N241^0.5)^2+(0.0262*N241^0.8/(1-0.5/N241^0.1))^2))</f>
        <v>10100.329124556521</v>
      </c>
      <c r="P241" s="6">
        <f t="shared" si="35"/>
        <v>2.9510194925512497E-2</v>
      </c>
      <c r="Q241" s="6">
        <f t="shared" si="36"/>
        <v>5.3996862550270635</v>
      </c>
      <c r="R241" s="6">
        <f t="shared" si="37"/>
        <v>13.168420055529019</v>
      </c>
      <c r="S241" s="6">
        <f>IF($Y$2="按单位面积散热损失 qp",B241*LN(B241/首页!$B$4),LN(B241/首页!$B$4))</f>
        <v>0.94484081612436011</v>
      </c>
      <c r="T241" s="6">
        <f>IF($Y$2="按单位面积散热损失 qp",2*PI()*首页!$B$8*((E241-D241)/$Y$3-1/R241),2*PI()*首页!$B$8*((E241-D241)/$Y$4-1/(PI()*B241*R241)))</f>
        <v>4.0828411368519037E-2</v>
      </c>
      <c r="U241" t="str">
        <f t="shared" si="38"/>
        <v>按单位面积散热损失 qp</v>
      </c>
      <c r="V241" s="6">
        <f t="shared" si="39"/>
        <v>0.9040124047558411</v>
      </c>
    </row>
    <row r="242" spans="1:22" x14ac:dyDescent="0.15">
      <c r="A242">
        <v>237</v>
      </c>
      <c r="B242" s="6">
        <f>首页!$B$4+2*A242/1000</f>
        <v>0.59399999999999997</v>
      </c>
      <c r="C242" s="6">
        <f>首页!$B$7+273.15</f>
        <v>388.15</v>
      </c>
      <c r="D242" s="6">
        <f>首页!$B$6+273.15</f>
        <v>293.14999999999998</v>
      </c>
      <c r="E242" s="6">
        <f>首页!$B$5+273.15</f>
        <v>1373.15</v>
      </c>
      <c r="F242" s="6">
        <f t="shared" si="30"/>
        <v>95</v>
      </c>
      <c r="G242" s="6">
        <f t="shared" si="31"/>
        <v>340.65</v>
      </c>
      <c r="H242" s="6">
        <f t="shared" si="32"/>
        <v>1.9926207055139041E-5</v>
      </c>
      <c r="I242" s="7">
        <f t="shared" si="33"/>
        <v>1158916576932337.8</v>
      </c>
      <c r="J242" s="6">
        <f t="shared" si="34"/>
        <v>1.0226038455893147</v>
      </c>
      <c r="K242" s="7">
        <f>J242*H242*首页!$B$12/P242</f>
        <v>0.69532757496605813</v>
      </c>
      <c r="L242" s="6">
        <f>首页!$B$9*0.0000000567*((C242^4-D242^4)/(C242-D242))</f>
        <v>7.7687338005019564</v>
      </c>
      <c r="M242" s="6">
        <f>IF(首页!$B$13="自然对流",IF(首页!$B$14="立式圆筒",首页!$B$10,PI()*B242/2),PI()*B242/2)</f>
        <v>55.2</v>
      </c>
      <c r="N242" s="7">
        <f>IF(首页!$B$13="强制对流",首页!$B$11*M242/H242,0)</f>
        <v>0</v>
      </c>
      <c r="O242" s="7">
        <f>IF(首页!$B$13="自然对流",IF(首页!$B$14="立式圆筒",(0.825+0.3063*I242^(1/6))^2+0.87*(M242/B242),(0.752+0.303*I242^(1/6))^2),0.3+SQRT((0.592*N242^0.5)^2+(0.0262*N242^0.8/(1-0.5/N242^0.1))^2))</f>
        <v>10100.055987783384</v>
      </c>
      <c r="P242" s="6">
        <f t="shared" si="35"/>
        <v>2.9510194925512497E-2</v>
      </c>
      <c r="Q242" s="6">
        <f t="shared" si="36"/>
        <v>5.3995402347477768</v>
      </c>
      <c r="R242" s="6">
        <f t="shared" si="37"/>
        <v>13.168274035249734</v>
      </c>
      <c r="S242" s="6">
        <f>IF($Y$2="按单位面积散热损失 qp",B242*LN(B242/首页!$B$4),LN(B242/首页!$B$4))</f>
        <v>0.9500362204888757</v>
      </c>
      <c r="T242" s="6">
        <f>IF($Y$2="按单位面积散热损失 qp",2*PI()*首页!$B$8*((E242-D242)/$Y$3-1/R242),2*PI()*首页!$B$8*((E242-D242)/$Y$4-1/(PI()*B242*R242)))</f>
        <v>4.0828173277491331E-2</v>
      </c>
      <c r="U242" t="str">
        <f t="shared" si="38"/>
        <v>按单位面积散热损失 qp</v>
      </c>
      <c r="V242" s="6">
        <f t="shared" si="39"/>
        <v>0.90920804721138437</v>
      </c>
    </row>
    <row r="243" spans="1:22" x14ac:dyDescent="0.15">
      <c r="A243">
        <v>238</v>
      </c>
      <c r="B243" s="6">
        <f>首页!$B$4+2*A243/1000</f>
        <v>0.59599999999999997</v>
      </c>
      <c r="C243" s="6">
        <f>首页!$B$7+273.15</f>
        <v>388.15</v>
      </c>
      <c r="D243" s="6">
        <f>首页!$B$6+273.15</f>
        <v>293.14999999999998</v>
      </c>
      <c r="E243" s="6">
        <f>首页!$B$5+273.15</f>
        <v>1373.15</v>
      </c>
      <c r="F243" s="6">
        <f t="shared" si="30"/>
        <v>95</v>
      </c>
      <c r="G243" s="6">
        <f t="shared" si="31"/>
        <v>340.65</v>
      </c>
      <c r="H243" s="6">
        <f t="shared" si="32"/>
        <v>1.9926207055139041E-5</v>
      </c>
      <c r="I243" s="7">
        <f t="shared" si="33"/>
        <v>1158916576932337.8</v>
      </c>
      <c r="J243" s="6">
        <f t="shared" si="34"/>
        <v>1.0226038455893147</v>
      </c>
      <c r="K243" s="7">
        <f>J243*H243*首页!$B$12/P243</f>
        <v>0.69532757496605813</v>
      </c>
      <c r="L243" s="6">
        <f>首页!$B$9*0.0000000567*((C243^4-D243^4)/(C243-D243))</f>
        <v>7.7687338005019564</v>
      </c>
      <c r="M243" s="6">
        <f>IF(首页!$B$13="自然对流",IF(首页!$B$14="立式圆筒",首页!$B$10,PI()*B243/2),PI()*B243/2)</f>
        <v>55.2</v>
      </c>
      <c r="N243" s="7">
        <f>IF(首页!$B$13="强制对流",首页!$B$11*M243/H243,0)</f>
        <v>0</v>
      </c>
      <c r="O243" s="7">
        <f>IF(首页!$B$13="自然对流",IF(首页!$B$14="立式圆筒",(0.825+0.3063*I243^(1/6))^2+0.87*(M243/B243),(0.752+0.303*I243^(1/6))^2),0.3+SQRT((0.592*N243^0.5)^2+(0.0262*N243^0.8/(1-0.5/N243^0.1))^2))</f>
        <v>10099.784684142953</v>
      </c>
      <c r="P243" s="6">
        <f t="shared" si="35"/>
        <v>2.9510194925512497E-2</v>
      </c>
      <c r="Q243" s="6">
        <f t="shared" si="36"/>
        <v>5.3993951944703653</v>
      </c>
      <c r="R243" s="6">
        <f t="shared" si="37"/>
        <v>13.168128994972321</v>
      </c>
      <c r="S243" s="6">
        <f>IF($Y$2="按单位面积散热损失 qp",B243*LN(B243/首页!$B$4),LN(B243/首页!$B$4))</f>
        <v>0.95523835887284902</v>
      </c>
      <c r="T243" s="6">
        <f>IF($Y$2="按单位面积散热损失 qp",2*PI()*首页!$B$8*((E243-D243)/$Y$3-1/R243),2*PI()*首页!$B$8*((E243-D243)/$Y$4-1/(PI()*B243*R243)))</f>
        <v>4.0827936779162681E-2</v>
      </c>
      <c r="U243" t="str">
        <f t="shared" si="38"/>
        <v>按单位面积散热损失 qp</v>
      </c>
      <c r="V243" s="6">
        <f t="shared" si="39"/>
        <v>0.91441042209368639</v>
      </c>
    </row>
    <row r="244" spans="1:22" x14ac:dyDescent="0.15">
      <c r="A244">
        <v>239</v>
      </c>
      <c r="B244" s="6">
        <f>首页!$B$4+2*A244/1000</f>
        <v>0.59799999999999998</v>
      </c>
      <c r="C244" s="6">
        <f>首页!$B$7+273.15</f>
        <v>388.15</v>
      </c>
      <c r="D244" s="6">
        <f>首页!$B$6+273.15</f>
        <v>293.14999999999998</v>
      </c>
      <c r="E244" s="6">
        <f>首页!$B$5+273.15</f>
        <v>1373.15</v>
      </c>
      <c r="F244" s="6">
        <f t="shared" si="30"/>
        <v>95</v>
      </c>
      <c r="G244" s="6">
        <f t="shared" si="31"/>
        <v>340.65</v>
      </c>
      <c r="H244" s="6">
        <f t="shared" si="32"/>
        <v>1.9926207055139041E-5</v>
      </c>
      <c r="I244" s="7">
        <f t="shared" si="33"/>
        <v>1158916576932337.8</v>
      </c>
      <c r="J244" s="6">
        <f t="shared" si="34"/>
        <v>1.0226038455893147</v>
      </c>
      <c r="K244" s="7">
        <f>J244*H244*首页!$B$12/P244</f>
        <v>0.69532757496605813</v>
      </c>
      <c r="L244" s="6">
        <f>首页!$B$9*0.0000000567*((C244^4-D244^4)/(C244-D244))</f>
        <v>7.7687338005019564</v>
      </c>
      <c r="M244" s="6">
        <f>IF(首页!$B$13="自然对流",IF(首页!$B$14="立式圆筒",首页!$B$10,PI()*B244/2),PI()*B244/2)</f>
        <v>55.2</v>
      </c>
      <c r="N244" s="7">
        <f>IF(首页!$B$13="强制对流",首页!$B$11*M244/H244,0)</f>
        <v>0</v>
      </c>
      <c r="O244" s="7">
        <f>IF(首页!$B$13="自然对流",IF(首页!$B$14="立式圆筒",(0.825+0.3063*I244^(1/6))^2+0.87*(M244/B244),(0.752+0.303*I244^(1/6))^2),0.3+SQRT((0.592*N244^0.5)^2+(0.0262*N244^0.8/(1-0.5/N244^0.1))^2))</f>
        <v>10099.515195242591</v>
      </c>
      <c r="P244" s="6">
        <f t="shared" si="35"/>
        <v>2.9510194925512497E-2</v>
      </c>
      <c r="Q244" s="6">
        <f t="shared" si="36"/>
        <v>5.3992511243620331</v>
      </c>
      <c r="R244" s="6">
        <f t="shared" si="37"/>
        <v>13.16798492486399</v>
      </c>
      <c r="S244" s="6">
        <f>IF($Y$2="按单位面积散热损失 qp",B244*LN(B244/首页!$B$4),LN(B244/首页!$B$4))</f>
        <v>0.96044720867881428</v>
      </c>
      <c r="T244" s="6">
        <f>IF($Y$2="按单位面积散热损失 qp",2*PI()*首页!$B$8*((E244-D244)/$Y$3-1/R244),2*PI()*首页!$B$8*((E244-D244)/$Y$4-1/(PI()*B244*R244)))</f>
        <v>4.0827701857604939E-2</v>
      </c>
      <c r="U244" t="str">
        <f t="shared" si="38"/>
        <v>按单位面积散热损失 qp</v>
      </c>
      <c r="V244" s="6">
        <f t="shared" si="39"/>
        <v>0.9196195068212093</v>
      </c>
    </row>
    <row r="245" spans="1:22" x14ac:dyDescent="0.15">
      <c r="A245">
        <v>240</v>
      </c>
      <c r="B245" s="6">
        <f>首页!$B$4+2*A245/1000</f>
        <v>0.6</v>
      </c>
      <c r="C245" s="6">
        <f>首页!$B$7+273.15</f>
        <v>388.15</v>
      </c>
      <c r="D245" s="6">
        <f>首页!$B$6+273.15</f>
        <v>293.14999999999998</v>
      </c>
      <c r="E245" s="6">
        <f>首页!$B$5+273.15</f>
        <v>1373.15</v>
      </c>
      <c r="F245" s="6">
        <f t="shared" si="30"/>
        <v>95</v>
      </c>
      <c r="G245" s="6">
        <f t="shared" si="31"/>
        <v>340.65</v>
      </c>
      <c r="H245" s="6">
        <f t="shared" si="32"/>
        <v>1.9926207055139041E-5</v>
      </c>
      <c r="I245" s="7">
        <f t="shared" si="33"/>
        <v>1158916576932337.8</v>
      </c>
      <c r="J245" s="6">
        <f t="shared" si="34"/>
        <v>1.0226038455893147</v>
      </c>
      <c r="K245" s="7">
        <f>J245*H245*首页!$B$12/P245</f>
        <v>0.69532757496605813</v>
      </c>
      <c r="L245" s="6">
        <f>首页!$B$9*0.0000000567*((C245^4-D245^4)/(C245-D245))</f>
        <v>7.7687338005019564</v>
      </c>
      <c r="M245" s="6">
        <f>IF(首页!$B$13="自然对流",IF(首页!$B$14="立式圆筒",首页!$B$10,PI()*B245/2),PI()*B245/2)</f>
        <v>55.2</v>
      </c>
      <c r="N245" s="7">
        <f>IF(首页!$B$13="强制对流",首页!$B$11*M245/H245,0)</f>
        <v>0</v>
      </c>
      <c r="O245" s="7">
        <f>IF(首页!$B$13="自然对流",IF(首页!$B$14="立式圆筒",(0.825+0.3063*I245^(1/6))^2+0.87*(M245/B245),(0.752+0.303*I245^(1/6))^2),0.3+SQRT((0.592*N245^0.5)^2+(0.0262*N245^0.8/(1-0.5/N245^0.1))^2))</f>
        <v>10099.247502934901</v>
      </c>
      <c r="P245" s="6">
        <f t="shared" si="35"/>
        <v>2.9510194925512497E-2</v>
      </c>
      <c r="Q245" s="6">
        <f t="shared" si="36"/>
        <v>5.399108014721091</v>
      </c>
      <c r="R245" s="6">
        <f t="shared" si="37"/>
        <v>13.167841815223047</v>
      </c>
      <c r="S245" s="6">
        <f>IF($Y$2="按单位面积散热损失 qp",B245*LN(B245/首页!$B$4),LN(B245/首页!$B$4))</f>
        <v>0.9656627474604601</v>
      </c>
      <c r="T245" s="6">
        <f>IF($Y$2="按单位面积散热损失 qp",2*PI()*首页!$B$8*((E245-D245)/$Y$3-1/R245),2*PI()*首页!$B$8*((E245-D245)/$Y$4-1/(PI()*B245*R245)))</f>
        <v>4.0827468497101616E-2</v>
      </c>
      <c r="U245" t="str">
        <f t="shared" si="38"/>
        <v>按单位面积散热损失 qp</v>
      </c>
      <c r="V245" s="6">
        <f t="shared" si="39"/>
        <v>0.92483527896335849</v>
      </c>
    </row>
    <row r="246" spans="1:22" x14ac:dyDescent="0.15">
      <c r="A246">
        <v>241</v>
      </c>
      <c r="B246" s="6">
        <f>首页!$B$4+2*A246/1000</f>
        <v>0.60199999999999998</v>
      </c>
      <c r="C246" s="6">
        <f>首页!$B$7+273.15</f>
        <v>388.15</v>
      </c>
      <c r="D246" s="6">
        <f>首页!$B$6+273.15</f>
        <v>293.14999999999998</v>
      </c>
      <c r="E246" s="6">
        <f>首页!$B$5+273.15</f>
        <v>1373.15</v>
      </c>
      <c r="F246" s="6">
        <f t="shared" si="30"/>
        <v>95</v>
      </c>
      <c r="G246" s="6">
        <f t="shared" si="31"/>
        <v>340.65</v>
      </c>
      <c r="H246" s="6">
        <f t="shared" si="32"/>
        <v>1.9926207055139041E-5</v>
      </c>
      <c r="I246" s="7">
        <f t="shared" si="33"/>
        <v>1158916576932337.8</v>
      </c>
      <c r="J246" s="6">
        <f t="shared" si="34"/>
        <v>1.0226038455893147</v>
      </c>
      <c r="K246" s="7">
        <f>J246*H246*首页!$B$12/P246</f>
        <v>0.69532757496605813</v>
      </c>
      <c r="L246" s="6">
        <f>首页!$B$9*0.0000000567*((C246^4-D246^4)/(C246-D246))</f>
        <v>7.7687338005019564</v>
      </c>
      <c r="M246" s="6">
        <f>IF(首页!$B$13="自然对流",IF(首页!$B$14="立式圆筒",首页!$B$10,PI()*B246/2),PI()*B246/2)</f>
        <v>55.2</v>
      </c>
      <c r="N246" s="7">
        <f>IF(首页!$B$13="强制对流",首页!$B$11*M246/H246,0)</f>
        <v>0</v>
      </c>
      <c r="O246" s="7">
        <f>IF(首页!$B$13="自然对流",IF(首页!$B$14="立式圆筒",(0.825+0.3063*I246^(1/6))^2+0.87*(M246/B246),(0.752+0.303*I246^(1/6))^2),0.3+SQRT((0.592*N246^0.5)^2+(0.0262*N246^0.8/(1-0.5/N246^0.1))^2))</f>
        <v>10098.981589313637</v>
      </c>
      <c r="P246" s="6">
        <f t="shared" si="35"/>
        <v>2.9510194925512497E-2</v>
      </c>
      <c r="Q246" s="6">
        <f t="shared" si="36"/>
        <v>5.3989658559747715</v>
      </c>
      <c r="R246" s="6">
        <f t="shared" si="37"/>
        <v>13.167699656476728</v>
      </c>
      <c r="S246" s="6">
        <f>IF($Y$2="按单位面积散热损失 qp",B246*LN(B246/首页!$B$4),LN(B246/首页!$B$4))</f>
        <v>0.97088495292111854</v>
      </c>
      <c r="T246" s="6">
        <f>IF($Y$2="按单位面积散热损失 qp",2*PI()*首页!$B$8*((E246-D246)/$Y$3-1/R246),2*PI()*首页!$B$8*((E246-D246)/$Y$4-1/(PI()*B246*R246)))</f>
        <v>4.0827236682144434E-2</v>
      </c>
      <c r="U246" t="str">
        <f t="shared" si="38"/>
        <v>按单位面积散热损失 qp</v>
      </c>
      <c r="V246" s="6">
        <f t="shared" si="39"/>
        <v>0.93005771623897415</v>
      </c>
    </row>
    <row r="247" spans="1:22" x14ac:dyDescent="0.15">
      <c r="A247">
        <v>242</v>
      </c>
      <c r="B247" s="6">
        <f>首页!$B$4+2*A247/1000</f>
        <v>0.60399999999999998</v>
      </c>
      <c r="C247" s="6">
        <f>首页!$B$7+273.15</f>
        <v>388.15</v>
      </c>
      <c r="D247" s="6">
        <f>首页!$B$6+273.15</f>
        <v>293.14999999999998</v>
      </c>
      <c r="E247" s="6">
        <f>首页!$B$5+273.15</f>
        <v>1373.15</v>
      </c>
      <c r="F247" s="6">
        <f t="shared" si="30"/>
        <v>95</v>
      </c>
      <c r="G247" s="6">
        <f t="shared" si="31"/>
        <v>340.65</v>
      </c>
      <c r="H247" s="6">
        <f t="shared" si="32"/>
        <v>1.9926207055139041E-5</v>
      </c>
      <c r="I247" s="7">
        <f t="shared" si="33"/>
        <v>1158916576932337.8</v>
      </c>
      <c r="J247" s="6">
        <f t="shared" si="34"/>
        <v>1.0226038455893147</v>
      </c>
      <c r="K247" s="7">
        <f>J247*H247*首页!$B$12/P247</f>
        <v>0.69532757496605813</v>
      </c>
      <c r="L247" s="6">
        <f>首页!$B$9*0.0000000567*((C247^4-D247^4)/(C247-D247))</f>
        <v>7.7687338005019564</v>
      </c>
      <c r="M247" s="6">
        <f>IF(首页!$B$13="自然对流",IF(首页!$B$14="立式圆筒",首页!$B$10,PI()*B247/2),PI()*B247/2)</f>
        <v>55.2</v>
      </c>
      <c r="N247" s="7">
        <f>IF(首页!$B$13="强制对流",首页!$B$11*M247/H247,0)</f>
        <v>0</v>
      </c>
      <c r="O247" s="7">
        <f>IF(首页!$B$13="自然对流",IF(首页!$B$14="立式圆筒",(0.825+0.3063*I247^(1/6))^2+0.87*(M247/B247),(0.752+0.303*I247^(1/6))^2),0.3+SQRT((0.592*N247^0.5)^2+(0.0262*N247^0.8/(1-0.5/N247^0.1))^2))</f>
        <v>10098.717436709734</v>
      </c>
      <c r="P247" s="6">
        <f t="shared" si="35"/>
        <v>2.9510194925512497E-2</v>
      </c>
      <c r="Q247" s="6">
        <f t="shared" si="36"/>
        <v>5.3988246386771035</v>
      </c>
      <c r="R247" s="6">
        <f t="shared" si="37"/>
        <v>13.167558439179061</v>
      </c>
      <c r="S247" s="6">
        <f>IF($Y$2="按单位面积散热损失 qp",B247*LN(B247/首页!$B$4),LN(B247/首页!$B$4))</f>
        <v>0.97611380291227234</v>
      </c>
      <c r="T247" s="6">
        <f>IF($Y$2="按单位面积散热损失 qp",2*PI()*首页!$B$8*((E247-D247)/$Y$3-1/R247),2*PI()*首页!$B$8*((E247-D247)/$Y$4-1/(PI()*B247*R247)))</f>
        <v>4.0827006397429852E-2</v>
      </c>
      <c r="U247" t="str">
        <f t="shared" si="38"/>
        <v>按单位面积散热损失 qp</v>
      </c>
      <c r="V247" s="6">
        <f t="shared" si="39"/>
        <v>0.93528679651484248</v>
      </c>
    </row>
    <row r="248" spans="1:22" x14ac:dyDescent="0.15">
      <c r="A248">
        <v>243</v>
      </c>
      <c r="B248" s="6">
        <f>首页!$B$4+2*A248/1000</f>
        <v>0.60599999999999998</v>
      </c>
      <c r="C248" s="6">
        <f>首页!$B$7+273.15</f>
        <v>388.15</v>
      </c>
      <c r="D248" s="6">
        <f>首页!$B$6+273.15</f>
        <v>293.14999999999998</v>
      </c>
      <c r="E248" s="6">
        <f>首页!$B$5+273.15</f>
        <v>1373.15</v>
      </c>
      <c r="F248" s="6">
        <f t="shared" si="30"/>
        <v>95</v>
      </c>
      <c r="G248" s="6">
        <f t="shared" si="31"/>
        <v>340.65</v>
      </c>
      <c r="H248" s="6">
        <f t="shared" si="32"/>
        <v>1.9926207055139041E-5</v>
      </c>
      <c r="I248" s="7">
        <f t="shared" si="33"/>
        <v>1158916576932337.8</v>
      </c>
      <c r="J248" s="6">
        <f t="shared" si="34"/>
        <v>1.0226038455893147</v>
      </c>
      <c r="K248" s="7">
        <f>J248*H248*首页!$B$12/P248</f>
        <v>0.69532757496605813</v>
      </c>
      <c r="L248" s="6">
        <f>首页!$B$9*0.0000000567*((C248^4-D248^4)/(C248-D248))</f>
        <v>7.7687338005019564</v>
      </c>
      <c r="M248" s="6">
        <f>IF(首页!$B$13="自然对流",IF(首页!$B$14="立式圆筒",首页!$B$10,PI()*B248/2),PI()*B248/2)</f>
        <v>55.2</v>
      </c>
      <c r="N248" s="7">
        <f>IF(首页!$B$13="强制对流",首页!$B$11*M248/H248,0)</f>
        <v>0</v>
      </c>
      <c r="O248" s="7">
        <f>IF(首页!$B$13="自然对流",IF(首页!$B$14="立式圆筒",(0.825+0.3063*I248^(1/6))^2+0.87*(M248/B248),(0.752+0.303*I248^(1/6))^2),0.3+SQRT((0.592*N248^0.5)^2+(0.0262*N248^0.8/(1-0.5/N248^0.1))^2))</f>
        <v>10098.455027687374</v>
      </c>
      <c r="P248" s="6">
        <f t="shared" si="35"/>
        <v>2.9510194925512497E-2</v>
      </c>
      <c r="Q248" s="6">
        <f t="shared" si="36"/>
        <v>5.3986843535068134</v>
      </c>
      <c r="R248" s="6">
        <f t="shared" si="37"/>
        <v>13.16741815400877</v>
      </c>
      <c r="S248" s="6">
        <f>IF($Y$2="按单位面积散热损失 qp",B248*LN(B248/首页!$B$4),LN(B248/首页!$B$4))</f>
        <v>0.98134927543208461</v>
      </c>
      <c r="T248" s="6">
        <f>IF($Y$2="按单位面积散热损失 qp",2*PI()*首页!$B$8*((E248-D248)/$Y$3-1/R248),2*PI()*首页!$B$8*((E248-D248)/$Y$4-1/(PI()*B248*R248)))</f>
        <v>4.0826777627855679E-2</v>
      </c>
      <c r="U248" t="str">
        <f t="shared" si="38"/>
        <v>按单位面积散热损失 qp</v>
      </c>
      <c r="V248" s="6">
        <f t="shared" si="39"/>
        <v>0.94052249780422892</v>
      </c>
    </row>
    <row r="249" spans="1:22" x14ac:dyDescent="0.15">
      <c r="A249">
        <v>244</v>
      </c>
      <c r="B249" s="6">
        <f>首页!$B$4+2*A249/1000</f>
        <v>0.60799999999999998</v>
      </c>
      <c r="C249" s="6">
        <f>首页!$B$7+273.15</f>
        <v>388.15</v>
      </c>
      <c r="D249" s="6">
        <f>首页!$B$6+273.15</f>
        <v>293.14999999999998</v>
      </c>
      <c r="E249" s="6">
        <f>首页!$B$5+273.15</f>
        <v>1373.15</v>
      </c>
      <c r="F249" s="6">
        <f t="shared" si="30"/>
        <v>95</v>
      </c>
      <c r="G249" s="6">
        <f t="shared" si="31"/>
        <v>340.65</v>
      </c>
      <c r="H249" s="6">
        <f t="shared" si="32"/>
        <v>1.9926207055139041E-5</v>
      </c>
      <c r="I249" s="7">
        <f t="shared" si="33"/>
        <v>1158916576932337.8</v>
      </c>
      <c r="J249" s="6">
        <f t="shared" si="34"/>
        <v>1.0226038455893147</v>
      </c>
      <c r="K249" s="7">
        <f>J249*H249*首页!$B$12/P249</f>
        <v>0.69532757496605813</v>
      </c>
      <c r="L249" s="6">
        <f>首页!$B$9*0.0000000567*((C249^4-D249^4)/(C249-D249))</f>
        <v>7.7687338005019564</v>
      </c>
      <c r="M249" s="6">
        <f>IF(首页!$B$13="自然对流",IF(首页!$B$14="立式圆筒",首页!$B$10,PI()*B249/2),PI()*B249/2)</f>
        <v>55.2</v>
      </c>
      <c r="N249" s="7">
        <f>IF(首页!$B$13="强制对流",首页!$B$11*M249/H249,0)</f>
        <v>0</v>
      </c>
      <c r="O249" s="7">
        <f>IF(首页!$B$13="自然对流",IF(首页!$B$14="立式圆筒",(0.825+0.3063*I249^(1/6))^2+0.87*(M249/B249),(0.752+0.303*I249^(1/6))^2),0.3+SQRT((0.592*N249^0.5)^2+(0.0262*N249^0.8/(1-0.5/N249^0.1))^2))</f>
        <v>10098.194345040163</v>
      </c>
      <c r="P249" s="6">
        <f t="shared" si="35"/>
        <v>2.9510194925512497E-2</v>
      </c>
      <c r="Q249" s="6">
        <f t="shared" si="36"/>
        <v>5.3985449912652754</v>
      </c>
      <c r="R249" s="6">
        <f t="shared" si="37"/>
        <v>13.167278791767231</v>
      </c>
      <c r="S249" s="6">
        <f>IF($Y$2="按单位面积散热损失 qp",B249*LN(B249/首页!$B$4),LN(B249/首页!$B$4))</f>
        <v>0.98659134862394549</v>
      </c>
      <c r="T249" s="6">
        <f>IF($Y$2="按单位面积散热损失 qp",2*PI()*首页!$B$8*((E249-D249)/$Y$3-1/R249),2*PI()*首页!$B$8*((E249-D249)/$Y$4-1/(PI()*B249*R249)))</f>
        <v>4.082655035851785E-2</v>
      </c>
      <c r="U249" t="str">
        <f t="shared" si="38"/>
        <v>按单位面积散热损失 qp</v>
      </c>
      <c r="V249" s="6">
        <f t="shared" si="39"/>
        <v>0.94576479826542759</v>
      </c>
    </row>
    <row r="250" spans="1:22" x14ac:dyDescent="0.15">
      <c r="A250">
        <v>245</v>
      </c>
      <c r="B250" s="6">
        <f>首页!$B$4+2*A250/1000</f>
        <v>0.61</v>
      </c>
      <c r="C250" s="6">
        <f>首页!$B$7+273.15</f>
        <v>388.15</v>
      </c>
      <c r="D250" s="6">
        <f>首页!$B$6+273.15</f>
        <v>293.14999999999998</v>
      </c>
      <c r="E250" s="6">
        <f>首页!$B$5+273.15</f>
        <v>1373.15</v>
      </c>
      <c r="F250" s="6">
        <f t="shared" si="30"/>
        <v>95</v>
      </c>
      <c r="G250" s="6">
        <f t="shared" si="31"/>
        <v>340.65</v>
      </c>
      <c r="H250" s="6">
        <f t="shared" si="32"/>
        <v>1.9926207055139041E-5</v>
      </c>
      <c r="I250" s="7">
        <f t="shared" si="33"/>
        <v>1158916576932337.8</v>
      </c>
      <c r="J250" s="6">
        <f t="shared" si="34"/>
        <v>1.0226038455893147</v>
      </c>
      <c r="K250" s="7">
        <f>J250*H250*首页!$B$12/P250</f>
        <v>0.69532757496605813</v>
      </c>
      <c r="L250" s="6">
        <f>首页!$B$9*0.0000000567*((C250^4-D250^4)/(C250-D250))</f>
        <v>7.7687338005019564</v>
      </c>
      <c r="M250" s="6">
        <f>IF(首页!$B$13="自然对流",IF(首页!$B$14="立式圆筒",首页!$B$10,PI()*B250/2),PI()*B250/2)</f>
        <v>55.2</v>
      </c>
      <c r="N250" s="7">
        <f>IF(首页!$B$13="强制对流",首页!$B$11*M250/H250,0)</f>
        <v>0</v>
      </c>
      <c r="O250" s="7">
        <f>IF(首页!$B$13="自然对流",IF(首页!$B$14="立式圆筒",(0.825+0.3063*I250^(1/6))^2+0.87*(M250/B250),(0.752+0.303*I250^(1/6))^2),0.3+SQRT((0.592*N250^0.5)^2+(0.0262*N250^0.8/(1-0.5/N250^0.1))^2))</f>
        <v>10097.935371787358</v>
      </c>
      <c r="P250" s="6">
        <f t="shared" si="35"/>
        <v>2.9510194925512497E-2</v>
      </c>
      <c r="Q250" s="6">
        <f t="shared" si="36"/>
        <v>5.3984065428745005</v>
      </c>
      <c r="R250" s="6">
        <f t="shared" si="37"/>
        <v>13.167140343376456</v>
      </c>
      <c r="S250" s="6">
        <f>IF($Y$2="按单位面积散热损失 qp",B250*LN(B250/首页!$B$4),LN(B250/首页!$B$4))</f>
        <v>0.99184000077503953</v>
      </c>
      <c r="T250" s="6">
        <f>IF($Y$2="按单位面积散热损失 qp",2*PI()*首页!$B$8*((E250-D250)/$Y$3-1/R250),2*PI()*首页!$B$8*((E250-D250)/$Y$4-1/(PI()*B250*R250)))</f>
        <v>4.0826324574707099E-2</v>
      </c>
      <c r="U250" t="str">
        <f t="shared" si="38"/>
        <v>按单位面积散热损失 qp</v>
      </c>
      <c r="V250" s="6">
        <f t="shared" si="39"/>
        <v>0.95101367620033239</v>
      </c>
    </row>
    <row r="251" spans="1:22" x14ac:dyDescent="0.15">
      <c r="A251">
        <v>246</v>
      </c>
      <c r="B251" s="6">
        <f>首页!$B$4+2*A251/1000</f>
        <v>0.61199999999999999</v>
      </c>
      <c r="C251" s="6">
        <f>首页!$B$7+273.15</f>
        <v>388.15</v>
      </c>
      <c r="D251" s="6">
        <f>首页!$B$6+273.15</f>
        <v>293.14999999999998</v>
      </c>
      <c r="E251" s="6">
        <f>首页!$B$5+273.15</f>
        <v>1373.15</v>
      </c>
      <c r="F251" s="6">
        <f t="shared" si="30"/>
        <v>95</v>
      </c>
      <c r="G251" s="6">
        <f t="shared" si="31"/>
        <v>340.65</v>
      </c>
      <c r="H251" s="6">
        <f t="shared" si="32"/>
        <v>1.9926207055139041E-5</v>
      </c>
      <c r="I251" s="7">
        <f t="shared" si="33"/>
        <v>1158916576932337.8</v>
      </c>
      <c r="J251" s="6">
        <f t="shared" si="34"/>
        <v>1.0226038455893147</v>
      </c>
      <c r="K251" s="7">
        <f>J251*H251*首页!$B$12/P251</f>
        <v>0.69532757496605813</v>
      </c>
      <c r="L251" s="6">
        <f>首页!$B$9*0.0000000567*((C251^4-D251^4)/(C251-D251))</f>
        <v>7.7687338005019564</v>
      </c>
      <c r="M251" s="6">
        <f>IF(首页!$B$13="自然对流",IF(首页!$B$14="立式圆筒",首页!$B$10,PI()*B251/2),PI()*B251/2)</f>
        <v>55.2</v>
      </c>
      <c r="N251" s="7">
        <f>IF(首页!$B$13="强制对流",首页!$B$11*M251/H251,0)</f>
        <v>0</v>
      </c>
      <c r="O251" s="7">
        <f>IF(首页!$B$13="自然对流",IF(首页!$B$14="立式圆筒",(0.825+0.3063*I251^(1/6))^2+0.87*(M251/B251),(0.752+0.303*I251^(1/6))^2),0.3+SQRT((0.592*N251^0.5)^2+(0.0262*N251^0.8/(1-0.5/N251^0.1))^2))</f>
        <v>10097.678091170194</v>
      </c>
      <c r="P251" s="6">
        <f t="shared" si="35"/>
        <v>2.9510194925512497E-2</v>
      </c>
      <c r="Q251" s="6">
        <f t="shared" si="36"/>
        <v>5.3982689993751691</v>
      </c>
      <c r="R251" s="6">
        <f t="shared" si="37"/>
        <v>13.167002799877125</v>
      </c>
      <c r="S251" s="6">
        <f>IF($Y$2="按单位面积散热损失 qp",B251*LN(B251/首页!$B$4),LN(B251/首页!$B$4))</f>
        <v>0.99709521031493153</v>
      </c>
      <c r="T251" s="6">
        <f>IF($Y$2="按单位面积散热损失 qp",2*PI()*首页!$B$8*((E251-D251)/$Y$3-1/R251),2*PI()*首页!$B$8*((E251-D251)/$Y$4-1/(PI()*B251*R251)))</f>
        <v>4.0826100261905834E-2</v>
      </c>
      <c r="U251" t="str">
        <f t="shared" si="38"/>
        <v>按单位面积散热损失 qp</v>
      </c>
      <c r="V251" s="6">
        <f t="shared" si="39"/>
        <v>0.95626911005302573</v>
      </c>
    </row>
    <row r="252" spans="1:22" x14ac:dyDescent="0.15">
      <c r="A252">
        <v>247</v>
      </c>
      <c r="B252" s="6">
        <f>首页!$B$4+2*A252/1000</f>
        <v>0.61399999999999999</v>
      </c>
      <c r="C252" s="6">
        <f>首页!$B$7+273.15</f>
        <v>388.15</v>
      </c>
      <c r="D252" s="6">
        <f>首页!$B$6+273.15</f>
        <v>293.14999999999998</v>
      </c>
      <c r="E252" s="6">
        <f>首页!$B$5+273.15</f>
        <v>1373.15</v>
      </c>
      <c r="F252" s="6">
        <f t="shared" si="30"/>
        <v>95</v>
      </c>
      <c r="G252" s="6">
        <f t="shared" si="31"/>
        <v>340.65</v>
      </c>
      <c r="H252" s="6">
        <f t="shared" si="32"/>
        <v>1.9926207055139041E-5</v>
      </c>
      <c r="I252" s="7">
        <f t="shared" si="33"/>
        <v>1158916576932337.8</v>
      </c>
      <c r="J252" s="6">
        <f t="shared" si="34"/>
        <v>1.0226038455893147</v>
      </c>
      <c r="K252" s="7">
        <f>J252*H252*首页!$B$12/P252</f>
        <v>0.69532757496605813</v>
      </c>
      <c r="L252" s="6">
        <f>首页!$B$9*0.0000000567*((C252^4-D252^4)/(C252-D252))</f>
        <v>7.7687338005019564</v>
      </c>
      <c r="M252" s="6">
        <f>IF(首页!$B$13="自然对流",IF(首页!$B$14="立式圆筒",首页!$B$10,PI()*B252/2),PI()*B252/2)</f>
        <v>55.2</v>
      </c>
      <c r="N252" s="7">
        <f>IF(首页!$B$13="强制对流",首页!$B$11*M252/H252,0)</f>
        <v>0</v>
      </c>
      <c r="O252" s="7">
        <f>IF(首页!$B$13="自然对流",IF(首页!$B$14="立式圆筒",(0.825+0.3063*I252^(1/6))^2+0.87*(M252/B252),(0.752+0.303*I252^(1/6))^2),0.3+SQRT((0.592*N252^0.5)^2+(0.0262*N252^0.8/(1-0.5/N252^0.1))^2))</f>
        <v>10097.422486648255</v>
      </c>
      <c r="P252" s="6">
        <f t="shared" si="35"/>
        <v>2.9510194925512497E-2</v>
      </c>
      <c r="Q252" s="6">
        <f t="shared" si="36"/>
        <v>5.3981323519246933</v>
      </c>
      <c r="R252" s="6">
        <f t="shared" si="37"/>
        <v>13.16686615242665</v>
      </c>
      <c r="S252" s="6">
        <f>IF($Y$2="按单位面积散热损失 qp",B252*LN(B252/首页!$B$4),LN(B252/首页!$B$4))</f>
        <v>1.0023569558141694</v>
      </c>
      <c r="T252" s="6">
        <f>IF($Y$2="按单位面积散热损失 qp",2*PI()*首页!$B$8*((E252-D252)/$Y$3-1/R252),2*PI()*首页!$B$8*((E252-D252)/$Y$4-1/(PI()*B252*R252)))</f>
        <v>4.082587740578502E-2</v>
      </c>
      <c r="U252" t="str">
        <f t="shared" si="38"/>
        <v>按单位面积散热损失 qp</v>
      </c>
      <c r="V252" s="6">
        <f t="shared" si="39"/>
        <v>0.96153107840838437</v>
      </c>
    </row>
    <row r="253" spans="1:22" x14ac:dyDescent="0.15">
      <c r="A253">
        <v>248</v>
      </c>
      <c r="B253" s="6">
        <f>首页!$B$4+2*A253/1000</f>
        <v>0.61599999999999999</v>
      </c>
      <c r="C253" s="6">
        <f>首页!$B$7+273.15</f>
        <v>388.15</v>
      </c>
      <c r="D253" s="6">
        <f>首页!$B$6+273.15</f>
        <v>293.14999999999998</v>
      </c>
      <c r="E253" s="6">
        <f>首页!$B$5+273.15</f>
        <v>1373.15</v>
      </c>
      <c r="F253" s="6">
        <f t="shared" si="30"/>
        <v>95</v>
      </c>
      <c r="G253" s="6">
        <f t="shared" si="31"/>
        <v>340.65</v>
      </c>
      <c r="H253" s="6">
        <f t="shared" si="32"/>
        <v>1.9926207055139041E-5</v>
      </c>
      <c r="I253" s="7">
        <f t="shared" si="33"/>
        <v>1158916576932337.8</v>
      </c>
      <c r="J253" s="6">
        <f t="shared" si="34"/>
        <v>1.0226038455893147</v>
      </c>
      <c r="K253" s="7">
        <f>J253*H253*首页!$B$12/P253</f>
        <v>0.69532757496605813</v>
      </c>
      <c r="L253" s="6">
        <f>首页!$B$9*0.0000000567*((C253^4-D253^4)/(C253-D253))</f>
        <v>7.7687338005019564</v>
      </c>
      <c r="M253" s="6">
        <f>IF(首页!$B$13="自然对流",IF(首页!$B$14="立式圆筒",首页!$B$10,PI()*B253/2),PI()*B253/2)</f>
        <v>55.2</v>
      </c>
      <c r="N253" s="7">
        <f>IF(首页!$B$13="强制对流",首页!$B$11*M253/H253,0)</f>
        <v>0</v>
      </c>
      <c r="O253" s="7">
        <f>IF(首页!$B$13="自然对流",IF(首页!$B$14="立式圆筒",(0.825+0.3063*I253^(1/6))^2+0.87*(M253/B253),(0.752+0.303*I253^(1/6))^2),0.3+SQRT((0.592*N253^0.5)^2+(0.0262*N253^0.8/(1-0.5/N253^0.1))^2))</f>
        <v>10097.168541895939</v>
      </c>
      <c r="P253" s="6">
        <f t="shared" si="35"/>
        <v>2.9510194925512497E-2</v>
      </c>
      <c r="Q253" s="6">
        <f t="shared" si="36"/>
        <v>5.3979965917953248</v>
      </c>
      <c r="R253" s="6">
        <f t="shared" si="37"/>
        <v>13.166730392297282</v>
      </c>
      <c r="S253" s="6">
        <f>IF($Y$2="按单位面积散热损失 qp",B253*LN(B253/首页!$B$4),LN(B253/首页!$B$4))</f>
        <v>1.0076252159829078</v>
      </c>
      <c r="T253" s="6">
        <f>IF($Y$2="按单位面积散热损失 qp",2*PI()*首页!$B$8*((E253-D253)/$Y$3-1/R253),2*PI()*首页!$B$8*((E253-D253)/$Y$4-1/(PI()*B253*R253)))</f>
        <v>4.0825655992201129E-2</v>
      </c>
      <c r="U253" t="str">
        <f t="shared" si="38"/>
        <v>按单位面积散热损失 qp</v>
      </c>
      <c r="V253" s="6">
        <f t="shared" si="39"/>
        <v>0.96679955999070666</v>
      </c>
    </row>
    <row r="254" spans="1:22" x14ac:dyDescent="0.15">
      <c r="A254">
        <v>249</v>
      </c>
      <c r="B254" s="6">
        <f>首页!$B$4+2*A254/1000</f>
        <v>0.61799999999999999</v>
      </c>
      <c r="C254" s="6">
        <f>首页!$B$7+273.15</f>
        <v>388.15</v>
      </c>
      <c r="D254" s="6">
        <f>首页!$B$6+273.15</f>
        <v>293.14999999999998</v>
      </c>
      <c r="E254" s="6">
        <f>首页!$B$5+273.15</f>
        <v>1373.15</v>
      </c>
      <c r="F254" s="6">
        <f t="shared" si="30"/>
        <v>95</v>
      </c>
      <c r="G254" s="6">
        <f t="shared" si="31"/>
        <v>340.65</v>
      </c>
      <c r="H254" s="6">
        <f t="shared" si="32"/>
        <v>1.9926207055139041E-5</v>
      </c>
      <c r="I254" s="7">
        <f t="shared" si="33"/>
        <v>1158916576932337.8</v>
      </c>
      <c r="J254" s="6">
        <f t="shared" si="34"/>
        <v>1.0226038455893147</v>
      </c>
      <c r="K254" s="7">
        <f>J254*H254*首页!$B$12/P254</f>
        <v>0.69532757496605813</v>
      </c>
      <c r="L254" s="6">
        <f>首页!$B$9*0.0000000567*((C254^4-D254^4)/(C254-D254))</f>
        <v>7.7687338005019564</v>
      </c>
      <c r="M254" s="6">
        <f>IF(首页!$B$13="自然对流",IF(首页!$B$14="立式圆筒",首页!$B$10,PI()*B254/2),PI()*B254/2)</f>
        <v>55.2</v>
      </c>
      <c r="N254" s="7">
        <f>IF(首页!$B$13="强制对流",首页!$B$11*M254/H254,0)</f>
        <v>0</v>
      </c>
      <c r="O254" s="7">
        <f>IF(首页!$B$13="自然对流",IF(首页!$B$14="立式圆筒",(0.825+0.3063*I254^(1/6))^2+0.87*(M254/B254),(0.752+0.303*I254^(1/6))^2),0.3+SQRT((0.592*N254^0.5)^2+(0.0262*N254^0.8/(1-0.5/N254^0.1))^2))</f>
        <v>10096.916240798977</v>
      </c>
      <c r="P254" s="6">
        <f t="shared" si="35"/>
        <v>2.9510194925512497E-2</v>
      </c>
      <c r="Q254" s="6">
        <f t="shared" si="36"/>
        <v>5.397861710372295</v>
      </c>
      <c r="R254" s="6">
        <f t="shared" si="37"/>
        <v>13.166595510874252</v>
      </c>
      <c r="S254" s="6">
        <f>IF($Y$2="按单位面积散热损失 qp",B254*LN(B254/首页!$B$4),LN(B254/首页!$B$4))</f>
        <v>1.0128999696695484</v>
      </c>
      <c r="T254" s="6">
        <f>IF($Y$2="按单位面积散热损失 qp",2*PI()*首页!$B$8*((E254-D254)/$Y$3-1/R254),2*PI()*首页!$B$8*((E254-D254)/$Y$4-1/(PI()*B254*R254)))</f>
        <v>4.0825436007193121E-2</v>
      </c>
      <c r="U254" t="str">
        <f t="shared" si="38"/>
        <v>按单位面积散热损失 qp</v>
      </c>
      <c r="V254" s="6">
        <f t="shared" si="39"/>
        <v>0.9720745336623553</v>
      </c>
    </row>
    <row r="255" spans="1:22" x14ac:dyDescent="0.15">
      <c r="A255">
        <v>250</v>
      </c>
      <c r="B255" s="6">
        <f>首页!$B$4+2*A255/1000</f>
        <v>0.62</v>
      </c>
      <c r="C255" s="6">
        <f>首页!$B$7+273.15</f>
        <v>388.15</v>
      </c>
      <c r="D255" s="6">
        <f>首页!$B$6+273.15</f>
        <v>293.14999999999998</v>
      </c>
      <c r="E255" s="6">
        <f>首页!$B$5+273.15</f>
        <v>1373.15</v>
      </c>
      <c r="F255" s="6">
        <f t="shared" si="30"/>
        <v>95</v>
      </c>
      <c r="G255" s="6">
        <f t="shared" si="31"/>
        <v>340.65</v>
      </c>
      <c r="H255" s="6">
        <f t="shared" si="32"/>
        <v>1.9926207055139041E-5</v>
      </c>
      <c r="I255" s="7">
        <f t="shared" si="33"/>
        <v>1158916576932337.8</v>
      </c>
      <c r="J255" s="6">
        <f t="shared" si="34"/>
        <v>1.0226038455893147</v>
      </c>
      <c r="K255" s="7">
        <f>J255*H255*首页!$B$12/P255</f>
        <v>0.69532757496605813</v>
      </c>
      <c r="L255" s="6">
        <f>首页!$B$9*0.0000000567*((C255^4-D255^4)/(C255-D255))</f>
        <v>7.7687338005019564</v>
      </c>
      <c r="M255" s="6">
        <f>IF(首页!$B$13="自然对流",IF(首页!$B$14="立式圆筒",首页!$B$10,PI()*B255/2),PI()*B255/2)</f>
        <v>55.2</v>
      </c>
      <c r="N255" s="7">
        <f>IF(首页!$B$13="强制对流",首页!$B$11*M255/H255,0)</f>
        <v>0</v>
      </c>
      <c r="O255" s="7">
        <f>IF(首页!$B$13="自然对流",IF(首页!$B$14="立式圆筒",(0.825+0.3063*I255^(1/6))^2+0.87*(M255/B255),(0.752+0.303*I255^(1/6))^2),0.3+SQRT((0.592*N255^0.5)^2+(0.0262*N255^0.8/(1-0.5/N255^0.1))^2))</f>
        <v>10096.665567451029</v>
      </c>
      <c r="P255" s="6">
        <f t="shared" si="35"/>
        <v>2.9510194925512497E-2</v>
      </c>
      <c r="Q255" s="6">
        <f t="shared" si="36"/>
        <v>5.3977276991519938</v>
      </c>
      <c r="R255" s="6">
        <f t="shared" si="37"/>
        <v>13.16646149965395</v>
      </c>
      <c r="S255" s="6">
        <f>IF($Y$2="按单位面积散热损失 qp",B255*LN(B255/首页!$B$4),LN(B255/首页!$B$4))</f>
        <v>1.0181811958593967</v>
      </c>
      <c r="T255" s="6">
        <f>IF($Y$2="按单位面积散热损失 qp",2*PI()*首页!$B$8*((E255-D255)/$Y$3-1/R255),2*PI()*首页!$B$8*((E255-D255)/$Y$4-1/(PI()*B255*R255)))</f>
        <v>4.0825217436979575E-2</v>
      </c>
      <c r="U255" t="str">
        <f t="shared" si="38"/>
        <v>按单位面积散热损失 qp</v>
      </c>
      <c r="V255" s="6">
        <f t="shared" si="39"/>
        <v>0.97735597842241717</v>
      </c>
    </row>
    <row r="256" spans="1:22" x14ac:dyDescent="0.15">
      <c r="A256">
        <v>251</v>
      </c>
      <c r="B256" s="6">
        <f>首页!$B$4+2*A256/1000</f>
        <v>0.622</v>
      </c>
      <c r="C256" s="6">
        <f>首页!$B$7+273.15</f>
        <v>388.15</v>
      </c>
      <c r="D256" s="6">
        <f>首页!$B$6+273.15</f>
        <v>293.14999999999998</v>
      </c>
      <c r="E256" s="6">
        <f>首页!$B$5+273.15</f>
        <v>1373.15</v>
      </c>
      <c r="F256" s="6">
        <f t="shared" si="30"/>
        <v>95</v>
      </c>
      <c r="G256" s="6">
        <f t="shared" si="31"/>
        <v>340.65</v>
      </c>
      <c r="H256" s="6">
        <f t="shared" si="32"/>
        <v>1.9926207055139041E-5</v>
      </c>
      <c r="I256" s="7">
        <f t="shared" si="33"/>
        <v>1158916576932337.8</v>
      </c>
      <c r="J256" s="6">
        <f t="shared" si="34"/>
        <v>1.0226038455893147</v>
      </c>
      <c r="K256" s="7">
        <f>J256*H256*首页!$B$12/P256</f>
        <v>0.69532757496605813</v>
      </c>
      <c r="L256" s="6">
        <f>首页!$B$9*0.0000000567*((C256^4-D256^4)/(C256-D256))</f>
        <v>7.7687338005019564</v>
      </c>
      <c r="M256" s="6">
        <f>IF(首页!$B$13="自然对流",IF(首页!$B$14="立式圆筒",首页!$B$10,PI()*B256/2),PI()*B256/2)</f>
        <v>55.2</v>
      </c>
      <c r="N256" s="7">
        <f>IF(首页!$B$13="强制对流",首页!$B$11*M256/H256,0)</f>
        <v>0</v>
      </c>
      <c r="O256" s="7">
        <f>IF(首页!$B$13="自然对流",IF(首页!$B$14="立式圆筒",(0.825+0.3063*I256^(1/6))^2+0.87*(M256/B256),(0.752+0.303*I256^(1/6))^2),0.3+SQRT((0.592*N256^0.5)^2+(0.0262*N256^0.8/(1-0.5/N256^0.1))^2))</f>
        <v>10096.416506150334</v>
      </c>
      <c r="P256" s="6">
        <f t="shared" si="35"/>
        <v>2.9510194925512497E-2</v>
      </c>
      <c r="Q256" s="6">
        <f t="shared" si="36"/>
        <v>5.3975945497401847</v>
      </c>
      <c r="R256" s="6">
        <f t="shared" si="37"/>
        <v>13.166328350242141</v>
      </c>
      <c r="S256" s="6">
        <f>IF($Y$2="按单位面积散热损失 qp",B256*LN(B256/首页!$B$4),LN(B256/首页!$B$4))</f>
        <v>1.0234688736733371</v>
      </c>
      <c r="T256" s="6">
        <f>IF($Y$2="按单位面积散热损失 qp",2*PI()*首页!$B$8*((E256-D256)/$Y$3-1/R256),2*PI()*首页!$B$8*((E256-D256)/$Y$4-1/(PI()*B256*R256)))</f>
        <v>4.0825000267955713E-2</v>
      </c>
      <c r="U256" t="str">
        <f t="shared" si="38"/>
        <v>按单位面积散热损失 qp</v>
      </c>
      <c r="V256" s="6">
        <f t="shared" si="39"/>
        <v>0.98264387340538129</v>
      </c>
    </row>
    <row r="257" spans="1:22" x14ac:dyDescent="0.15">
      <c r="A257">
        <v>252</v>
      </c>
      <c r="B257" s="6">
        <f>首页!$B$4+2*A257/1000</f>
        <v>0.624</v>
      </c>
      <c r="C257" s="6">
        <f>首页!$B$7+273.15</f>
        <v>388.15</v>
      </c>
      <c r="D257" s="6">
        <f>首页!$B$6+273.15</f>
        <v>293.14999999999998</v>
      </c>
      <c r="E257" s="6">
        <f>首页!$B$5+273.15</f>
        <v>1373.15</v>
      </c>
      <c r="F257" s="6">
        <f t="shared" si="30"/>
        <v>95</v>
      </c>
      <c r="G257" s="6">
        <f t="shared" si="31"/>
        <v>340.65</v>
      </c>
      <c r="H257" s="6">
        <f t="shared" si="32"/>
        <v>1.9926207055139041E-5</v>
      </c>
      <c r="I257" s="7">
        <f t="shared" si="33"/>
        <v>1158916576932337.8</v>
      </c>
      <c r="J257" s="6">
        <f t="shared" si="34"/>
        <v>1.0226038455893147</v>
      </c>
      <c r="K257" s="7">
        <f>J257*H257*首页!$B$12/P257</f>
        <v>0.69532757496605813</v>
      </c>
      <c r="L257" s="6">
        <f>首页!$B$9*0.0000000567*((C257^4-D257^4)/(C257-D257))</f>
        <v>7.7687338005019564</v>
      </c>
      <c r="M257" s="6">
        <f>IF(首页!$B$13="自然对流",IF(首页!$B$14="立式圆筒",首页!$B$10,PI()*B257/2),PI()*B257/2)</f>
        <v>55.2</v>
      </c>
      <c r="N257" s="7">
        <f>IF(首页!$B$13="强制对流",首页!$B$11*M257/H257,0)</f>
        <v>0</v>
      </c>
      <c r="O257" s="7">
        <f>IF(首页!$B$13="自然对流",IF(首页!$B$14="立式圆筒",(0.825+0.3063*I257^(1/6))^2+0.87*(M257/B257),(0.752+0.303*I257^(1/6))^2),0.3+SQRT((0.592*N257^0.5)^2+(0.0262*N257^0.8/(1-0.5/N257^0.1))^2))</f>
        <v>10096.169041396439</v>
      </c>
      <c r="P257" s="6">
        <f t="shared" si="35"/>
        <v>2.9510194925512497E-2</v>
      </c>
      <c r="Q257" s="6">
        <f t="shared" si="36"/>
        <v>5.3974622538502448</v>
      </c>
      <c r="R257" s="6">
        <f t="shared" si="37"/>
        <v>13.166196054352202</v>
      </c>
      <c r="S257" s="6">
        <f>IF($Y$2="按单位面积散热损失 qp",B257*LN(B257/首页!$B$4),LN(B257/首页!$B$4))</f>
        <v>1.0287629823665261</v>
      </c>
      <c r="T257" s="6">
        <f>IF($Y$2="按单位面积散热损失 qp",2*PI()*首页!$B$8*((E257-D257)/$Y$3-1/R257),2*PI()*首页!$B$8*((E257-D257)/$Y$4-1/(PI()*B257*R257)))</f>
        <v>4.0824784486690677E-2</v>
      </c>
      <c r="U257" t="str">
        <f t="shared" si="38"/>
        <v>按单位面积散热损失 qp</v>
      </c>
      <c r="V257" s="6">
        <f t="shared" si="39"/>
        <v>0.98793819787983539</v>
      </c>
    </row>
    <row r="258" spans="1:22" x14ac:dyDescent="0.15">
      <c r="A258">
        <v>253</v>
      </c>
      <c r="B258" s="6">
        <f>首页!$B$4+2*A258/1000</f>
        <v>0.626</v>
      </c>
      <c r="C258" s="6">
        <f>首页!$B$7+273.15</f>
        <v>388.15</v>
      </c>
      <c r="D258" s="6">
        <f>首页!$B$6+273.15</f>
        <v>293.14999999999998</v>
      </c>
      <c r="E258" s="6">
        <f>首页!$B$5+273.15</f>
        <v>1373.15</v>
      </c>
      <c r="F258" s="6">
        <f t="shared" si="30"/>
        <v>95</v>
      </c>
      <c r="G258" s="6">
        <f t="shared" si="31"/>
        <v>340.65</v>
      </c>
      <c r="H258" s="6">
        <f t="shared" si="32"/>
        <v>1.9926207055139041E-5</v>
      </c>
      <c r="I258" s="7">
        <f t="shared" si="33"/>
        <v>1158916576932337.8</v>
      </c>
      <c r="J258" s="6">
        <f t="shared" si="34"/>
        <v>1.0226038455893147</v>
      </c>
      <c r="K258" s="7">
        <f>J258*H258*首页!$B$12/P258</f>
        <v>0.69532757496605813</v>
      </c>
      <c r="L258" s="6">
        <f>首页!$B$9*0.0000000567*((C258^4-D258^4)/(C258-D258))</f>
        <v>7.7687338005019564</v>
      </c>
      <c r="M258" s="6">
        <f>IF(首页!$B$13="自然对流",IF(首页!$B$14="立式圆筒",首页!$B$10,PI()*B258/2),PI()*B258/2)</f>
        <v>55.2</v>
      </c>
      <c r="N258" s="7">
        <f>IF(首页!$B$13="强制对流",首页!$B$11*M258/H258,0)</f>
        <v>0</v>
      </c>
      <c r="O258" s="7">
        <f>IF(首页!$B$13="自然对流",IF(首页!$B$14="立式圆筒",(0.825+0.3063*I258^(1/6))^2+0.87*(M258/B258),(0.752+0.303*I258^(1/6))^2),0.3+SQRT((0.592*N258^0.5)^2+(0.0262*N258^0.8/(1-0.5/N258^0.1))^2))</f>
        <v>10095.923157886977</v>
      </c>
      <c r="P258" s="6">
        <f t="shared" si="35"/>
        <v>2.9510194925512497E-2</v>
      </c>
      <c r="Q258" s="6">
        <f t="shared" si="36"/>
        <v>5.3973308033014558</v>
      </c>
      <c r="R258" s="6">
        <f t="shared" si="37"/>
        <v>13.166064603803413</v>
      </c>
      <c r="S258" s="6">
        <f>IF($Y$2="按单位面积散热损失 qp",B258*LN(B258/首页!$B$4),LN(B258/首页!$B$4))</f>
        <v>1.0340635013271009</v>
      </c>
      <c r="T258" s="6">
        <f>IF($Y$2="按单位面积散热损失 qp",2*PI()*首页!$B$8*((E258-D258)/$Y$3-1/R258),2*PI()*首页!$B$8*((E258-D258)/$Y$4-1/(PI()*B258*R258)))</f>
        <v>4.0824570079924696E-2</v>
      </c>
      <c r="U258" t="str">
        <f t="shared" si="38"/>
        <v>按单位面积散热损失 qp</v>
      </c>
      <c r="V258" s="6">
        <f t="shared" si="39"/>
        <v>0.99323893124717622</v>
      </c>
    </row>
    <row r="259" spans="1:22" x14ac:dyDescent="0.15">
      <c r="A259">
        <v>254</v>
      </c>
      <c r="B259" s="6">
        <f>首页!$B$4+2*A259/1000</f>
        <v>0.628</v>
      </c>
      <c r="C259" s="6">
        <f>首页!$B$7+273.15</f>
        <v>388.15</v>
      </c>
      <c r="D259" s="6">
        <f>首页!$B$6+273.15</f>
        <v>293.14999999999998</v>
      </c>
      <c r="E259" s="6">
        <f>首页!$B$5+273.15</f>
        <v>1373.15</v>
      </c>
      <c r="F259" s="6">
        <f t="shared" si="30"/>
        <v>95</v>
      </c>
      <c r="G259" s="6">
        <f t="shared" si="31"/>
        <v>340.65</v>
      </c>
      <c r="H259" s="6">
        <f t="shared" si="32"/>
        <v>1.9926207055139041E-5</v>
      </c>
      <c r="I259" s="7">
        <f t="shared" si="33"/>
        <v>1158916576932337.8</v>
      </c>
      <c r="J259" s="6">
        <f t="shared" si="34"/>
        <v>1.0226038455893147</v>
      </c>
      <c r="K259" s="7">
        <f>J259*H259*首页!$B$12/P259</f>
        <v>0.69532757496605813</v>
      </c>
      <c r="L259" s="6">
        <f>首页!$B$9*0.0000000567*((C259^4-D259^4)/(C259-D259))</f>
        <v>7.7687338005019564</v>
      </c>
      <c r="M259" s="6">
        <f>IF(首页!$B$13="自然对流",IF(首页!$B$14="立式圆筒",首页!$B$10,PI()*B259/2),PI()*B259/2)</f>
        <v>55.2</v>
      </c>
      <c r="N259" s="7">
        <f>IF(首页!$B$13="强制对流",首页!$B$11*M259/H259,0)</f>
        <v>0</v>
      </c>
      <c r="O259" s="7">
        <f>IF(首页!$B$13="自然对流",IF(首页!$B$14="立式圆筒",(0.825+0.3063*I259^(1/6))^2+0.87*(M259/B259),(0.752+0.303*I259^(1/6))^2),0.3+SQRT((0.592*N259^0.5)^2+(0.0262*N259^0.8/(1-0.5/N259^0.1))^2))</f>
        <v>10095.678840514518</v>
      </c>
      <c r="P259" s="6">
        <f t="shared" si="35"/>
        <v>2.9510194925512497E-2</v>
      </c>
      <c r="Q259" s="6">
        <f t="shared" si="36"/>
        <v>5.3972001900173074</v>
      </c>
      <c r="R259" s="6">
        <f t="shared" si="37"/>
        <v>13.165933990519264</v>
      </c>
      <c r="S259" s="6">
        <f>IF($Y$2="按单位面积散热损失 qp",B259*LN(B259/首页!$B$4),LN(B259/首页!$B$4))</f>
        <v>1.0393704100749039</v>
      </c>
      <c r="T259" s="6">
        <f>IF($Y$2="按单位面积散热损失 qp",2*PI()*首页!$B$8*((E259-D259)/$Y$3-1/R259),2*PI()*首页!$B$8*((E259-D259)/$Y$4-1/(PI()*B259*R259)))</f>
        <v>4.082435703456639E-2</v>
      </c>
      <c r="U259" t="str">
        <f t="shared" si="38"/>
        <v>按单位面积散热损失 qp</v>
      </c>
      <c r="V259" s="6">
        <f t="shared" si="39"/>
        <v>0.9985460530403375</v>
      </c>
    </row>
    <row r="260" spans="1:22" x14ac:dyDescent="0.15">
      <c r="A260">
        <v>255</v>
      </c>
      <c r="B260" s="6">
        <f>首页!$B$4+2*A260/1000</f>
        <v>0.63</v>
      </c>
      <c r="C260" s="6">
        <f>首页!$B$7+273.15</f>
        <v>388.15</v>
      </c>
      <c r="D260" s="6">
        <f>首页!$B$6+273.15</f>
        <v>293.14999999999998</v>
      </c>
      <c r="E260" s="6">
        <f>首页!$B$5+273.15</f>
        <v>1373.15</v>
      </c>
      <c r="F260" s="6">
        <f t="shared" si="30"/>
        <v>95</v>
      </c>
      <c r="G260" s="6">
        <f t="shared" si="31"/>
        <v>340.65</v>
      </c>
      <c r="H260" s="6">
        <f t="shared" si="32"/>
        <v>1.9926207055139041E-5</v>
      </c>
      <c r="I260" s="7">
        <f t="shared" si="33"/>
        <v>1158916576932337.8</v>
      </c>
      <c r="J260" s="6">
        <f t="shared" si="34"/>
        <v>1.0226038455893147</v>
      </c>
      <c r="K260" s="7">
        <f>J260*H260*首页!$B$12/P260</f>
        <v>0.69532757496605813</v>
      </c>
      <c r="L260" s="6">
        <f>首页!$B$9*0.0000000567*((C260^4-D260^4)/(C260-D260))</f>
        <v>7.7687338005019564</v>
      </c>
      <c r="M260" s="6">
        <f>IF(首页!$B$13="自然对流",IF(首页!$B$14="立式圆筒",首页!$B$10,PI()*B260/2),PI()*B260/2)</f>
        <v>55.2</v>
      </c>
      <c r="N260" s="7">
        <f>IF(首页!$B$13="强制对流",首页!$B$11*M260/H260,0)</f>
        <v>0</v>
      </c>
      <c r="O260" s="7">
        <f>IF(首页!$B$13="自然对流",IF(首页!$B$14="立式圆筒",(0.825+0.3063*I260^(1/6))^2+0.87*(M260/B260),(0.752+0.303*I260^(1/6))^2),0.3+SQRT((0.592*N260^0.5)^2+(0.0262*N260^0.8/(1-0.5/N260^0.1))^2))</f>
        <v>10095.436074363472</v>
      </c>
      <c r="P260" s="6">
        <f t="shared" si="35"/>
        <v>2.9510194925512497E-2</v>
      </c>
      <c r="Q260" s="6">
        <f t="shared" si="36"/>
        <v>5.397070406023853</v>
      </c>
      <c r="R260" s="6">
        <f t="shared" si="37"/>
        <v>13.165804206525809</v>
      </c>
      <c r="S260" s="6">
        <f>IF($Y$2="按单位面积散热损失 qp",B260*LN(B260/首页!$B$4),LN(B260/首页!$B$4))</f>
        <v>1.0446836882602255</v>
      </c>
      <c r="T260" s="6">
        <f>IF($Y$2="按单位面积散热损失 qp",2*PI()*首页!$B$8*((E260-D260)/$Y$3-1/R260),2*PI()*首页!$B$8*((E260-D260)/$Y$4-1/(PI()*B260*R260)))</f>
        <v>4.0824145337690104E-2</v>
      </c>
      <c r="U260" t="str">
        <f t="shared" si="38"/>
        <v>按单位面积散热损失 qp</v>
      </c>
      <c r="V260" s="6">
        <f t="shared" si="39"/>
        <v>1.0038595429225354</v>
      </c>
    </row>
    <row r="261" spans="1:22" x14ac:dyDescent="0.15">
      <c r="A261">
        <v>256</v>
      </c>
      <c r="B261" s="6">
        <f>首页!$B$4+2*A261/1000</f>
        <v>0.63200000000000001</v>
      </c>
      <c r="C261" s="6">
        <f>首页!$B$7+273.15</f>
        <v>388.15</v>
      </c>
      <c r="D261" s="6">
        <f>首页!$B$6+273.15</f>
        <v>293.14999999999998</v>
      </c>
      <c r="E261" s="6">
        <f>首页!$B$5+273.15</f>
        <v>1373.15</v>
      </c>
      <c r="F261" s="6">
        <f t="shared" ref="F261:F324" si="40">C261-D261</f>
        <v>95</v>
      </c>
      <c r="G261" s="6">
        <f t="shared" ref="G261:G324" si="41">(C261+D261)/2</f>
        <v>340.65</v>
      </c>
      <c r="H261" s="6">
        <f t="shared" ref="H261:H324" si="42">0.0000000042113*G261^2.5/(112+G261)</f>
        <v>1.9926207055139041E-5</v>
      </c>
      <c r="I261" s="7">
        <f t="shared" ref="I261:I324" si="43">9.81*M261^3*F261/(H261^2*G261)</f>
        <v>1158916576932337.8</v>
      </c>
      <c r="J261" s="6">
        <f t="shared" ref="J261:J324" si="44">348.35/G261</f>
        <v>1.0226038455893147</v>
      </c>
      <c r="K261" s="7">
        <f>J261*H261*首页!$B$12/P261</f>
        <v>0.69532757496605813</v>
      </c>
      <c r="L261" s="6">
        <f>首页!$B$9*0.0000000567*((C261^4-D261^4)/(C261-D261))</f>
        <v>7.7687338005019564</v>
      </c>
      <c r="M261" s="6">
        <f>IF(首页!$B$13="自然对流",IF(首页!$B$14="立式圆筒",首页!$B$10,PI()*B261/2),PI()*B261/2)</f>
        <v>55.2</v>
      </c>
      <c r="N261" s="7">
        <f>IF(首页!$B$13="强制对流",首页!$B$11*M261/H261,0)</f>
        <v>0</v>
      </c>
      <c r="O261" s="7">
        <f>IF(首页!$B$13="自然对流",IF(首页!$B$14="立式圆筒",(0.825+0.3063*I261^(1/6))^2+0.87*(M261/B261),(0.752+0.303*I261^(1/6))^2),0.3+SQRT((0.592*N261^0.5)^2+(0.0262*N261^0.8/(1-0.5/N261^0.1))^2))</f>
        <v>10095.194844707052</v>
      </c>
      <c r="P261" s="6">
        <f t="shared" ref="P261:P324" si="45">0.0243+0.000078421*(G261-273)-0.000000020755*(G261-273)^2</f>
        <v>2.9510194925512497E-2</v>
      </c>
      <c r="Q261" s="6">
        <f t="shared" ref="Q261:Q324" si="46">O261*P261/M261</f>
        <v>5.3969414434480791</v>
      </c>
      <c r="R261" s="6">
        <f t="shared" ref="R261:R324" si="47">L261+Q261</f>
        <v>13.165675243950036</v>
      </c>
      <c r="S261" s="6">
        <f>IF($Y$2="按单位面积散热损失 qp",B261*LN(B261/首页!$B$4),LN(B261/首页!$B$4))</f>
        <v>1.0500033156625608</v>
      </c>
      <c r="T261" s="6">
        <f>IF($Y$2="按单位面积散热损失 qp",2*PI()*首页!$B$8*((E261-D261)/$Y$3-1/R261),2*PI()*首页!$B$8*((E261-D261)/$Y$4-1/(PI()*B261*R261)))</f>
        <v>4.0823934976533284E-2</v>
      </c>
      <c r="U261" t="str">
        <f t="shared" ref="U261:U324" si="48">IF($Y$2="按单位面积散热损失 qp","按单位面积散热损失 qp","按单位长度散热损失 ql")</f>
        <v>按单位面积散热损失 qp</v>
      </c>
      <c r="V261" s="6">
        <f t="shared" ref="V261:V324" si="49">ABS(S261-T261)</f>
        <v>1.0091793806860274</v>
      </c>
    </row>
    <row r="262" spans="1:22" x14ac:dyDescent="0.15">
      <c r="A262">
        <v>257</v>
      </c>
      <c r="B262" s="6">
        <f>首页!$B$4+2*A262/1000</f>
        <v>0.63400000000000001</v>
      </c>
      <c r="C262" s="6">
        <f>首页!$B$7+273.15</f>
        <v>388.15</v>
      </c>
      <c r="D262" s="6">
        <f>首页!$B$6+273.15</f>
        <v>293.14999999999998</v>
      </c>
      <c r="E262" s="6">
        <f>首页!$B$5+273.15</f>
        <v>1373.15</v>
      </c>
      <c r="F262" s="6">
        <f t="shared" si="40"/>
        <v>95</v>
      </c>
      <c r="G262" s="6">
        <f t="shared" si="41"/>
        <v>340.65</v>
      </c>
      <c r="H262" s="6">
        <f t="shared" si="42"/>
        <v>1.9926207055139041E-5</v>
      </c>
      <c r="I262" s="7">
        <f t="shared" si="43"/>
        <v>1158916576932337.8</v>
      </c>
      <c r="J262" s="6">
        <f t="shared" si="44"/>
        <v>1.0226038455893147</v>
      </c>
      <c r="K262" s="7">
        <f>J262*H262*首页!$B$12/P262</f>
        <v>0.69532757496605813</v>
      </c>
      <c r="L262" s="6">
        <f>首页!$B$9*0.0000000567*((C262^4-D262^4)/(C262-D262))</f>
        <v>7.7687338005019564</v>
      </c>
      <c r="M262" s="6">
        <f>IF(首页!$B$13="自然对流",IF(首页!$B$14="立式圆筒",首页!$B$10,PI()*B262/2),PI()*B262/2)</f>
        <v>55.2</v>
      </c>
      <c r="N262" s="7">
        <f>IF(首页!$B$13="强制对流",首页!$B$11*M262/H262,0)</f>
        <v>0</v>
      </c>
      <c r="O262" s="7">
        <f>IF(首页!$B$13="自然对流",IF(首页!$B$14="立式圆筒",(0.825+0.3063*I262^(1/6))^2+0.87*(M262/B262),(0.752+0.303*I262^(1/6))^2),0.3+SQRT((0.592*N262^0.5)^2+(0.0262*N262^0.8/(1-0.5/N262^0.1))^2))</f>
        <v>10094.955137004301</v>
      </c>
      <c r="P262" s="6">
        <f t="shared" si="45"/>
        <v>2.9510194925512497E-2</v>
      </c>
      <c r="Q262" s="6">
        <f t="shared" si="46"/>
        <v>5.3968132945163152</v>
      </c>
      <c r="R262" s="6">
        <f t="shared" si="47"/>
        <v>13.165547095018272</v>
      </c>
      <c r="S262" s="6">
        <f>IF($Y$2="按单位面积散热损失 qp",B262*LN(B262/首页!$B$4),LN(B262/首页!$B$4))</f>
        <v>1.0553292721893841</v>
      </c>
      <c r="T262" s="6">
        <f>IF($Y$2="按单位面积散热损失 qp",2*PI()*首页!$B$8*((E262-D262)/$Y$3-1/R262),2*PI()*首页!$B$8*((E262-D262)/$Y$4-1/(PI()*B262*R262)))</f>
        <v>4.0823725938493954E-2</v>
      </c>
      <c r="U262" t="str">
        <f t="shared" si="48"/>
        <v>按单位面积散热损失 qp</v>
      </c>
      <c r="V262" s="6">
        <f t="shared" si="49"/>
        <v>1.0145055462508901</v>
      </c>
    </row>
    <row r="263" spans="1:22" x14ac:dyDescent="0.15">
      <c r="A263">
        <v>258</v>
      </c>
      <c r="B263" s="6">
        <f>首页!$B$4+2*A263/1000</f>
        <v>0.63600000000000001</v>
      </c>
      <c r="C263" s="6">
        <f>首页!$B$7+273.15</f>
        <v>388.15</v>
      </c>
      <c r="D263" s="6">
        <f>首页!$B$6+273.15</f>
        <v>293.14999999999998</v>
      </c>
      <c r="E263" s="6">
        <f>首页!$B$5+273.15</f>
        <v>1373.15</v>
      </c>
      <c r="F263" s="6">
        <f t="shared" si="40"/>
        <v>95</v>
      </c>
      <c r="G263" s="6">
        <f t="shared" si="41"/>
        <v>340.65</v>
      </c>
      <c r="H263" s="6">
        <f t="shared" si="42"/>
        <v>1.9926207055139041E-5</v>
      </c>
      <c r="I263" s="7">
        <f t="shared" si="43"/>
        <v>1158916576932337.8</v>
      </c>
      <c r="J263" s="6">
        <f t="shared" si="44"/>
        <v>1.0226038455893147</v>
      </c>
      <c r="K263" s="7">
        <f>J263*H263*首页!$B$12/P263</f>
        <v>0.69532757496605813</v>
      </c>
      <c r="L263" s="6">
        <f>首页!$B$9*0.0000000567*((C263^4-D263^4)/(C263-D263))</f>
        <v>7.7687338005019564</v>
      </c>
      <c r="M263" s="6">
        <f>IF(首页!$B$13="自然对流",IF(首页!$B$14="立式圆筒",首页!$B$10,PI()*B263/2),PI()*B263/2)</f>
        <v>55.2</v>
      </c>
      <c r="N263" s="7">
        <f>IF(首页!$B$13="强制对流",首页!$B$11*M263/H263,0)</f>
        <v>0</v>
      </c>
      <c r="O263" s="7">
        <f>IF(首页!$B$13="自然对流",IF(首页!$B$14="立式圆筒",(0.825+0.3063*I263^(1/6))^2+0.87*(M263/B263),(0.752+0.303*I263^(1/6))^2),0.3+SQRT((0.592*N263^0.5)^2+(0.0262*N263^0.8/(1-0.5/N263^0.1))^2))</f>
        <v>10094.716936897164</v>
      </c>
      <c r="P263" s="6">
        <f t="shared" si="45"/>
        <v>2.9510194925512497E-2</v>
      </c>
      <c r="Q263" s="6">
        <f t="shared" si="46"/>
        <v>5.3966859515526764</v>
      </c>
      <c r="R263" s="6">
        <f t="shared" si="47"/>
        <v>13.165419752054632</v>
      </c>
      <c r="S263" s="6">
        <f>IF($Y$2="按单位面积散热损失 qp",B263*LN(B263/首页!$B$4),LN(B263/首页!$B$4))</f>
        <v>1.0606615378749364</v>
      </c>
      <c r="T263" s="6">
        <f>IF($Y$2="按单位面积散热损失 qp",2*PI()*首页!$B$8*((E263-D263)/$Y$3-1/R263),2*PI()*首页!$B$8*((E263-D263)/$Y$4-1/(PI()*B263*R263)))</f>
        <v>4.0823518211128125E-2</v>
      </c>
      <c r="U263" t="str">
        <f t="shared" si="48"/>
        <v>按单位面积散热损失 qp</v>
      </c>
      <c r="V263" s="6">
        <f t="shared" si="49"/>
        <v>1.0198380196638084</v>
      </c>
    </row>
    <row r="264" spans="1:22" x14ac:dyDescent="0.15">
      <c r="A264">
        <v>259</v>
      </c>
      <c r="B264" s="6">
        <f>首页!$B$4+2*A264/1000</f>
        <v>0.63800000000000001</v>
      </c>
      <c r="C264" s="6">
        <f>首页!$B$7+273.15</f>
        <v>388.15</v>
      </c>
      <c r="D264" s="6">
        <f>首页!$B$6+273.15</f>
        <v>293.14999999999998</v>
      </c>
      <c r="E264" s="6">
        <f>首页!$B$5+273.15</f>
        <v>1373.15</v>
      </c>
      <c r="F264" s="6">
        <f t="shared" si="40"/>
        <v>95</v>
      </c>
      <c r="G264" s="6">
        <f t="shared" si="41"/>
        <v>340.65</v>
      </c>
      <c r="H264" s="6">
        <f t="shared" si="42"/>
        <v>1.9926207055139041E-5</v>
      </c>
      <c r="I264" s="7">
        <f t="shared" si="43"/>
        <v>1158916576932337.8</v>
      </c>
      <c r="J264" s="6">
        <f t="shared" si="44"/>
        <v>1.0226038455893147</v>
      </c>
      <c r="K264" s="7">
        <f>J264*H264*首页!$B$12/P264</f>
        <v>0.69532757496605813</v>
      </c>
      <c r="L264" s="6">
        <f>首页!$B$9*0.0000000567*((C264^4-D264^4)/(C264-D264))</f>
        <v>7.7687338005019564</v>
      </c>
      <c r="M264" s="6">
        <f>IF(首页!$B$13="自然对流",IF(首页!$B$14="立式圆筒",首页!$B$10,PI()*B264/2),PI()*B264/2)</f>
        <v>55.2</v>
      </c>
      <c r="N264" s="7">
        <f>IF(首页!$B$13="强制对流",首页!$B$11*M264/H264,0)</f>
        <v>0</v>
      </c>
      <c r="O264" s="7">
        <f>IF(首页!$B$13="自然对流",IF(首页!$B$14="立式圆筒",(0.825+0.3063*I264^(1/6))^2+0.87*(M264/B264),(0.752+0.303*I264^(1/6))^2),0.3+SQRT((0.592*N264^0.5)^2+(0.0262*N264^0.8/(1-0.5/N264^0.1))^2))</f>
        <v>10094.480230207628</v>
      </c>
      <c r="P264" s="6">
        <f t="shared" si="45"/>
        <v>2.9510194925512497E-2</v>
      </c>
      <c r="Q264" s="6">
        <f t="shared" si="46"/>
        <v>5.3965594069775236</v>
      </c>
      <c r="R264" s="6">
        <f t="shared" si="47"/>
        <v>13.165293207479479</v>
      </c>
      <c r="S264" s="6">
        <f>IF($Y$2="按单位面积散热损失 qp",B264*LN(B264/首页!$B$4),LN(B264/首页!$B$4))</f>
        <v>1.0660000928790307</v>
      </c>
      <c r="T264" s="6">
        <f>IF($Y$2="按单位面积散热损失 qp",2*PI()*首页!$B$8*((E264-D264)/$Y$3-1/R264),2*PI()*首页!$B$8*((E264-D264)/$Y$4-1/(PI()*B264*R264)))</f>
        <v>4.082331178214741E-2</v>
      </c>
      <c r="U264" t="str">
        <f t="shared" si="48"/>
        <v>按单位面积散热损失 qp</v>
      </c>
      <c r="V264" s="6">
        <f t="shared" si="49"/>
        <v>1.0251767810968833</v>
      </c>
    </row>
    <row r="265" spans="1:22" x14ac:dyDescent="0.15">
      <c r="A265">
        <v>260</v>
      </c>
      <c r="B265" s="6">
        <f>首页!$B$4+2*A265/1000</f>
        <v>0.64</v>
      </c>
      <c r="C265" s="6">
        <f>首页!$B$7+273.15</f>
        <v>388.15</v>
      </c>
      <c r="D265" s="6">
        <f>首页!$B$6+273.15</f>
        <v>293.14999999999998</v>
      </c>
      <c r="E265" s="6">
        <f>首页!$B$5+273.15</f>
        <v>1373.15</v>
      </c>
      <c r="F265" s="6">
        <f t="shared" si="40"/>
        <v>95</v>
      </c>
      <c r="G265" s="6">
        <f t="shared" si="41"/>
        <v>340.65</v>
      </c>
      <c r="H265" s="6">
        <f t="shared" si="42"/>
        <v>1.9926207055139041E-5</v>
      </c>
      <c r="I265" s="7">
        <f t="shared" si="43"/>
        <v>1158916576932337.8</v>
      </c>
      <c r="J265" s="6">
        <f t="shared" si="44"/>
        <v>1.0226038455893147</v>
      </c>
      <c r="K265" s="7">
        <f>J265*H265*首页!$B$12/P265</f>
        <v>0.69532757496605813</v>
      </c>
      <c r="L265" s="6">
        <f>首页!$B$9*0.0000000567*((C265^4-D265^4)/(C265-D265))</f>
        <v>7.7687338005019564</v>
      </c>
      <c r="M265" s="6">
        <f>IF(首页!$B$13="自然对流",IF(首页!$B$14="立式圆筒",首页!$B$10,PI()*B265/2),PI()*B265/2)</f>
        <v>55.2</v>
      </c>
      <c r="N265" s="7">
        <f>IF(首页!$B$13="强制对流",首页!$B$11*M265/H265,0)</f>
        <v>0</v>
      </c>
      <c r="O265" s="7">
        <f>IF(首页!$B$13="自然对流",IF(首页!$B$14="立式圆筒",(0.825+0.3063*I265^(1/6))^2+0.87*(M265/B265),(0.752+0.303*I265^(1/6))^2),0.3+SQRT((0.592*N265^0.5)^2+(0.0262*N265^0.8/(1-0.5/N265^0.1))^2))</f>
        <v>10094.2450029349</v>
      </c>
      <c r="P265" s="6">
        <f t="shared" si="45"/>
        <v>2.9510194925512497E-2</v>
      </c>
      <c r="Q265" s="6">
        <f t="shared" si="46"/>
        <v>5.3964336533059667</v>
      </c>
      <c r="R265" s="6">
        <f t="shared" si="47"/>
        <v>13.165167453807923</v>
      </c>
      <c r="S265" s="6">
        <f>IF($Y$2="按单位面积散热损失 qp",B265*LN(B265/首页!$B$4),LN(B265/首页!$B$4))</f>
        <v>1.0713449174858698</v>
      </c>
      <c r="T265" s="6">
        <f>IF($Y$2="按单位面积散热损失 qp",2*PI()*首页!$B$8*((E265-D265)/$Y$3-1/R265),2*PI()*首页!$B$8*((E265-D265)/$Y$4-1/(PI()*B265*R265)))</f>
        <v>4.0823106639416538E-2</v>
      </c>
      <c r="U265" t="str">
        <f t="shared" si="48"/>
        <v>按单位面积散热损失 qp</v>
      </c>
      <c r="V265" s="6">
        <f t="shared" si="49"/>
        <v>1.0305218108464533</v>
      </c>
    </row>
    <row r="266" spans="1:22" x14ac:dyDescent="0.15">
      <c r="A266">
        <v>261</v>
      </c>
      <c r="B266" s="6">
        <f>首页!$B$4+2*A266/1000</f>
        <v>0.64200000000000002</v>
      </c>
      <c r="C266" s="6">
        <f>首页!$B$7+273.15</f>
        <v>388.15</v>
      </c>
      <c r="D266" s="6">
        <f>首页!$B$6+273.15</f>
        <v>293.14999999999998</v>
      </c>
      <c r="E266" s="6">
        <f>首页!$B$5+273.15</f>
        <v>1373.15</v>
      </c>
      <c r="F266" s="6">
        <f t="shared" si="40"/>
        <v>95</v>
      </c>
      <c r="G266" s="6">
        <f t="shared" si="41"/>
        <v>340.65</v>
      </c>
      <c r="H266" s="6">
        <f t="shared" si="42"/>
        <v>1.9926207055139041E-5</v>
      </c>
      <c r="I266" s="7">
        <f t="shared" si="43"/>
        <v>1158916576932337.8</v>
      </c>
      <c r="J266" s="6">
        <f t="shared" si="44"/>
        <v>1.0226038455893147</v>
      </c>
      <c r="K266" s="7">
        <f>J266*H266*首页!$B$12/P266</f>
        <v>0.69532757496605813</v>
      </c>
      <c r="L266" s="6">
        <f>首页!$B$9*0.0000000567*((C266^4-D266^4)/(C266-D266))</f>
        <v>7.7687338005019564</v>
      </c>
      <c r="M266" s="6">
        <f>IF(首页!$B$13="自然对流",IF(首页!$B$14="立式圆筒",首页!$B$10,PI()*B266/2),PI()*B266/2)</f>
        <v>55.2</v>
      </c>
      <c r="N266" s="7">
        <f>IF(首页!$B$13="强制对流",首页!$B$11*M266/H266,0)</f>
        <v>0</v>
      </c>
      <c r="O266" s="7">
        <f>IF(首页!$B$13="自然对流",IF(首页!$B$14="立式圆筒",(0.825+0.3063*I266^(1/6))^2+0.87*(M266/B266),(0.752+0.303*I266^(1/6))^2),0.3+SQRT((0.592*N266^0.5)^2+(0.0262*N266^0.8/(1-0.5/N266^0.1))^2))</f>
        <v>10094.011241252656</v>
      </c>
      <c r="P266" s="6">
        <f t="shared" si="45"/>
        <v>2.9510194925512497E-2</v>
      </c>
      <c r="Q266" s="6">
        <f t="shared" si="46"/>
        <v>5.3963086831463807</v>
      </c>
      <c r="R266" s="6">
        <f t="shared" si="47"/>
        <v>13.165042483648337</v>
      </c>
      <c r="S266" s="6">
        <f>IF($Y$2="按单位面积散热损失 qp",B266*LN(B266/首页!$B$4),LN(B266/首页!$B$4))</f>
        <v>1.0766959921028816</v>
      </c>
      <c r="T266" s="6">
        <f>IF($Y$2="按单位面积散热损失 qp",2*PI()*首页!$B$8*((E266-D266)/$Y$3-1/R266),2*PI()*首页!$B$8*((E266-D266)/$Y$4-1/(PI()*B266*R266)))</f>
        <v>4.0822902770950978E-2</v>
      </c>
      <c r="U266" t="str">
        <f t="shared" si="48"/>
        <v>按单位面积散热损失 qp</v>
      </c>
      <c r="V266" s="6">
        <f t="shared" si="49"/>
        <v>1.0358730893319306</v>
      </c>
    </row>
    <row r="267" spans="1:22" x14ac:dyDescent="0.15">
      <c r="A267">
        <v>262</v>
      </c>
      <c r="B267" s="6">
        <f>首页!$B$4+2*A267/1000</f>
        <v>0.64400000000000002</v>
      </c>
      <c r="C267" s="6">
        <f>首页!$B$7+273.15</f>
        <v>388.15</v>
      </c>
      <c r="D267" s="6">
        <f>首页!$B$6+273.15</f>
        <v>293.14999999999998</v>
      </c>
      <c r="E267" s="6">
        <f>首页!$B$5+273.15</f>
        <v>1373.15</v>
      </c>
      <c r="F267" s="6">
        <f t="shared" si="40"/>
        <v>95</v>
      </c>
      <c r="G267" s="6">
        <f t="shared" si="41"/>
        <v>340.65</v>
      </c>
      <c r="H267" s="6">
        <f t="shared" si="42"/>
        <v>1.9926207055139041E-5</v>
      </c>
      <c r="I267" s="7">
        <f t="shared" si="43"/>
        <v>1158916576932337.8</v>
      </c>
      <c r="J267" s="6">
        <f t="shared" si="44"/>
        <v>1.0226038455893147</v>
      </c>
      <c r="K267" s="7">
        <f>J267*H267*首页!$B$12/P267</f>
        <v>0.69532757496605813</v>
      </c>
      <c r="L267" s="6">
        <f>首页!$B$9*0.0000000567*((C267^4-D267^4)/(C267-D267))</f>
        <v>7.7687338005019564</v>
      </c>
      <c r="M267" s="6">
        <f>IF(首页!$B$13="自然对流",IF(首页!$B$14="立式圆筒",首页!$B$10,PI()*B267/2),PI()*B267/2)</f>
        <v>55.2</v>
      </c>
      <c r="N267" s="7">
        <f>IF(首页!$B$13="强制对流",首页!$B$11*M267/H267,0)</f>
        <v>0</v>
      </c>
      <c r="O267" s="7">
        <f>IF(首页!$B$13="自然对流",IF(首页!$B$14="立式圆筒",(0.825+0.3063*I267^(1/6))^2+0.87*(M267/B267),(0.752+0.303*I267^(1/6))^2),0.3+SQRT((0.592*N267^0.5)^2+(0.0262*N267^0.8/(1-0.5/N267^0.1))^2))</f>
        <v>10093.778931506329</v>
      </c>
      <c r="P267" s="6">
        <f t="shared" si="45"/>
        <v>2.9510194925512497E-2</v>
      </c>
      <c r="Q267" s="6">
        <f t="shared" si="46"/>
        <v>5.3961844891989674</v>
      </c>
      <c r="R267" s="6">
        <f t="shared" si="47"/>
        <v>13.164918289700925</v>
      </c>
      <c r="S267" s="6">
        <f>IF($Y$2="按单位面积散热损失 qp",B267*LN(B267/首页!$B$4),LN(B267/首页!$B$4))</f>
        <v>1.0820532972595662</v>
      </c>
      <c r="T267" s="6">
        <f>IF($Y$2="按单位面积散热损失 qp",2*PI()*首页!$B$8*((E267-D267)/$Y$3-1/R267),2*PI()*首页!$B$8*((E267-D267)/$Y$4-1/(PI()*B267*R267)))</f>
        <v>4.0822700164914655E-2</v>
      </c>
      <c r="U267" t="str">
        <f t="shared" si="48"/>
        <v>按单位面积散热损失 qp</v>
      </c>
      <c r="V267" s="6">
        <f t="shared" si="49"/>
        <v>1.0412305970946516</v>
      </c>
    </row>
    <row r="268" spans="1:22" x14ac:dyDescent="0.15">
      <c r="A268">
        <v>263</v>
      </c>
      <c r="B268" s="6">
        <f>首页!$B$4+2*A268/1000</f>
        <v>0.64600000000000002</v>
      </c>
      <c r="C268" s="6">
        <f>首页!$B$7+273.15</f>
        <v>388.15</v>
      </c>
      <c r="D268" s="6">
        <f>首页!$B$6+273.15</f>
        <v>293.14999999999998</v>
      </c>
      <c r="E268" s="6">
        <f>首页!$B$5+273.15</f>
        <v>1373.15</v>
      </c>
      <c r="F268" s="6">
        <f t="shared" si="40"/>
        <v>95</v>
      </c>
      <c r="G268" s="6">
        <f t="shared" si="41"/>
        <v>340.65</v>
      </c>
      <c r="H268" s="6">
        <f t="shared" si="42"/>
        <v>1.9926207055139041E-5</v>
      </c>
      <c r="I268" s="7">
        <f t="shared" si="43"/>
        <v>1158916576932337.8</v>
      </c>
      <c r="J268" s="6">
        <f t="shared" si="44"/>
        <v>1.0226038455893147</v>
      </c>
      <c r="K268" s="7">
        <f>J268*H268*首页!$B$12/P268</f>
        <v>0.69532757496605813</v>
      </c>
      <c r="L268" s="6">
        <f>首页!$B$9*0.0000000567*((C268^4-D268^4)/(C268-D268))</f>
        <v>7.7687338005019564</v>
      </c>
      <c r="M268" s="6">
        <f>IF(首页!$B$13="自然对流",IF(首页!$B$14="立式圆筒",首页!$B$10,PI()*B268/2),PI()*B268/2)</f>
        <v>55.2</v>
      </c>
      <c r="N268" s="7">
        <f>IF(首页!$B$13="强制对流",首页!$B$11*M268/H268,0)</f>
        <v>0</v>
      </c>
      <c r="O268" s="7">
        <f>IF(首页!$B$13="自然对流",IF(首页!$B$14="立式圆筒",(0.825+0.3063*I268^(1/6))^2+0.87*(M268/B268),(0.752+0.303*I268^(1/6))^2),0.3+SQRT((0.592*N268^0.5)^2+(0.0262*N268^0.8/(1-0.5/N268^0.1))^2))</f>
        <v>10093.548060210442</v>
      </c>
      <c r="P268" s="6">
        <f t="shared" si="45"/>
        <v>2.9510194925512497E-2</v>
      </c>
      <c r="Q268" s="6">
        <f t="shared" si="46"/>
        <v>5.3960610642543241</v>
      </c>
      <c r="R268" s="6">
        <f t="shared" si="47"/>
        <v>13.164794864756281</v>
      </c>
      <c r="S268" s="6">
        <f>IF($Y$2="按单位面积散热损失 qp",B268*LN(B268/首页!$B$4),LN(B268/首页!$B$4))</f>
        <v>1.0874168136063591</v>
      </c>
      <c r="T268" s="6">
        <f>IF($Y$2="按单位面积散热损失 qp",2*PI()*首页!$B$8*((E268-D268)/$Y$3-1/R268),2*PI()*首页!$B$8*((E268-D268)/$Y$4-1/(PI()*B268*R268)))</f>
        <v>4.0822498809617615E-2</v>
      </c>
      <c r="U268" t="str">
        <f t="shared" si="48"/>
        <v>按单位面积散热损失 qp</v>
      </c>
      <c r="V268" s="6">
        <f t="shared" si="49"/>
        <v>1.0465943147967416</v>
      </c>
    </row>
    <row r="269" spans="1:22" x14ac:dyDescent="0.15">
      <c r="A269">
        <v>264</v>
      </c>
      <c r="B269" s="6">
        <f>首页!$B$4+2*A269/1000</f>
        <v>0.64800000000000002</v>
      </c>
      <c r="C269" s="6">
        <f>首页!$B$7+273.15</f>
        <v>388.15</v>
      </c>
      <c r="D269" s="6">
        <f>首页!$B$6+273.15</f>
        <v>293.14999999999998</v>
      </c>
      <c r="E269" s="6">
        <f>首页!$B$5+273.15</f>
        <v>1373.15</v>
      </c>
      <c r="F269" s="6">
        <f t="shared" si="40"/>
        <v>95</v>
      </c>
      <c r="G269" s="6">
        <f t="shared" si="41"/>
        <v>340.65</v>
      </c>
      <c r="H269" s="6">
        <f t="shared" si="42"/>
        <v>1.9926207055139041E-5</v>
      </c>
      <c r="I269" s="7">
        <f t="shared" si="43"/>
        <v>1158916576932337.8</v>
      </c>
      <c r="J269" s="6">
        <f t="shared" si="44"/>
        <v>1.0226038455893147</v>
      </c>
      <c r="K269" s="7">
        <f>J269*H269*首页!$B$12/P269</f>
        <v>0.69532757496605813</v>
      </c>
      <c r="L269" s="6">
        <f>首页!$B$9*0.0000000567*((C269^4-D269^4)/(C269-D269))</f>
        <v>7.7687338005019564</v>
      </c>
      <c r="M269" s="6">
        <f>IF(首页!$B$13="自然对流",IF(首页!$B$14="立式圆筒",首页!$B$10,PI()*B269/2),PI()*B269/2)</f>
        <v>55.2</v>
      </c>
      <c r="N269" s="7">
        <f>IF(首页!$B$13="强制对流",首页!$B$11*M269/H269,0)</f>
        <v>0</v>
      </c>
      <c r="O269" s="7">
        <f>IF(首页!$B$13="自然对流",IF(首页!$B$14="立式圆筒",(0.825+0.3063*I269^(1/6))^2+0.87*(M269/B269),(0.752+0.303*I269^(1/6))^2),0.3+SQRT((0.592*N269^0.5)^2+(0.0262*N269^0.8/(1-0.5/N269^0.1))^2))</f>
        <v>10093.318614046011</v>
      </c>
      <c r="P269" s="6">
        <f t="shared" si="45"/>
        <v>2.9510194925512497E-2</v>
      </c>
      <c r="Q269" s="6">
        <f t="shared" si="46"/>
        <v>5.3959384011920548</v>
      </c>
      <c r="R269" s="6">
        <f t="shared" si="47"/>
        <v>13.16467220169401</v>
      </c>
      <c r="S269" s="6">
        <f>IF($Y$2="按单位面积散热损失 qp",B269*LN(B269/首页!$B$4),LN(B269/首页!$B$4))</f>
        <v>1.0927865219135082</v>
      </c>
      <c r="T269" s="6">
        <f>IF($Y$2="按单位面积散热损失 qp",2*PI()*首页!$B$8*((E269-D269)/$Y$3-1/R269),2*PI()*首页!$B$8*((E269-D269)/$Y$4-1/(PI()*B269*R269)))</f>
        <v>4.0822298693513788E-2</v>
      </c>
      <c r="U269" t="str">
        <f t="shared" si="48"/>
        <v>按单位面积散热损失 qp</v>
      </c>
      <c r="V269" s="6">
        <f t="shared" si="49"/>
        <v>1.0519642232199944</v>
      </c>
    </row>
    <row r="270" spans="1:22" x14ac:dyDescent="0.15">
      <c r="A270">
        <v>265</v>
      </c>
      <c r="B270" s="6">
        <f>首页!$B$4+2*A270/1000</f>
        <v>0.65</v>
      </c>
      <c r="C270" s="6">
        <f>首页!$B$7+273.15</f>
        <v>388.15</v>
      </c>
      <c r="D270" s="6">
        <f>首页!$B$6+273.15</f>
        <v>293.14999999999998</v>
      </c>
      <c r="E270" s="6">
        <f>首页!$B$5+273.15</f>
        <v>1373.15</v>
      </c>
      <c r="F270" s="6">
        <f t="shared" si="40"/>
        <v>95</v>
      </c>
      <c r="G270" s="6">
        <f t="shared" si="41"/>
        <v>340.65</v>
      </c>
      <c r="H270" s="6">
        <f t="shared" si="42"/>
        <v>1.9926207055139041E-5</v>
      </c>
      <c r="I270" s="7">
        <f t="shared" si="43"/>
        <v>1158916576932337.8</v>
      </c>
      <c r="J270" s="6">
        <f t="shared" si="44"/>
        <v>1.0226038455893147</v>
      </c>
      <c r="K270" s="7">
        <f>J270*H270*首页!$B$12/P270</f>
        <v>0.69532757496605813</v>
      </c>
      <c r="L270" s="6">
        <f>首页!$B$9*0.0000000567*((C270^4-D270^4)/(C270-D270))</f>
        <v>7.7687338005019564</v>
      </c>
      <c r="M270" s="6">
        <f>IF(首页!$B$13="自然对流",IF(首页!$B$14="立式圆筒",首页!$B$10,PI()*B270/2),PI()*B270/2)</f>
        <v>55.2</v>
      </c>
      <c r="N270" s="7">
        <f>IF(首页!$B$13="强制对流",首页!$B$11*M270/H270,0)</f>
        <v>0</v>
      </c>
      <c r="O270" s="7">
        <f>IF(首页!$B$13="自然对流",IF(首页!$B$14="立式圆筒",(0.825+0.3063*I270^(1/6))^2+0.87*(M270/B270),(0.752+0.303*I270^(1/6))^2),0.3+SQRT((0.592*N270^0.5)^2+(0.0262*N270^0.8/(1-0.5/N270^0.1))^2))</f>
        <v>10093.090579857977</v>
      </c>
      <c r="P270" s="6">
        <f t="shared" si="45"/>
        <v>2.9510194925512497E-2</v>
      </c>
      <c r="Q270" s="6">
        <f t="shared" si="46"/>
        <v>5.3958164929793995</v>
      </c>
      <c r="R270" s="6">
        <f t="shared" si="47"/>
        <v>13.164550293481355</v>
      </c>
      <c r="S270" s="6">
        <f>IF($Y$2="按单位面积散热损失 qp",B270*LN(B270/首页!$B$4),LN(B270/首页!$B$4))</f>
        <v>1.0981624030699639</v>
      </c>
      <c r="T270" s="6">
        <f>IF($Y$2="按单位面积散热损失 qp",2*PI()*首页!$B$8*((E270-D270)/$Y$3-1/R270),2*PI()*首页!$B$8*((E270-D270)/$Y$4-1/(PI()*B270*R270)))</f>
        <v>4.0822099805198811E-2</v>
      </c>
      <c r="U270" t="str">
        <f t="shared" si="48"/>
        <v>按单位面积散热损失 qp</v>
      </c>
      <c r="V270" s="6">
        <f t="shared" si="49"/>
        <v>1.057340303264765</v>
      </c>
    </row>
    <row r="271" spans="1:22" x14ac:dyDescent="0.15">
      <c r="A271">
        <v>266</v>
      </c>
      <c r="B271" s="6">
        <f>首页!$B$4+2*A271/1000</f>
        <v>0.65200000000000002</v>
      </c>
      <c r="C271" s="6">
        <f>首页!$B$7+273.15</f>
        <v>388.15</v>
      </c>
      <c r="D271" s="6">
        <f>首页!$B$6+273.15</f>
        <v>293.14999999999998</v>
      </c>
      <c r="E271" s="6">
        <f>首页!$B$5+273.15</f>
        <v>1373.15</v>
      </c>
      <c r="F271" s="6">
        <f t="shared" si="40"/>
        <v>95</v>
      </c>
      <c r="G271" s="6">
        <f t="shared" si="41"/>
        <v>340.65</v>
      </c>
      <c r="H271" s="6">
        <f t="shared" si="42"/>
        <v>1.9926207055139041E-5</v>
      </c>
      <c r="I271" s="7">
        <f t="shared" si="43"/>
        <v>1158916576932337.8</v>
      </c>
      <c r="J271" s="6">
        <f t="shared" si="44"/>
        <v>1.0226038455893147</v>
      </c>
      <c r="K271" s="7">
        <f>J271*H271*首页!$B$12/P271</f>
        <v>0.69532757496605813</v>
      </c>
      <c r="L271" s="6">
        <f>首页!$B$9*0.0000000567*((C271^4-D271^4)/(C271-D271))</f>
        <v>7.7687338005019564</v>
      </c>
      <c r="M271" s="6">
        <f>IF(首页!$B$13="自然对流",IF(首页!$B$14="立式圆筒",首页!$B$10,PI()*B271/2),PI()*B271/2)</f>
        <v>55.2</v>
      </c>
      <c r="N271" s="7">
        <f>IF(首页!$B$13="强制对流",首页!$B$11*M271/H271,0)</f>
        <v>0</v>
      </c>
      <c r="O271" s="7">
        <f>IF(首页!$B$13="自然对流",IF(首页!$B$14="立式圆筒",(0.825+0.3063*I271^(1/6))^2+0.87*(M271/B271),(0.752+0.303*I271^(1/6))^2),0.3+SQRT((0.592*N271^0.5)^2+(0.0262*N271^0.8/(1-0.5/N271^0.1))^2))</f>
        <v>10092.86394465269</v>
      </c>
      <c r="P271" s="6">
        <f t="shared" si="45"/>
        <v>2.9510194925512497E-2</v>
      </c>
      <c r="Q271" s="6">
        <f t="shared" si="46"/>
        <v>5.395695332669888</v>
      </c>
      <c r="R271" s="6">
        <f t="shared" si="47"/>
        <v>13.164429133171843</v>
      </c>
      <c r="S271" s="6">
        <f>IF($Y$2="按单位面积散热损失 qp",B271*LN(B271/首页!$B$4),LN(B271/首页!$B$4))</f>
        <v>1.1035444380822839</v>
      </c>
      <c r="T271" s="6">
        <f>IF($Y$2="按单位面积散热损失 qp",2*PI()*首页!$B$8*((E271-D271)/$Y$3-1/R271),2*PI()*首页!$B$8*((E271-D271)/$Y$4-1/(PI()*B271*R271)))</f>
        <v>4.0821902133407785E-2</v>
      </c>
      <c r="U271" t="str">
        <f t="shared" si="48"/>
        <v>按单位面积散热损失 qp</v>
      </c>
      <c r="V271" s="6">
        <f t="shared" si="49"/>
        <v>1.0627225359488761</v>
      </c>
    </row>
    <row r="272" spans="1:22" x14ac:dyDescent="0.15">
      <c r="A272">
        <v>267</v>
      </c>
      <c r="B272" s="6">
        <f>首页!$B$4+2*A272/1000</f>
        <v>0.65400000000000003</v>
      </c>
      <c r="C272" s="6">
        <f>首页!$B$7+273.15</f>
        <v>388.15</v>
      </c>
      <c r="D272" s="6">
        <f>首页!$B$6+273.15</f>
        <v>293.14999999999998</v>
      </c>
      <c r="E272" s="6">
        <f>首页!$B$5+273.15</f>
        <v>1373.15</v>
      </c>
      <c r="F272" s="6">
        <f t="shared" si="40"/>
        <v>95</v>
      </c>
      <c r="G272" s="6">
        <f t="shared" si="41"/>
        <v>340.65</v>
      </c>
      <c r="H272" s="6">
        <f t="shared" si="42"/>
        <v>1.9926207055139041E-5</v>
      </c>
      <c r="I272" s="7">
        <f t="shared" si="43"/>
        <v>1158916576932337.8</v>
      </c>
      <c r="J272" s="6">
        <f t="shared" si="44"/>
        <v>1.0226038455893147</v>
      </c>
      <c r="K272" s="7">
        <f>J272*H272*首页!$B$12/P272</f>
        <v>0.69532757496605813</v>
      </c>
      <c r="L272" s="6">
        <f>首页!$B$9*0.0000000567*((C272^4-D272^4)/(C272-D272))</f>
        <v>7.7687338005019564</v>
      </c>
      <c r="M272" s="6">
        <f>IF(首页!$B$13="自然对流",IF(首页!$B$14="立式圆筒",首页!$B$10,PI()*B272/2),PI()*B272/2)</f>
        <v>55.2</v>
      </c>
      <c r="N272" s="7">
        <f>IF(首页!$B$13="强制对流",首页!$B$11*M272/H272,0)</f>
        <v>0</v>
      </c>
      <c r="O272" s="7">
        <f>IF(首页!$B$13="自然对流",IF(首页!$B$14="立式圆筒",(0.825+0.3063*I272^(1/6))^2+0.87*(M272/B272),(0.752+0.303*I272^(1/6))^2),0.3+SQRT((0.592*N272^0.5)^2+(0.0262*N272^0.8/(1-0.5/N272^0.1))^2))</f>
        <v>10092.638695595449</v>
      </c>
      <c r="P272" s="6">
        <f t="shared" si="45"/>
        <v>2.9510194925512497E-2</v>
      </c>
      <c r="Q272" s="6">
        <f t="shared" si="46"/>
        <v>5.3955749134020268</v>
      </c>
      <c r="R272" s="6">
        <f t="shared" si="47"/>
        <v>13.164308713903983</v>
      </c>
      <c r="S272" s="6">
        <f>IF($Y$2="按单位面积散热损失 qp",B272*LN(B272/首页!$B$4),LN(B272/首页!$B$4))</f>
        <v>1.10893260807355</v>
      </c>
      <c r="T272" s="6">
        <f>IF($Y$2="按单位面积散热损失 qp",2*PI()*首页!$B$8*((E272-D272)/$Y$3-1/R272),2*PI()*首页!$B$8*((E272-D272)/$Y$4-1/(PI()*B272*R272)))</f>
        <v>4.0821705667013229E-2</v>
      </c>
      <c r="U272" t="str">
        <f t="shared" si="48"/>
        <v>按单位面积散热损失 qp</v>
      </c>
      <c r="V272" s="6">
        <f t="shared" si="49"/>
        <v>1.0681109024065367</v>
      </c>
    </row>
    <row r="273" spans="1:22" x14ac:dyDescent="0.15">
      <c r="A273">
        <v>268</v>
      </c>
      <c r="B273" s="6">
        <f>首页!$B$4+2*A273/1000</f>
        <v>0.65600000000000003</v>
      </c>
      <c r="C273" s="6">
        <f>首页!$B$7+273.15</f>
        <v>388.15</v>
      </c>
      <c r="D273" s="6">
        <f>首页!$B$6+273.15</f>
        <v>293.14999999999998</v>
      </c>
      <c r="E273" s="6">
        <f>首页!$B$5+273.15</f>
        <v>1373.15</v>
      </c>
      <c r="F273" s="6">
        <f t="shared" si="40"/>
        <v>95</v>
      </c>
      <c r="G273" s="6">
        <f t="shared" si="41"/>
        <v>340.65</v>
      </c>
      <c r="H273" s="6">
        <f t="shared" si="42"/>
        <v>1.9926207055139041E-5</v>
      </c>
      <c r="I273" s="7">
        <f t="shared" si="43"/>
        <v>1158916576932337.8</v>
      </c>
      <c r="J273" s="6">
        <f t="shared" si="44"/>
        <v>1.0226038455893147</v>
      </c>
      <c r="K273" s="7">
        <f>J273*H273*首页!$B$12/P273</f>
        <v>0.69532757496605813</v>
      </c>
      <c r="L273" s="6">
        <f>首页!$B$9*0.0000000567*((C273^4-D273^4)/(C273-D273))</f>
        <v>7.7687338005019564</v>
      </c>
      <c r="M273" s="6">
        <f>IF(首页!$B$13="自然对流",IF(首页!$B$14="立式圆筒",首页!$B$10,PI()*B273/2),PI()*B273/2)</f>
        <v>55.2</v>
      </c>
      <c r="N273" s="7">
        <f>IF(首页!$B$13="强制对流",首页!$B$11*M273/H273,0)</f>
        <v>0</v>
      </c>
      <c r="O273" s="7">
        <f>IF(首页!$B$13="自然对流",IF(首页!$B$14="立式圆筒",(0.825+0.3063*I273^(1/6))^2+0.87*(M273/B273),(0.752+0.303*I273^(1/6))^2),0.3+SQRT((0.592*N273^0.5)^2+(0.0262*N273^0.8/(1-0.5/N273^0.1))^2))</f>
        <v>10092.414820008071</v>
      </c>
      <c r="P273" s="6">
        <f t="shared" si="45"/>
        <v>2.9510194925512497E-2</v>
      </c>
      <c r="Q273" s="6">
        <f t="shared" si="46"/>
        <v>5.395455228397994</v>
      </c>
      <c r="R273" s="6">
        <f t="shared" si="47"/>
        <v>13.164189028899951</v>
      </c>
      <c r="S273" s="6">
        <f>IF($Y$2="按单位面积散热损失 qp",B273*LN(B273/首页!$B$4),LN(B273/首页!$B$4))</f>
        <v>1.1143268942823004</v>
      </c>
      <c r="T273" s="6">
        <f>IF($Y$2="按单位面积散热损失 qp",2*PI()*首页!$B$8*((E273-D273)/$Y$3-1/R273),2*PI()*首页!$B$8*((E273-D273)/$Y$4-1/(PI()*B273*R273)))</f>
        <v>4.0821510395022957E-2</v>
      </c>
      <c r="U273" t="str">
        <f t="shared" si="48"/>
        <v>按单位面积散热损失 qp</v>
      </c>
      <c r="V273" s="6">
        <f t="shared" si="49"/>
        <v>1.0735053838872775</v>
      </c>
    </row>
    <row r="274" spans="1:22" x14ac:dyDescent="0.15">
      <c r="A274">
        <v>269</v>
      </c>
      <c r="B274" s="6">
        <f>首页!$B$4+2*A274/1000</f>
        <v>0.65800000000000003</v>
      </c>
      <c r="C274" s="6">
        <f>首页!$B$7+273.15</f>
        <v>388.15</v>
      </c>
      <c r="D274" s="6">
        <f>首页!$B$6+273.15</f>
        <v>293.14999999999998</v>
      </c>
      <c r="E274" s="6">
        <f>首页!$B$5+273.15</f>
        <v>1373.15</v>
      </c>
      <c r="F274" s="6">
        <f t="shared" si="40"/>
        <v>95</v>
      </c>
      <c r="G274" s="6">
        <f t="shared" si="41"/>
        <v>340.65</v>
      </c>
      <c r="H274" s="6">
        <f t="shared" si="42"/>
        <v>1.9926207055139041E-5</v>
      </c>
      <c r="I274" s="7">
        <f t="shared" si="43"/>
        <v>1158916576932337.8</v>
      </c>
      <c r="J274" s="6">
        <f t="shared" si="44"/>
        <v>1.0226038455893147</v>
      </c>
      <c r="K274" s="7">
        <f>J274*H274*首页!$B$12/P274</f>
        <v>0.69532757496605813</v>
      </c>
      <c r="L274" s="6">
        <f>首页!$B$9*0.0000000567*((C274^4-D274^4)/(C274-D274))</f>
        <v>7.7687338005019564</v>
      </c>
      <c r="M274" s="6">
        <f>IF(首页!$B$13="自然对流",IF(首页!$B$14="立式圆筒",首页!$B$10,PI()*B274/2),PI()*B274/2)</f>
        <v>55.2</v>
      </c>
      <c r="N274" s="7">
        <f>IF(首页!$B$13="强制对流",首页!$B$11*M274/H274,0)</f>
        <v>0</v>
      </c>
      <c r="O274" s="7">
        <f>IF(首页!$B$13="自然对流",IF(首页!$B$14="立式圆筒",(0.825+0.3063*I274^(1/6))^2+0.87*(M274/B274),(0.752+0.303*I274^(1/6))^2),0.3+SQRT((0.592*N274^0.5)^2+(0.0262*N274^0.8/(1-0.5/N274^0.1))^2))</f>
        <v>10092.19230536651</v>
      </c>
      <c r="P274" s="6">
        <f t="shared" si="45"/>
        <v>2.9510194925512497E-2</v>
      </c>
      <c r="Q274" s="6">
        <f t="shared" si="46"/>
        <v>5.3953362709623738</v>
      </c>
      <c r="R274" s="6">
        <f t="shared" si="47"/>
        <v>13.16407007146433</v>
      </c>
      <c r="S274" s="6">
        <f>IF($Y$2="按单位面积散热损失 qp",B274*LN(B274/首页!$B$4),LN(B274/首页!$B$4))</f>
        <v>1.1197272780614724</v>
      </c>
      <c r="T274" s="6">
        <f>IF($Y$2="按单位面积散热损失 qp",2*PI()*首页!$B$8*((E274-D274)/$Y$3-1/R274),2*PI()*首页!$B$8*((E274-D274)/$Y$4-1/(PI()*B274*R274)))</f>
        <v>4.0821316306578023E-2</v>
      </c>
      <c r="U274" t="str">
        <f t="shared" si="48"/>
        <v>按单位面积散热损失 qp</v>
      </c>
      <c r="V274" s="6">
        <f t="shared" si="49"/>
        <v>1.0789059617548944</v>
      </c>
    </row>
    <row r="275" spans="1:22" x14ac:dyDescent="0.15">
      <c r="A275">
        <v>270</v>
      </c>
      <c r="B275" s="6">
        <f>首页!$B$4+2*A275/1000</f>
        <v>0.66</v>
      </c>
      <c r="C275" s="6">
        <f>首页!$B$7+273.15</f>
        <v>388.15</v>
      </c>
      <c r="D275" s="6">
        <f>首页!$B$6+273.15</f>
        <v>293.14999999999998</v>
      </c>
      <c r="E275" s="6">
        <f>首页!$B$5+273.15</f>
        <v>1373.15</v>
      </c>
      <c r="F275" s="6">
        <f t="shared" si="40"/>
        <v>95</v>
      </c>
      <c r="G275" s="6">
        <f t="shared" si="41"/>
        <v>340.65</v>
      </c>
      <c r="H275" s="6">
        <f t="shared" si="42"/>
        <v>1.9926207055139041E-5</v>
      </c>
      <c r="I275" s="7">
        <f t="shared" si="43"/>
        <v>1158916576932337.8</v>
      </c>
      <c r="J275" s="6">
        <f t="shared" si="44"/>
        <v>1.0226038455893147</v>
      </c>
      <c r="K275" s="7">
        <f>J275*H275*首页!$B$12/P275</f>
        <v>0.69532757496605813</v>
      </c>
      <c r="L275" s="6">
        <f>首页!$B$9*0.0000000567*((C275^4-D275^4)/(C275-D275))</f>
        <v>7.7687338005019564</v>
      </c>
      <c r="M275" s="6">
        <f>IF(首页!$B$13="自然对流",IF(首页!$B$14="立式圆筒",首页!$B$10,PI()*B275/2),PI()*B275/2)</f>
        <v>55.2</v>
      </c>
      <c r="N275" s="7">
        <f>IF(首页!$B$13="强制对流",首页!$B$11*M275/H275,0)</f>
        <v>0</v>
      </c>
      <c r="O275" s="7">
        <f>IF(首页!$B$13="自然对流",IF(首页!$B$14="立式圆筒",(0.825+0.3063*I275^(1/6))^2+0.87*(M275/B275),(0.752+0.303*I275^(1/6))^2),0.3+SQRT((0.592*N275^0.5)^2+(0.0262*N275^0.8/(1-0.5/N275^0.1))^2))</f>
        <v>10091.971139298535</v>
      </c>
      <c r="P275" s="6">
        <f t="shared" si="45"/>
        <v>2.9510194925512497E-2</v>
      </c>
      <c r="Q275" s="6">
        <f t="shared" si="46"/>
        <v>5.3952180344809095</v>
      </c>
      <c r="R275" s="6">
        <f t="shared" si="47"/>
        <v>13.163951834982866</v>
      </c>
      <c r="S275" s="6">
        <f>IF($Y$2="按单位面积散热损失 qp",B275*LN(B275/首页!$B$4),LN(B275/首页!$B$4))</f>
        <v>1.125133740877361</v>
      </c>
      <c r="T275" s="6">
        <f>IF($Y$2="按单位面积散热损失 qp",2*PI()*首页!$B$8*((E275-D275)/$Y$3-1/R275),2*PI()*首页!$B$8*((E275-D275)/$Y$4-1/(PI()*B275*R275)))</f>
        <v>4.0821123390950717E-2</v>
      </c>
      <c r="U275" t="str">
        <f t="shared" si="48"/>
        <v>按单位面积散热损失 qp</v>
      </c>
      <c r="V275" s="6">
        <f t="shared" si="49"/>
        <v>1.0843126174864102</v>
      </c>
    </row>
    <row r="276" spans="1:22" x14ac:dyDescent="0.15">
      <c r="A276">
        <v>271</v>
      </c>
      <c r="B276" s="6">
        <f>首页!$B$4+2*A276/1000</f>
        <v>0.66200000000000003</v>
      </c>
      <c r="C276" s="6">
        <f>首页!$B$7+273.15</f>
        <v>388.15</v>
      </c>
      <c r="D276" s="6">
        <f>首页!$B$6+273.15</f>
        <v>293.14999999999998</v>
      </c>
      <c r="E276" s="6">
        <f>首页!$B$5+273.15</f>
        <v>1373.15</v>
      </c>
      <c r="F276" s="6">
        <f t="shared" si="40"/>
        <v>95</v>
      </c>
      <c r="G276" s="6">
        <f t="shared" si="41"/>
        <v>340.65</v>
      </c>
      <c r="H276" s="6">
        <f t="shared" si="42"/>
        <v>1.9926207055139041E-5</v>
      </c>
      <c r="I276" s="7">
        <f t="shared" si="43"/>
        <v>1158916576932337.8</v>
      </c>
      <c r="J276" s="6">
        <f t="shared" si="44"/>
        <v>1.0226038455893147</v>
      </c>
      <c r="K276" s="7">
        <f>J276*H276*首页!$B$12/P276</f>
        <v>0.69532757496605813</v>
      </c>
      <c r="L276" s="6">
        <f>首页!$B$9*0.0000000567*((C276^4-D276^4)/(C276-D276))</f>
        <v>7.7687338005019564</v>
      </c>
      <c r="M276" s="6">
        <f>IF(首页!$B$13="自然对流",IF(首页!$B$14="立式圆筒",首页!$B$10,PI()*B276/2),PI()*B276/2)</f>
        <v>55.2</v>
      </c>
      <c r="N276" s="7">
        <f>IF(首页!$B$13="强制对流",首页!$B$11*M276/H276,0)</f>
        <v>0</v>
      </c>
      <c r="O276" s="7">
        <f>IF(首页!$B$13="自然对流",IF(首页!$B$14="立式圆筒",(0.825+0.3063*I276^(1/6))^2+0.87*(M276/B276),(0.752+0.303*I276^(1/6))^2),0.3+SQRT((0.592*N276^0.5)^2+(0.0262*N276^0.8/(1-0.5/N276^0.1))^2))</f>
        <v>10091.751309581425</v>
      </c>
      <c r="P276" s="6">
        <f t="shared" si="45"/>
        <v>2.9510194925512497E-2</v>
      </c>
      <c r="Q276" s="6">
        <f t="shared" si="46"/>
        <v>5.3951005124192717</v>
      </c>
      <c r="R276" s="6">
        <f t="shared" si="47"/>
        <v>13.163834312921228</v>
      </c>
      <c r="S276" s="6">
        <f>IF($Y$2="按单位面积散热损失 qp",B276*LN(B276/首页!$B$4),LN(B276/首页!$B$4))</f>
        <v>1.1305462643085853</v>
      </c>
      <c r="T276" s="6">
        <f>IF($Y$2="按单位面积散热损失 qp",2*PI()*首页!$B$8*((E276-D276)/$Y$3-1/R276),2*PI()*首页!$B$8*((E276-D276)/$Y$4-1/(PI()*B276*R276)))</f>
        <v>4.0820931637542593E-2</v>
      </c>
      <c r="U276" t="str">
        <f t="shared" si="48"/>
        <v>按单位面积散热损失 qp</v>
      </c>
      <c r="V276" s="6">
        <f t="shared" si="49"/>
        <v>1.0897253326710428</v>
      </c>
    </row>
    <row r="277" spans="1:22" x14ac:dyDescent="0.15">
      <c r="A277">
        <v>272</v>
      </c>
      <c r="B277" s="6">
        <f>首页!$B$4+2*A277/1000</f>
        <v>0.66400000000000003</v>
      </c>
      <c r="C277" s="6">
        <f>首页!$B$7+273.15</f>
        <v>388.15</v>
      </c>
      <c r="D277" s="6">
        <f>首页!$B$6+273.15</f>
        <v>293.14999999999998</v>
      </c>
      <c r="E277" s="6">
        <f>首页!$B$5+273.15</f>
        <v>1373.15</v>
      </c>
      <c r="F277" s="6">
        <f t="shared" si="40"/>
        <v>95</v>
      </c>
      <c r="G277" s="6">
        <f t="shared" si="41"/>
        <v>340.65</v>
      </c>
      <c r="H277" s="6">
        <f t="shared" si="42"/>
        <v>1.9926207055139041E-5</v>
      </c>
      <c r="I277" s="7">
        <f t="shared" si="43"/>
        <v>1158916576932337.8</v>
      </c>
      <c r="J277" s="6">
        <f t="shared" si="44"/>
        <v>1.0226038455893147</v>
      </c>
      <c r="K277" s="7">
        <f>J277*H277*首页!$B$12/P277</f>
        <v>0.69532757496605813</v>
      </c>
      <c r="L277" s="6">
        <f>首页!$B$9*0.0000000567*((C277^4-D277^4)/(C277-D277))</f>
        <v>7.7687338005019564</v>
      </c>
      <c r="M277" s="6">
        <f>IF(首页!$B$13="自然对流",IF(首页!$B$14="立式圆筒",首页!$B$10,PI()*B277/2),PI()*B277/2)</f>
        <v>55.2</v>
      </c>
      <c r="N277" s="7">
        <f>IF(首页!$B$13="强制对流",首页!$B$11*M277/H277,0)</f>
        <v>0</v>
      </c>
      <c r="O277" s="7">
        <f>IF(首页!$B$13="自然对流",IF(首页!$B$14="立式圆筒",(0.825+0.3063*I277^(1/6))^2+0.87*(M277/B277),(0.752+0.303*I277^(1/6))^2),0.3+SQRT((0.592*N277^0.5)^2+(0.0262*N277^0.8/(1-0.5/N277^0.1))^2))</f>
        <v>10091.532804139719</v>
      </c>
      <c r="P277" s="6">
        <f t="shared" si="45"/>
        <v>2.9510194925512497E-2</v>
      </c>
      <c r="Q277" s="6">
        <f t="shared" si="46"/>
        <v>5.3949836983218624</v>
      </c>
      <c r="R277" s="6">
        <f t="shared" si="47"/>
        <v>13.163717498823818</v>
      </c>
      <c r="S277" s="6">
        <f>IF($Y$2="按单位面积散热损失 qp",B277*LN(B277/首页!$B$4),LN(B277/首页!$B$4))</f>
        <v>1.1359648300450738</v>
      </c>
      <c r="T277" s="6">
        <f>IF($Y$2="按单位面积散热损失 qp",2*PI()*首页!$B$8*((E277-D277)/$Y$3-1/R277),2*PI()*首页!$B$8*((E277-D277)/$Y$4-1/(PI()*B277*R277)))</f>
        <v>4.0820741035882506E-2</v>
      </c>
      <c r="U277" t="str">
        <f t="shared" si="48"/>
        <v>按单位面积散热损失 qp</v>
      </c>
      <c r="V277" s="6">
        <f t="shared" si="49"/>
        <v>1.0951440890091912</v>
      </c>
    </row>
    <row r="278" spans="1:22" x14ac:dyDescent="0.15">
      <c r="A278">
        <v>273</v>
      </c>
      <c r="B278" s="6">
        <f>首页!$B$4+2*A278/1000</f>
        <v>0.66600000000000004</v>
      </c>
      <c r="C278" s="6">
        <f>首页!$B$7+273.15</f>
        <v>388.15</v>
      </c>
      <c r="D278" s="6">
        <f>首页!$B$6+273.15</f>
        <v>293.14999999999998</v>
      </c>
      <c r="E278" s="6">
        <f>首页!$B$5+273.15</f>
        <v>1373.15</v>
      </c>
      <c r="F278" s="6">
        <f t="shared" si="40"/>
        <v>95</v>
      </c>
      <c r="G278" s="6">
        <f t="shared" si="41"/>
        <v>340.65</v>
      </c>
      <c r="H278" s="6">
        <f t="shared" si="42"/>
        <v>1.9926207055139041E-5</v>
      </c>
      <c r="I278" s="7">
        <f t="shared" si="43"/>
        <v>1158916576932337.8</v>
      </c>
      <c r="J278" s="6">
        <f t="shared" si="44"/>
        <v>1.0226038455893147</v>
      </c>
      <c r="K278" s="7">
        <f>J278*H278*首页!$B$12/P278</f>
        <v>0.69532757496605813</v>
      </c>
      <c r="L278" s="6">
        <f>首页!$B$9*0.0000000567*((C278^4-D278^4)/(C278-D278))</f>
        <v>7.7687338005019564</v>
      </c>
      <c r="M278" s="6">
        <f>IF(首页!$B$13="自然对流",IF(首页!$B$14="立式圆筒",首页!$B$10,PI()*B278/2),PI()*B278/2)</f>
        <v>55.2</v>
      </c>
      <c r="N278" s="7">
        <f>IF(首页!$B$13="强制对流",首页!$B$11*M278/H278,0)</f>
        <v>0</v>
      </c>
      <c r="O278" s="7">
        <f>IF(首页!$B$13="自然对流",IF(首页!$B$14="立式圆筒",(0.825+0.3063*I278^(1/6))^2+0.87*(M278/B278),(0.752+0.303*I278^(1/6))^2),0.3+SQRT((0.592*N278^0.5)^2+(0.0262*N278^0.8/(1-0.5/N278^0.1))^2))</f>
        <v>10091.315611043008</v>
      </c>
      <c r="P278" s="6">
        <f t="shared" si="45"/>
        <v>2.9510194925512497E-2</v>
      </c>
      <c r="Q278" s="6">
        <f t="shared" si="46"/>
        <v>5.3948675858106236</v>
      </c>
      <c r="R278" s="6">
        <f t="shared" si="47"/>
        <v>13.16360138631258</v>
      </c>
      <c r="S278" s="6">
        <f>IF($Y$2="按单位面积散热损失 qp",B278*LN(B278/首页!$B$4),LN(B278/首页!$B$4))</f>
        <v>1.1413894198870567</v>
      </c>
      <c r="T278" s="6">
        <f>IF($Y$2="按单位面积散热损失 qp",2*PI()*首页!$B$8*((E278-D278)/$Y$3-1/R278),2*PI()*首页!$B$8*((E278-D278)/$Y$4-1/(PI()*B278*R278)))</f>
        <v>4.0820551575624753E-2</v>
      </c>
      <c r="U278" t="str">
        <f t="shared" si="48"/>
        <v>按单位面积散热损失 qp</v>
      </c>
      <c r="V278" s="6">
        <f t="shared" si="49"/>
        <v>1.1005688683114319</v>
      </c>
    </row>
    <row r="279" spans="1:22" x14ac:dyDescent="0.15">
      <c r="A279">
        <v>274</v>
      </c>
      <c r="B279" s="6">
        <f>首页!$B$4+2*A279/1000</f>
        <v>0.66800000000000004</v>
      </c>
      <c r="C279" s="6">
        <f>首页!$B$7+273.15</f>
        <v>388.15</v>
      </c>
      <c r="D279" s="6">
        <f>首页!$B$6+273.15</f>
        <v>293.14999999999998</v>
      </c>
      <c r="E279" s="6">
        <f>首页!$B$5+273.15</f>
        <v>1373.15</v>
      </c>
      <c r="F279" s="6">
        <f t="shared" si="40"/>
        <v>95</v>
      </c>
      <c r="G279" s="6">
        <f t="shared" si="41"/>
        <v>340.65</v>
      </c>
      <c r="H279" s="6">
        <f t="shared" si="42"/>
        <v>1.9926207055139041E-5</v>
      </c>
      <c r="I279" s="7">
        <f t="shared" si="43"/>
        <v>1158916576932337.8</v>
      </c>
      <c r="J279" s="6">
        <f t="shared" si="44"/>
        <v>1.0226038455893147</v>
      </c>
      <c r="K279" s="7">
        <f>J279*H279*首页!$B$12/P279</f>
        <v>0.69532757496605813</v>
      </c>
      <c r="L279" s="6">
        <f>首页!$B$9*0.0000000567*((C279^4-D279^4)/(C279-D279))</f>
        <v>7.7687338005019564</v>
      </c>
      <c r="M279" s="6">
        <f>IF(首页!$B$13="自然对流",IF(首页!$B$14="立式圆筒",首页!$B$10,PI()*B279/2),PI()*B279/2)</f>
        <v>55.2</v>
      </c>
      <c r="N279" s="7">
        <f>IF(首页!$B$13="强制对流",首页!$B$11*M279/H279,0)</f>
        <v>0</v>
      </c>
      <c r="O279" s="7">
        <f>IF(首页!$B$13="自然对流",IF(首页!$B$14="立式圆筒",(0.825+0.3063*I279^(1/6))^2+0.87*(M279/B279),(0.752+0.303*I279^(1/6))^2),0.3+SQRT((0.592*N279^0.5)^2+(0.0262*N279^0.8/(1-0.5/N279^0.1))^2))</f>
        <v>10091.099718503761</v>
      </c>
      <c r="P279" s="6">
        <f t="shared" si="45"/>
        <v>2.9510194925512497E-2</v>
      </c>
      <c r="Q279" s="6">
        <f t="shared" si="46"/>
        <v>5.3947521685838815</v>
      </c>
      <c r="R279" s="6">
        <f t="shared" si="47"/>
        <v>13.163485969085837</v>
      </c>
      <c r="S279" s="6">
        <f>IF($Y$2="按单位面积散热损失 qp",B279*LN(B279/首页!$B$4),LN(B279/首页!$B$4))</f>
        <v>1.1468200157440727</v>
      </c>
      <c r="T279" s="6">
        <f>IF($Y$2="按单位面积散热损失 qp",2*PI()*首页!$B$8*((E279-D279)/$Y$3-1/R279),2*PI()*首页!$B$8*((E279-D279)/$Y$4-1/(PI()*B279*R279)))</f>
        <v>4.0820363246547135E-2</v>
      </c>
      <c r="U279" t="str">
        <f t="shared" si="48"/>
        <v>按单位面积散热损失 qp</v>
      </c>
      <c r="V279" s="6">
        <f t="shared" si="49"/>
        <v>1.1059996524975255</v>
      </c>
    </row>
    <row r="280" spans="1:22" x14ac:dyDescent="0.15">
      <c r="A280">
        <v>275</v>
      </c>
      <c r="B280" s="6">
        <f>首页!$B$4+2*A280/1000</f>
        <v>0.67</v>
      </c>
      <c r="C280" s="6">
        <f>首页!$B$7+273.15</f>
        <v>388.15</v>
      </c>
      <c r="D280" s="6">
        <f>首页!$B$6+273.15</f>
        <v>293.14999999999998</v>
      </c>
      <c r="E280" s="6">
        <f>首页!$B$5+273.15</f>
        <v>1373.15</v>
      </c>
      <c r="F280" s="6">
        <f t="shared" si="40"/>
        <v>95</v>
      </c>
      <c r="G280" s="6">
        <f t="shared" si="41"/>
        <v>340.65</v>
      </c>
      <c r="H280" s="6">
        <f t="shared" si="42"/>
        <v>1.9926207055139041E-5</v>
      </c>
      <c r="I280" s="7">
        <f t="shared" si="43"/>
        <v>1158916576932337.8</v>
      </c>
      <c r="J280" s="6">
        <f t="shared" si="44"/>
        <v>1.0226038455893147</v>
      </c>
      <c r="K280" s="7">
        <f>J280*H280*首页!$B$12/P280</f>
        <v>0.69532757496605813</v>
      </c>
      <c r="L280" s="6">
        <f>首页!$B$9*0.0000000567*((C280^4-D280^4)/(C280-D280))</f>
        <v>7.7687338005019564</v>
      </c>
      <c r="M280" s="6">
        <f>IF(首页!$B$13="自然对流",IF(首页!$B$14="立式圆筒",首页!$B$10,PI()*B280/2),PI()*B280/2)</f>
        <v>55.2</v>
      </c>
      <c r="N280" s="7">
        <f>IF(首页!$B$13="强制对流",首页!$B$11*M280/H280,0)</f>
        <v>0</v>
      </c>
      <c r="O280" s="7">
        <f>IF(首页!$B$13="自然对流",IF(首页!$B$14="立式圆筒",(0.825+0.3063*I280^(1/6))^2+0.87*(M280/B280),(0.752+0.303*I280^(1/6))^2),0.3+SQRT((0.592*N280^0.5)^2+(0.0262*N280^0.8/(1-0.5/N280^0.1))^2))</f>
        <v>10090.885114875198</v>
      </c>
      <c r="P280" s="6">
        <f t="shared" si="45"/>
        <v>2.9510194925512497E-2</v>
      </c>
      <c r="Q280" s="6">
        <f t="shared" si="46"/>
        <v>5.3946374404152104</v>
      </c>
      <c r="R280" s="6">
        <f t="shared" si="47"/>
        <v>13.163371240917167</v>
      </c>
      <c r="S280" s="6">
        <f>IF($Y$2="按单位面积散热损失 qp",B280*LN(B280/首页!$B$4),LN(B280/首页!$B$4))</f>
        <v>1.1522565996339871</v>
      </c>
      <c r="T280" s="6">
        <f>IF($Y$2="按单位面积散热损失 qp",2*PI()*首页!$B$8*((E280-D280)/$Y$3-1/R280),2*PI()*首页!$B$8*((E280-D280)/$Y$4-1/(PI()*B280*R280)))</f>
        <v>4.082017603854917E-2</v>
      </c>
      <c r="U280" t="str">
        <f t="shared" si="48"/>
        <v>按单位面积散热损失 qp</v>
      </c>
      <c r="V280" s="6">
        <f t="shared" si="49"/>
        <v>1.1114364235954379</v>
      </c>
    </row>
    <row r="281" spans="1:22" x14ac:dyDescent="0.15">
      <c r="A281">
        <v>276</v>
      </c>
      <c r="B281" s="6">
        <f>首页!$B$4+2*A281/1000</f>
        <v>0.67200000000000004</v>
      </c>
      <c r="C281" s="6">
        <f>首页!$B$7+273.15</f>
        <v>388.15</v>
      </c>
      <c r="D281" s="6">
        <f>首页!$B$6+273.15</f>
        <v>293.14999999999998</v>
      </c>
      <c r="E281" s="6">
        <f>首页!$B$5+273.15</f>
        <v>1373.15</v>
      </c>
      <c r="F281" s="6">
        <f t="shared" si="40"/>
        <v>95</v>
      </c>
      <c r="G281" s="6">
        <f t="shared" si="41"/>
        <v>340.65</v>
      </c>
      <c r="H281" s="6">
        <f t="shared" si="42"/>
        <v>1.9926207055139041E-5</v>
      </c>
      <c r="I281" s="7">
        <f t="shared" si="43"/>
        <v>1158916576932337.8</v>
      </c>
      <c r="J281" s="6">
        <f t="shared" si="44"/>
        <v>1.0226038455893147</v>
      </c>
      <c r="K281" s="7">
        <f>J281*H281*首页!$B$12/P281</f>
        <v>0.69532757496605813</v>
      </c>
      <c r="L281" s="6">
        <f>首页!$B$9*0.0000000567*((C281^4-D281^4)/(C281-D281))</f>
        <v>7.7687338005019564</v>
      </c>
      <c r="M281" s="6">
        <f>IF(首页!$B$13="自然对流",IF(首页!$B$14="立式圆筒",首页!$B$10,PI()*B281/2),PI()*B281/2)</f>
        <v>55.2</v>
      </c>
      <c r="N281" s="7">
        <f>IF(首页!$B$13="强制对流",首页!$B$11*M281/H281,0)</f>
        <v>0</v>
      </c>
      <c r="O281" s="7">
        <f>IF(首页!$B$13="自然对流",IF(首页!$B$14="立式圆筒",(0.825+0.3063*I281^(1/6))^2+0.87*(M281/B281),(0.752+0.303*I281^(1/6))^2),0.3+SQRT((0.592*N281^0.5)^2+(0.0262*N281^0.8/(1-0.5/N281^0.1))^2))</f>
        <v>10090.671788649186</v>
      </c>
      <c r="P281" s="6">
        <f t="shared" si="45"/>
        <v>2.9510194925512497E-2</v>
      </c>
      <c r="Q281" s="6">
        <f t="shared" si="46"/>
        <v>5.3945233951523059</v>
      </c>
      <c r="R281" s="6">
        <f t="shared" si="47"/>
        <v>13.163257195654262</v>
      </c>
      <c r="S281" s="6">
        <f>IF($Y$2="按单位面积散热损失 qp",B281*LN(B281/首页!$B$4),LN(B281/首页!$B$4))</f>
        <v>1.1576991536820218</v>
      </c>
      <c r="T281" s="6">
        <f>IF($Y$2="按单位面积散热损失 qp",2*PI()*首页!$B$8*((E281-D281)/$Y$3-1/R281),2*PI()*首页!$B$8*((E281-D281)/$Y$4-1/(PI()*B281*R281)))</f>
        <v>4.081998994165028E-2</v>
      </c>
      <c r="U281" t="str">
        <f t="shared" si="48"/>
        <v>按单位面积散热损失 qp</v>
      </c>
      <c r="V281" s="6">
        <f t="shared" si="49"/>
        <v>1.1168791637403714</v>
      </c>
    </row>
    <row r="282" spans="1:22" x14ac:dyDescent="0.15">
      <c r="A282">
        <v>277</v>
      </c>
      <c r="B282" s="6">
        <f>首页!$B$4+2*A282/1000</f>
        <v>0.67400000000000004</v>
      </c>
      <c r="C282" s="6">
        <f>首页!$B$7+273.15</f>
        <v>388.15</v>
      </c>
      <c r="D282" s="6">
        <f>首页!$B$6+273.15</f>
        <v>293.14999999999998</v>
      </c>
      <c r="E282" s="6">
        <f>首页!$B$5+273.15</f>
        <v>1373.15</v>
      </c>
      <c r="F282" s="6">
        <f t="shared" si="40"/>
        <v>95</v>
      </c>
      <c r="G282" s="6">
        <f t="shared" si="41"/>
        <v>340.65</v>
      </c>
      <c r="H282" s="6">
        <f t="shared" si="42"/>
        <v>1.9926207055139041E-5</v>
      </c>
      <c r="I282" s="7">
        <f t="shared" si="43"/>
        <v>1158916576932337.8</v>
      </c>
      <c r="J282" s="6">
        <f t="shared" si="44"/>
        <v>1.0226038455893147</v>
      </c>
      <c r="K282" s="7">
        <f>J282*H282*首页!$B$12/P282</f>
        <v>0.69532757496605813</v>
      </c>
      <c r="L282" s="6">
        <f>首页!$B$9*0.0000000567*((C282^4-D282^4)/(C282-D282))</f>
        <v>7.7687338005019564</v>
      </c>
      <c r="M282" s="6">
        <f>IF(首页!$B$13="自然对流",IF(首页!$B$14="立式圆筒",首页!$B$10,PI()*B282/2),PI()*B282/2)</f>
        <v>55.2</v>
      </c>
      <c r="N282" s="7">
        <f>IF(首页!$B$13="强制对流",首页!$B$11*M282/H282,0)</f>
        <v>0</v>
      </c>
      <c r="O282" s="7">
        <f>IF(首页!$B$13="自然对流",IF(首页!$B$14="立式圆筒",(0.825+0.3063*I282^(1/6))^2+0.87*(M282/B282),(0.752+0.303*I282^(1/6))^2),0.3+SQRT((0.592*N282^0.5)^2+(0.0262*N282^0.8/(1-0.5/N282^0.1))^2))</f>
        <v>10090.459728454187</v>
      </c>
      <c r="P282" s="6">
        <f t="shared" si="45"/>
        <v>2.9510194925512497E-2</v>
      </c>
      <c r="Q282" s="6">
        <f t="shared" si="46"/>
        <v>5.394410026715887</v>
      </c>
      <c r="R282" s="6">
        <f t="shared" si="47"/>
        <v>13.163143827217844</v>
      </c>
      <c r="S282" s="6">
        <f>IF($Y$2="按单位面积散热损失 qp",B282*LN(B282/首页!$B$4),LN(B282/首页!$B$4))</f>
        <v>1.1631476601197961</v>
      </c>
      <c r="T282" s="6">
        <f>IF($Y$2="按单位面积散热损失 qp",2*PI()*首页!$B$8*((E282-D282)/$Y$3-1/R282),2*PI()*首页!$B$8*((E282-D282)/$Y$4-1/(PI()*B282*R282)))</f>
        <v>4.0819804945987991E-2</v>
      </c>
      <c r="U282" t="str">
        <f t="shared" si="48"/>
        <v>按单位面积散热损失 qp</v>
      </c>
      <c r="V282" s="6">
        <f t="shared" si="49"/>
        <v>1.1223278551738081</v>
      </c>
    </row>
    <row r="283" spans="1:22" x14ac:dyDescent="0.15">
      <c r="A283">
        <v>278</v>
      </c>
      <c r="B283" s="6">
        <f>首页!$B$4+2*A283/1000</f>
        <v>0.67600000000000005</v>
      </c>
      <c r="C283" s="6">
        <f>首页!$B$7+273.15</f>
        <v>388.15</v>
      </c>
      <c r="D283" s="6">
        <f>首页!$B$6+273.15</f>
        <v>293.14999999999998</v>
      </c>
      <c r="E283" s="6">
        <f>首页!$B$5+273.15</f>
        <v>1373.15</v>
      </c>
      <c r="F283" s="6">
        <f t="shared" si="40"/>
        <v>95</v>
      </c>
      <c r="G283" s="6">
        <f t="shared" si="41"/>
        <v>340.65</v>
      </c>
      <c r="H283" s="6">
        <f t="shared" si="42"/>
        <v>1.9926207055139041E-5</v>
      </c>
      <c r="I283" s="7">
        <f t="shared" si="43"/>
        <v>1158916576932337.8</v>
      </c>
      <c r="J283" s="6">
        <f t="shared" si="44"/>
        <v>1.0226038455893147</v>
      </c>
      <c r="K283" s="7">
        <f>J283*H283*首页!$B$12/P283</f>
        <v>0.69532757496605813</v>
      </c>
      <c r="L283" s="6">
        <f>首页!$B$9*0.0000000567*((C283^4-D283^4)/(C283-D283))</f>
        <v>7.7687338005019564</v>
      </c>
      <c r="M283" s="6">
        <f>IF(首页!$B$13="自然对流",IF(首页!$B$14="立式圆筒",首页!$B$10,PI()*B283/2),PI()*B283/2)</f>
        <v>55.2</v>
      </c>
      <c r="N283" s="7">
        <f>IF(首页!$B$13="强制对流",首页!$B$11*M283/H283,0)</f>
        <v>0</v>
      </c>
      <c r="O283" s="7">
        <f>IF(首页!$B$13="自然对流",IF(首页!$B$14="立式圆筒",(0.825+0.3063*I283^(1/6))^2+0.87*(M283/B283),(0.752+0.303*I283^(1/6))^2),0.3+SQRT((0.592*N283^0.5)^2+(0.0262*N283^0.8/(1-0.5/N283^0.1))^2))</f>
        <v>10090.248923053243</v>
      </c>
      <c r="P283" s="6">
        <f t="shared" si="45"/>
        <v>2.9510194925512497E-2</v>
      </c>
      <c r="Q283" s="6">
        <f t="shared" si="46"/>
        <v>5.3942973290986185</v>
      </c>
      <c r="R283" s="6">
        <f t="shared" si="47"/>
        <v>13.163031129600576</v>
      </c>
      <c r="S283" s="6">
        <f>IF($Y$2="按单位面积散热损失 qp",B283*LN(B283/首页!$B$4),LN(B283/首页!$B$4))</f>
        <v>1.1686021012843808</v>
      </c>
      <c r="T283" s="6">
        <f>IF($Y$2="按单位面积散热损失 qp",2*PI()*首页!$B$8*((E283-D283)/$Y$3-1/R283),2*PI()*首页!$B$8*((E283-D283)/$Y$4-1/(PI()*B283*R283)))</f>
        <v>4.0819621041816218E-2</v>
      </c>
      <c r="U283" t="str">
        <f t="shared" si="48"/>
        <v>按单位面积散热损失 qp</v>
      </c>
      <c r="V283" s="6">
        <f t="shared" si="49"/>
        <v>1.1277824802425647</v>
      </c>
    </row>
    <row r="284" spans="1:22" x14ac:dyDescent="0.15">
      <c r="A284">
        <v>279</v>
      </c>
      <c r="B284" s="6">
        <f>首页!$B$4+2*A284/1000</f>
        <v>0.67800000000000005</v>
      </c>
      <c r="C284" s="6">
        <f>首页!$B$7+273.15</f>
        <v>388.15</v>
      </c>
      <c r="D284" s="6">
        <f>首页!$B$6+273.15</f>
        <v>293.14999999999998</v>
      </c>
      <c r="E284" s="6">
        <f>首页!$B$5+273.15</f>
        <v>1373.15</v>
      </c>
      <c r="F284" s="6">
        <f t="shared" si="40"/>
        <v>95</v>
      </c>
      <c r="G284" s="6">
        <f t="shared" si="41"/>
        <v>340.65</v>
      </c>
      <c r="H284" s="6">
        <f t="shared" si="42"/>
        <v>1.9926207055139041E-5</v>
      </c>
      <c r="I284" s="7">
        <f t="shared" si="43"/>
        <v>1158916576932337.8</v>
      </c>
      <c r="J284" s="6">
        <f t="shared" si="44"/>
        <v>1.0226038455893147</v>
      </c>
      <c r="K284" s="7">
        <f>J284*H284*首页!$B$12/P284</f>
        <v>0.69532757496605813</v>
      </c>
      <c r="L284" s="6">
        <f>首页!$B$9*0.0000000567*((C284^4-D284^4)/(C284-D284))</f>
        <v>7.7687338005019564</v>
      </c>
      <c r="M284" s="6">
        <f>IF(首页!$B$13="自然对流",IF(首页!$B$14="立式圆筒",首页!$B$10,PI()*B284/2),PI()*B284/2)</f>
        <v>55.2</v>
      </c>
      <c r="N284" s="7">
        <f>IF(首页!$B$13="强制对流",首页!$B$11*M284/H284,0)</f>
        <v>0</v>
      </c>
      <c r="O284" s="7">
        <f>IF(首页!$B$13="自然对流",IF(首页!$B$14="立式圆筒",(0.825+0.3063*I284^(1/6))^2+0.87*(M284/B284),(0.752+0.303*I284^(1/6))^2),0.3+SQRT((0.592*N284^0.5)^2+(0.0262*N284^0.8/(1-0.5/N284^0.1))^2))</f>
        <v>10090.03936134198</v>
      </c>
      <c r="P284" s="6">
        <f t="shared" si="45"/>
        <v>2.9510194925512497E-2</v>
      </c>
      <c r="Q284" s="6">
        <f t="shared" si="46"/>
        <v>5.3941852963640473</v>
      </c>
      <c r="R284" s="6">
        <f t="shared" si="47"/>
        <v>13.162919096866004</v>
      </c>
      <c r="S284" s="6">
        <f>IF($Y$2="按单位面积散热损失 qp",B284*LN(B284/首页!$B$4),LN(B284/首页!$B$4))</f>
        <v>1.1740624596173612</v>
      </c>
      <c r="T284" s="6">
        <f>IF($Y$2="按单位面积散热损失 qp",2*PI()*首页!$B$8*((E284-D284)/$Y$3-1/R284),2*PI()*首页!$B$8*((E284-D284)/$Y$4-1/(PI()*B284*R284)))</f>
        <v>4.0819438219503533E-2</v>
      </c>
      <c r="U284" t="str">
        <f t="shared" si="48"/>
        <v>按单位面积散热损失 qp</v>
      </c>
      <c r="V284" s="6">
        <f t="shared" si="49"/>
        <v>1.1332430213978577</v>
      </c>
    </row>
    <row r="285" spans="1:22" x14ac:dyDescent="0.15">
      <c r="A285">
        <v>280</v>
      </c>
      <c r="B285" s="6">
        <f>首页!$B$4+2*A285/1000</f>
        <v>0.68</v>
      </c>
      <c r="C285" s="6">
        <f>首页!$B$7+273.15</f>
        <v>388.15</v>
      </c>
      <c r="D285" s="6">
        <f>首页!$B$6+273.15</f>
        <v>293.14999999999998</v>
      </c>
      <c r="E285" s="6">
        <f>首页!$B$5+273.15</f>
        <v>1373.15</v>
      </c>
      <c r="F285" s="6">
        <f t="shared" si="40"/>
        <v>95</v>
      </c>
      <c r="G285" s="6">
        <f t="shared" si="41"/>
        <v>340.65</v>
      </c>
      <c r="H285" s="6">
        <f t="shared" si="42"/>
        <v>1.9926207055139041E-5</v>
      </c>
      <c r="I285" s="7">
        <f t="shared" si="43"/>
        <v>1158916576932337.8</v>
      </c>
      <c r="J285" s="6">
        <f t="shared" si="44"/>
        <v>1.0226038455893147</v>
      </c>
      <c r="K285" s="7">
        <f>J285*H285*首页!$B$12/P285</f>
        <v>0.69532757496605813</v>
      </c>
      <c r="L285" s="6">
        <f>首页!$B$9*0.0000000567*((C285^4-D285^4)/(C285-D285))</f>
        <v>7.7687338005019564</v>
      </c>
      <c r="M285" s="6">
        <f>IF(首页!$B$13="自然对流",IF(首页!$B$14="立式圆筒",首页!$B$10,PI()*B285/2),PI()*B285/2)</f>
        <v>55.2</v>
      </c>
      <c r="N285" s="7">
        <f>IF(首页!$B$13="强制对流",首页!$B$11*M285/H285,0)</f>
        <v>0</v>
      </c>
      <c r="O285" s="7">
        <f>IF(首页!$B$13="自然对流",IF(首页!$B$14="立式圆筒",(0.825+0.3063*I285^(1/6))^2+0.87*(M285/B285),(0.752+0.303*I285^(1/6))^2),0.3+SQRT((0.592*N285^0.5)^2+(0.0262*N285^0.8/(1-0.5/N285^0.1))^2))</f>
        <v>10089.831032346665</v>
      </c>
      <c r="P285" s="6">
        <f t="shared" si="45"/>
        <v>2.9510194925512497E-2</v>
      </c>
      <c r="Q285" s="6">
        <f t="shared" si="46"/>
        <v>5.3940739226455623</v>
      </c>
      <c r="R285" s="6">
        <f t="shared" si="47"/>
        <v>13.16280772314752</v>
      </c>
      <c r="S285" s="6">
        <f>IF($Y$2="按单位面积散热损失 qp",B285*LN(B285/首页!$B$4),LN(B285/首页!$B$4))</f>
        <v>1.1795287176639124</v>
      </c>
      <c r="T285" s="6">
        <f>IF($Y$2="按单位面积散热损失 qp",2*PI()*首页!$B$8*((E285-D285)/$Y$3-1/R285),2*PI()*首页!$B$8*((E285-D285)/$Y$4-1/(PI()*B285*R285)))</f>
        <v>4.0819256469531516E-2</v>
      </c>
      <c r="U285" t="str">
        <f t="shared" si="48"/>
        <v>按单位面积散热损失 qp</v>
      </c>
      <c r="V285" s="6">
        <f t="shared" si="49"/>
        <v>1.1387094611943809</v>
      </c>
    </row>
    <row r="286" spans="1:22" x14ac:dyDescent="0.15">
      <c r="A286">
        <v>281</v>
      </c>
      <c r="B286" s="6">
        <f>首页!$B$4+2*A286/1000</f>
        <v>0.68200000000000005</v>
      </c>
      <c r="C286" s="6">
        <f>首页!$B$7+273.15</f>
        <v>388.15</v>
      </c>
      <c r="D286" s="6">
        <f>首页!$B$6+273.15</f>
        <v>293.14999999999998</v>
      </c>
      <c r="E286" s="6">
        <f>首页!$B$5+273.15</f>
        <v>1373.15</v>
      </c>
      <c r="F286" s="6">
        <f t="shared" si="40"/>
        <v>95</v>
      </c>
      <c r="G286" s="6">
        <f t="shared" si="41"/>
        <v>340.65</v>
      </c>
      <c r="H286" s="6">
        <f t="shared" si="42"/>
        <v>1.9926207055139041E-5</v>
      </c>
      <c r="I286" s="7">
        <f t="shared" si="43"/>
        <v>1158916576932337.8</v>
      </c>
      <c r="J286" s="6">
        <f t="shared" si="44"/>
        <v>1.0226038455893147</v>
      </c>
      <c r="K286" s="7">
        <f>J286*H286*首页!$B$12/P286</f>
        <v>0.69532757496605813</v>
      </c>
      <c r="L286" s="6">
        <f>首页!$B$9*0.0000000567*((C286^4-D286^4)/(C286-D286))</f>
        <v>7.7687338005019564</v>
      </c>
      <c r="M286" s="6">
        <f>IF(首页!$B$13="自然对流",IF(首页!$B$14="立式圆筒",首页!$B$10,PI()*B286/2),PI()*B286/2)</f>
        <v>55.2</v>
      </c>
      <c r="N286" s="7">
        <f>IF(首页!$B$13="强制对流",首页!$B$11*M286/H286,0)</f>
        <v>0</v>
      </c>
      <c r="O286" s="7">
        <f>IF(首页!$B$13="自然对流",IF(首页!$B$14="立式圆筒",(0.825+0.3063*I286^(1/6))^2+0.87*(M286/B286),(0.752+0.303*I286^(1/6))^2),0.3+SQRT((0.592*N286^0.5)^2+(0.0262*N286^0.8/(1-0.5/N286^0.1))^2))</f>
        <v>10089.623925222289</v>
      </c>
      <c r="P286" s="6">
        <f t="shared" si="45"/>
        <v>2.9510194925512497E-2</v>
      </c>
      <c r="Q286" s="6">
        <f t="shared" si="46"/>
        <v>5.3939632021453674</v>
      </c>
      <c r="R286" s="6">
        <f t="shared" si="47"/>
        <v>13.162697002647324</v>
      </c>
      <c r="S286" s="6">
        <f>IF($Y$2="按单位面积散热损失 qp",B286*LN(B286/首页!$B$4),LN(B286/首页!$B$4))</f>
        <v>1.1850008580718858</v>
      </c>
      <c r="T286" s="6">
        <f>IF($Y$2="按单位面积散热损失 qp",2*PI()*首页!$B$8*((E286-D286)/$Y$3-1/R286),2*PI()*首页!$B$8*((E286-D286)/$Y$4-1/(PI()*B286*R286)))</f>
        <v>4.0819075782493046E-2</v>
      </c>
      <c r="U286" t="str">
        <f t="shared" si="48"/>
        <v>按单位面积散热损失 qp</v>
      </c>
      <c r="V286" s="6">
        <f t="shared" si="49"/>
        <v>1.1441817822893927</v>
      </c>
    </row>
    <row r="287" spans="1:22" x14ac:dyDescent="0.15">
      <c r="A287">
        <v>282</v>
      </c>
      <c r="B287" s="6">
        <f>首页!$B$4+2*A287/1000</f>
        <v>0.68399999999999994</v>
      </c>
      <c r="C287" s="6">
        <f>首页!$B$7+273.15</f>
        <v>388.15</v>
      </c>
      <c r="D287" s="6">
        <f>首页!$B$6+273.15</f>
        <v>293.14999999999998</v>
      </c>
      <c r="E287" s="6">
        <f>首页!$B$5+273.15</f>
        <v>1373.15</v>
      </c>
      <c r="F287" s="6">
        <f t="shared" si="40"/>
        <v>95</v>
      </c>
      <c r="G287" s="6">
        <f t="shared" si="41"/>
        <v>340.65</v>
      </c>
      <c r="H287" s="6">
        <f t="shared" si="42"/>
        <v>1.9926207055139041E-5</v>
      </c>
      <c r="I287" s="7">
        <f t="shared" si="43"/>
        <v>1158916576932337.8</v>
      </c>
      <c r="J287" s="6">
        <f t="shared" si="44"/>
        <v>1.0226038455893147</v>
      </c>
      <c r="K287" s="7">
        <f>J287*H287*首页!$B$12/P287</f>
        <v>0.69532757496605813</v>
      </c>
      <c r="L287" s="6">
        <f>首页!$B$9*0.0000000567*((C287^4-D287^4)/(C287-D287))</f>
        <v>7.7687338005019564</v>
      </c>
      <c r="M287" s="6">
        <f>IF(首页!$B$13="自然对流",IF(首页!$B$14="立式圆筒",首页!$B$10,PI()*B287/2),PI()*B287/2)</f>
        <v>55.2</v>
      </c>
      <c r="N287" s="7">
        <f>IF(首页!$B$13="强制对流",首页!$B$11*M287/H287,0)</f>
        <v>0</v>
      </c>
      <c r="O287" s="7">
        <f>IF(首页!$B$13="自然对流",IF(首页!$B$14="立式圆筒",(0.825+0.3063*I287^(1/6))^2+0.87*(M287/B287),(0.752+0.303*I287^(1/6))^2),0.3+SQRT((0.592*N287^0.5)^2+(0.0262*N287^0.8/(1-0.5/N287^0.1))^2))</f>
        <v>10089.41802925069</v>
      </c>
      <c r="P287" s="6">
        <f t="shared" si="45"/>
        <v>2.9510194925512497E-2</v>
      </c>
      <c r="Q287" s="6">
        <f t="shared" si="46"/>
        <v>5.3938531291334781</v>
      </c>
      <c r="R287" s="6">
        <f t="shared" si="47"/>
        <v>13.162586929635435</v>
      </c>
      <c r="S287" s="6">
        <f>IF($Y$2="按单位面积散热损失 qp",B287*LN(B287/首页!$B$4),LN(B287/首页!$B$4))</f>
        <v>1.1904788635909049</v>
      </c>
      <c r="T287" s="6">
        <f>IF($Y$2="按单位面积散热损失 qp",2*PI()*首页!$B$8*((E287-D287)/$Y$3-1/R287),2*PI()*首页!$B$8*((E287-D287)/$Y$4-1/(PI()*B287*R287)))</f>
        <v>4.0818896149090761E-2</v>
      </c>
      <c r="U287" t="str">
        <f t="shared" si="48"/>
        <v>按单位面积散热损失 qp</v>
      </c>
      <c r="V287" s="6">
        <f t="shared" si="49"/>
        <v>1.1496599674418142</v>
      </c>
    </row>
    <row r="288" spans="1:22" x14ac:dyDescent="0.15">
      <c r="A288">
        <v>283</v>
      </c>
      <c r="B288" s="6">
        <f>首页!$B$4+2*A288/1000</f>
        <v>0.68599999999999994</v>
      </c>
      <c r="C288" s="6">
        <f>首页!$B$7+273.15</f>
        <v>388.15</v>
      </c>
      <c r="D288" s="6">
        <f>首页!$B$6+273.15</f>
        <v>293.14999999999998</v>
      </c>
      <c r="E288" s="6">
        <f>首页!$B$5+273.15</f>
        <v>1373.15</v>
      </c>
      <c r="F288" s="6">
        <f t="shared" si="40"/>
        <v>95</v>
      </c>
      <c r="G288" s="6">
        <f t="shared" si="41"/>
        <v>340.65</v>
      </c>
      <c r="H288" s="6">
        <f t="shared" si="42"/>
        <v>1.9926207055139041E-5</v>
      </c>
      <c r="I288" s="7">
        <f t="shared" si="43"/>
        <v>1158916576932337.8</v>
      </c>
      <c r="J288" s="6">
        <f t="shared" si="44"/>
        <v>1.0226038455893147</v>
      </c>
      <c r="K288" s="7">
        <f>J288*H288*首页!$B$12/P288</f>
        <v>0.69532757496605813</v>
      </c>
      <c r="L288" s="6">
        <f>首页!$B$9*0.0000000567*((C288^4-D288^4)/(C288-D288))</f>
        <v>7.7687338005019564</v>
      </c>
      <c r="M288" s="6">
        <f>IF(首页!$B$13="自然对流",IF(首页!$B$14="立式圆筒",首页!$B$10,PI()*B288/2),PI()*B288/2)</f>
        <v>55.2</v>
      </c>
      <c r="N288" s="7">
        <f>IF(首页!$B$13="强制对流",首页!$B$11*M288/H288,0)</f>
        <v>0</v>
      </c>
      <c r="O288" s="7">
        <f>IF(首页!$B$13="自然对流",IF(首页!$B$14="立式圆筒",(0.825+0.3063*I288^(1/6))^2+0.87*(M288/B288),(0.752+0.303*I288^(1/6))^2),0.3+SQRT((0.592*N288^0.5)^2+(0.0262*N288^0.8/(1-0.5/N288^0.1))^2))</f>
        <v>10089.21333383869</v>
      </c>
      <c r="P288" s="6">
        <f t="shared" si="45"/>
        <v>2.9510194925512497E-2</v>
      </c>
      <c r="Q288" s="6">
        <f t="shared" si="46"/>
        <v>5.3937436979467304</v>
      </c>
      <c r="R288" s="6">
        <f t="shared" si="47"/>
        <v>13.162477498448688</v>
      </c>
      <c r="S288" s="6">
        <f>IF($Y$2="按单位面积散热损失 qp",B288*LN(B288/首页!$B$4),LN(B288/首页!$B$4))</f>
        <v>1.1959627170714737</v>
      </c>
      <c r="T288" s="6">
        <f>IF($Y$2="按单位面积散热损失 qp",2*PI()*首页!$B$8*((E288-D288)/$Y$3-1/R288),2*PI()*首页!$B$8*((E288-D288)/$Y$4-1/(PI()*B288*R288)))</f>
        <v>4.0818717560135366E-2</v>
      </c>
      <c r="U288" t="str">
        <f t="shared" si="48"/>
        <v>按单位面积散热损失 qp</v>
      </c>
      <c r="V288" s="6">
        <f t="shared" si="49"/>
        <v>1.1551439995113384</v>
      </c>
    </row>
    <row r="289" spans="1:22" x14ac:dyDescent="0.15">
      <c r="A289">
        <v>284</v>
      </c>
      <c r="B289" s="6">
        <f>首页!$B$4+2*A289/1000</f>
        <v>0.68799999999999994</v>
      </c>
      <c r="C289" s="6">
        <f>首页!$B$7+273.15</f>
        <v>388.15</v>
      </c>
      <c r="D289" s="6">
        <f>首页!$B$6+273.15</f>
        <v>293.14999999999998</v>
      </c>
      <c r="E289" s="6">
        <f>首页!$B$5+273.15</f>
        <v>1373.15</v>
      </c>
      <c r="F289" s="6">
        <f t="shared" si="40"/>
        <v>95</v>
      </c>
      <c r="G289" s="6">
        <f t="shared" si="41"/>
        <v>340.65</v>
      </c>
      <c r="H289" s="6">
        <f t="shared" si="42"/>
        <v>1.9926207055139041E-5</v>
      </c>
      <c r="I289" s="7">
        <f t="shared" si="43"/>
        <v>1158916576932337.8</v>
      </c>
      <c r="J289" s="6">
        <f t="shared" si="44"/>
        <v>1.0226038455893147</v>
      </c>
      <c r="K289" s="7">
        <f>J289*H289*首页!$B$12/P289</f>
        <v>0.69532757496605813</v>
      </c>
      <c r="L289" s="6">
        <f>首页!$B$9*0.0000000567*((C289^4-D289^4)/(C289-D289))</f>
        <v>7.7687338005019564</v>
      </c>
      <c r="M289" s="6">
        <f>IF(首页!$B$13="自然对流",IF(首页!$B$14="立式圆筒",首页!$B$10,PI()*B289/2),PI()*B289/2)</f>
        <v>55.2</v>
      </c>
      <c r="N289" s="7">
        <f>IF(首页!$B$13="强制对流",首页!$B$11*M289/H289,0)</f>
        <v>0</v>
      </c>
      <c r="O289" s="7">
        <f>IF(首页!$B$13="自然对流",IF(首页!$B$14="立式圆筒",(0.825+0.3063*I289^(1/6))^2+0.87*(M289/B289),(0.752+0.303*I289^(1/6))^2),0.3+SQRT((0.592*N289^0.5)^2+(0.0262*N289^0.8/(1-0.5/N289^0.1))^2))</f>
        <v>10089.009828516295</v>
      </c>
      <c r="P289" s="6">
        <f t="shared" si="45"/>
        <v>2.9510194925512497E-2</v>
      </c>
      <c r="Q289" s="6">
        <f t="shared" si="46"/>
        <v>5.3936349029878121</v>
      </c>
      <c r="R289" s="6">
        <f t="shared" si="47"/>
        <v>13.162368703489769</v>
      </c>
      <c r="S289" s="6">
        <f>IF($Y$2="按单位面积散热损失 qp",B289*LN(B289/首页!$B$4),LN(B289/首页!$B$4))</f>
        <v>1.2014524014640928</v>
      </c>
      <c r="T289" s="6">
        <f>IF($Y$2="按单位面积散热损失 qp",2*PI()*首页!$B$8*((E289-D289)/$Y$3-1/R289),2*PI()*首页!$B$8*((E289-D289)/$Y$4-1/(PI()*B289*R289)))</f>
        <v>4.0818540006544141E-2</v>
      </c>
      <c r="U289" t="str">
        <f t="shared" si="48"/>
        <v>按单位面积散热损失 qp</v>
      </c>
      <c r="V289" s="6">
        <f t="shared" si="49"/>
        <v>1.1606338614575487</v>
      </c>
    </row>
    <row r="290" spans="1:22" x14ac:dyDescent="0.15">
      <c r="A290">
        <v>285</v>
      </c>
      <c r="B290" s="6">
        <f>首页!$B$4+2*A290/1000</f>
        <v>0.69</v>
      </c>
      <c r="C290" s="6">
        <f>首页!$B$7+273.15</f>
        <v>388.15</v>
      </c>
      <c r="D290" s="6">
        <f>首页!$B$6+273.15</f>
        <v>293.14999999999998</v>
      </c>
      <c r="E290" s="6">
        <f>首页!$B$5+273.15</f>
        <v>1373.15</v>
      </c>
      <c r="F290" s="6">
        <f t="shared" si="40"/>
        <v>95</v>
      </c>
      <c r="G290" s="6">
        <f t="shared" si="41"/>
        <v>340.65</v>
      </c>
      <c r="H290" s="6">
        <f t="shared" si="42"/>
        <v>1.9926207055139041E-5</v>
      </c>
      <c r="I290" s="7">
        <f t="shared" si="43"/>
        <v>1158916576932337.8</v>
      </c>
      <c r="J290" s="6">
        <f t="shared" si="44"/>
        <v>1.0226038455893147</v>
      </c>
      <c r="K290" s="7">
        <f>J290*H290*首页!$B$12/P290</f>
        <v>0.69532757496605813</v>
      </c>
      <c r="L290" s="6">
        <f>首页!$B$9*0.0000000567*((C290^4-D290^4)/(C290-D290))</f>
        <v>7.7687338005019564</v>
      </c>
      <c r="M290" s="6">
        <f>IF(首页!$B$13="自然对流",IF(首页!$B$14="立式圆筒",首页!$B$10,PI()*B290/2),PI()*B290/2)</f>
        <v>55.2</v>
      </c>
      <c r="N290" s="7">
        <f>IF(首页!$B$13="强制对流",首页!$B$11*M290/H290,0)</f>
        <v>0</v>
      </c>
      <c r="O290" s="7">
        <f>IF(首页!$B$13="自然对流",IF(首页!$B$14="立式圆筒",(0.825+0.3063*I290^(1/6))^2+0.87*(M290/B290),(0.752+0.303*I290^(1/6))^2),0.3+SQRT((0.592*N290^0.5)^2+(0.0262*N290^0.8/(1-0.5/N290^0.1))^2))</f>
        <v>10088.8075029349</v>
      </c>
      <c r="P290" s="6">
        <f t="shared" si="45"/>
        <v>2.9510194925512497E-2</v>
      </c>
      <c r="Q290" s="6">
        <f t="shared" si="46"/>
        <v>5.3935267387243098</v>
      </c>
      <c r="R290" s="6">
        <f t="shared" si="47"/>
        <v>13.162260539226267</v>
      </c>
      <c r="S290" s="6">
        <f>IF($Y$2="按单位面积散热损失 qp",B290*LN(B290/首页!$B$4),LN(B290/首页!$B$4))</f>
        <v>1.2069478998183887</v>
      </c>
      <c r="T290" s="6">
        <f>IF($Y$2="按单位面积散热损失 qp",2*PI()*首页!$B$8*((E290-D290)/$Y$3-1/R290),2*PI()*首页!$B$8*((E290-D290)/$Y$4-1/(PI()*B290*R290)))</f>
        <v>4.081836347933937E-2</v>
      </c>
      <c r="U290" t="str">
        <f t="shared" si="48"/>
        <v>按单位面积散热损失 qp</v>
      </c>
      <c r="V290" s="6">
        <f t="shared" si="49"/>
        <v>1.1661295363390494</v>
      </c>
    </row>
    <row r="291" spans="1:22" x14ac:dyDescent="0.15">
      <c r="A291">
        <v>286</v>
      </c>
      <c r="B291" s="6">
        <f>首页!$B$4+2*A291/1000</f>
        <v>0.69199999999999995</v>
      </c>
      <c r="C291" s="6">
        <f>首页!$B$7+273.15</f>
        <v>388.15</v>
      </c>
      <c r="D291" s="6">
        <f>首页!$B$6+273.15</f>
        <v>293.14999999999998</v>
      </c>
      <c r="E291" s="6">
        <f>首页!$B$5+273.15</f>
        <v>1373.15</v>
      </c>
      <c r="F291" s="6">
        <f t="shared" si="40"/>
        <v>95</v>
      </c>
      <c r="G291" s="6">
        <f t="shared" si="41"/>
        <v>340.65</v>
      </c>
      <c r="H291" s="6">
        <f t="shared" si="42"/>
        <v>1.9926207055139041E-5</v>
      </c>
      <c r="I291" s="7">
        <f t="shared" si="43"/>
        <v>1158916576932337.8</v>
      </c>
      <c r="J291" s="6">
        <f t="shared" si="44"/>
        <v>1.0226038455893147</v>
      </c>
      <c r="K291" s="7">
        <f>J291*H291*首页!$B$12/P291</f>
        <v>0.69532757496605813</v>
      </c>
      <c r="L291" s="6">
        <f>首页!$B$9*0.0000000567*((C291^4-D291^4)/(C291-D291))</f>
        <v>7.7687338005019564</v>
      </c>
      <c r="M291" s="6">
        <f>IF(首页!$B$13="自然对流",IF(首页!$B$14="立式圆筒",首页!$B$10,PI()*B291/2),PI()*B291/2)</f>
        <v>55.2</v>
      </c>
      <c r="N291" s="7">
        <f>IF(首页!$B$13="强制对流",首页!$B$11*M291/H291,0)</f>
        <v>0</v>
      </c>
      <c r="O291" s="7">
        <f>IF(首页!$B$13="自然对流",IF(首页!$B$14="立式圆筒",(0.825+0.3063*I291^(1/6))^2+0.87*(M291/B291),(0.752+0.303*I291^(1/6))^2),0.3+SQRT((0.592*N291^0.5)^2+(0.0262*N291^0.8/(1-0.5/N291^0.1))^2))</f>
        <v>10088.606346865536</v>
      </c>
      <c r="P291" s="6">
        <f t="shared" si="45"/>
        <v>2.9510194925512497E-2</v>
      </c>
      <c r="Q291" s="6">
        <f t="shared" si="46"/>
        <v>5.393419199687763</v>
      </c>
      <c r="R291" s="6">
        <f t="shared" si="47"/>
        <v>13.162153000189718</v>
      </c>
      <c r="S291" s="6">
        <f>IF($Y$2="按单位面积散热损失 qp",B291*LN(B291/首页!$B$4),LN(B291/首页!$B$4))</f>
        <v>1.2124491952822514</v>
      </c>
      <c r="T291" s="6">
        <f>IF($Y$2="按单位面积散热损失 qp",2*PI()*首页!$B$8*((E291-D291)/$Y$3-1/R291),2*PI()*首页!$B$8*((E291-D291)/$Y$4-1/(PI()*B291*R291)))</f>
        <v>4.0818187969646834E-2</v>
      </c>
      <c r="U291" t="str">
        <f t="shared" si="48"/>
        <v>按单位面积散热损失 qp</v>
      </c>
      <c r="V291" s="6">
        <f t="shared" si="49"/>
        <v>1.1716310073126046</v>
      </c>
    </row>
    <row r="292" spans="1:22" x14ac:dyDescent="0.15">
      <c r="A292">
        <v>287</v>
      </c>
      <c r="B292" s="6">
        <f>首页!$B$4+2*A292/1000</f>
        <v>0.69399999999999995</v>
      </c>
      <c r="C292" s="6">
        <f>首页!$B$7+273.15</f>
        <v>388.15</v>
      </c>
      <c r="D292" s="6">
        <f>首页!$B$6+273.15</f>
        <v>293.14999999999998</v>
      </c>
      <c r="E292" s="6">
        <f>首页!$B$5+273.15</f>
        <v>1373.15</v>
      </c>
      <c r="F292" s="6">
        <f t="shared" si="40"/>
        <v>95</v>
      </c>
      <c r="G292" s="6">
        <f t="shared" si="41"/>
        <v>340.65</v>
      </c>
      <c r="H292" s="6">
        <f t="shared" si="42"/>
        <v>1.9926207055139041E-5</v>
      </c>
      <c r="I292" s="7">
        <f t="shared" si="43"/>
        <v>1158916576932337.8</v>
      </c>
      <c r="J292" s="6">
        <f t="shared" si="44"/>
        <v>1.0226038455893147</v>
      </c>
      <c r="K292" s="7">
        <f>J292*H292*首页!$B$12/P292</f>
        <v>0.69532757496605813</v>
      </c>
      <c r="L292" s="6">
        <f>首页!$B$9*0.0000000567*((C292^4-D292^4)/(C292-D292))</f>
        <v>7.7687338005019564</v>
      </c>
      <c r="M292" s="6">
        <f>IF(首页!$B$13="自然对流",IF(首页!$B$14="立式圆筒",首页!$B$10,PI()*B292/2),PI()*B292/2)</f>
        <v>55.2</v>
      </c>
      <c r="N292" s="7">
        <f>IF(首页!$B$13="强制对流",首页!$B$11*M292/H292,0)</f>
        <v>0</v>
      </c>
      <c r="O292" s="7">
        <f>IF(首页!$B$13="自然对流",IF(首页!$B$14="立式圆筒",(0.825+0.3063*I292^(1/6))^2+0.87*(M292/B292),(0.752+0.303*I292^(1/6))^2),0.3+SQRT((0.592*N292^0.5)^2+(0.0262*N292^0.8/(1-0.5/N292^0.1))^2))</f>
        <v>10088.406350197147</v>
      </c>
      <c r="P292" s="6">
        <f t="shared" si="45"/>
        <v>2.9510194925512497E-2</v>
      </c>
      <c r="Q292" s="6">
        <f t="shared" si="46"/>
        <v>5.3933122804727516</v>
      </c>
      <c r="R292" s="6">
        <f t="shared" si="47"/>
        <v>13.162046080974708</v>
      </c>
      <c r="S292" s="6">
        <f>IF($Y$2="按单位面积散热损失 qp",B292*LN(B292/首页!$B$4),LN(B292/首页!$B$4))</f>
        <v>1.2179562711009824</v>
      </c>
      <c r="T292" s="6">
        <f>IF($Y$2="按单位面积散热损失 qp",2*PI()*首页!$B$8*((E292-D292)/$Y$3-1/R292),2*PI()*首页!$B$8*((E292-D292)/$Y$4-1/(PI()*B292*R292)))</f>
        <v>4.0818013468694327E-2</v>
      </c>
      <c r="U292" t="str">
        <f t="shared" si="48"/>
        <v>按单位面积散热损失 qp</v>
      </c>
      <c r="V292" s="6">
        <f t="shared" si="49"/>
        <v>1.177138257632288</v>
      </c>
    </row>
    <row r="293" spans="1:22" x14ac:dyDescent="0.15">
      <c r="A293">
        <v>288</v>
      </c>
      <c r="B293" s="6">
        <f>首页!$B$4+2*A293/1000</f>
        <v>0.69599999999999995</v>
      </c>
      <c r="C293" s="6">
        <f>首页!$B$7+273.15</f>
        <v>388.15</v>
      </c>
      <c r="D293" s="6">
        <f>首页!$B$6+273.15</f>
        <v>293.14999999999998</v>
      </c>
      <c r="E293" s="6">
        <f>首页!$B$5+273.15</f>
        <v>1373.15</v>
      </c>
      <c r="F293" s="6">
        <f t="shared" si="40"/>
        <v>95</v>
      </c>
      <c r="G293" s="6">
        <f t="shared" si="41"/>
        <v>340.65</v>
      </c>
      <c r="H293" s="6">
        <f t="shared" si="42"/>
        <v>1.9926207055139041E-5</v>
      </c>
      <c r="I293" s="7">
        <f t="shared" si="43"/>
        <v>1158916576932337.8</v>
      </c>
      <c r="J293" s="6">
        <f t="shared" si="44"/>
        <v>1.0226038455893147</v>
      </c>
      <c r="K293" s="7">
        <f>J293*H293*首页!$B$12/P293</f>
        <v>0.69532757496605813</v>
      </c>
      <c r="L293" s="6">
        <f>首页!$B$9*0.0000000567*((C293^4-D293^4)/(C293-D293))</f>
        <v>7.7687338005019564</v>
      </c>
      <c r="M293" s="6">
        <f>IF(首页!$B$13="自然对流",IF(首页!$B$14="立式圆筒",首页!$B$10,PI()*B293/2),PI()*B293/2)</f>
        <v>55.2</v>
      </c>
      <c r="N293" s="7">
        <f>IF(首页!$B$13="强制对流",首页!$B$11*M293/H293,0)</f>
        <v>0</v>
      </c>
      <c r="O293" s="7">
        <f>IF(首页!$B$13="自然对流",IF(首页!$B$14="立式圆筒",(0.825+0.3063*I293^(1/6))^2+0.87*(M293/B293),(0.752+0.303*I293^(1/6))^2),0.3+SQRT((0.592*N293^0.5)^2+(0.0262*N293^0.8/(1-0.5/N293^0.1))^2))</f>
        <v>10088.2075029349</v>
      </c>
      <c r="P293" s="6">
        <f t="shared" si="45"/>
        <v>2.9510194925512497E-2</v>
      </c>
      <c r="Q293" s="6">
        <f t="shared" si="46"/>
        <v>5.3932059757359889</v>
      </c>
      <c r="R293" s="6">
        <f t="shared" si="47"/>
        <v>13.161939776237945</v>
      </c>
      <c r="S293" s="6">
        <f>IF($Y$2="按单位面积散热损失 qp",B293*LN(B293/首页!$B$4),LN(B293/首页!$B$4))</f>
        <v>1.2234691106164519</v>
      </c>
      <c r="T293" s="6">
        <f>IF($Y$2="按单位面积散热损失 qp",2*PI()*首页!$B$8*((E293-D293)/$Y$3-1/R293),2*PI()*首页!$B$8*((E293-D293)/$Y$4-1/(PI()*B293*R293)))</f>
        <v>4.0817839967810181E-2</v>
      </c>
      <c r="U293" t="str">
        <f t="shared" si="48"/>
        <v>按单位面积散热损失 qp</v>
      </c>
      <c r="V293" s="6">
        <f t="shared" si="49"/>
        <v>1.1826512706486418</v>
      </c>
    </row>
    <row r="294" spans="1:22" x14ac:dyDescent="0.15">
      <c r="A294">
        <v>289</v>
      </c>
      <c r="B294" s="6">
        <f>首页!$B$4+2*A294/1000</f>
        <v>0.69799999999999995</v>
      </c>
      <c r="C294" s="6">
        <f>首页!$B$7+273.15</f>
        <v>388.15</v>
      </c>
      <c r="D294" s="6">
        <f>首页!$B$6+273.15</f>
        <v>293.14999999999998</v>
      </c>
      <c r="E294" s="6">
        <f>首页!$B$5+273.15</f>
        <v>1373.15</v>
      </c>
      <c r="F294" s="6">
        <f t="shared" si="40"/>
        <v>95</v>
      </c>
      <c r="G294" s="6">
        <f t="shared" si="41"/>
        <v>340.65</v>
      </c>
      <c r="H294" s="6">
        <f t="shared" si="42"/>
        <v>1.9926207055139041E-5</v>
      </c>
      <c r="I294" s="7">
        <f t="shared" si="43"/>
        <v>1158916576932337.8</v>
      </c>
      <c r="J294" s="6">
        <f t="shared" si="44"/>
        <v>1.0226038455893147</v>
      </c>
      <c r="K294" s="7">
        <f>J294*H294*首页!$B$12/P294</f>
        <v>0.69532757496605813</v>
      </c>
      <c r="L294" s="6">
        <f>首页!$B$9*0.0000000567*((C294^4-D294^4)/(C294-D294))</f>
        <v>7.7687338005019564</v>
      </c>
      <c r="M294" s="6">
        <f>IF(首页!$B$13="自然对流",IF(首页!$B$14="立式圆筒",首页!$B$10,PI()*B294/2),PI()*B294/2)</f>
        <v>55.2</v>
      </c>
      <c r="N294" s="7">
        <f>IF(首页!$B$13="强制对流",首页!$B$11*M294/H294,0)</f>
        <v>0</v>
      </c>
      <c r="O294" s="7">
        <f>IF(首页!$B$13="自然对流",IF(首页!$B$14="立式圆筒",(0.825+0.3063*I294^(1/6))^2+0.87*(M294/B294),(0.752+0.303*I294^(1/6))^2),0.3+SQRT((0.592*N294^0.5)^2+(0.0262*N294^0.8/(1-0.5/N294^0.1))^2))</f>
        <v>10088.00979519851</v>
      </c>
      <c r="P294" s="6">
        <f t="shared" si="45"/>
        <v>2.9510194925512497E-2</v>
      </c>
      <c r="Q294" s="6">
        <f t="shared" si="46"/>
        <v>5.3931002801954238</v>
      </c>
      <c r="R294" s="6">
        <f t="shared" si="47"/>
        <v>13.16183408069738</v>
      </c>
      <c r="S294" s="6">
        <f>IF($Y$2="按单位面积散热损失 qp",B294*LN(B294/首页!$B$4),LN(B294/首页!$B$4))</f>
        <v>1.2289876972662677</v>
      </c>
      <c r="T294" s="6">
        <f>IF($Y$2="按单位面积散热损失 qp",2*PI()*首页!$B$8*((E294-D294)/$Y$3-1/R294),2*PI()*首页!$B$8*((E294-D294)/$Y$4-1/(PI()*B294*R294)))</f>
        <v>4.0817667458421837E-2</v>
      </c>
      <c r="U294" t="str">
        <f t="shared" si="48"/>
        <v>按单位面积散热损失 qp</v>
      </c>
      <c r="V294" s="6">
        <f t="shared" si="49"/>
        <v>1.1881700298078459</v>
      </c>
    </row>
    <row r="295" spans="1:22" x14ac:dyDescent="0.15">
      <c r="A295">
        <v>290</v>
      </c>
      <c r="B295" s="6">
        <f>首页!$B$4+2*A295/1000</f>
        <v>0.7</v>
      </c>
      <c r="C295" s="6">
        <f>首页!$B$7+273.15</f>
        <v>388.15</v>
      </c>
      <c r="D295" s="6">
        <f>首页!$B$6+273.15</f>
        <v>293.14999999999998</v>
      </c>
      <c r="E295" s="6">
        <f>首页!$B$5+273.15</f>
        <v>1373.15</v>
      </c>
      <c r="F295" s="6">
        <f t="shared" si="40"/>
        <v>95</v>
      </c>
      <c r="G295" s="6">
        <f t="shared" si="41"/>
        <v>340.65</v>
      </c>
      <c r="H295" s="6">
        <f t="shared" si="42"/>
        <v>1.9926207055139041E-5</v>
      </c>
      <c r="I295" s="7">
        <f t="shared" si="43"/>
        <v>1158916576932337.8</v>
      </c>
      <c r="J295" s="6">
        <f t="shared" si="44"/>
        <v>1.0226038455893147</v>
      </c>
      <c r="K295" s="7">
        <f>J295*H295*首页!$B$12/P295</f>
        <v>0.69532757496605813</v>
      </c>
      <c r="L295" s="6">
        <f>首页!$B$9*0.0000000567*((C295^4-D295^4)/(C295-D295))</f>
        <v>7.7687338005019564</v>
      </c>
      <c r="M295" s="6">
        <f>IF(首页!$B$13="自然对流",IF(首页!$B$14="立式圆筒",首页!$B$10,PI()*B295/2),PI()*B295/2)</f>
        <v>55.2</v>
      </c>
      <c r="N295" s="7">
        <f>IF(首页!$B$13="强制对流",首页!$B$11*M295/H295,0)</f>
        <v>0</v>
      </c>
      <c r="O295" s="7">
        <f>IF(首页!$B$13="自然对流",IF(首页!$B$14="立式圆筒",(0.825+0.3063*I295^(1/6))^2+0.87*(M295/B295),(0.752+0.303*I295^(1/6))^2),0.3+SQRT((0.592*N295^0.5)^2+(0.0262*N295^0.8/(1-0.5/N295^0.1))^2))</f>
        <v>10087.813217220613</v>
      </c>
      <c r="P295" s="6">
        <f t="shared" si="45"/>
        <v>2.9510194925512497E-2</v>
      </c>
      <c r="Q295" s="6">
        <f t="shared" si="46"/>
        <v>5.392995188629377</v>
      </c>
      <c r="R295" s="6">
        <f t="shared" si="47"/>
        <v>13.161728989131333</v>
      </c>
      <c r="S295" s="6">
        <f>IF($Y$2="按单位面积散热损失 qp",B295*LN(B295/首页!$B$4),LN(B295/首页!$B$4))</f>
        <v>1.2345120145829509</v>
      </c>
      <c r="T295" s="6">
        <f>IF($Y$2="按单位面积散热损失 qp",2*PI()*首页!$B$8*((E295-D295)/$Y$3-1/R295),2*PI()*首页!$B$8*((E295-D295)/$Y$4-1/(PI()*B295*R295)))</f>
        <v>4.0817495932054457E-2</v>
      </c>
      <c r="U295" t="str">
        <f t="shared" si="48"/>
        <v>按单位面积散热损失 qp</v>
      </c>
      <c r="V295" s="6">
        <f t="shared" si="49"/>
        <v>1.1936945186508965</v>
      </c>
    </row>
    <row r="296" spans="1:22" x14ac:dyDescent="0.15">
      <c r="A296">
        <v>291</v>
      </c>
      <c r="B296" s="6">
        <f>首页!$B$4+2*A296/1000</f>
        <v>0.70199999999999996</v>
      </c>
      <c r="C296" s="6">
        <f>首页!$B$7+273.15</f>
        <v>388.15</v>
      </c>
      <c r="D296" s="6">
        <f>首页!$B$6+273.15</f>
        <v>293.14999999999998</v>
      </c>
      <c r="E296" s="6">
        <f>首页!$B$5+273.15</f>
        <v>1373.15</v>
      </c>
      <c r="F296" s="6">
        <f t="shared" si="40"/>
        <v>95</v>
      </c>
      <c r="G296" s="6">
        <f t="shared" si="41"/>
        <v>340.65</v>
      </c>
      <c r="H296" s="6">
        <f t="shared" si="42"/>
        <v>1.9926207055139041E-5</v>
      </c>
      <c r="I296" s="7">
        <f t="shared" si="43"/>
        <v>1158916576932337.8</v>
      </c>
      <c r="J296" s="6">
        <f t="shared" si="44"/>
        <v>1.0226038455893147</v>
      </c>
      <c r="K296" s="7">
        <f>J296*H296*首页!$B$12/P296</f>
        <v>0.69532757496605813</v>
      </c>
      <c r="L296" s="6">
        <f>首页!$B$9*0.0000000567*((C296^4-D296^4)/(C296-D296))</f>
        <v>7.7687338005019564</v>
      </c>
      <c r="M296" s="6">
        <f>IF(首页!$B$13="自然对流",IF(首页!$B$14="立式圆筒",首页!$B$10,PI()*B296/2),PI()*B296/2)</f>
        <v>55.2</v>
      </c>
      <c r="N296" s="7">
        <f>IF(首页!$B$13="强制对流",首页!$B$11*M296/H296,0)</f>
        <v>0</v>
      </c>
      <c r="O296" s="7">
        <f>IF(首页!$B$13="自然对流",IF(首页!$B$14="立式圆筒",(0.825+0.3063*I296^(1/6))^2+0.87*(M296/B296),(0.752+0.303*I296^(1/6))^2),0.3+SQRT((0.592*N296^0.5)^2+(0.0262*N296^0.8/(1-0.5/N296^0.1))^2))</f>
        <v>10087.617759345156</v>
      </c>
      <c r="P296" s="6">
        <f t="shared" si="45"/>
        <v>2.9510194925512497E-2</v>
      </c>
      <c r="Q296" s="6">
        <f t="shared" si="46"/>
        <v>5.392890695875673</v>
      </c>
      <c r="R296" s="6">
        <f t="shared" si="47"/>
        <v>13.16162449637763</v>
      </c>
      <c r="S296" s="6">
        <f>IF($Y$2="按单位面积散热损失 qp",B296*LN(B296/首页!$B$4),LN(B296/首页!$B$4))</f>
        <v>1.240042046193123</v>
      </c>
      <c r="T296" s="6">
        <f>IF($Y$2="按单位面积散热损失 qp",2*PI()*首页!$B$8*((E296-D296)/$Y$3-1/R296),2*PI()*首页!$B$8*((E296-D296)/$Y$4-1/(PI()*B296*R296)))</f>
        <v>4.0817325380329478E-2</v>
      </c>
      <c r="U296" t="str">
        <f t="shared" si="48"/>
        <v>按单位面积散热损失 qp</v>
      </c>
      <c r="V296" s="6">
        <f t="shared" si="49"/>
        <v>1.1992247208127935</v>
      </c>
    </row>
    <row r="297" spans="1:22" x14ac:dyDescent="0.15">
      <c r="A297">
        <v>292</v>
      </c>
      <c r="B297" s="6">
        <f>首页!$B$4+2*A297/1000</f>
        <v>0.70399999999999996</v>
      </c>
      <c r="C297" s="6">
        <f>首页!$B$7+273.15</f>
        <v>388.15</v>
      </c>
      <c r="D297" s="6">
        <f>首页!$B$6+273.15</f>
        <v>293.14999999999998</v>
      </c>
      <c r="E297" s="6">
        <f>首页!$B$5+273.15</f>
        <v>1373.15</v>
      </c>
      <c r="F297" s="6">
        <f t="shared" si="40"/>
        <v>95</v>
      </c>
      <c r="G297" s="6">
        <f t="shared" si="41"/>
        <v>340.65</v>
      </c>
      <c r="H297" s="6">
        <f t="shared" si="42"/>
        <v>1.9926207055139041E-5</v>
      </c>
      <c r="I297" s="7">
        <f t="shared" si="43"/>
        <v>1158916576932337.8</v>
      </c>
      <c r="J297" s="6">
        <f t="shared" si="44"/>
        <v>1.0226038455893147</v>
      </c>
      <c r="K297" s="7">
        <f>J297*H297*首页!$B$12/P297</f>
        <v>0.69532757496605813</v>
      </c>
      <c r="L297" s="6">
        <f>首页!$B$9*0.0000000567*((C297^4-D297^4)/(C297-D297))</f>
        <v>7.7687338005019564</v>
      </c>
      <c r="M297" s="6">
        <f>IF(首页!$B$13="自然对流",IF(首页!$B$14="立式圆筒",首页!$B$10,PI()*B297/2),PI()*B297/2)</f>
        <v>55.2</v>
      </c>
      <c r="N297" s="7">
        <f>IF(首页!$B$13="强制对流",首页!$B$11*M297/H297,0)</f>
        <v>0</v>
      </c>
      <c r="O297" s="7">
        <f>IF(首页!$B$13="自然对流",IF(首页!$B$14="立式圆筒",(0.825+0.3063*I297^(1/6))^2+0.87*(M297/B297),(0.752+0.303*I297^(1/6))^2),0.3+SQRT((0.592*N297^0.5)^2+(0.0262*N297^0.8/(1-0.5/N297^0.1))^2))</f>
        <v>10087.42341202581</v>
      </c>
      <c r="P297" s="6">
        <f t="shared" si="45"/>
        <v>2.9510194925512497E-2</v>
      </c>
      <c r="Q297" s="6">
        <f t="shared" si="46"/>
        <v>5.392786796830797</v>
      </c>
      <c r="R297" s="6">
        <f t="shared" si="47"/>
        <v>13.161520597332753</v>
      </c>
      <c r="S297" s="6">
        <f>IF($Y$2="按单位面积散热损失 qp",B297*LN(B297/首页!$B$4),LN(B297/首页!$B$4))</f>
        <v>1.2455777758167013</v>
      </c>
      <c r="T297" s="6">
        <f>IF($Y$2="按单位面积散热损失 qp",2*PI()*首页!$B$8*((E297-D297)/$Y$3-1/R297),2*PI()*首页!$B$8*((E297-D297)/$Y$4-1/(PI()*B297*R297)))</f>
        <v>4.0817155794963332E-2</v>
      </c>
      <c r="U297" t="str">
        <f t="shared" si="48"/>
        <v>按单位面积散热损失 qp</v>
      </c>
      <c r="V297" s="6">
        <f t="shared" si="49"/>
        <v>1.204760620021738</v>
      </c>
    </row>
    <row r="298" spans="1:22" x14ac:dyDescent="0.15">
      <c r="A298">
        <v>293</v>
      </c>
      <c r="B298" s="6">
        <f>首页!$B$4+2*A298/1000</f>
        <v>0.70599999999999996</v>
      </c>
      <c r="C298" s="6">
        <f>首页!$B$7+273.15</f>
        <v>388.15</v>
      </c>
      <c r="D298" s="6">
        <f>首页!$B$6+273.15</f>
        <v>293.14999999999998</v>
      </c>
      <c r="E298" s="6">
        <f>首页!$B$5+273.15</f>
        <v>1373.15</v>
      </c>
      <c r="F298" s="6">
        <f t="shared" si="40"/>
        <v>95</v>
      </c>
      <c r="G298" s="6">
        <f t="shared" si="41"/>
        <v>340.65</v>
      </c>
      <c r="H298" s="6">
        <f t="shared" si="42"/>
        <v>1.9926207055139041E-5</v>
      </c>
      <c r="I298" s="7">
        <f t="shared" si="43"/>
        <v>1158916576932337.8</v>
      </c>
      <c r="J298" s="6">
        <f t="shared" si="44"/>
        <v>1.0226038455893147</v>
      </c>
      <c r="K298" s="7">
        <f>J298*H298*首页!$B$12/P298</f>
        <v>0.69532757496605813</v>
      </c>
      <c r="L298" s="6">
        <f>首页!$B$9*0.0000000567*((C298^4-D298^4)/(C298-D298))</f>
        <v>7.7687338005019564</v>
      </c>
      <c r="M298" s="6">
        <f>IF(首页!$B$13="自然对流",IF(首页!$B$14="立式圆筒",首页!$B$10,PI()*B298/2),PI()*B298/2)</f>
        <v>55.2</v>
      </c>
      <c r="N298" s="7">
        <f>IF(首页!$B$13="强制对流",首页!$B$11*M298/H298,0)</f>
        <v>0</v>
      </c>
      <c r="O298" s="7">
        <f>IF(首页!$B$13="自然对流",IF(首页!$B$14="立式圆筒",(0.825+0.3063*I298^(1/6))^2+0.87*(M298/B298),(0.752+0.303*I298^(1/6))^2),0.3+SQRT((0.592*N298^0.5)^2+(0.0262*N298^0.8/(1-0.5/N298^0.1))^2))</f>
        <v>10087.230165824418</v>
      </c>
      <c r="P298" s="6">
        <f t="shared" si="45"/>
        <v>2.9510194925512497E-2</v>
      </c>
      <c r="Q298" s="6">
        <f t="shared" si="46"/>
        <v>5.3926834864490631</v>
      </c>
      <c r="R298" s="6">
        <f t="shared" si="47"/>
        <v>13.16141728695102</v>
      </c>
      <c r="S298" s="6">
        <f>IF($Y$2="按单位面积散热损失 qp",B298*LN(B298/首页!$B$4),LN(B298/首页!$B$4))</f>
        <v>1.2511191872661043</v>
      </c>
      <c r="T298" s="6">
        <f>IF($Y$2="按单位面积散热损失 qp",2*PI()*首页!$B$8*((E298-D298)/$Y$3-1/R298),2*PI()*首页!$B$8*((E298-D298)/$Y$4-1/(PI()*B298*R298)))</f>
        <v>4.0816987167766015E-2</v>
      </c>
      <c r="U298" t="str">
        <f t="shared" si="48"/>
        <v>按单位面积散热损失 qp</v>
      </c>
      <c r="V298" s="6">
        <f t="shared" si="49"/>
        <v>1.2103022000983383</v>
      </c>
    </row>
    <row r="299" spans="1:22" x14ac:dyDescent="0.15">
      <c r="A299">
        <v>294</v>
      </c>
      <c r="B299" s="6">
        <f>首页!$B$4+2*A299/1000</f>
        <v>0.70799999999999996</v>
      </c>
      <c r="C299" s="6">
        <f>首页!$B$7+273.15</f>
        <v>388.15</v>
      </c>
      <c r="D299" s="6">
        <f>首页!$B$6+273.15</f>
        <v>293.14999999999998</v>
      </c>
      <c r="E299" s="6">
        <f>首页!$B$5+273.15</f>
        <v>1373.15</v>
      </c>
      <c r="F299" s="6">
        <f t="shared" si="40"/>
        <v>95</v>
      </c>
      <c r="G299" s="6">
        <f t="shared" si="41"/>
        <v>340.65</v>
      </c>
      <c r="H299" s="6">
        <f t="shared" si="42"/>
        <v>1.9926207055139041E-5</v>
      </c>
      <c r="I299" s="7">
        <f t="shared" si="43"/>
        <v>1158916576932337.8</v>
      </c>
      <c r="J299" s="6">
        <f t="shared" si="44"/>
        <v>1.0226038455893147</v>
      </c>
      <c r="K299" s="7">
        <f>J299*H299*首页!$B$12/P299</f>
        <v>0.69532757496605813</v>
      </c>
      <c r="L299" s="6">
        <f>首页!$B$9*0.0000000567*((C299^4-D299^4)/(C299-D299))</f>
        <v>7.7687338005019564</v>
      </c>
      <c r="M299" s="6">
        <f>IF(首页!$B$13="自然对流",IF(首页!$B$14="立式圆筒",首页!$B$10,PI()*B299/2),PI()*B299/2)</f>
        <v>55.2</v>
      </c>
      <c r="N299" s="7">
        <f>IF(首页!$B$13="强制对流",首页!$B$11*M299/H299,0)</f>
        <v>0</v>
      </c>
      <c r="O299" s="7">
        <f>IF(首页!$B$13="自然对流",IF(首页!$B$14="立式圆筒",(0.825+0.3063*I299^(1/6))^2+0.87*(M299/B299),(0.752+0.303*I299^(1/6))^2),0.3+SQRT((0.592*N299^0.5)^2+(0.0262*N299^0.8/(1-0.5/N299^0.1))^2))</f>
        <v>10087.038011409477</v>
      </c>
      <c r="P299" s="6">
        <f t="shared" si="45"/>
        <v>2.9510194925512497E-2</v>
      </c>
      <c r="Q299" s="6">
        <f t="shared" si="46"/>
        <v>5.3925807597418034</v>
      </c>
      <c r="R299" s="6">
        <f t="shared" si="47"/>
        <v>13.16131456024376</v>
      </c>
      <c r="S299" s="6">
        <f>IF($Y$2="按单位面积散热损失 qp",B299*LN(B299/首页!$B$4),LN(B299/首页!$B$4))</f>
        <v>1.2566662644454649</v>
      </c>
      <c r="T299" s="6">
        <f>IF($Y$2="按单位面积散热损失 qp",2*PI()*首页!$B$8*((E299-D299)/$Y$3-1/R299),2*PI()*首页!$B$8*((E299-D299)/$Y$4-1/(PI()*B299*R299)))</f>
        <v>4.0816819490639818E-2</v>
      </c>
      <c r="U299" t="str">
        <f t="shared" si="48"/>
        <v>按单位面积散热损失 qp</v>
      </c>
      <c r="V299" s="6">
        <f t="shared" si="49"/>
        <v>1.2158494449548252</v>
      </c>
    </row>
    <row r="300" spans="1:22" x14ac:dyDescent="0.15">
      <c r="A300">
        <v>295</v>
      </c>
      <c r="B300" s="6">
        <f>首页!$B$4+2*A300/1000</f>
        <v>0.71</v>
      </c>
      <c r="C300" s="6">
        <f>首页!$B$7+273.15</f>
        <v>388.15</v>
      </c>
      <c r="D300" s="6">
        <f>首页!$B$6+273.15</f>
        <v>293.14999999999998</v>
      </c>
      <c r="E300" s="6">
        <f>首页!$B$5+273.15</f>
        <v>1373.15</v>
      </c>
      <c r="F300" s="6">
        <f t="shared" si="40"/>
        <v>95</v>
      </c>
      <c r="G300" s="6">
        <f t="shared" si="41"/>
        <v>340.65</v>
      </c>
      <c r="H300" s="6">
        <f t="shared" si="42"/>
        <v>1.9926207055139041E-5</v>
      </c>
      <c r="I300" s="7">
        <f t="shared" si="43"/>
        <v>1158916576932337.8</v>
      </c>
      <c r="J300" s="6">
        <f t="shared" si="44"/>
        <v>1.0226038455893147</v>
      </c>
      <c r="K300" s="7">
        <f>J300*H300*首页!$B$12/P300</f>
        <v>0.69532757496605813</v>
      </c>
      <c r="L300" s="6">
        <f>首页!$B$9*0.0000000567*((C300^4-D300^4)/(C300-D300))</f>
        <v>7.7687338005019564</v>
      </c>
      <c r="M300" s="6">
        <f>IF(首页!$B$13="自然对流",IF(首页!$B$14="立式圆筒",首页!$B$10,PI()*B300/2),PI()*B300/2)</f>
        <v>55.2</v>
      </c>
      <c r="N300" s="7">
        <f>IF(首页!$B$13="强制对流",首页!$B$11*M300/H300,0)</f>
        <v>0</v>
      </c>
      <c r="O300" s="7">
        <f>IF(首页!$B$13="自然对流",IF(首页!$B$14="立式圆筒",(0.825+0.3063*I300^(1/6))^2+0.87*(M300/B300),(0.752+0.303*I300^(1/6))^2),0.3+SQRT((0.592*N300^0.5)^2+(0.0262*N300^0.8/(1-0.5/N300^0.1))^2))</f>
        <v>10086.846939554618</v>
      </c>
      <c r="P300" s="6">
        <f t="shared" si="45"/>
        <v>2.9510194925512497E-2</v>
      </c>
      <c r="Q300" s="6">
        <f t="shared" si="46"/>
        <v>5.3924786117765571</v>
      </c>
      <c r="R300" s="6">
        <f t="shared" si="47"/>
        <v>13.161212412278513</v>
      </c>
      <c r="S300" s="6">
        <f>IF($Y$2="按单位面积散热损失 qp",B300*LN(B300/首页!$B$4),LN(B300/首页!$B$4))</f>
        <v>1.2622189913498536</v>
      </c>
      <c r="T300" s="6">
        <f>IF($Y$2="按单位面积散热损失 qp",2*PI()*首页!$B$8*((E300-D300)/$Y$3-1/R300),2*PI()*首页!$B$8*((E300-D300)/$Y$4-1/(PI()*B300*R300)))</f>
        <v>4.0816652755578046E-2</v>
      </c>
      <c r="U300" t="str">
        <f t="shared" si="48"/>
        <v>按单位面积散热损失 qp</v>
      </c>
      <c r="V300" s="6">
        <f t="shared" si="49"/>
        <v>1.2214023385942756</v>
      </c>
    </row>
    <row r="301" spans="1:22" x14ac:dyDescent="0.15">
      <c r="A301">
        <v>296</v>
      </c>
      <c r="B301" s="6">
        <f>首页!$B$4+2*A301/1000</f>
        <v>0.71199999999999997</v>
      </c>
      <c r="C301" s="6">
        <f>首页!$B$7+273.15</f>
        <v>388.15</v>
      </c>
      <c r="D301" s="6">
        <f>首页!$B$6+273.15</f>
        <v>293.14999999999998</v>
      </c>
      <c r="E301" s="6">
        <f>首页!$B$5+273.15</f>
        <v>1373.15</v>
      </c>
      <c r="F301" s="6">
        <f t="shared" si="40"/>
        <v>95</v>
      </c>
      <c r="G301" s="6">
        <f t="shared" si="41"/>
        <v>340.65</v>
      </c>
      <c r="H301" s="6">
        <f t="shared" si="42"/>
        <v>1.9926207055139041E-5</v>
      </c>
      <c r="I301" s="7">
        <f t="shared" si="43"/>
        <v>1158916576932337.8</v>
      </c>
      <c r="J301" s="6">
        <f t="shared" si="44"/>
        <v>1.0226038455893147</v>
      </c>
      <c r="K301" s="7">
        <f>J301*H301*首页!$B$12/P301</f>
        <v>0.69532757496605813</v>
      </c>
      <c r="L301" s="6">
        <f>首页!$B$9*0.0000000567*((C301^4-D301^4)/(C301-D301))</f>
        <v>7.7687338005019564</v>
      </c>
      <c r="M301" s="6">
        <f>IF(首页!$B$13="自然对流",IF(首页!$B$14="立式圆筒",首页!$B$10,PI()*B301/2),PI()*B301/2)</f>
        <v>55.2</v>
      </c>
      <c r="N301" s="7">
        <f>IF(首页!$B$13="强制对流",首页!$B$11*M301/H301,0)</f>
        <v>0</v>
      </c>
      <c r="O301" s="7">
        <f>IF(首页!$B$13="自然对流",IF(首页!$B$14="立式圆筒",(0.825+0.3063*I301^(1/6))^2+0.87*(M301/B301),(0.752+0.303*I301^(1/6))^2),0.3+SQRT((0.592*N301^0.5)^2+(0.0262*N301^0.8/(1-0.5/N301^0.1))^2))</f>
        <v>10086.656941137147</v>
      </c>
      <c r="P301" s="6">
        <f t="shared" si="45"/>
        <v>2.9510194925512497E-2</v>
      </c>
      <c r="Q301" s="6">
        <f t="shared" si="46"/>
        <v>5.3923770376762832</v>
      </c>
      <c r="R301" s="6">
        <f t="shared" si="47"/>
        <v>13.161110838178239</v>
      </c>
      <c r="S301" s="6">
        <f>IF($Y$2="按单位面积散热损失 qp",B301*LN(B301/首页!$B$4),LN(B301/首页!$B$4))</f>
        <v>1.2677773520645099</v>
      </c>
      <c r="T301" s="6">
        <f>IF($Y$2="按单位面积散热损失 qp",2*PI()*首页!$B$8*((E301-D301)/$Y$3-1/R301),2*PI()*首页!$B$8*((E301-D301)/$Y$4-1/(PI()*B301*R301)))</f>
        <v>4.0816486954663687E-2</v>
      </c>
      <c r="U301" t="str">
        <f t="shared" si="48"/>
        <v>按单位面积散热损失 qp</v>
      </c>
      <c r="V301" s="6">
        <f t="shared" si="49"/>
        <v>1.2269608651098463</v>
      </c>
    </row>
    <row r="302" spans="1:22" x14ac:dyDescent="0.15">
      <c r="A302">
        <v>297</v>
      </c>
      <c r="B302" s="6">
        <f>首页!$B$4+2*A302/1000</f>
        <v>0.71399999999999997</v>
      </c>
      <c r="C302" s="6">
        <f>首页!$B$7+273.15</f>
        <v>388.15</v>
      </c>
      <c r="D302" s="6">
        <f>首页!$B$6+273.15</f>
        <v>293.14999999999998</v>
      </c>
      <c r="E302" s="6">
        <f>首页!$B$5+273.15</f>
        <v>1373.15</v>
      </c>
      <c r="F302" s="6">
        <f t="shared" si="40"/>
        <v>95</v>
      </c>
      <c r="G302" s="6">
        <f t="shared" si="41"/>
        <v>340.65</v>
      </c>
      <c r="H302" s="6">
        <f t="shared" si="42"/>
        <v>1.9926207055139041E-5</v>
      </c>
      <c r="I302" s="7">
        <f t="shared" si="43"/>
        <v>1158916576932337.8</v>
      </c>
      <c r="J302" s="6">
        <f t="shared" si="44"/>
        <v>1.0226038455893147</v>
      </c>
      <c r="K302" s="7">
        <f>J302*H302*首页!$B$12/P302</f>
        <v>0.69532757496605813</v>
      </c>
      <c r="L302" s="6">
        <f>首页!$B$9*0.0000000567*((C302^4-D302^4)/(C302-D302))</f>
        <v>7.7687338005019564</v>
      </c>
      <c r="M302" s="6">
        <f>IF(首页!$B$13="自然对流",IF(首页!$B$14="立式圆筒",首页!$B$10,PI()*B302/2),PI()*B302/2)</f>
        <v>55.2</v>
      </c>
      <c r="N302" s="7">
        <f>IF(首页!$B$13="强制对流",首页!$B$11*M302/H302,0)</f>
        <v>0</v>
      </c>
      <c r="O302" s="7">
        <f>IF(首页!$B$13="自然对流",IF(首页!$B$14="立式圆筒",(0.825+0.3063*I302^(1/6))^2+0.87*(M302/B302),(0.752+0.303*I302^(1/6))^2),0.3+SQRT((0.592*N302^0.5)^2+(0.0262*N302^0.8/(1-0.5/N302^0.1))^2))</f>
        <v>10086.46800713658</v>
      </c>
      <c r="P302" s="6">
        <f t="shared" si="45"/>
        <v>2.9510194925512497E-2</v>
      </c>
      <c r="Q302" s="6">
        <f t="shared" si="46"/>
        <v>5.3922760326185877</v>
      </c>
      <c r="R302" s="6">
        <f t="shared" si="47"/>
        <v>13.161009833120545</v>
      </c>
      <c r="S302" s="6">
        <f>IF($Y$2="按单位面积散热损失 qp",B302*LN(B302/首页!$B$4),LN(B302/首页!$B$4))</f>
        <v>1.2733413307640824</v>
      </c>
      <c r="T302" s="6">
        <f>IF($Y$2="按单位面积散热损失 qp",2*PI()*首页!$B$8*((E302-D302)/$Y$3-1/R302),2*PI()*首页!$B$8*((E302-D302)/$Y$4-1/(PI()*B302*R302)))</f>
        <v>4.0816322080068232E-2</v>
      </c>
      <c r="U302" t="str">
        <f t="shared" si="48"/>
        <v>按单位面积散热损失 qp</v>
      </c>
      <c r="V302" s="6">
        <f t="shared" si="49"/>
        <v>1.2325250086840143</v>
      </c>
    </row>
    <row r="303" spans="1:22" x14ac:dyDescent="0.15">
      <c r="A303">
        <v>298</v>
      </c>
      <c r="B303" s="6">
        <f>首页!$B$4+2*A303/1000</f>
        <v>0.71599999999999997</v>
      </c>
      <c r="C303" s="6">
        <f>首页!$B$7+273.15</f>
        <v>388.15</v>
      </c>
      <c r="D303" s="6">
        <f>首页!$B$6+273.15</f>
        <v>293.14999999999998</v>
      </c>
      <c r="E303" s="6">
        <f>首页!$B$5+273.15</f>
        <v>1373.15</v>
      </c>
      <c r="F303" s="6">
        <f t="shared" si="40"/>
        <v>95</v>
      </c>
      <c r="G303" s="6">
        <f t="shared" si="41"/>
        <v>340.65</v>
      </c>
      <c r="H303" s="6">
        <f t="shared" si="42"/>
        <v>1.9926207055139041E-5</v>
      </c>
      <c r="I303" s="7">
        <f t="shared" si="43"/>
        <v>1158916576932337.8</v>
      </c>
      <c r="J303" s="6">
        <f t="shared" si="44"/>
        <v>1.0226038455893147</v>
      </c>
      <c r="K303" s="7">
        <f>J303*H303*首页!$B$12/P303</f>
        <v>0.69532757496605813</v>
      </c>
      <c r="L303" s="6">
        <f>首页!$B$9*0.0000000567*((C303^4-D303^4)/(C303-D303))</f>
        <v>7.7687338005019564</v>
      </c>
      <c r="M303" s="6">
        <f>IF(首页!$B$13="自然对流",IF(首页!$B$14="立式圆筒",首页!$B$10,PI()*B303/2),PI()*B303/2)</f>
        <v>55.2</v>
      </c>
      <c r="N303" s="7">
        <f>IF(首页!$B$13="强制对流",首页!$B$11*M303/H303,0)</f>
        <v>0</v>
      </c>
      <c r="O303" s="7">
        <f>IF(首页!$B$13="自然对流",IF(首页!$B$14="立式圆筒",(0.825+0.3063*I303^(1/6))^2+0.87*(M303/B303),(0.752+0.303*I303^(1/6))^2),0.3+SQRT((0.592*N303^0.5)^2+(0.0262*N303^0.8/(1-0.5/N303^0.1))^2))</f>
        <v>10086.280128633223</v>
      </c>
      <c r="P303" s="6">
        <f t="shared" si="45"/>
        <v>2.9510194925512497E-2</v>
      </c>
      <c r="Q303" s="6">
        <f t="shared" si="46"/>
        <v>5.3921755918349579</v>
      </c>
      <c r="R303" s="6">
        <f t="shared" si="47"/>
        <v>13.160909392336915</v>
      </c>
      <c r="S303" s="6">
        <f>IF($Y$2="按单位面积散热损失 qp",B303*LN(B303/首页!$B$4),LN(B303/首页!$B$4))</f>
        <v>1.2789109117118773</v>
      </c>
      <c r="T303" s="6">
        <f>IF($Y$2="按单位面积散热损失 qp",2*PI()*首页!$B$8*((E303-D303)/$Y$3-1/R303),2*PI()*首页!$B$8*((E303-D303)/$Y$4-1/(PI()*B303*R303)))</f>
        <v>4.0816158124050358E-2</v>
      </c>
      <c r="U303" t="str">
        <f t="shared" si="48"/>
        <v>按单位面积散热损失 qp</v>
      </c>
      <c r="V303" s="6">
        <f t="shared" si="49"/>
        <v>1.2380947535878271</v>
      </c>
    </row>
    <row r="304" spans="1:22" x14ac:dyDescent="0.15">
      <c r="A304">
        <v>299</v>
      </c>
      <c r="B304" s="6">
        <f>首页!$B$4+2*A304/1000</f>
        <v>0.71799999999999997</v>
      </c>
      <c r="C304" s="6">
        <f>首页!$B$7+273.15</f>
        <v>388.15</v>
      </c>
      <c r="D304" s="6">
        <f>首页!$B$6+273.15</f>
        <v>293.14999999999998</v>
      </c>
      <c r="E304" s="6">
        <f>首页!$B$5+273.15</f>
        <v>1373.15</v>
      </c>
      <c r="F304" s="6">
        <f t="shared" si="40"/>
        <v>95</v>
      </c>
      <c r="G304" s="6">
        <f t="shared" si="41"/>
        <v>340.65</v>
      </c>
      <c r="H304" s="6">
        <f t="shared" si="42"/>
        <v>1.9926207055139041E-5</v>
      </c>
      <c r="I304" s="7">
        <f t="shared" si="43"/>
        <v>1158916576932337.8</v>
      </c>
      <c r="J304" s="6">
        <f t="shared" si="44"/>
        <v>1.0226038455893147</v>
      </c>
      <c r="K304" s="7">
        <f>J304*H304*首页!$B$12/P304</f>
        <v>0.69532757496605813</v>
      </c>
      <c r="L304" s="6">
        <f>首页!$B$9*0.0000000567*((C304^4-D304^4)/(C304-D304))</f>
        <v>7.7687338005019564</v>
      </c>
      <c r="M304" s="6">
        <f>IF(首页!$B$13="自然对流",IF(首页!$B$14="立式圆筒",首页!$B$10,PI()*B304/2),PI()*B304/2)</f>
        <v>55.2</v>
      </c>
      <c r="N304" s="7">
        <f>IF(首页!$B$13="强制对流",首页!$B$11*M304/H304,0)</f>
        <v>0</v>
      </c>
      <c r="O304" s="7">
        <f>IF(首页!$B$13="自然对流",IF(首页!$B$14="立式圆筒",(0.825+0.3063*I304^(1/6))^2+0.87*(M304/B304),(0.752+0.303*I304^(1/6))^2),0.3+SQRT((0.592*N304^0.5)^2+(0.0262*N304^0.8/(1-0.5/N304^0.1))^2))</f>
        <v>10086.093296806766</v>
      </c>
      <c r="P304" s="6">
        <f t="shared" si="45"/>
        <v>2.9510194925512497E-2</v>
      </c>
      <c r="Q304" s="6">
        <f t="shared" si="46"/>
        <v>5.3920757106100119</v>
      </c>
      <c r="R304" s="6">
        <f t="shared" si="47"/>
        <v>13.160809511111967</v>
      </c>
      <c r="S304" s="6">
        <f>IF($Y$2="按单位面积散热损失 qp",B304*LN(B304/首页!$B$4),LN(B304/首页!$B$4))</f>
        <v>1.284486079259116</v>
      </c>
      <c r="T304" s="6">
        <f>IF($Y$2="按单位面积散热损失 qp",2*PI()*首页!$B$8*((E304-D304)/$Y$3-1/R304),2*PI()*首页!$B$8*((E304-D304)/$Y$4-1/(PI()*B304*R304)))</f>
        <v>4.0815995078954795E-2</v>
      </c>
      <c r="U304" t="str">
        <f t="shared" si="48"/>
        <v>按单位面积散热损失 qp</v>
      </c>
      <c r="V304" s="6">
        <f t="shared" si="49"/>
        <v>1.2436700841801611</v>
      </c>
    </row>
    <row r="305" spans="1:22" x14ac:dyDescent="0.15">
      <c r="A305">
        <v>300</v>
      </c>
      <c r="B305" s="6">
        <f>首页!$B$4+2*A305/1000</f>
        <v>0.72</v>
      </c>
      <c r="C305" s="6">
        <f>首页!$B$7+273.15</f>
        <v>388.15</v>
      </c>
      <c r="D305" s="6">
        <f>首页!$B$6+273.15</f>
        <v>293.14999999999998</v>
      </c>
      <c r="E305" s="6">
        <f>首页!$B$5+273.15</f>
        <v>1373.15</v>
      </c>
      <c r="F305" s="6">
        <f t="shared" si="40"/>
        <v>95</v>
      </c>
      <c r="G305" s="6">
        <f t="shared" si="41"/>
        <v>340.65</v>
      </c>
      <c r="H305" s="6">
        <f t="shared" si="42"/>
        <v>1.9926207055139041E-5</v>
      </c>
      <c r="I305" s="7">
        <f t="shared" si="43"/>
        <v>1158916576932337.8</v>
      </c>
      <c r="J305" s="6">
        <f t="shared" si="44"/>
        <v>1.0226038455893147</v>
      </c>
      <c r="K305" s="7">
        <f>J305*H305*首页!$B$12/P305</f>
        <v>0.69532757496605813</v>
      </c>
      <c r="L305" s="6">
        <f>首页!$B$9*0.0000000567*((C305^4-D305^4)/(C305-D305))</f>
        <v>7.7687338005019564</v>
      </c>
      <c r="M305" s="6">
        <f>IF(首页!$B$13="自然对流",IF(首页!$B$14="立式圆筒",首页!$B$10,PI()*B305/2),PI()*B305/2)</f>
        <v>55.2</v>
      </c>
      <c r="N305" s="7">
        <f>IF(首页!$B$13="强制对流",首页!$B$11*M305/H305,0)</f>
        <v>0</v>
      </c>
      <c r="O305" s="7">
        <f>IF(首页!$B$13="自然对流",IF(首页!$B$14="立式圆筒",(0.825+0.3063*I305^(1/6))^2+0.87*(M305/B305),(0.752+0.303*I305^(1/6))^2),0.3+SQRT((0.592*N305^0.5)^2+(0.0262*N305^0.8/(1-0.5/N305^0.1))^2))</f>
        <v>10085.907502934901</v>
      </c>
      <c r="P305" s="6">
        <f t="shared" si="45"/>
        <v>2.9510194925512497E-2</v>
      </c>
      <c r="Q305" s="6">
        <f t="shared" si="46"/>
        <v>5.3919763842807589</v>
      </c>
      <c r="R305" s="6">
        <f t="shared" si="47"/>
        <v>13.160710184782715</v>
      </c>
      <c r="S305" s="6">
        <f>IF($Y$2="按单位面积散热损失 qp",B305*LN(B305/首页!$B$4),LN(B305/首页!$B$4))</f>
        <v>1.2900668178441996</v>
      </c>
      <c r="T305" s="6">
        <f>IF($Y$2="按单位面积散热损失 qp",2*PI()*首页!$B$8*((E305-D305)/$Y$3-1/R305),2*PI()*首页!$B$8*((E305-D305)/$Y$4-1/(PI()*B305*R305)))</f>
        <v>4.0815832937211097E-2</v>
      </c>
      <c r="U305" t="str">
        <f t="shared" si="48"/>
        <v>按单位面积散热损失 qp</v>
      </c>
      <c r="V305" s="6">
        <f t="shared" si="49"/>
        <v>1.2492509849069886</v>
      </c>
    </row>
    <row r="306" spans="1:22" x14ac:dyDescent="0.15">
      <c r="A306">
        <v>301</v>
      </c>
      <c r="B306" s="6">
        <f>首页!$B$4+2*A306/1000</f>
        <v>0.72199999999999998</v>
      </c>
      <c r="C306" s="6">
        <f>首页!$B$7+273.15</f>
        <v>388.15</v>
      </c>
      <c r="D306" s="6">
        <f>首页!$B$6+273.15</f>
        <v>293.14999999999998</v>
      </c>
      <c r="E306" s="6">
        <f>首页!$B$5+273.15</f>
        <v>1373.15</v>
      </c>
      <c r="F306" s="6">
        <f t="shared" si="40"/>
        <v>95</v>
      </c>
      <c r="G306" s="6">
        <f t="shared" si="41"/>
        <v>340.65</v>
      </c>
      <c r="H306" s="6">
        <f t="shared" si="42"/>
        <v>1.9926207055139041E-5</v>
      </c>
      <c r="I306" s="7">
        <f t="shared" si="43"/>
        <v>1158916576932337.8</v>
      </c>
      <c r="J306" s="6">
        <f t="shared" si="44"/>
        <v>1.0226038455893147</v>
      </c>
      <c r="K306" s="7">
        <f>J306*H306*首页!$B$12/P306</f>
        <v>0.69532757496605813</v>
      </c>
      <c r="L306" s="6">
        <f>首页!$B$9*0.0000000567*((C306^4-D306^4)/(C306-D306))</f>
        <v>7.7687338005019564</v>
      </c>
      <c r="M306" s="6">
        <f>IF(首页!$B$13="自然对流",IF(首页!$B$14="立式圆筒",首页!$B$10,PI()*B306/2),PI()*B306/2)</f>
        <v>55.2</v>
      </c>
      <c r="N306" s="7">
        <f>IF(首页!$B$13="强制对流",首页!$B$11*M306/H306,0)</f>
        <v>0</v>
      </c>
      <c r="O306" s="7">
        <f>IF(首页!$B$13="自然对流",IF(首页!$B$14="立式圆筒",(0.825+0.3063*I306^(1/6))^2+0.87*(M306/B306),(0.752+0.303*I306^(1/6))^2),0.3+SQRT((0.592*N306^0.5)^2+(0.0262*N306^0.8/(1-0.5/N306^0.1))^2))</f>
        <v>10085.722738391964</v>
      </c>
      <c r="P306" s="6">
        <f t="shared" si="45"/>
        <v>2.9510194925512497E-2</v>
      </c>
      <c r="Q306" s="6">
        <f t="shared" si="46"/>
        <v>5.3918776082358795</v>
      </c>
      <c r="R306" s="6">
        <f t="shared" si="47"/>
        <v>13.160611408737836</v>
      </c>
      <c r="S306" s="6">
        <f>IF($Y$2="按单位面积散热损失 qp",B306*LN(B306/首页!$B$4),LN(B306/首页!$B$4))</f>
        <v>1.2956531119919834</v>
      </c>
      <c r="T306" s="6">
        <f>IF($Y$2="按单位面积散热损失 qp",2*PI()*首页!$B$8*((E306-D306)/$Y$3-1/R306),2*PI()*首页!$B$8*((E306-D306)/$Y$4-1/(PI()*B306*R306)))</f>
        <v>4.0815671691332468E-2</v>
      </c>
      <c r="U306" t="str">
        <f t="shared" si="48"/>
        <v>按单位面积散热损失 qp</v>
      </c>
      <c r="V306" s="6">
        <f t="shared" si="49"/>
        <v>1.254837440300651</v>
      </c>
    </row>
    <row r="307" spans="1:22" x14ac:dyDescent="0.15">
      <c r="A307">
        <v>302</v>
      </c>
      <c r="B307" s="6">
        <f>首页!$B$4+2*A307/1000</f>
        <v>0.72399999999999998</v>
      </c>
      <c r="C307" s="6">
        <f>首页!$B$7+273.15</f>
        <v>388.15</v>
      </c>
      <c r="D307" s="6">
        <f>首页!$B$6+273.15</f>
        <v>293.14999999999998</v>
      </c>
      <c r="E307" s="6">
        <f>首页!$B$5+273.15</f>
        <v>1373.15</v>
      </c>
      <c r="F307" s="6">
        <f t="shared" si="40"/>
        <v>95</v>
      </c>
      <c r="G307" s="6">
        <f t="shared" si="41"/>
        <v>340.65</v>
      </c>
      <c r="H307" s="6">
        <f t="shared" si="42"/>
        <v>1.9926207055139041E-5</v>
      </c>
      <c r="I307" s="7">
        <f t="shared" si="43"/>
        <v>1158916576932337.8</v>
      </c>
      <c r="J307" s="6">
        <f t="shared" si="44"/>
        <v>1.0226038455893147</v>
      </c>
      <c r="K307" s="7">
        <f>J307*H307*首页!$B$12/P307</f>
        <v>0.69532757496605813</v>
      </c>
      <c r="L307" s="6">
        <f>首页!$B$9*0.0000000567*((C307^4-D307^4)/(C307-D307))</f>
        <v>7.7687338005019564</v>
      </c>
      <c r="M307" s="6">
        <f>IF(首页!$B$13="自然对流",IF(首页!$B$14="立式圆筒",首页!$B$10,PI()*B307/2),PI()*B307/2)</f>
        <v>55.2</v>
      </c>
      <c r="N307" s="7">
        <f>IF(首页!$B$13="强制对流",首页!$B$11*M307/H307,0)</f>
        <v>0</v>
      </c>
      <c r="O307" s="7">
        <f>IF(首页!$B$13="自然对流",IF(首页!$B$14="立式圆筒",(0.825+0.3063*I307^(1/6))^2+0.87*(M307/B307),(0.752+0.303*I307^(1/6))^2),0.3+SQRT((0.592*N307^0.5)^2+(0.0262*N307^0.8/(1-0.5/N307^0.1))^2))</f>
        <v>10085.538994647606</v>
      </c>
      <c r="P307" s="6">
        <f t="shared" si="45"/>
        <v>2.9510194925512497E-2</v>
      </c>
      <c r="Q307" s="6">
        <f t="shared" si="46"/>
        <v>5.3917793779150029</v>
      </c>
      <c r="R307" s="6">
        <f t="shared" si="47"/>
        <v>13.160513178416959</v>
      </c>
      <c r="S307" s="6">
        <f>IF($Y$2="按单位面积散热损失 qp",B307*LN(B307/首页!$B$4),LN(B307/首页!$B$4))</f>
        <v>1.3012449463130573</v>
      </c>
      <c r="T307" s="6">
        <f>IF($Y$2="按单位面积散热损失 qp",2*PI()*首页!$B$8*((E307-D307)/$Y$3-1/R307),2*PI()*首页!$B$8*((E307-D307)/$Y$4-1/(PI()*B307*R307)))</f>
        <v>4.0815511333914596E-2</v>
      </c>
      <c r="U307" t="str">
        <f t="shared" si="48"/>
        <v>按单位面积散热损失 qp</v>
      </c>
      <c r="V307" s="6">
        <f t="shared" si="49"/>
        <v>1.2604294349791427</v>
      </c>
    </row>
    <row r="308" spans="1:22" x14ac:dyDescent="0.15">
      <c r="A308">
        <v>303</v>
      </c>
      <c r="B308" s="6">
        <f>首页!$B$4+2*A308/1000</f>
        <v>0.72599999999999998</v>
      </c>
      <c r="C308" s="6">
        <f>首页!$B$7+273.15</f>
        <v>388.15</v>
      </c>
      <c r="D308" s="6">
        <f>首页!$B$6+273.15</f>
        <v>293.14999999999998</v>
      </c>
      <c r="E308" s="6">
        <f>首页!$B$5+273.15</f>
        <v>1373.15</v>
      </c>
      <c r="F308" s="6">
        <f t="shared" si="40"/>
        <v>95</v>
      </c>
      <c r="G308" s="6">
        <f t="shared" si="41"/>
        <v>340.65</v>
      </c>
      <c r="H308" s="6">
        <f t="shared" si="42"/>
        <v>1.9926207055139041E-5</v>
      </c>
      <c r="I308" s="7">
        <f t="shared" si="43"/>
        <v>1158916576932337.8</v>
      </c>
      <c r="J308" s="6">
        <f t="shared" si="44"/>
        <v>1.0226038455893147</v>
      </c>
      <c r="K308" s="7">
        <f>J308*H308*首页!$B$12/P308</f>
        <v>0.69532757496605813</v>
      </c>
      <c r="L308" s="6">
        <f>首页!$B$9*0.0000000567*((C308^4-D308^4)/(C308-D308))</f>
        <v>7.7687338005019564</v>
      </c>
      <c r="M308" s="6">
        <f>IF(首页!$B$13="自然对流",IF(首页!$B$14="立式圆筒",首页!$B$10,PI()*B308/2),PI()*B308/2)</f>
        <v>55.2</v>
      </c>
      <c r="N308" s="7">
        <f>IF(首页!$B$13="强制对流",首页!$B$11*M308/H308,0)</f>
        <v>0</v>
      </c>
      <c r="O308" s="7">
        <f>IF(首页!$B$13="自然对流",IF(首页!$B$14="立式圆筒",(0.825+0.3063*I308^(1/6))^2+0.87*(M308/B308),(0.752+0.303*I308^(1/6))^2),0.3+SQRT((0.592*N308^0.5)^2+(0.0262*N308^0.8/(1-0.5/N308^0.1))^2))</f>
        <v>10085.356263265478</v>
      </c>
      <c r="P308" s="6">
        <f t="shared" si="45"/>
        <v>2.9510194925512497E-2</v>
      </c>
      <c r="Q308" s="6">
        <f t="shared" si="46"/>
        <v>5.3916816888080179</v>
      </c>
      <c r="R308" s="6">
        <f t="shared" si="47"/>
        <v>13.160415489309974</v>
      </c>
      <c r="S308" s="6">
        <f>IF($Y$2="按单位面积散热损失 qp",B308*LN(B308/首页!$B$4),LN(B308/首页!$B$4))</f>
        <v>1.3068423055030365</v>
      </c>
      <c r="T308" s="6">
        <f>IF($Y$2="按单位面积散热损失 qp",2*PI()*首页!$B$8*((E308-D308)/$Y$3-1/R308),2*PI()*首页!$B$8*((E308-D308)/$Y$4-1/(PI()*B308*R308)))</f>
        <v>4.0815351857634581E-2</v>
      </c>
      <c r="U308" t="str">
        <f t="shared" si="48"/>
        <v>按单位面积散热损失 qp</v>
      </c>
      <c r="V308" s="6">
        <f t="shared" si="49"/>
        <v>1.2660269536454019</v>
      </c>
    </row>
    <row r="309" spans="1:22" x14ac:dyDescent="0.15">
      <c r="A309">
        <v>304</v>
      </c>
      <c r="B309" s="6">
        <f>首页!$B$4+2*A309/1000</f>
        <v>0.72799999999999998</v>
      </c>
      <c r="C309" s="6">
        <f>首页!$B$7+273.15</f>
        <v>388.15</v>
      </c>
      <c r="D309" s="6">
        <f>首页!$B$6+273.15</f>
        <v>293.14999999999998</v>
      </c>
      <c r="E309" s="6">
        <f>首页!$B$5+273.15</f>
        <v>1373.15</v>
      </c>
      <c r="F309" s="6">
        <f t="shared" si="40"/>
        <v>95</v>
      </c>
      <c r="G309" s="6">
        <f t="shared" si="41"/>
        <v>340.65</v>
      </c>
      <c r="H309" s="6">
        <f t="shared" si="42"/>
        <v>1.9926207055139041E-5</v>
      </c>
      <c r="I309" s="7">
        <f t="shared" si="43"/>
        <v>1158916576932337.8</v>
      </c>
      <c r="J309" s="6">
        <f t="shared" si="44"/>
        <v>1.0226038455893147</v>
      </c>
      <c r="K309" s="7">
        <f>J309*H309*首页!$B$12/P309</f>
        <v>0.69532757496605813</v>
      </c>
      <c r="L309" s="6">
        <f>首页!$B$9*0.0000000567*((C309^4-D309^4)/(C309-D309))</f>
        <v>7.7687338005019564</v>
      </c>
      <c r="M309" s="6">
        <f>IF(首页!$B$13="自然对流",IF(首页!$B$14="立式圆筒",首页!$B$10,PI()*B309/2),PI()*B309/2)</f>
        <v>55.2</v>
      </c>
      <c r="N309" s="7">
        <f>IF(首页!$B$13="强制对流",首页!$B$11*M309/H309,0)</f>
        <v>0</v>
      </c>
      <c r="O309" s="7">
        <f>IF(首页!$B$13="自然对流",IF(首页!$B$14="立式圆筒",(0.825+0.3063*I309^(1/6))^2+0.87*(M309/B309),(0.752+0.303*I309^(1/6))^2),0.3+SQRT((0.592*N309^0.5)^2+(0.0262*N309^0.8/(1-0.5/N309^0.1))^2))</f>
        <v>10085.174535901933</v>
      </c>
      <c r="P309" s="6">
        <f t="shared" si="45"/>
        <v>2.9510194925512497E-2</v>
      </c>
      <c r="Q309" s="6">
        <f t="shared" si="46"/>
        <v>5.3915845364543671</v>
      </c>
      <c r="R309" s="6">
        <f t="shared" si="47"/>
        <v>13.160318336956323</v>
      </c>
      <c r="S309" s="6">
        <f>IF($Y$2="按单位面积散热损失 qp",B309*LN(B309/首页!$B$4),LN(B309/首页!$B$4))</f>
        <v>1.3124451743418579</v>
      </c>
      <c r="T309" s="6">
        <f>IF($Y$2="按单位面积散热损失 qp",2*PI()*首页!$B$8*((E309-D309)/$Y$3-1/R309),2*PI()*首页!$B$8*((E309-D309)/$Y$4-1/(PI()*B309*R309)))</f>
        <v>4.0815193255249758E-2</v>
      </c>
      <c r="U309" t="str">
        <f t="shared" si="48"/>
        <v>按单位面积散热损失 qp</v>
      </c>
      <c r="V309" s="6">
        <f t="shared" si="49"/>
        <v>1.2716299810866081</v>
      </c>
    </row>
    <row r="310" spans="1:22" x14ac:dyDescent="0.15">
      <c r="A310">
        <v>305</v>
      </c>
      <c r="B310" s="6">
        <f>首页!$B$4+2*A310/1000</f>
        <v>0.73</v>
      </c>
      <c r="C310" s="6">
        <f>首页!$B$7+273.15</f>
        <v>388.15</v>
      </c>
      <c r="D310" s="6">
        <f>首页!$B$6+273.15</f>
        <v>293.14999999999998</v>
      </c>
      <c r="E310" s="6">
        <f>首页!$B$5+273.15</f>
        <v>1373.15</v>
      </c>
      <c r="F310" s="6">
        <f t="shared" si="40"/>
        <v>95</v>
      </c>
      <c r="G310" s="6">
        <f t="shared" si="41"/>
        <v>340.65</v>
      </c>
      <c r="H310" s="6">
        <f t="shared" si="42"/>
        <v>1.9926207055139041E-5</v>
      </c>
      <c r="I310" s="7">
        <f t="shared" si="43"/>
        <v>1158916576932337.8</v>
      </c>
      <c r="J310" s="6">
        <f t="shared" si="44"/>
        <v>1.0226038455893147</v>
      </c>
      <c r="K310" s="7">
        <f>J310*H310*首页!$B$12/P310</f>
        <v>0.69532757496605813</v>
      </c>
      <c r="L310" s="6">
        <f>首页!$B$9*0.0000000567*((C310^4-D310^4)/(C310-D310))</f>
        <v>7.7687338005019564</v>
      </c>
      <c r="M310" s="6">
        <f>IF(首页!$B$13="自然对流",IF(首页!$B$14="立式圆筒",首页!$B$10,PI()*B310/2),PI()*B310/2)</f>
        <v>55.2</v>
      </c>
      <c r="N310" s="7">
        <f>IF(首页!$B$13="强制对流",首页!$B$11*M310/H310,0)</f>
        <v>0</v>
      </c>
      <c r="O310" s="7">
        <f>IF(首页!$B$13="自然对流",IF(首页!$B$14="立式圆筒",(0.825+0.3063*I310^(1/6))^2+0.87*(M310/B310),(0.752+0.303*I310^(1/6))^2),0.3+SQRT((0.592*N310^0.5)^2+(0.0262*N310^0.8/(1-0.5/N310^0.1))^2))</f>
        <v>10084.993804304762</v>
      </c>
      <c r="P310" s="6">
        <f t="shared" si="45"/>
        <v>2.9510194925512497E-2</v>
      </c>
      <c r="Q310" s="6">
        <f t="shared" si="46"/>
        <v>5.3914879164423795</v>
      </c>
      <c r="R310" s="6">
        <f t="shared" si="47"/>
        <v>13.160221716944335</v>
      </c>
      <c r="S310" s="6">
        <f>IF($Y$2="按单位面积散热损失 qp",B310*LN(B310/首页!$B$4),LN(B310/首页!$B$4))</f>
        <v>1.3180535376930853</v>
      </c>
      <c r="T310" s="6">
        <f>IF($Y$2="按单位面积散热损失 qp",2*PI()*首页!$B$8*((E310-D310)/$Y$3-1/R310),2*PI()*首页!$B$8*((E310-D310)/$Y$4-1/(PI()*B310*R310)))</f>
        <v>4.0815035519596615E-2</v>
      </c>
      <c r="U310" t="str">
        <f t="shared" si="48"/>
        <v>按单位面积散热损失 qp</v>
      </c>
      <c r="V310" s="6">
        <f t="shared" si="49"/>
        <v>1.2772385021734887</v>
      </c>
    </row>
    <row r="311" spans="1:22" x14ac:dyDescent="0.15">
      <c r="A311">
        <v>306</v>
      </c>
      <c r="B311" s="6">
        <f>首页!$B$4+2*A311/1000</f>
        <v>0.73199999999999998</v>
      </c>
      <c r="C311" s="6">
        <f>首页!$B$7+273.15</f>
        <v>388.15</v>
      </c>
      <c r="D311" s="6">
        <f>首页!$B$6+273.15</f>
        <v>293.14999999999998</v>
      </c>
      <c r="E311" s="6">
        <f>首页!$B$5+273.15</f>
        <v>1373.15</v>
      </c>
      <c r="F311" s="6">
        <f t="shared" si="40"/>
        <v>95</v>
      </c>
      <c r="G311" s="6">
        <f t="shared" si="41"/>
        <v>340.65</v>
      </c>
      <c r="H311" s="6">
        <f t="shared" si="42"/>
        <v>1.9926207055139041E-5</v>
      </c>
      <c r="I311" s="7">
        <f t="shared" si="43"/>
        <v>1158916576932337.8</v>
      </c>
      <c r="J311" s="6">
        <f t="shared" si="44"/>
        <v>1.0226038455893147</v>
      </c>
      <c r="K311" s="7">
        <f>J311*H311*首页!$B$12/P311</f>
        <v>0.69532757496605813</v>
      </c>
      <c r="L311" s="6">
        <f>首页!$B$9*0.0000000567*((C311^4-D311^4)/(C311-D311))</f>
        <v>7.7687338005019564</v>
      </c>
      <c r="M311" s="6">
        <f>IF(首页!$B$13="自然对流",IF(首页!$B$14="立式圆筒",首页!$B$10,PI()*B311/2),PI()*B311/2)</f>
        <v>55.2</v>
      </c>
      <c r="N311" s="7">
        <f>IF(首页!$B$13="强制对流",首页!$B$11*M311/H311,0)</f>
        <v>0</v>
      </c>
      <c r="O311" s="7">
        <f>IF(首页!$B$13="自然对流",IF(首页!$B$14="立式圆筒",(0.825+0.3063*I311^(1/6))^2+0.87*(M311/B311),(0.752+0.303*I311^(1/6))^2),0.3+SQRT((0.592*N311^0.5)^2+(0.0262*N311^0.8/(1-0.5/N311^0.1))^2))</f>
        <v>10084.814060311948</v>
      </c>
      <c r="P311" s="6">
        <f t="shared" si="45"/>
        <v>2.9510194925512497E-2</v>
      </c>
      <c r="Q311" s="6">
        <f t="shared" si="46"/>
        <v>5.3913918244085997</v>
      </c>
      <c r="R311" s="6">
        <f t="shared" si="47"/>
        <v>13.160125624910556</v>
      </c>
      <c r="S311" s="6">
        <f>IF($Y$2="按单位面积散热损失 qp",B311*LN(B311/首页!$B$4),LN(B311/首页!$B$4))</f>
        <v>1.3236673805032224</v>
      </c>
      <c r="T311" s="6">
        <f>IF($Y$2="按单位面积散热损失 qp",2*PI()*首页!$B$8*((E311-D311)/$Y$3-1/R311),2*PI()*首页!$B$8*((E311-D311)/$Y$4-1/(PI()*B311*R311)))</f>
        <v>4.0814878643589736E-2</v>
      </c>
      <c r="U311" t="str">
        <f t="shared" si="48"/>
        <v>按单位面积散热损失 qp</v>
      </c>
      <c r="V311" s="6">
        <f t="shared" si="49"/>
        <v>1.2828525018596326</v>
      </c>
    </row>
    <row r="312" spans="1:22" x14ac:dyDescent="0.15">
      <c r="A312">
        <v>307</v>
      </c>
      <c r="B312" s="6">
        <f>首页!$B$4+2*A312/1000</f>
        <v>0.73399999999999999</v>
      </c>
      <c r="C312" s="6">
        <f>首页!$B$7+273.15</f>
        <v>388.15</v>
      </c>
      <c r="D312" s="6">
        <f>首页!$B$6+273.15</f>
        <v>293.14999999999998</v>
      </c>
      <c r="E312" s="6">
        <f>首页!$B$5+273.15</f>
        <v>1373.15</v>
      </c>
      <c r="F312" s="6">
        <f t="shared" si="40"/>
        <v>95</v>
      </c>
      <c r="G312" s="6">
        <f t="shared" si="41"/>
        <v>340.65</v>
      </c>
      <c r="H312" s="6">
        <f t="shared" si="42"/>
        <v>1.9926207055139041E-5</v>
      </c>
      <c r="I312" s="7">
        <f t="shared" si="43"/>
        <v>1158916576932337.8</v>
      </c>
      <c r="J312" s="6">
        <f t="shared" si="44"/>
        <v>1.0226038455893147</v>
      </c>
      <c r="K312" s="7">
        <f>J312*H312*首页!$B$12/P312</f>
        <v>0.69532757496605813</v>
      </c>
      <c r="L312" s="6">
        <f>首页!$B$9*0.0000000567*((C312^4-D312^4)/(C312-D312))</f>
        <v>7.7687338005019564</v>
      </c>
      <c r="M312" s="6">
        <f>IF(首页!$B$13="自然对流",IF(首页!$B$14="立式圆筒",首页!$B$10,PI()*B312/2),PI()*B312/2)</f>
        <v>55.2</v>
      </c>
      <c r="N312" s="7">
        <f>IF(首页!$B$13="强制对流",首页!$B$11*M312/H312,0)</f>
        <v>0</v>
      </c>
      <c r="O312" s="7">
        <f>IF(首页!$B$13="自然对流",IF(首页!$B$14="立式圆筒",(0.825+0.3063*I312^(1/6))^2+0.87*(M312/B312),(0.752+0.303*I312^(1/6))^2),0.3+SQRT((0.592*N312^0.5)^2+(0.0262*N312^0.8/(1-0.5/N312^0.1))^2))</f>
        <v>10084.63529585043</v>
      </c>
      <c r="P312" s="6">
        <f t="shared" si="45"/>
        <v>2.9510194925512497E-2</v>
      </c>
      <c r="Q312" s="6">
        <f t="shared" si="46"/>
        <v>5.3912962560371298</v>
      </c>
      <c r="R312" s="6">
        <f t="shared" si="47"/>
        <v>13.160030056539085</v>
      </c>
      <c r="S312" s="6">
        <f>IF($Y$2="按单位面积散热损失 qp",B312*LN(B312/首页!$B$4),LN(B312/首页!$B$4))</f>
        <v>1.3292866878010325</v>
      </c>
      <c r="T312" s="6">
        <f>IF($Y$2="按单位面积散热损失 qp",2*PI()*首页!$B$8*((E312-D312)/$Y$3-1/R312),2*PI()*首页!$B$8*((E312-D312)/$Y$4-1/(PI()*B312*R312)))</f>
        <v>4.0814722620220706E-2</v>
      </c>
      <c r="U312" t="str">
        <f t="shared" si="48"/>
        <v>按单位面积散热损失 qp</v>
      </c>
      <c r="V312" s="6">
        <f t="shared" si="49"/>
        <v>1.2884719651808119</v>
      </c>
    </row>
    <row r="313" spans="1:22" x14ac:dyDescent="0.15">
      <c r="A313">
        <v>308</v>
      </c>
      <c r="B313" s="6">
        <f>首页!$B$4+2*A313/1000</f>
        <v>0.73599999999999999</v>
      </c>
      <c r="C313" s="6">
        <f>首页!$B$7+273.15</f>
        <v>388.15</v>
      </c>
      <c r="D313" s="6">
        <f>首页!$B$6+273.15</f>
        <v>293.14999999999998</v>
      </c>
      <c r="E313" s="6">
        <f>首页!$B$5+273.15</f>
        <v>1373.15</v>
      </c>
      <c r="F313" s="6">
        <f t="shared" si="40"/>
        <v>95</v>
      </c>
      <c r="G313" s="6">
        <f t="shared" si="41"/>
        <v>340.65</v>
      </c>
      <c r="H313" s="6">
        <f t="shared" si="42"/>
        <v>1.9926207055139041E-5</v>
      </c>
      <c r="I313" s="7">
        <f t="shared" si="43"/>
        <v>1158916576932337.8</v>
      </c>
      <c r="J313" s="6">
        <f t="shared" si="44"/>
        <v>1.0226038455893147</v>
      </c>
      <c r="K313" s="7">
        <f>J313*H313*首页!$B$12/P313</f>
        <v>0.69532757496605813</v>
      </c>
      <c r="L313" s="6">
        <f>首页!$B$9*0.0000000567*((C313^4-D313^4)/(C313-D313))</f>
        <v>7.7687338005019564</v>
      </c>
      <c r="M313" s="6">
        <f>IF(首页!$B$13="自然对流",IF(首页!$B$14="立式圆筒",首页!$B$10,PI()*B313/2),PI()*B313/2)</f>
        <v>55.2</v>
      </c>
      <c r="N313" s="7">
        <f>IF(首页!$B$13="强制对流",首页!$B$11*M313/H313,0)</f>
        <v>0</v>
      </c>
      <c r="O313" s="7">
        <f>IF(首页!$B$13="自然对流",IF(首页!$B$14="立式圆筒",(0.825+0.3063*I313^(1/6))^2+0.87*(M313/B313),(0.752+0.303*I313^(1/6))^2),0.3+SQRT((0.592*N313^0.5)^2+(0.0262*N313^0.8/(1-0.5/N313^0.1))^2))</f>
        <v>10084.4575029349</v>
      </c>
      <c r="P313" s="6">
        <f t="shared" si="45"/>
        <v>2.9510194925512497E-2</v>
      </c>
      <c r="Q313" s="6">
        <f t="shared" si="46"/>
        <v>5.391201207058983</v>
      </c>
      <c r="R313" s="6">
        <f t="shared" si="47"/>
        <v>13.159935007560939</v>
      </c>
      <c r="S313" s="6">
        <f>IF($Y$2="按单位面积散热损失 qp",B313*LN(B313/首页!$B$4),LN(B313/首页!$B$4))</f>
        <v>1.3349114446968671</v>
      </c>
      <c r="T313" s="6">
        <f>IF($Y$2="按单位面积散热损失 qp",2*PI()*首页!$B$8*((E313-D313)/$Y$3-1/R313),2*PI()*首页!$B$8*((E313-D313)/$Y$4-1/(PI()*B313*R313)))</f>
        <v>4.0814567442557112E-2</v>
      </c>
      <c r="U313" t="str">
        <f t="shared" si="48"/>
        <v>按单位面积散热损失 qp</v>
      </c>
      <c r="V313" s="6">
        <f t="shared" si="49"/>
        <v>1.29409687725431</v>
      </c>
    </row>
    <row r="314" spans="1:22" x14ac:dyDescent="0.15">
      <c r="A314">
        <v>309</v>
      </c>
      <c r="B314" s="6">
        <f>首页!$B$4+2*A314/1000</f>
        <v>0.73799999999999999</v>
      </c>
      <c r="C314" s="6">
        <f>首页!$B$7+273.15</f>
        <v>388.15</v>
      </c>
      <c r="D314" s="6">
        <f>首页!$B$6+273.15</f>
        <v>293.14999999999998</v>
      </c>
      <c r="E314" s="6">
        <f>首页!$B$5+273.15</f>
        <v>1373.15</v>
      </c>
      <c r="F314" s="6">
        <f t="shared" si="40"/>
        <v>95</v>
      </c>
      <c r="G314" s="6">
        <f t="shared" si="41"/>
        <v>340.65</v>
      </c>
      <c r="H314" s="6">
        <f t="shared" si="42"/>
        <v>1.9926207055139041E-5</v>
      </c>
      <c r="I314" s="7">
        <f t="shared" si="43"/>
        <v>1158916576932337.8</v>
      </c>
      <c r="J314" s="6">
        <f t="shared" si="44"/>
        <v>1.0226038455893147</v>
      </c>
      <c r="K314" s="7">
        <f>J314*H314*首页!$B$12/P314</f>
        <v>0.69532757496605813</v>
      </c>
      <c r="L314" s="6">
        <f>首页!$B$9*0.0000000567*((C314^4-D314^4)/(C314-D314))</f>
        <v>7.7687338005019564</v>
      </c>
      <c r="M314" s="6">
        <f>IF(首页!$B$13="自然对流",IF(首页!$B$14="立式圆筒",首页!$B$10,PI()*B314/2),PI()*B314/2)</f>
        <v>55.2</v>
      </c>
      <c r="N314" s="7">
        <f>IF(首页!$B$13="强制对流",首页!$B$11*M314/H314,0)</f>
        <v>0</v>
      </c>
      <c r="O314" s="7">
        <f>IF(首页!$B$13="自然对流",IF(首页!$B$14="立式圆筒",(0.825+0.3063*I314^(1/6))^2+0.87*(M314/B314),(0.752+0.303*I314^(1/6))^2),0.3+SQRT((0.592*N314^0.5)^2+(0.0262*N314^0.8/(1-0.5/N314^0.1))^2))</f>
        <v>10084.280673666608</v>
      </c>
      <c r="P314" s="6">
        <f t="shared" si="45"/>
        <v>2.9510194925512497E-2</v>
      </c>
      <c r="Q314" s="6">
        <f t="shared" si="46"/>
        <v>5.3911066732514499</v>
      </c>
      <c r="R314" s="6">
        <f t="shared" si="47"/>
        <v>13.159840473753405</v>
      </c>
      <c r="S314" s="6">
        <f>IF($Y$2="按单位面积散热损失 qp",B314*LN(B314/首页!$B$4),LN(B314/首页!$B$4))</f>
        <v>1.3405416363819989</v>
      </c>
      <c r="T314" s="6">
        <f>IF($Y$2="按单位面积散热损失 qp",2*PI()*首页!$B$8*((E314-D314)/$Y$3-1/R314),2*PI()*首页!$B$8*((E314-D314)/$Y$4-1/(PI()*B314*R314)))</f>
        <v>4.0814413103741461E-2</v>
      </c>
      <c r="U314" t="str">
        <f t="shared" si="48"/>
        <v>按单位面积散热损失 qp</v>
      </c>
      <c r="V314" s="6">
        <f t="shared" si="49"/>
        <v>1.2997272232782573</v>
      </c>
    </row>
    <row r="315" spans="1:22" x14ac:dyDescent="0.15">
      <c r="A315">
        <v>310</v>
      </c>
      <c r="B315" s="6">
        <f>首页!$B$4+2*A315/1000</f>
        <v>0.74</v>
      </c>
      <c r="C315" s="6">
        <f>首页!$B$7+273.15</f>
        <v>388.15</v>
      </c>
      <c r="D315" s="6">
        <f>首页!$B$6+273.15</f>
        <v>293.14999999999998</v>
      </c>
      <c r="E315" s="6">
        <f>首页!$B$5+273.15</f>
        <v>1373.15</v>
      </c>
      <c r="F315" s="6">
        <f t="shared" si="40"/>
        <v>95</v>
      </c>
      <c r="G315" s="6">
        <f t="shared" si="41"/>
        <v>340.65</v>
      </c>
      <c r="H315" s="6">
        <f t="shared" si="42"/>
        <v>1.9926207055139041E-5</v>
      </c>
      <c r="I315" s="7">
        <f t="shared" si="43"/>
        <v>1158916576932337.8</v>
      </c>
      <c r="J315" s="6">
        <f t="shared" si="44"/>
        <v>1.0226038455893147</v>
      </c>
      <c r="K315" s="7">
        <f>J315*H315*首页!$B$12/P315</f>
        <v>0.69532757496605813</v>
      </c>
      <c r="L315" s="6">
        <f>首页!$B$9*0.0000000567*((C315^4-D315^4)/(C315-D315))</f>
        <v>7.7687338005019564</v>
      </c>
      <c r="M315" s="6">
        <f>IF(首页!$B$13="自然对流",IF(首页!$B$14="立式圆筒",首页!$B$10,PI()*B315/2),PI()*B315/2)</f>
        <v>55.2</v>
      </c>
      <c r="N315" s="7">
        <f>IF(首页!$B$13="强制对流",首页!$B$11*M315/H315,0)</f>
        <v>0</v>
      </c>
      <c r="O315" s="7">
        <f>IF(首页!$B$13="自然对流",IF(首页!$B$14="立式圆筒",(0.825+0.3063*I315^(1/6))^2+0.87*(M315/B315),(0.752+0.303*I315^(1/6))^2),0.3+SQRT((0.592*N315^0.5)^2+(0.0262*N315^0.8/(1-0.5/N315^0.1))^2))</f>
        <v>10084.104800232197</v>
      </c>
      <c r="P315" s="6">
        <f t="shared" si="45"/>
        <v>2.9510194925512497E-2</v>
      </c>
      <c r="Q315" s="6">
        <f t="shared" si="46"/>
        <v>5.39101265043747</v>
      </c>
      <c r="R315" s="6">
        <f t="shared" si="47"/>
        <v>13.159746450939426</v>
      </c>
      <c r="S315" s="6">
        <f>IF($Y$2="按单位面积散热损失 qp",B315*LN(B315/首页!$B$4),LN(B315/首页!$B$4))</f>
        <v>1.3461772481279652</v>
      </c>
      <c r="T315" s="6">
        <f>IF($Y$2="按单位面积散热损失 qp",2*PI()*首页!$B$8*((E315-D315)/$Y$3-1/R315),2*PI()*首页!$B$8*((E315-D315)/$Y$4-1/(PI()*B315*R315)))</f>
        <v>4.081425959699022E-2</v>
      </c>
      <c r="U315" t="str">
        <f t="shared" si="48"/>
        <v>按单位面积散热损失 qp</v>
      </c>
      <c r="V315" s="6">
        <f t="shared" si="49"/>
        <v>1.305362988530975</v>
      </c>
    </row>
    <row r="316" spans="1:22" x14ac:dyDescent="0.15">
      <c r="A316">
        <v>311</v>
      </c>
      <c r="B316" s="6">
        <f>首页!$B$4+2*A316/1000</f>
        <v>0.74199999999999999</v>
      </c>
      <c r="C316" s="6">
        <f>首页!$B$7+273.15</f>
        <v>388.15</v>
      </c>
      <c r="D316" s="6">
        <f>首页!$B$6+273.15</f>
        <v>293.14999999999998</v>
      </c>
      <c r="E316" s="6">
        <f>首页!$B$5+273.15</f>
        <v>1373.15</v>
      </c>
      <c r="F316" s="6">
        <f t="shared" si="40"/>
        <v>95</v>
      </c>
      <c r="G316" s="6">
        <f t="shared" si="41"/>
        <v>340.65</v>
      </c>
      <c r="H316" s="6">
        <f t="shared" si="42"/>
        <v>1.9926207055139041E-5</v>
      </c>
      <c r="I316" s="7">
        <f t="shared" si="43"/>
        <v>1158916576932337.8</v>
      </c>
      <c r="J316" s="6">
        <f t="shared" si="44"/>
        <v>1.0226038455893147</v>
      </c>
      <c r="K316" s="7">
        <f>J316*H316*首页!$B$12/P316</f>
        <v>0.69532757496605813</v>
      </c>
      <c r="L316" s="6">
        <f>首页!$B$9*0.0000000567*((C316^4-D316^4)/(C316-D316))</f>
        <v>7.7687338005019564</v>
      </c>
      <c r="M316" s="6">
        <f>IF(首页!$B$13="自然对流",IF(首页!$B$14="立式圆筒",首页!$B$10,PI()*B316/2),PI()*B316/2)</f>
        <v>55.2</v>
      </c>
      <c r="N316" s="7">
        <f>IF(首页!$B$13="强制对流",首页!$B$11*M316/H316,0)</f>
        <v>0</v>
      </c>
      <c r="O316" s="7">
        <f>IF(首页!$B$13="自然对流",IF(首页!$B$14="立式圆筒",(0.825+0.3063*I316^(1/6))^2+0.87*(M316/B316),(0.752+0.303*I316^(1/6))^2),0.3+SQRT((0.592*N316^0.5)^2+(0.0262*N316^0.8/(1-0.5/N316^0.1))^2))</f>
        <v>10083.929874902555</v>
      </c>
      <c r="P316" s="6">
        <f t="shared" si="45"/>
        <v>2.9510194925512497E-2</v>
      </c>
      <c r="Q316" s="6">
        <f t="shared" si="46"/>
        <v>5.3909191344850216</v>
      </c>
      <c r="R316" s="6">
        <f t="shared" si="47"/>
        <v>13.159652934986978</v>
      </c>
      <c r="S316" s="6">
        <f>IF($Y$2="按单位面积散热损失 qp",B316*LN(B316/首页!$B$4),LN(B316/首页!$B$4))</f>
        <v>1.3518182652859183</v>
      </c>
      <c r="T316" s="6">
        <f>IF($Y$2="按单位面积散热损失 qp",2*PI()*首页!$B$8*((E316-D316)/$Y$3-1/R316),2*PI()*首页!$B$8*((E316-D316)/$Y$4-1/(PI()*B316*R316)))</f>
        <v>4.0814106915592799E-2</v>
      </c>
      <c r="U316" t="str">
        <f t="shared" si="48"/>
        <v>按单位面积散热损失 qp</v>
      </c>
      <c r="V316" s="6">
        <f t="shared" si="49"/>
        <v>1.3110041583703256</v>
      </c>
    </row>
    <row r="317" spans="1:22" x14ac:dyDescent="0.15">
      <c r="A317">
        <v>312</v>
      </c>
      <c r="B317" s="6">
        <f>首页!$B$4+2*A317/1000</f>
        <v>0.74399999999999999</v>
      </c>
      <c r="C317" s="6">
        <f>首页!$B$7+273.15</f>
        <v>388.15</v>
      </c>
      <c r="D317" s="6">
        <f>首页!$B$6+273.15</f>
        <v>293.14999999999998</v>
      </c>
      <c r="E317" s="6">
        <f>首页!$B$5+273.15</f>
        <v>1373.15</v>
      </c>
      <c r="F317" s="6">
        <f t="shared" si="40"/>
        <v>95</v>
      </c>
      <c r="G317" s="6">
        <f t="shared" si="41"/>
        <v>340.65</v>
      </c>
      <c r="H317" s="6">
        <f t="shared" si="42"/>
        <v>1.9926207055139041E-5</v>
      </c>
      <c r="I317" s="7">
        <f t="shared" si="43"/>
        <v>1158916576932337.8</v>
      </c>
      <c r="J317" s="6">
        <f t="shared" si="44"/>
        <v>1.0226038455893147</v>
      </c>
      <c r="K317" s="7">
        <f>J317*H317*首页!$B$12/P317</f>
        <v>0.69532757496605813</v>
      </c>
      <c r="L317" s="6">
        <f>首页!$B$9*0.0000000567*((C317^4-D317^4)/(C317-D317))</f>
        <v>7.7687338005019564</v>
      </c>
      <c r="M317" s="6">
        <f>IF(首页!$B$13="自然对流",IF(首页!$B$14="立式圆筒",首页!$B$10,PI()*B317/2),PI()*B317/2)</f>
        <v>55.2</v>
      </c>
      <c r="N317" s="7">
        <f>IF(首页!$B$13="强制对流",首页!$B$11*M317/H317,0)</f>
        <v>0</v>
      </c>
      <c r="O317" s="7">
        <f>IF(首页!$B$13="自然对流",IF(首页!$B$14="立式圆筒",(0.825+0.3063*I317^(1/6))^2+0.87*(M317/B317),(0.752+0.303*I317^(1/6))^2),0.3+SQRT((0.592*N317^0.5)^2+(0.0262*N317^0.8/(1-0.5/N317^0.1))^2))</f>
        <v>10083.755890031674</v>
      </c>
      <c r="P317" s="6">
        <f t="shared" si="45"/>
        <v>2.9510194925512497E-2</v>
      </c>
      <c r="Q317" s="6">
        <f t="shared" si="46"/>
        <v>5.3908261213065112</v>
      </c>
      <c r="R317" s="6">
        <f t="shared" si="47"/>
        <v>13.159559921808468</v>
      </c>
      <c r="S317" s="6">
        <f>IF($Y$2="按单位面积散热损失 qp",B317*LN(B317/首页!$B$4),LN(B317/首页!$B$4))</f>
        <v>1.3574646732859783</v>
      </c>
      <c r="T317" s="6">
        <f>IF($Y$2="按单位面积散热损失 qp",2*PI()*首页!$B$8*((E317-D317)/$Y$3-1/R317),2*PI()*首页!$B$8*((E317-D317)/$Y$4-1/(PI()*B317*R317)))</f>
        <v>4.0813955052910571E-2</v>
      </c>
      <c r="U317" t="str">
        <f t="shared" si="48"/>
        <v>按单位面积散热损失 qp</v>
      </c>
      <c r="V317" s="6">
        <f t="shared" si="49"/>
        <v>1.3166507182330678</v>
      </c>
    </row>
    <row r="318" spans="1:22" x14ac:dyDescent="0.15">
      <c r="A318">
        <v>313</v>
      </c>
      <c r="B318" s="6">
        <f>首页!$B$4+2*A318/1000</f>
        <v>0.746</v>
      </c>
      <c r="C318" s="6">
        <f>首页!$B$7+273.15</f>
        <v>388.15</v>
      </c>
      <c r="D318" s="6">
        <f>首页!$B$6+273.15</f>
        <v>293.14999999999998</v>
      </c>
      <c r="E318" s="6">
        <f>首页!$B$5+273.15</f>
        <v>1373.15</v>
      </c>
      <c r="F318" s="6">
        <f t="shared" si="40"/>
        <v>95</v>
      </c>
      <c r="G318" s="6">
        <f t="shared" si="41"/>
        <v>340.65</v>
      </c>
      <c r="H318" s="6">
        <f t="shared" si="42"/>
        <v>1.9926207055139041E-5</v>
      </c>
      <c r="I318" s="7">
        <f t="shared" si="43"/>
        <v>1158916576932337.8</v>
      </c>
      <c r="J318" s="6">
        <f t="shared" si="44"/>
        <v>1.0226038455893147</v>
      </c>
      <c r="K318" s="7">
        <f>J318*H318*首页!$B$12/P318</f>
        <v>0.69532757496605813</v>
      </c>
      <c r="L318" s="6">
        <f>首页!$B$9*0.0000000567*((C318^4-D318^4)/(C318-D318))</f>
        <v>7.7687338005019564</v>
      </c>
      <c r="M318" s="6">
        <f>IF(首页!$B$13="自然对流",IF(首页!$B$14="立式圆筒",首页!$B$10,PI()*B318/2),PI()*B318/2)</f>
        <v>55.2</v>
      </c>
      <c r="N318" s="7">
        <f>IF(首页!$B$13="强制对流",首页!$B$11*M318/H318,0)</f>
        <v>0</v>
      </c>
      <c r="O318" s="7">
        <f>IF(首页!$B$13="自然对流",IF(首页!$B$14="立式圆筒",(0.825+0.3063*I318^(1/6))^2+0.87*(M318/B318),(0.752+0.303*I318^(1/6))^2),0.3+SQRT((0.592*N318^0.5)^2+(0.0262*N318^0.8/(1-0.5/N318^0.1))^2))</f>
        <v>10083.582838055543</v>
      </c>
      <c r="P318" s="6">
        <f t="shared" si="45"/>
        <v>2.9510194925512497E-2</v>
      </c>
      <c r="Q318" s="6">
        <f t="shared" si="46"/>
        <v>5.3907336068581806</v>
      </c>
      <c r="R318" s="6">
        <f t="shared" si="47"/>
        <v>13.159467407360136</v>
      </c>
      <c r="S318" s="6">
        <f>IF($Y$2="按单位面积散热损失 qp",B318*LN(B318/首页!$B$4),LN(B318/首页!$B$4))</f>
        <v>1.3631164576365993</v>
      </c>
      <c r="T318" s="6">
        <f>IF($Y$2="按单位面积散热损失 qp",2*PI()*首页!$B$8*((E318-D318)/$Y$3-1/R318),2*PI()*首页!$B$8*((E318-D318)/$Y$4-1/(PI()*B318*R318)))</f>
        <v>4.0813804002375914E-2</v>
      </c>
      <c r="U318" t="str">
        <f t="shared" si="48"/>
        <v>按单位面积散热损失 qp</v>
      </c>
      <c r="V318" s="6">
        <f t="shared" si="49"/>
        <v>1.3223026536342233</v>
      </c>
    </row>
    <row r="319" spans="1:22" x14ac:dyDescent="0.15">
      <c r="A319">
        <v>314</v>
      </c>
      <c r="B319" s="6">
        <f>首页!$B$4+2*A319/1000</f>
        <v>0.748</v>
      </c>
      <c r="C319" s="6">
        <f>首页!$B$7+273.15</f>
        <v>388.15</v>
      </c>
      <c r="D319" s="6">
        <f>首页!$B$6+273.15</f>
        <v>293.14999999999998</v>
      </c>
      <c r="E319" s="6">
        <f>首页!$B$5+273.15</f>
        <v>1373.15</v>
      </c>
      <c r="F319" s="6">
        <f t="shared" si="40"/>
        <v>95</v>
      </c>
      <c r="G319" s="6">
        <f t="shared" si="41"/>
        <v>340.65</v>
      </c>
      <c r="H319" s="6">
        <f t="shared" si="42"/>
        <v>1.9926207055139041E-5</v>
      </c>
      <c r="I319" s="7">
        <f t="shared" si="43"/>
        <v>1158916576932337.8</v>
      </c>
      <c r="J319" s="6">
        <f t="shared" si="44"/>
        <v>1.0226038455893147</v>
      </c>
      <c r="K319" s="7">
        <f>J319*H319*首页!$B$12/P319</f>
        <v>0.69532757496605813</v>
      </c>
      <c r="L319" s="6">
        <f>首页!$B$9*0.0000000567*((C319^4-D319^4)/(C319-D319))</f>
        <v>7.7687338005019564</v>
      </c>
      <c r="M319" s="6">
        <f>IF(首页!$B$13="自然对流",IF(首页!$B$14="立式圆筒",首页!$B$10,PI()*B319/2),PI()*B319/2)</f>
        <v>55.2</v>
      </c>
      <c r="N319" s="7">
        <f>IF(首页!$B$13="强制对流",首页!$B$11*M319/H319,0)</f>
        <v>0</v>
      </c>
      <c r="O319" s="7">
        <f>IF(首页!$B$13="自然对流",IF(首页!$B$14="立式圆筒",(0.825+0.3063*I319^(1/6))^2+0.87*(M319/B319),(0.752+0.303*I319^(1/6))^2),0.3+SQRT((0.592*N319^0.5)^2+(0.0262*N319^0.8/(1-0.5/N319^0.1))^2))</f>
        <v>10083.410711491049</v>
      </c>
      <c r="P319" s="6">
        <f t="shared" si="45"/>
        <v>2.9510194925512497E-2</v>
      </c>
      <c r="Q319" s="6">
        <f t="shared" si="46"/>
        <v>5.3906415871395197</v>
      </c>
      <c r="R319" s="6">
        <f t="shared" si="47"/>
        <v>13.159375387641475</v>
      </c>
      <c r="S319" s="6">
        <f>IF($Y$2="按单位面积散热损失 qp",B319*LN(B319/首页!$B$4),LN(B319/首页!$B$4))</f>
        <v>1.3687736039239384</v>
      </c>
      <c r="T319" s="6">
        <f>IF($Y$2="按单位面积散热损失 qp",2*PI()*首页!$B$8*((E319-D319)/$Y$3-1/R319),2*PI()*首页!$B$8*((E319-D319)/$Y$4-1/(PI()*B319*R319)))</f>
        <v>4.0813653757491276E-2</v>
      </c>
      <c r="U319" t="str">
        <f t="shared" si="48"/>
        <v>按单位面积散热损失 qp</v>
      </c>
      <c r="V319" s="6">
        <f t="shared" si="49"/>
        <v>1.3279599501664472</v>
      </c>
    </row>
    <row r="320" spans="1:22" x14ac:dyDescent="0.15">
      <c r="A320">
        <v>315</v>
      </c>
      <c r="B320" s="6">
        <f>首页!$B$4+2*A320/1000</f>
        <v>0.75</v>
      </c>
      <c r="C320" s="6">
        <f>首页!$B$7+273.15</f>
        <v>388.15</v>
      </c>
      <c r="D320" s="6">
        <f>首页!$B$6+273.15</f>
        <v>293.14999999999998</v>
      </c>
      <c r="E320" s="6">
        <f>首页!$B$5+273.15</f>
        <v>1373.15</v>
      </c>
      <c r="F320" s="6">
        <f t="shared" si="40"/>
        <v>95</v>
      </c>
      <c r="G320" s="6">
        <f t="shared" si="41"/>
        <v>340.65</v>
      </c>
      <c r="H320" s="6">
        <f t="shared" si="42"/>
        <v>1.9926207055139041E-5</v>
      </c>
      <c r="I320" s="7">
        <f t="shared" si="43"/>
        <v>1158916576932337.8</v>
      </c>
      <c r="J320" s="6">
        <f t="shared" si="44"/>
        <v>1.0226038455893147</v>
      </c>
      <c r="K320" s="7">
        <f>J320*H320*首页!$B$12/P320</f>
        <v>0.69532757496605813</v>
      </c>
      <c r="L320" s="6">
        <f>首页!$B$9*0.0000000567*((C320^4-D320^4)/(C320-D320))</f>
        <v>7.7687338005019564</v>
      </c>
      <c r="M320" s="6">
        <f>IF(首页!$B$13="自然对流",IF(首页!$B$14="立式圆筒",首页!$B$10,PI()*B320/2),PI()*B320/2)</f>
        <v>55.2</v>
      </c>
      <c r="N320" s="7">
        <f>IF(首页!$B$13="强制对流",首页!$B$11*M320/H320,0)</f>
        <v>0</v>
      </c>
      <c r="O320" s="7">
        <f>IF(首页!$B$13="自然对流",IF(首页!$B$14="立式圆筒",(0.825+0.3063*I320^(1/6))^2+0.87*(M320/B320),(0.752+0.303*I320^(1/6))^2),0.3+SQRT((0.592*N320^0.5)^2+(0.0262*N320^0.8/(1-0.5/N320^0.1))^2))</f>
        <v>10083.239502934899</v>
      </c>
      <c r="P320" s="6">
        <f t="shared" si="45"/>
        <v>2.9510194925512497E-2</v>
      </c>
      <c r="Q320" s="6">
        <f t="shared" si="46"/>
        <v>5.3905500581926917</v>
      </c>
      <c r="R320" s="6">
        <f t="shared" si="47"/>
        <v>13.159283858694648</v>
      </c>
      <c r="S320" s="6">
        <f>IF($Y$2="按单位面积散热损失 qp",B320*LN(B320/首页!$B$4),LN(B320/首页!$B$4))</f>
        <v>1.3744360978112327</v>
      </c>
      <c r="T320" s="6">
        <f>IF($Y$2="按单位面积散热损失 qp",2*PI()*首页!$B$8*((E320-D320)/$Y$3-1/R320),2*PI()*首页!$B$8*((E320-D320)/$Y$4-1/(PI()*B320*R320)))</f>
        <v>4.081350431182821E-2</v>
      </c>
      <c r="U320" t="str">
        <f t="shared" si="48"/>
        <v>按单位面积散热损失 qp</v>
      </c>
      <c r="V320" s="6">
        <f t="shared" si="49"/>
        <v>1.3336225934994044</v>
      </c>
    </row>
    <row r="321" spans="1:22" x14ac:dyDescent="0.15">
      <c r="A321">
        <v>316</v>
      </c>
      <c r="B321" s="6">
        <f>首页!$B$4+2*A321/1000</f>
        <v>0.752</v>
      </c>
      <c r="C321" s="6">
        <f>首页!$B$7+273.15</f>
        <v>388.15</v>
      </c>
      <c r="D321" s="6">
        <f>首页!$B$6+273.15</f>
        <v>293.14999999999998</v>
      </c>
      <c r="E321" s="6">
        <f>首页!$B$5+273.15</f>
        <v>1373.15</v>
      </c>
      <c r="F321" s="6">
        <f t="shared" si="40"/>
        <v>95</v>
      </c>
      <c r="G321" s="6">
        <f t="shared" si="41"/>
        <v>340.65</v>
      </c>
      <c r="H321" s="6">
        <f t="shared" si="42"/>
        <v>1.9926207055139041E-5</v>
      </c>
      <c r="I321" s="7">
        <f t="shared" si="43"/>
        <v>1158916576932337.8</v>
      </c>
      <c r="J321" s="6">
        <f t="shared" si="44"/>
        <v>1.0226038455893147</v>
      </c>
      <c r="K321" s="7">
        <f>J321*H321*首页!$B$12/P321</f>
        <v>0.69532757496605813</v>
      </c>
      <c r="L321" s="6">
        <f>首页!$B$9*0.0000000567*((C321^4-D321^4)/(C321-D321))</f>
        <v>7.7687338005019564</v>
      </c>
      <c r="M321" s="6">
        <f>IF(首页!$B$13="自然对流",IF(首页!$B$14="立式圆筒",首页!$B$10,PI()*B321/2),PI()*B321/2)</f>
        <v>55.2</v>
      </c>
      <c r="N321" s="7">
        <f>IF(首页!$B$13="强制对流",首页!$B$11*M321/H321,0)</f>
        <v>0</v>
      </c>
      <c r="O321" s="7">
        <f>IF(首页!$B$13="自然对流",IF(首页!$B$14="立式圆筒",(0.825+0.3063*I321^(1/6))^2+0.87*(M321/B321),(0.752+0.303*I321^(1/6))^2),0.3+SQRT((0.592*N321^0.5)^2+(0.0262*N321^0.8/(1-0.5/N321^0.1))^2))</f>
        <v>10083.06920506256</v>
      </c>
      <c r="P321" s="6">
        <f t="shared" si="45"/>
        <v>2.9510194925512497E-2</v>
      </c>
      <c r="Q321" s="6">
        <f t="shared" si="46"/>
        <v>5.390459016101965</v>
      </c>
      <c r="R321" s="6">
        <f t="shared" si="47"/>
        <v>13.159192816603921</v>
      </c>
      <c r="S321" s="6">
        <f>IF($Y$2="按单位面积散热损失 qp",B321*LN(B321/首页!$B$4),LN(B321/首页!$B$4))</f>
        <v>1.380103925038181</v>
      </c>
      <c r="T321" s="6">
        <f>IF($Y$2="按单位面积散热损失 qp",2*PI()*首页!$B$8*((E321-D321)/$Y$3-1/R321),2*PI()*首页!$B$8*((E321-D321)/$Y$4-1/(PI()*B321*R321)))</f>
        <v>4.081335565902651E-2</v>
      </c>
      <c r="U321" t="str">
        <f t="shared" si="48"/>
        <v>按单位面积散热损失 qp</v>
      </c>
      <c r="V321" s="6">
        <f t="shared" si="49"/>
        <v>1.3392905693791546</v>
      </c>
    </row>
    <row r="322" spans="1:22" x14ac:dyDescent="0.15">
      <c r="A322">
        <v>317</v>
      </c>
      <c r="B322" s="6">
        <f>首页!$B$4+2*A322/1000</f>
        <v>0.754</v>
      </c>
      <c r="C322" s="6">
        <f>首页!$B$7+273.15</f>
        <v>388.15</v>
      </c>
      <c r="D322" s="6">
        <f>首页!$B$6+273.15</f>
        <v>293.14999999999998</v>
      </c>
      <c r="E322" s="6">
        <f>首页!$B$5+273.15</f>
        <v>1373.15</v>
      </c>
      <c r="F322" s="6">
        <f t="shared" si="40"/>
        <v>95</v>
      </c>
      <c r="G322" s="6">
        <f t="shared" si="41"/>
        <v>340.65</v>
      </c>
      <c r="H322" s="6">
        <f t="shared" si="42"/>
        <v>1.9926207055139041E-5</v>
      </c>
      <c r="I322" s="7">
        <f t="shared" si="43"/>
        <v>1158916576932337.8</v>
      </c>
      <c r="J322" s="6">
        <f t="shared" si="44"/>
        <v>1.0226038455893147</v>
      </c>
      <c r="K322" s="7">
        <f>J322*H322*首页!$B$12/P322</f>
        <v>0.69532757496605813</v>
      </c>
      <c r="L322" s="6">
        <f>首页!$B$9*0.0000000567*((C322^4-D322^4)/(C322-D322))</f>
        <v>7.7687338005019564</v>
      </c>
      <c r="M322" s="6">
        <f>IF(首页!$B$13="自然对流",IF(首页!$B$14="立式圆筒",首页!$B$10,PI()*B322/2),PI()*B322/2)</f>
        <v>55.2</v>
      </c>
      <c r="N322" s="7">
        <f>IF(首页!$B$13="强制对流",首页!$B$11*M322/H322,0)</f>
        <v>0</v>
      </c>
      <c r="O322" s="7">
        <f>IF(首页!$B$13="自然对流",IF(首页!$B$14="立式圆筒",(0.825+0.3063*I322^(1/6))^2+0.87*(M322/B322),(0.752+0.303*I322^(1/6))^2),0.3+SQRT((0.592*N322^0.5)^2+(0.0262*N322^0.8/(1-0.5/N322^0.1))^2))</f>
        <v>10082.899810627208</v>
      </c>
      <c r="P322" s="6">
        <f t="shared" si="45"/>
        <v>2.9510194925512497E-2</v>
      </c>
      <c r="Q322" s="6">
        <f t="shared" si="46"/>
        <v>5.3903684569931514</v>
      </c>
      <c r="R322" s="6">
        <f t="shared" si="47"/>
        <v>13.159102257495107</v>
      </c>
      <c r="S322" s="6">
        <f>IF($Y$2="按单位面积散热损失 qp",B322*LN(B322/首页!$B$4),LN(B322/首页!$B$4))</f>
        <v>1.3857770714203361</v>
      </c>
      <c r="T322" s="6">
        <f>IF($Y$2="按单位面积散热损失 qp",2*PI()*首页!$B$8*((E322-D322)/$Y$3-1/R322),2*PI()*首页!$B$8*((E322-D322)/$Y$4-1/(PI()*B322*R322)))</f>
        <v>4.0813207792793231E-2</v>
      </c>
      <c r="U322" t="str">
        <f t="shared" si="48"/>
        <v>按单位面积散热损失 qp</v>
      </c>
      <c r="V322" s="6">
        <f t="shared" si="49"/>
        <v>1.3449638636275429</v>
      </c>
    </row>
    <row r="323" spans="1:22" x14ac:dyDescent="0.15">
      <c r="A323">
        <v>318</v>
      </c>
      <c r="B323" s="6">
        <f>首页!$B$4+2*A323/1000</f>
        <v>0.75600000000000001</v>
      </c>
      <c r="C323" s="6">
        <f>首页!$B$7+273.15</f>
        <v>388.15</v>
      </c>
      <c r="D323" s="6">
        <f>首页!$B$6+273.15</f>
        <v>293.14999999999998</v>
      </c>
      <c r="E323" s="6">
        <f>首页!$B$5+273.15</f>
        <v>1373.15</v>
      </c>
      <c r="F323" s="6">
        <f t="shared" si="40"/>
        <v>95</v>
      </c>
      <c r="G323" s="6">
        <f t="shared" si="41"/>
        <v>340.65</v>
      </c>
      <c r="H323" s="6">
        <f t="shared" si="42"/>
        <v>1.9926207055139041E-5</v>
      </c>
      <c r="I323" s="7">
        <f t="shared" si="43"/>
        <v>1158916576932337.8</v>
      </c>
      <c r="J323" s="6">
        <f t="shared" si="44"/>
        <v>1.0226038455893147</v>
      </c>
      <c r="K323" s="7">
        <f>J323*H323*首页!$B$12/P323</f>
        <v>0.69532757496605813</v>
      </c>
      <c r="L323" s="6">
        <f>首页!$B$9*0.0000000567*((C323^4-D323^4)/(C323-D323))</f>
        <v>7.7687338005019564</v>
      </c>
      <c r="M323" s="6">
        <f>IF(首页!$B$13="自然对流",IF(首页!$B$14="立式圆筒",首页!$B$10,PI()*B323/2),PI()*B323/2)</f>
        <v>55.2</v>
      </c>
      <c r="N323" s="7">
        <f>IF(首页!$B$13="强制对流",首页!$B$11*M323/H323,0)</f>
        <v>0</v>
      </c>
      <c r="O323" s="7">
        <f>IF(首页!$B$13="自然对流",IF(首页!$B$14="立式圆筒",(0.825+0.3063*I323^(1/6))^2+0.87*(M323/B323),(0.752+0.303*I323^(1/6))^2),0.3+SQRT((0.592*N323^0.5)^2+(0.0262*N323^0.8/(1-0.5/N323^0.1))^2))</f>
        <v>10082.731312458709</v>
      </c>
      <c r="P323" s="6">
        <f t="shared" si="45"/>
        <v>2.9510194925512497E-2</v>
      </c>
      <c r="Q323" s="6">
        <f t="shared" si="46"/>
        <v>5.3902783770330602</v>
      </c>
      <c r="R323" s="6">
        <f t="shared" si="47"/>
        <v>13.159012177535017</v>
      </c>
      <c r="S323" s="6">
        <f>IF($Y$2="按单位面积散热损失 qp",B323*LN(B323/首页!$B$4),LN(B323/首页!$B$4))</f>
        <v>1.3914555228485002</v>
      </c>
      <c r="T323" s="6">
        <f>IF($Y$2="按单位面积散热损失 qp",2*PI()*首页!$B$8*((E323-D323)/$Y$3-1/R323),2*PI()*首页!$B$8*((E323-D323)/$Y$4-1/(PI()*B323*R323)))</f>
        <v>4.0813060706901903E-2</v>
      </c>
      <c r="U323" t="str">
        <f t="shared" si="48"/>
        <v>按单位面积散热损失 qp</v>
      </c>
      <c r="V323" s="6">
        <f t="shared" si="49"/>
        <v>1.3506424621415982</v>
      </c>
    </row>
    <row r="324" spans="1:22" x14ac:dyDescent="0.15">
      <c r="A324">
        <v>319</v>
      </c>
      <c r="B324" s="6">
        <f>首页!$B$4+2*A324/1000</f>
        <v>0.75800000000000001</v>
      </c>
      <c r="C324" s="6">
        <f>首页!$B$7+273.15</f>
        <v>388.15</v>
      </c>
      <c r="D324" s="6">
        <f>首页!$B$6+273.15</f>
        <v>293.14999999999998</v>
      </c>
      <c r="E324" s="6">
        <f>首页!$B$5+273.15</f>
        <v>1373.15</v>
      </c>
      <c r="F324" s="6">
        <f t="shared" si="40"/>
        <v>95</v>
      </c>
      <c r="G324" s="6">
        <f t="shared" si="41"/>
        <v>340.65</v>
      </c>
      <c r="H324" s="6">
        <f t="shared" si="42"/>
        <v>1.9926207055139041E-5</v>
      </c>
      <c r="I324" s="7">
        <f t="shared" si="43"/>
        <v>1158916576932337.8</v>
      </c>
      <c r="J324" s="6">
        <f t="shared" si="44"/>
        <v>1.0226038455893147</v>
      </c>
      <c r="K324" s="7">
        <f>J324*H324*首页!$B$12/P324</f>
        <v>0.69532757496605813</v>
      </c>
      <c r="L324" s="6">
        <f>首页!$B$9*0.0000000567*((C324^4-D324^4)/(C324-D324))</f>
        <v>7.7687338005019564</v>
      </c>
      <c r="M324" s="6">
        <f>IF(首页!$B$13="自然对流",IF(首页!$B$14="立式圆筒",首页!$B$10,PI()*B324/2),PI()*B324/2)</f>
        <v>55.2</v>
      </c>
      <c r="N324" s="7">
        <f>IF(首页!$B$13="强制对流",首页!$B$11*M324/H324,0)</f>
        <v>0</v>
      </c>
      <c r="O324" s="7">
        <f>IF(首页!$B$13="自然对流",IF(首页!$B$14="立式圆筒",(0.825+0.3063*I324^(1/6))^2+0.87*(M324/B324),(0.752+0.303*I324^(1/6))^2),0.3+SQRT((0.592*N324^0.5)^2+(0.0262*N324^0.8/(1-0.5/N324^0.1))^2))</f>
        <v>10082.563703462605</v>
      </c>
      <c r="P324" s="6">
        <f t="shared" si="45"/>
        <v>2.9510194925512497E-2</v>
      </c>
      <c r="Q324" s="6">
        <f t="shared" si="46"/>
        <v>5.3901887724289601</v>
      </c>
      <c r="R324" s="6">
        <f t="shared" si="47"/>
        <v>13.158922572930916</v>
      </c>
      <c r="S324" s="6">
        <f>IF($Y$2="按单位面积散热损失 qp",B324*LN(B324/首页!$B$4),LN(B324/首页!$B$4))</f>
        <v>1.3971392652881269</v>
      </c>
      <c r="T324" s="6">
        <f>IF($Y$2="按单位面积散热损失 qp",2*PI()*首页!$B$8*((E324-D324)/$Y$3-1/R324),2*PI()*首页!$B$8*((E324-D324)/$Y$4-1/(PI()*B324*R324)))</f>
        <v>4.0812914395191573E-2</v>
      </c>
      <c r="U324" t="str">
        <f t="shared" si="48"/>
        <v>按单位面积散热损失 qp</v>
      </c>
      <c r="V324" s="6">
        <f t="shared" si="49"/>
        <v>1.3563263508929353</v>
      </c>
    </row>
    <row r="325" spans="1:22" x14ac:dyDescent="0.15">
      <c r="A325">
        <v>320</v>
      </c>
      <c r="B325" s="6">
        <f>首页!$B$4+2*A325/1000</f>
        <v>0.76</v>
      </c>
      <c r="C325" s="6">
        <f>首页!$B$7+273.15</f>
        <v>388.15</v>
      </c>
      <c r="D325" s="6">
        <f>首页!$B$6+273.15</f>
        <v>293.14999999999998</v>
      </c>
      <c r="E325" s="6">
        <f>首页!$B$5+273.15</f>
        <v>1373.15</v>
      </c>
      <c r="F325" s="6">
        <f t="shared" ref="F325:F388" si="50">C325-D325</f>
        <v>95</v>
      </c>
      <c r="G325" s="6">
        <f t="shared" ref="G325:G388" si="51">(C325+D325)/2</f>
        <v>340.65</v>
      </c>
      <c r="H325" s="6">
        <f t="shared" ref="H325:H388" si="52">0.0000000042113*G325^2.5/(112+G325)</f>
        <v>1.9926207055139041E-5</v>
      </c>
      <c r="I325" s="7">
        <f t="shared" ref="I325:I388" si="53">9.81*M325^3*F325/(H325^2*G325)</f>
        <v>1158916576932337.8</v>
      </c>
      <c r="J325" s="6">
        <f t="shared" ref="J325:J388" si="54">348.35/G325</f>
        <v>1.0226038455893147</v>
      </c>
      <c r="K325" s="7">
        <f>J325*H325*首页!$B$12/P325</f>
        <v>0.69532757496605813</v>
      </c>
      <c r="L325" s="6">
        <f>首页!$B$9*0.0000000567*((C325^4-D325^4)/(C325-D325))</f>
        <v>7.7687338005019564</v>
      </c>
      <c r="M325" s="6">
        <f>IF(首页!$B$13="自然对流",IF(首页!$B$14="立式圆筒",首页!$B$10,PI()*B325/2),PI()*B325/2)</f>
        <v>55.2</v>
      </c>
      <c r="N325" s="7">
        <f>IF(首页!$B$13="强制对流",首页!$B$11*M325/H325,0)</f>
        <v>0</v>
      </c>
      <c r="O325" s="7">
        <f>IF(首页!$B$13="自然对流",IF(首页!$B$14="立式圆筒",(0.825+0.3063*I325^(1/6))^2+0.87*(M325/B325),(0.752+0.303*I325^(1/6))^2),0.3+SQRT((0.592*N325^0.5)^2+(0.0262*N325^0.8/(1-0.5/N325^0.1))^2))</f>
        <v>10082.396976619111</v>
      </c>
      <c r="P325" s="6">
        <f t="shared" ref="P325:P388" si="55">0.0243+0.000078421*(G325-273)-0.000000020755*(G325-273)^2</f>
        <v>2.9510194925512497E-2</v>
      </c>
      <c r="Q325" s="6">
        <f t="shared" ref="Q325:Q388" si="56">O325*P325/M325</f>
        <v>5.3900996394280396</v>
      </c>
      <c r="R325" s="6">
        <f t="shared" ref="R325:R388" si="57">L325+Q325</f>
        <v>13.158833439929996</v>
      </c>
      <c r="S325" s="6">
        <f>IF($Y$2="按单位面积散热损失 qp",B325*LN(B325/首页!$B$4),LN(B325/首页!$B$4))</f>
        <v>1.4028282847787314</v>
      </c>
      <c r="T325" s="6">
        <f>IF($Y$2="按单位面积散热损失 qp",2*PI()*首页!$B$8*((E325-D325)/$Y$3-1/R325),2*PI()*首页!$B$8*((E325-D325)/$Y$4-1/(PI()*B325*R325)))</f>
        <v>4.0812768851565963E-2</v>
      </c>
      <c r="U325" t="str">
        <f t="shared" ref="U325:U388" si="58">IF($Y$2="按单位面积散热损失 qp","按单位面积散热损失 qp","按单位长度散热损失 ql")</f>
        <v>按单位面积散热损失 qp</v>
      </c>
      <c r="V325" s="6">
        <f t="shared" ref="V325:V388" si="59">ABS(S325-T325)</f>
        <v>1.3620155159271654</v>
      </c>
    </row>
    <row r="326" spans="1:22" x14ac:dyDescent="0.15">
      <c r="A326">
        <v>321</v>
      </c>
      <c r="B326" s="6">
        <f>首页!$B$4+2*A326/1000</f>
        <v>0.76200000000000001</v>
      </c>
      <c r="C326" s="6">
        <f>首页!$B$7+273.15</f>
        <v>388.15</v>
      </c>
      <c r="D326" s="6">
        <f>首页!$B$6+273.15</f>
        <v>293.14999999999998</v>
      </c>
      <c r="E326" s="6">
        <f>首页!$B$5+273.15</f>
        <v>1373.15</v>
      </c>
      <c r="F326" s="6">
        <f t="shared" si="50"/>
        <v>95</v>
      </c>
      <c r="G326" s="6">
        <f t="shared" si="51"/>
        <v>340.65</v>
      </c>
      <c r="H326" s="6">
        <f t="shared" si="52"/>
        <v>1.9926207055139041E-5</v>
      </c>
      <c r="I326" s="7">
        <f t="shared" si="53"/>
        <v>1158916576932337.8</v>
      </c>
      <c r="J326" s="6">
        <f t="shared" si="54"/>
        <v>1.0226038455893147</v>
      </c>
      <c r="K326" s="7">
        <f>J326*H326*首页!$B$12/P326</f>
        <v>0.69532757496605813</v>
      </c>
      <c r="L326" s="6">
        <f>首页!$B$9*0.0000000567*((C326^4-D326^4)/(C326-D326))</f>
        <v>7.7687338005019564</v>
      </c>
      <c r="M326" s="6">
        <f>IF(首页!$B$13="自然对流",IF(首页!$B$14="立式圆筒",首页!$B$10,PI()*B326/2),PI()*B326/2)</f>
        <v>55.2</v>
      </c>
      <c r="N326" s="7">
        <f>IF(首页!$B$13="强制对流",首页!$B$11*M326/H326,0)</f>
        <v>0</v>
      </c>
      <c r="O326" s="7">
        <f>IF(首页!$B$13="自然对流",IF(首页!$B$14="立式圆筒",(0.825+0.3063*I326^(1/6))^2+0.87*(M326/B326),(0.752+0.303*I326^(1/6))^2),0.3+SQRT((0.592*N326^0.5)^2+(0.0262*N326^0.8/(1-0.5/N326^0.1))^2))</f>
        <v>10082.231124982143</v>
      </c>
      <c r="P326" s="6">
        <f t="shared" si="55"/>
        <v>2.9510194925512497E-2</v>
      </c>
      <c r="Q326" s="6">
        <f t="shared" si="56"/>
        <v>5.3900109743168869</v>
      </c>
      <c r="R326" s="6">
        <f t="shared" si="57"/>
        <v>13.158744774818842</v>
      </c>
      <c r="S326" s="6">
        <f>IF($Y$2="按单位面积散热损失 qp",B326*LN(B326/首页!$B$4),LN(B326/首页!$B$4))</f>
        <v>1.4085225674333055</v>
      </c>
      <c r="T326" s="6">
        <f>IF($Y$2="按单位面积散热损失 qp",2*PI()*首页!$B$8*((E326-D326)/$Y$3-1/R326),2*PI()*首页!$B$8*((E326-D326)/$Y$4-1/(PI()*B326*R326)))</f>
        <v>4.0812624069992663E-2</v>
      </c>
      <c r="U326" t="str">
        <f t="shared" si="58"/>
        <v>按单位面积散热损失 qp</v>
      </c>
      <c r="V326" s="6">
        <f t="shared" si="59"/>
        <v>1.3677099433633129</v>
      </c>
    </row>
    <row r="327" spans="1:22" x14ac:dyDescent="0.15">
      <c r="A327">
        <v>322</v>
      </c>
      <c r="B327" s="6">
        <f>首页!$B$4+2*A327/1000</f>
        <v>0.76400000000000001</v>
      </c>
      <c r="C327" s="6">
        <f>首页!$B$7+273.15</f>
        <v>388.15</v>
      </c>
      <c r="D327" s="6">
        <f>首页!$B$6+273.15</f>
        <v>293.14999999999998</v>
      </c>
      <c r="E327" s="6">
        <f>首页!$B$5+273.15</f>
        <v>1373.15</v>
      </c>
      <c r="F327" s="6">
        <f t="shared" si="50"/>
        <v>95</v>
      </c>
      <c r="G327" s="6">
        <f t="shared" si="51"/>
        <v>340.65</v>
      </c>
      <c r="H327" s="6">
        <f t="shared" si="52"/>
        <v>1.9926207055139041E-5</v>
      </c>
      <c r="I327" s="7">
        <f t="shared" si="53"/>
        <v>1158916576932337.8</v>
      </c>
      <c r="J327" s="6">
        <f t="shared" si="54"/>
        <v>1.0226038455893147</v>
      </c>
      <c r="K327" s="7">
        <f>J327*H327*首页!$B$12/P327</f>
        <v>0.69532757496605813</v>
      </c>
      <c r="L327" s="6">
        <f>首页!$B$9*0.0000000567*((C327^4-D327^4)/(C327-D327))</f>
        <v>7.7687338005019564</v>
      </c>
      <c r="M327" s="6">
        <f>IF(首页!$B$13="自然对流",IF(首页!$B$14="立式圆筒",首页!$B$10,PI()*B327/2),PI()*B327/2)</f>
        <v>55.2</v>
      </c>
      <c r="N327" s="7">
        <f>IF(首页!$B$13="强制对流",首页!$B$11*M327/H327,0)</f>
        <v>0</v>
      </c>
      <c r="O327" s="7">
        <f>IF(首页!$B$13="自然对流",IF(首页!$B$14="立式圆筒",(0.825+0.3063*I327^(1/6))^2+0.87*(M327/B327),(0.752+0.303*I327^(1/6))^2),0.3+SQRT((0.592*N327^0.5)^2+(0.0262*N327^0.8/(1-0.5/N327^0.1))^2))</f>
        <v>10082.066141678355</v>
      </c>
      <c r="P327" s="6">
        <f t="shared" si="55"/>
        <v>2.9510194925512497E-2</v>
      </c>
      <c r="Q327" s="6">
        <f t="shared" si="56"/>
        <v>5.3899227734209774</v>
      </c>
      <c r="R327" s="6">
        <f t="shared" si="57"/>
        <v>13.158656573922933</v>
      </c>
      <c r="S327" s="6">
        <f>IF($Y$2="按单位面积散热损失 qp",B327*LN(B327/首页!$B$4),LN(B327/首页!$B$4))</f>
        <v>1.4142220994377386</v>
      </c>
      <c r="T327" s="6">
        <f>IF($Y$2="按单位面积散热损失 qp",2*PI()*首页!$B$8*((E327-D327)/$Y$3-1/R327),2*PI()*首页!$B$8*((E327-D327)/$Y$4-1/(PI()*B327*R327)))</f>
        <v>4.0812480044502233E-2</v>
      </c>
      <c r="U327" t="str">
        <f t="shared" si="58"/>
        <v>按单位面积散热损失 qp</v>
      </c>
      <c r="V327" s="6">
        <f t="shared" si="59"/>
        <v>1.3734096193932364</v>
      </c>
    </row>
    <row r="328" spans="1:22" x14ac:dyDescent="0.15">
      <c r="A328">
        <v>323</v>
      </c>
      <c r="B328" s="6">
        <f>首页!$B$4+2*A328/1000</f>
        <v>0.76600000000000001</v>
      </c>
      <c r="C328" s="6">
        <f>首页!$B$7+273.15</f>
        <v>388.15</v>
      </c>
      <c r="D328" s="6">
        <f>首页!$B$6+273.15</f>
        <v>293.14999999999998</v>
      </c>
      <c r="E328" s="6">
        <f>首页!$B$5+273.15</f>
        <v>1373.15</v>
      </c>
      <c r="F328" s="6">
        <f t="shared" si="50"/>
        <v>95</v>
      </c>
      <c r="G328" s="6">
        <f t="shared" si="51"/>
        <v>340.65</v>
      </c>
      <c r="H328" s="6">
        <f t="shared" si="52"/>
        <v>1.9926207055139041E-5</v>
      </c>
      <c r="I328" s="7">
        <f t="shared" si="53"/>
        <v>1158916576932337.8</v>
      </c>
      <c r="J328" s="6">
        <f t="shared" si="54"/>
        <v>1.0226038455893147</v>
      </c>
      <c r="K328" s="7">
        <f>J328*H328*首页!$B$12/P328</f>
        <v>0.69532757496605813</v>
      </c>
      <c r="L328" s="6">
        <f>首页!$B$9*0.0000000567*((C328^4-D328^4)/(C328-D328))</f>
        <v>7.7687338005019564</v>
      </c>
      <c r="M328" s="6">
        <f>IF(首页!$B$13="自然对流",IF(首页!$B$14="立式圆筒",首页!$B$10,PI()*B328/2),PI()*B328/2)</f>
        <v>55.2</v>
      </c>
      <c r="N328" s="7">
        <f>IF(首页!$B$13="强制对流",首页!$B$11*M328/H328,0)</f>
        <v>0</v>
      </c>
      <c r="O328" s="7">
        <f>IF(首页!$B$13="自然对流",IF(首页!$B$14="立式圆筒",(0.825+0.3063*I328^(1/6))^2+0.87*(M328/B328),(0.752+0.303*I328^(1/6))^2),0.3+SQRT((0.592*N328^0.5)^2+(0.0262*N328^0.8/(1-0.5/N328^0.1))^2))</f>
        <v>10081.90201990618</v>
      </c>
      <c r="P328" s="6">
        <f t="shared" si="55"/>
        <v>2.9510194925512497E-2</v>
      </c>
      <c r="Q328" s="6">
        <f t="shared" si="56"/>
        <v>5.3898350331041582</v>
      </c>
      <c r="R328" s="6">
        <f t="shared" si="57"/>
        <v>13.158568833606115</v>
      </c>
      <c r="S328" s="6">
        <f>IF($Y$2="按单位面积散热损失 qp",B328*LN(B328/首页!$B$4),LN(B328/首页!$B$4))</f>
        <v>1.4199268670502458</v>
      </c>
      <c r="T328" s="6">
        <f>IF($Y$2="按单位面积散热损失 qp",2*PI()*首页!$B$8*((E328-D328)/$Y$3-1/R328),2*PI()*首页!$B$8*((E328-D328)/$Y$4-1/(PI()*B328*R328)))</f>
        <v>4.0812336769187468E-2</v>
      </c>
      <c r="U328" t="str">
        <f t="shared" si="58"/>
        <v>按单位面积散热损失 qp</v>
      </c>
      <c r="V328" s="6">
        <f t="shared" si="59"/>
        <v>1.3791145302810583</v>
      </c>
    </row>
    <row r="329" spans="1:22" x14ac:dyDescent="0.15">
      <c r="A329">
        <v>324</v>
      </c>
      <c r="B329" s="6">
        <f>首页!$B$4+2*A329/1000</f>
        <v>0.76800000000000002</v>
      </c>
      <c r="C329" s="6">
        <f>首页!$B$7+273.15</f>
        <v>388.15</v>
      </c>
      <c r="D329" s="6">
        <f>首页!$B$6+273.15</f>
        <v>293.14999999999998</v>
      </c>
      <c r="E329" s="6">
        <f>首页!$B$5+273.15</f>
        <v>1373.15</v>
      </c>
      <c r="F329" s="6">
        <f t="shared" si="50"/>
        <v>95</v>
      </c>
      <c r="G329" s="6">
        <f t="shared" si="51"/>
        <v>340.65</v>
      </c>
      <c r="H329" s="6">
        <f t="shared" si="52"/>
        <v>1.9926207055139041E-5</v>
      </c>
      <c r="I329" s="7">
        <f t="shared" si="53"/>
        <v>1158916576932337.8</v>
      </c>
      <c r="J329" s="6">
        <f t="shared" si="54"/>
        <v>1.0226038455893147</v>
      </c>
      <c r="K329" s="7">
        <f>J329*H329*首页!$B$12/P329</f>
        <v>0.69532757496605813</v>
      </c>
      <c r="L329" s="6">
        <f>首页!$B$9*0.0000000567*((C329^4-D329^4)/(C329-D329))</f>
        <v>7.7687338005019564</v>
      </c>
      <c r="M329" s="6">
        <f>IF(首页!$B$13="自然对流",IF(首页!$B$14="立式圆筒",首页!$B$10,PI()*B329/2),PI()*B329/2)</f>
        <v>55.2</v>
      </c>
      <c r="N329" s="7">
        <f>IF(首页!$B$13="强制对流",首页!$B$11*M329/H329,0)</f>
        <v>0</v>
      </c>
      <c r="O329" s="7">
        <f>IF(首页!$B$13="自然对流",IF(首页!$B$14="立式圆筒",(0.825+0.3063*I329^(1/6))^2+0.87*(M329/B329),(0.752+0.303*I329^(1/6))^2),0.3+SQRT((0.592*N329^0.5)^2+(0.0262*N329^0.8/(1-0.5/N329^0.1))^2))</f>
        <v>10081.7387529349</v>
      </c>
      <c r="P329" s="6">
        <f t="shared" si="55"/>
        <v>2.9510194925512497E-2</v>
      </c>
      <c r="Q329" s="6">
        <f t="shared" si="56"/>
        <v>5.389747749768155</v>
      </c>
      <c r="R329" s="6">
        <f t="shared" si="57"/>
        <v>13.15848155027011</v>
      </c>
      <c r="S329" s="6">
        <f>IF($Y$2="按单位面积散热损失 qp",B329*LN(B329/首页!$B$4),LN(B329/首页!$B$4))</f>
        <v>1.4256368566008011</v>
      </c>
      <c r="T329" s="6">
        <f>IF($Y$2="按单位面积散热损失 qp",2*PI()*首页!$B$8*((E329-D329)/$Y$3-1/R329),2*PI()*首页!$B$8*((E329-D329)/$Y$4-1/(PI()*B329*R329)))</f>
        <v>4.0812194238202475E-2</v>
      </c>
      <c r="U329" t="str">
        <f t="shared" si="58"/>
        <v>按单位面积散热损失 qp</v>
      </c>
      <c r="V329" s="6">
        <f t="shared" si="59"/>
        <v>1.3848246623625986</v>
      </c>
    </row>
    <row r="330" spans="1:22" x14ac:dyDescent="0.15">
      <c r="A330">
        <v>325</v>
      </c>
      <c r="B330" s="6">
        <f>首页!$B$4+2*A330/1000</f>
        <v>0.77</v>
      </c>
      <c r="C330" s="6">
        <f>首页!$B$7+273.15</f>
        <v>388.15</v>
      </c>
      <c r="D330" s="6">
        <f>首页!$B$6+273.15</f>
        <v>293.14999999999998</v>
      </c>
      <c r="E330" s="6">
        <f>首页!$B$5+273.15</f>
        <v>1373.15</v>
      </c>
      <c r="F330" s="6">
        <f t="shared" si="50"/>
        <v>95</v>
      </c>
      <c r="G330" s="6">
        <f t="shared" si="51"/>
        <v>340.65</v>
      </c>
      <c r="H330" s="6">
        <f t="shared" si="52"/>
        <v>1.9926207055139041E-5</v>
      </c>
      <c r="I330" s="7">
        <f t="shared" si="53"/>
        <v>1158916576932337.8</v>
      </c>
      <c r="J330" s="6">
        <f t="shared" si="54"/>
        <v>1.0226038455893147</v>
      </c>
      <c r="K330" s="7">
        <f>J330*H330*首页!$B$12/P330</f>
        <v>0.69532757496605813</v>
      </c>
      <c r="L330" s="6">
        <f>首页!$B$9*0.0000000567*((C330^4-D330^4)/(C330-D330))</f>
        <v>7.7687338005019564</v>
      </c>
      <c r="M330" s="6">
        <f>IF(首页!$B$13="自然对流",IF(首页!$B$14="立式圆筒",首页!$B$10,PI()*B330/2),PI()*B330/2)</f>
        <v>55.2</v>
      </c>
      <c r="N330" s="7">
        <f>IF(首页!$B$13="强制对流",首页!$B$11*M330/H330,0)</f>
        <v>0</v>
      </c>
      <c r="O330" s="7">
        <f>IF(首页!$B$13="自然对流",IF(首页!$B$14="立式圆筒",(0.825+0.3063*I330^(1/6))^2+0.87*(M330/B330),(0.752+0.303*I330^(1/6))^2),0.3+SQRT((0.592*N330^0.5)^2+(0.0262*N330^0.8/(1-0.5/N330^0.1))^2))</f>
        <v>10081.576334103731</v>
      </c>
      <c r="P330" s="6">
        <f t="shared" si="55"/>
        <v>2.9510194925512497E-2</v>
      </c>
      <c r="Q330" s="6">
        <f t="shared" si="56"/>
        <v>5.3896609198520791</v>
      </c>
      <c r="R330" s="6">
        <f t="shared" si="57"/>
        <v>13.158394720354035</v>
      </c>
      <c r="S330" s="6">
        <f>IF($Y$2="按单位面积散热损失 qp",B330*LN(B330/首页!$B$4),LN(B330/首页!$B$4))</f>
        <v>1.4313520544905765</v>
      </c>
      <c r="T330" s="6">
        <f>IF($Y$2="按单位面积散热损失 qp",2*PI()*首页!$B$8*((E330-D330)/$Y$3-1/R330),2*PI()*首页!$B$8*((E330-D330)/$Y$4-1/(PI()*B330*R330)))</f>
        <v>4.0812052445762012E-2</v>
      </c>
      <c r="U330" t="str">
        <f t="shared" si="58"/>
        <v>按单位面积散热损失 qp</v>
      </c>
      <c r="V330" s="6">
        <f t="shared" si="59"/>
        <v>1.3905400020448144</v>
      </c>
    </row>
    <row r="331" spans="1:22" x14ac:dyDescent="0.15">
      <c r="A331">
        <v>326</v>
      </c>
      <c r="B331" s="6">
        <f>首页!$B$4+2*A331/1000</f>
        <v>0.77200000000000002</v>
      </c>
      <c r="C331" s="6">
        <f>首页!$B$7+273.15</f>
        <v>388.15</v>
      </c>
      <c r="D331" s="6">
        <f>首页!$B$6+273.15</f>
        <v>293.14999999999998</v>
      </c>
      <c r="E331" s="6">
        <f>首页!$B$5+273.15</f>
        <v>1373.15</v>
      </c>
      <c r="F331" s="6">
        <f t="shared" si="50"/>
        <v>95</v>
      </c>
      <c r="G331" s="6">
        <f t="shared" si="51"/>
        <v>340.65</v>
      </c>
      <c r="H331" s="6">
        <f t="shared" si="52"/>
        <v>1.9926207055139041E-5</v>
      </c>
      <c r="I331" s="7">
        <f t="shared" si="53"/>
        <v>1158916576932337.8</v>
      </c>
      <c r="J331" s="6">
        <f t="shared" si="54"/>
        <v>1.0226038455893147</v>
      </c>
      <c r="K331" s="7">
        <f>J331*H331*首页!$B$12/P331</f>
        <v>0.69532757496605813</v>
      </c>
      <c r="L331" s="6">
        <f>首页!$B$9*0.0000000567*((C331^4-D331^4)/(C331-D331))</f>
        <v>7.7687338005019564</v>
      </c>
      <c r="M331" s="6">
        <f>IF(首页!$B$13="自然对流",IF(首页!$B$14="立式圆筒",首页!$B$10,PI()*B331/2),PI()*B331/2)</f>
        <v>55.2</v>
      </c>
      <c r="N331" s="7">
        <f>IF(首页!$B$13="强制对流",首页!$B$11*M331/H331,0)</f>
        <v>0</v>
      </c>
      <c r="O331" s="7">
        <f>IF(首页!$B$13="自然对流",IF(首页!$B$14="立式圆筒",(0.825+0.3063*I331^(1/6))^2+0.87*(M331/B331),(0.752+0.303*I331^(1/6))^2),0.3+SQRT((0.592*N331^0.5)^2+(0.0262*N331^0.8/(1-0.5/N331^0.1))^2))</f>
        <v>10081.41475682091</v>
      </c>
      <c r="P331" s="6">
        <f t="shared" si="55"/>
        <v>2.9510194925512497E-2</v>
      </c>
      <c r="Q331" s="6">
        <f t="shared" si="56"/>
        <v>5.3895745398319423</v>
      </c>
      <c r="R331" s="6">
        <f t="shared" si="57"/>
        <v>13.1583083403339</v>
      </c>
      <c r="S331" s="6">
        <f>IF($Y$2="按单位面积散热损失 qp",B331*LN(B331/首页!$B$4),LN(B331/首页!$B$4))</f>
        <v>1.4370724471913876</v>
      </c>
      <c r="T331" s="6">
        <f>IF($Y$2="按单位面积散热损失 qp",2*PI()*首页!$B$8*((E331-D331)/$Y$3-1/R331),2*PI()*首页!$B$8*((E331-D331)/$Y$4-1/(PI()*B331*R331)))</f>
        <v>4.0811911386140577E-2</v>
      </c>
      <c r="U331" t="str">
        <f t="shared" si="58"/>
        <v>按单位面积散热损失 qp</v>
      </c>
      <c r="V331" s="6">
        <f t="shared" si="59"/>
        <v>1.3962605358052471</v>
      </c>
    </row>
    <row r="332" spans="1:22" x14ac:dyDescent="0.15">
      <c r="A332">
        <v>327</v>
      </c>
      <c r="B332" s="6">
        <f>首页!$B$4+2*A332/1000</f>
        <v>0.77400000000000002</v>
      </c>
      <c r="C332" s="6">
        <f>首页!$B$7+273.15</f>
        <v>388.15</v>
      </c>
      <c r="D332" s="6">
        <f>首页!$B$6+273.15</f>
        <v>293.14999999999998</v>
      </c>
      <c r="E332" s="6">
        <f>首页!$B$5+273.15</f>
        <v>1373.15</v>
      </c>
      <c r="F332" s="6">
        <f t="shared" si="50"/>
        <v>95</v>
      </c>
      <c r="G332" s="6">
        <f t="shared" si="51"/>
        <v>340.65</v>
      </c>
      <c r="H332" s="6">
        <f t="shared" si="52"/>
        <v>1.9926207055139041E-5</v>
      </c>
      <c r="I332" s="7">
        <f t="shared" si="53"/>
        <v>1158916576932337.8</v>
      </c>
      <c r="J332" s="6">
        <f t="shared" si="54"/>
        <v>1.0226038455893147</v>
      </c>
      <c r="K332" s="7">
        <f>J332*H332*首页!$B$12/P332</f>
        <v>0.69532757496605813</v>
      </c>
      <c r="L332" s="6">
        <f>首页!$B$9*0.0000000567*((C332^4-D332^4)/(C332-D332))</f>
        <v>7.7687338005019564</v>
      </c>
      <c r="M332" s="6">
        <f>IF(首页!$B$13="自然对流",IF(首页!$B$14="立式圆筒",首页!$B$10,PI()*B332/2),PI()*B332/2)</f>
        <v>55.2</v>
      </c>
      <c r="N332" s="7">
        <f>IF(首页!$B$13="强制对流",首页!$B$11*M332/H332,0)</f>
        <v>0</v>
      </c>
      <c r="O332" s="7">
        <f>IF(首页!$B$13="自然对流",IF(首页!$B$14="立式圆筒",(0.825+0.3063*I332^(1/6))^2+0.87*(M332/B332),(0.752+0.303*I332^(1/6))^2),0.3+SQRT((0.592*N332^0.5)^2+(0.0262*N332^0.8/(1-0.5/N332^0.1))^2))</f>
        <v>10081.254014562806</v>
      </c>
      <c r="P332" s="6">
        <f t="shared" si="55"/>
        <v>2.9510194925512497E-2</v>
      </c>
      <c r="Q332" s="6">
        <f t="shared" si="56"/>
        <v>5.3894886062201772</v>
      </c>
      <c r="R332" s="6">
        <f t="shared" si="57"/>
        <v>13.158222406722134</v>
      </c>
      <c r="S332" s="6">
        <f>IF($Y$2="按单位面积散热损失 qp",B332*LN(B332/首页!$B$4),LN(B332/首页!$B$4))</f>
        <v>1.4427980212451452</v>
      </c>
      <c r="T332" s="6">
        <f>IF($Y$2="按单位面积散热损失 qp",2*PI()*首页!$B$8*((E332-D332)/$Y$3-1/R332),2*PI()*首页!$B$8*((E332-D332)/$Y$4-1/(PI()*B332*R332)))</f>
        <v>4.0811771053671737E-2</v>
      </c>
      <c r="U332" t="str">
        <f t="shared" si="58"/>
        <v>按单位面积散热损失 qp</v>
      </c>
      <c r="V332" s="6">
        <f t="shared" si="59"/>
        <v>1.4019862501914735</v>
      </c>
    </row>
    <row r="333" spans="1:22" x14ac:dyDescent="0.15">
      <c r="A333">
        <v>328</v>
      </c>
      <c r="B333" s="6">
        <f>首页!$B$4+2*A333/1000</f>
        <v>0.77600000000000002</v>
      </c>
      <c r="C333" s="6">
        <f>首页!$B$7+273.15</f>
        <v>388.15</v>
      </c>
      <c r="D333" s="6">
        <f>首页!$B$6+273.15</f>
        <v>293.14999999999998</v>
      </c>
      <c r="E333" s="6">
        <f>首页!$B$5+273.15</f>
        <v>1373.15</v>
      </c>
      <c r="F333" s="6">
        <f t="shared" si="50"/>
        <v>95</v>
      </c>
      <c r="G333" s="6">
        <f t="shared" si="51"/>
        <v>340.65</v>
      </c>
      <c r="H333" s="6">
        <f t="shared" si="52"/>
        <v>1.9926207055139041E-5</v>
      </c>
      <c r="I333" s="7">
        <f t="shared" si="53"/>
        <v>1158916576932337.8</v>
      </c>
      <c r="J333" s="6">
        <f t="shared" si="54"/>
        <v>1.0226038455893147</v>
      </c>
      <c r="K333" s="7">
        <f>J333*H333*首页!$B$12/P333</f>
        <v>0.69532757496605813</v>
      </c>
      <c r="L333" s="6">
        <f>首页!$B$9*0.0000000567*((C333^4-D333^4)/(C333-D333))</f>
        <v>7.7687338005019564</v>
      </c>
      <c r="M333" s="6">
        <f>IF(首页!$B$13="自然对流",IF(首页!$B$14="立式圆筒",首页!$B$10,PI()*B333/2),PI()*B333/2)</f>
        <v>55.2</v>
      </c>
      <c r="N333" s="7">
        <f>IF(首页!$B$13="强制对流",首页!$B$11*M333/H333,0)</f>
        <v>0</v>
      </c>
      <c r="O333" s="7">
        <f>IF(首页!$B$13="自然对流",IF(首页!$B$14="立式圆筒",(0.825+0.3063*I333^(1/6))^2+0.87*(M333/B333),(0.752+0.303*I333^(1/6))^2),0.3+SQRT((0.592*N333^0.5)^2+(0.0262*N333^0.8/(1-0.5/N333^0.1))^2))</f>
        <v>10081.094100873044</v>
      </c>
      <c r="P333" s="6">
        <f t="shared" si="55"/>
        <v>2.9510194925512497E-2</v>
      </c>
      <c r="Q333" s="6">
        <f t="shared" si="56"/>
        <v>5.3894031155651749</v>
      </c>
      <c r="R333" s="6">
        <f t="shared" si="57"/>
        <v>13.158136916067132</v>
      </c>
      <c r="S333" s="6">
        <f>IF($Y$2="按单位面积散热损失 qp",B333*LN(B333/首页!$B$4),LN(B333/首页!$B$4))</f>
        <v>1.4485287632633101</v>
      </c>
      <c r="T333" s="6">
        <f>IF($Y$2="按单位面积散热损失 qp",2*PI()*首页!$B$8*((E333-D333)/$Y$3-1/R333),2*PI()*首页!$B$8*((E333-D333)/$Y$4-1/(PI()*B333*R333)))</f>
        <v>4.0811631442747312E-2</v>
      </c>
      <c r="U333" t="str">
        <f t="shared" si="58"/>
        <v>按单位面积散热损失 qp</v>
      </c>
      <c r="V333" s="6">
        <f t="shared" si="59"/>
        <v>1.4077171318205628</v>
      </c>
    </row>
    <row r="334" spans="1:22" x14ac:dyDescent="0.15">
      <c r="A334">
        <v>329</v>
      </c>
      <c r="B334" s="6">
        <f>首页!$B$4+2*A334/1000</f>
        <v>0.77800000000000002</v>
      </c>
      <c r="C334" s="6">
        <f>首页!$B$7+273.15</f>
        <v>388.15</v>
      </c>
      <c r="D334" s="6">
        <f>首页!$B$6+273.15</f>
        <v>293.14999999999998</v>
      </c>
      <c r="E334" s="6">
        <f>首页!$B$5+273.15</f>
        <v>1373.15</v>
      </c>
      <c r="F334" s="6">
        <f t="shared" si="50"/>
        <v>95</v>
      </c>
      <c r="G334" s="6">
        <f t="shared" si="51"/>
        <v>340.65</v>
      </c>
      <c r="H334" s="6">
        <f t="shared" si="52"/>
        <v>1.9926207055139041E-5</v>
      </c>
      <c r="I334" s="7">
        <f t="shared" si="53"/>
        <v>1158916576932337.8</v>
      </c>
      <c r="J334" s="6">
        <f t="shared" si="54"/>
        <v>1.0226038455893147</v>
      </c>
      <c r="K334" s="7">
        <f>J334*H334*首页!$B$12/P334</f>
        <v>0.69532757496605813</v>
      </c>
      <c r="L334" s="6">
        <f>首页!$B$9*0.0000000567*((C334^4-D334^4)/(C334-D334))</f>
        <v>7.7687338005019564</v>
      </c>
      <c r="M334" s="6">
        <f>IF(首页!$B$13="自然对流",IF(首页!$B$14="立式圆筒",首页!$B$10,PI()*B334/2),PI()*B334/2)</f>
        <v>55.2</v>
      </c>
      <c r="N334" s="7">
        <f>IF(首页!$B$13="强制对流",首页!$B$11*M334/H334,0)</f>
        <v>0</v>
      </c>
      <c r="O334" s="7">
        <f>IF(首页!$B$13="自然对流",IF(首页!$B$14="立式圆筒",(0.825+0.3063*I334^(1/6))^2+0.87*(M334/B334),(0.752+0.303*I334^(1/6))^2),0.3+SQRT((0.592*N334^0.5)^2+(0.0262*N334^0.8/(1-0.5/N334^0.1))^2))</f>
        <v>10080.935009361636</v>
      </c>
      <c r="P334" s="6">
        <f t="shared" si="55"/>
        <v>2.9510194925512497E-2</v>
      </c>
      <c r="Q334" s="6">
        <f t="shared" si="56"/>
        <v>5.3893180644508156</v>
      </c>
      <c r="R334" s="6">
        <f t="shared" si="57"/>
        <v>13.158051864952771</v>
      </c>
      <c r="S334" s="6">
        <f>IF($Y$2="按单位面积散热损失 qp",B334*LN(B334/首页!$B$4),LN(B334/首页!$B$4))</f>
        <v>1.4542646599263569</v>
      </c>
      <c r="T334" s="6">
        <f>IF($Y$2="按单位面积散热损失 qp",2*PI()*首页!$B$8*((E334-D334)/$Y$3-1/R334),2*PI()*首页!$B$8*((E334-D334)/$Y$4-1/(PI()*B334*R334)))</f>
        <v>4.0811492547816637E-2</v>
      </c>
      <c r="U334" t="str">
        <f t="shared" si="58"/>
        <v>按单位面积散热损失 qp</v>
      </c>
      <c r="V334" s="6">
        <f t="shared" si="59"/>
        <v>1.4134531673785402</v>
      </c>
    </row>
    <row r="335" spans="1:22" x14ac:dyDescent="0.15">
      <c r="A335">
        <v>330</v>
      </c>
      <c r="B335" s="6">
        <f>首页!$B$4+2*A335/1000</f>
        <v>0.78</v>
      </c>
      <c r="C335" s="6">
        <f>首页!$B$7+273.15</f>
        <v>388.15</v>
      </c>
      <c r="D335" s="6">
        <f>首页!$B$6+273.15</f>
        <v>293.14999999999998</v>
      </c>
      <c r="E335" s="6">
        <f>首页!$B$5+273.15</f>
        <v>1373.15</v>
      </c>
      <c r="F335" s="6">
        <f t="shared" si="50"/>
        <v>95</v>
      </c>
      <c r="G335" s="6">
        <f t="shared" si="51"/>
        <v>340.65</v>
      </c>
      <c r="H335" s="6">
        <f t="shared" si="52"/>
        <v>1.9926207055139041E-5</v>
      </c>
      <c r="I335" s="7">
        <f t="shared" si="53"/>
        <v>1158916576932337.8</v>
      </c>
      <c r="J335" s="6">
        <f t="shared" si="54"/>
        <v>1.0226038455893147</v>
      </c>
      <c r="K335" s="7">
        <f>J335*H335*首页!$B$12/P335</f>
        <v>0.69532757496605813</v>
      </c>
      <c r="L335" s="6">
        <f>首页!$B$9*0.0000000567*((C335^4-D335^4)/(C335-D335))</f>
        <v>7.7687338005019564</v>
      </c>
      <c r="M335" s="6">
        <f>IF(首页!$B$13="自然对流",IF(首页!$B$14="立式圆筒",首页!$B$10,PI()*B335/2),PI()*B335/2)</f>
        <v>55.2</v>
      </c>
      <c r="N335" s="7">
        <f>IF(首页!$B$13="强制对流",首页!$B$11*M335/H335,0)</f>
        <v>0</v>
      </c>
      <c r="O335" s="7">
        <f>IF(首页!$B$13="自然对流",IF(首页!$B$14="立式圆筒",(0.825+0.3063*I335^(1/6))^2+0.87*(M335/B335),(0.752+0.303*I335^(1/6))^2),0.3+SQRT((0.592*N335^0.5)^2+(0.0262*N335^0.8/(1-0.5/N335^0.1))^2))</f>
        <v>10080.776733704131</v>
      </c>
      <c r="P335" s="6">
        <f t="shared" si="55"/>
        <v>2.9510194925512497E-2</v>
      </c>
      <c r="Q335" s="6">
        <f t="shared" si="56"/>
        <v>5.3892334494960155</v>
      </c>
      <c r="R335" s="6">
        <f t="shared" si="57"/>
        <v>13.157967249997972</v>
      </c>
      <c r="S335" s="6">
        <f>IF($Y$2="按单位面积散热损失 qp",B335*LN(B335/首页!$B$4),LN(B335/首页!$B$4))</f>
        <v>1.4600056979832414</v>
      </c>
      <c r="T335" s="6">
        <f>IF($Y$2="按单位面积散热损失 qp",2*PI()*首页!$B$8*((E335-D335)/$Y$3-1/R335),2*PI()*首页!$B$8*((E335-D335)/$Y$4-1/(PI()*B335*R335)))</f>
        <v>4.0811354363385857E-2</v>
      </c>
      <c r="U335" t="str">
        <f t="shared" si="58"/>
        <v>按单位面积散热损失 qp</v>
      </c>
      <c r="V335" s="6">
        <f t="shared" si="59"/>
        <v>1.4191943436198555</v>
      </c>
    </row>
    <row r="336" spans="1:22" x14ac:dyDescent="0.15">
      <c r="A336">
        <v>331</v>
      </c>
      <c r="B336" s="6">
        <f>首页!$B$4+2*A336/1000</f>
        <v>0.78200000000000003</v>
      </c>
      <c r="C336" s="6">
        <f>首页!$B$7+273.15</f>
        <v>388.15</v>
      </c>
      <c r="D336" s="6">
        <f>首页!$B$6+273.15</f>
        <v>293.14999999999998</v>
      </c>
      <c r="E336" s="6">
        <f>首页!$B$5+273.15</f>
        <v>1373.15</v>
      </c>
      <c r="F336" s="6">
        <f t="shared" si="50"/>
        <v>95</v>
      </c>
      <c r="G336" s="6">
        <f t="shared" si="51"/>
        <v>340.65</v>
      </c>
      <c r="H336" s="6">
        <f t="shared" si="52"/>
        <v>1.9926207055139041E-5</v>
      </c>
      <c r="I336" s="7">
        <f t="shared" si="53"/>
        <v>1158916576932337.8</v>
      </c>
      <c r="J336" s="6">
        <f t="shared" si="54"/>
        <v>1.0226038455893147</v>
      </c>
      <c r="K336" s="7">
        <f>J336*H336*首页!$B$12/P336</f>
        <v>0.69532757496605813</v>
      </c>
      <c r="L336" s="6">
        <f>首页!$B$9*0.0000000567*((C336^4-D336^4)/(C336-D336))</f>
        <v>7.7687338005019564</v>
      </c>
      <c r="M336" s="6">
        <f>IF(首页!$B$13="自然对流",IF(首页!$B$14="立式圆筒",首页!$B$10,PI()*B336/2),PI()*B336/2)</f>
        <v>55.2</v>
      </c>
      <c r="N336" s="7">
        <f>IF(首页!$B$13="强制对流",首页!$B$11*M336/H336,0)</f>
        <v>0</v>
      </c>
      <c r="O336" s="7">
        <f>IF(首页!$B$13="自然对流",IF(首页!$B$14="立式圆筒",(0.825+0.3063*I336^(1/6))^2+0.87*(M336/B336),(0.752+0.303*I336^(1/6))^2),0.3+SQRT((0.592*N336^0.5)^2+(0.0262*N336^0.8/(1-0.5/N336^0.1))^2))</f>
        <v>10080.619267640783</v>
      </c>
      <c r="P336" s="6">
        <f t="shared" si="55"/>
        <v>2.9510194925512497E-2</v>
      </c>
      <c r="Q336" s="6">
        <f t="shared" si="56"/>
        <v>5.3891492673542851</v>
      </c>
      <c r="R336" s="6">
        <f t="shared" si="57"/>
        <v>13.157883067856242</v>
      </c>
      <c r="S336" s="6">
        <f>IF($Y$2="按单位面积散热损失 qp",B336*LN(B336/首页!$B$4),LN(B336/首页!$B$4))</f>
        <v>1.4657518642508733</v>
      </c>
      <c r="T336" s="6">
        <f>IF($Y$2="按单位面积散热损失 qp",2*PI()*首页!$B$8*((E336-D336)/$Y$3-1/R336),2*PI()*首页!$B$8*((E336-D336)/$Y$4-1/(PI()*B336*R336)))</f>
        <v>4.0811216884017169E-2</v>
      </c>
      <c r="U336" t="str">
        <f t="shared" si="58"/>
        <v>按单位面积散热损失 qp</v>
      </c>
      <c r="V336" s="6">
        <f t="shared" si="59"/>
        <v>1.4249406473668562</v>
      </c>
    </row>
    <row r="337" spans="1:22" x14ac:dyDescent="0.15">
      <c r="A337">
        <v>332</v>
      </c>
      <c r="B337" s="6">
        <f>首页!$B$4+2*A337/1000</f>
        <v>0.78400000000000003</v>
      </c>
      <c r="C337" s="6">
        <f>首页!$B$7+273.15</f>
        <v>388.15</v>
      </c>
      <c r="D337" s="6">
        <f>首页!$B$6+273.15</f>
        <v>293.14999999999998</v>
      </c>
      <c r="E337" s="6">
        <f>首页!$B$5+273.15</f>
        <v>1373.15</v>
      </c>
      <c r="F337" s="6">
        <f t="shared" si="50"/>
        <v>95</v>
      </c>
      <c r="G337" s="6">
        <f t="shared" si="51"/>
        <v>340.65</v>
      </c>
      <c r="H337" s="6">
        <f t="shared" si="52"/>
        <v>1.9926207055139041E-5</v>
      </c>
      <c r="I337" s="7">
        <f t="shared" si="53"/>
        <v>1158916576932337.8</v>
      </c>
      <c r="J337" s="6">
        <f t="shared" si="54"/>
        <v>1.0226038455893147</v>
      </c>
      <c r="K337" s="7">
        <f>J337*H337*首页!$B$12/P337</f>
        <v>0.69532757496605813</v>
      </c>
      <c r="L337" s="6">
        <f>首页!$B$9*0.0000000567*((C337^4-D337^4)/(C337-D337))</f>
        <v>7.7687338005019564</v>
      </c>
      <c r="M337" s="6">
        <f>IF(首页!$B$13="自然对流",IF(首页!$B$14="立式圆筒",首页!$B$10,PI()*B337/2),PI()*B337/2)</f>
        <v>55.2</v>
      </c>
      <c r="N337" s="7">
        <f>IF(首页!$B$13="强制对流",首页!$B$11*M337/H337,0)</f>
        <v>0</v>
      </c>
      <c r="O337" s="7">
        <f>IF(首页!$B$13="自然对流",IF(首页!$B$14="立式圆筒",(0.825+0.3063*I337^(1/6))^2+0.87*(M337/B337),(0.752+0.303*I337^(1/6))^2),0.3+SQRT((0.592*N337^0.5)^2+(0.0262*N337^0.8/(1-0.5/N337^0.1))^2))</f>
        <v>10080.462604975715</v>
      </c>
      <c r="P337" s="6">
        <f t="shared" si="55"/>
        <v>2.9510194925512497E-2</v>
      </c>
      <c r="Q337" s="6">
        <f t="shared" si="56"/>
        <v>5.389065514713276</v>
      </c>
      <c r="R337" s="6">
        <f t="shared" si="57"/>
        <v>13.157799315215232</v>
      </c>
      <c r="S337" s="6">
        <f>IF($Y$2="按单位面积散热损失 qp",B337*LN(B337/首页!$B$4),LN(B337/首页!$B$4))</f>
        <v>1.4715031456135959</v>
      </c>
      <c r="T337" s="6">
        <f>IF($Y$2="按单位面积散热损失 qp",2*PI()*首页!$B$8*((E337-D337)/$Y$3-1/R337),2*PI()*首页!$B$8*((E337-D337)/$Y$4-1/(PI()*B337*R337)))</f>
        <v>4.0811080104328122E-2</v>
      </c>
      <c r="U337" t="str">
        <f t="shared" si="58"/>
        <v>按单位面积散热损失 qp</v>
      </c>
      <c r="V337" s="6">
        <f t="shared" si="59"/>
        <v>1.4306920655092676</v>
      </c>
    </row>
    <row r="338" spans="1:22" x14ac:dyDescent="0.15">
      <c r="A338">
        <v>333</v>
      </c>
      <c r="B338" s="6">
        <f>首页!$B$4+2*A338/1000</f>
        <v>0.78600000000000003</v>
      </c>
      <c r="C338" s="6">
        <f>首页!$B$7+273.15</f>
        <v>388.15</v>
      </c>
      <c r="D338" s="6">
        <f>首页!$B$6+273.15</f>
        <v>293.14999999999998</v>
      </c>
      <c r="E338" s="6">
        <f>首页!$B$5+273.15</f>
        <v>1373.15</v>
      </c>
      <c r="F338" s="6">
        <f t="shared" si="50"/>
        <v>95</v>
      </c>
      <c r="G338" s="6">
        <f t="shared" si="51"/>
        <v>340.65</v>
      </c>
      <c r="H338" s="6">
        <f t="shared" si="52"/>
        <v>1.9926207055139041E-5</v>
      </c>
      <c r="I338" s="7">
        <f t="shared" si="53"/>
        <v>1158916576932337.8</v>
      </c>
      <c r="J338" s="6">
        <f t="shared" si="54"/>
        <v>1.0226038455893147</v>
      </c>
      <c r="K338" s="7">
        <f>J338*H338*首页!$B$12/P338</f>
        <v>0.69532757496605813</v>
      </c>
      <c r="L338" s="6">
        <f>首页!$B$9*0.0000000567*((C338^4-D338^4)/(C338-D338))</f>
        <v>7.7687338005019564</v>
      </c>
      <c r="M338" s="6">
        <f>IF(首页!$B$13="自然对流",IF(首页!$B$14="立式圆筒",首页!$B$10,PI()*B338/2),PI()*B338/2)</f>
        <v>55.2</v>
      </c>
      <c r="N338" s="7">
        <f>IF(首页!$B$13="强制对流",首页!$B$11*M338/H338,0)</f>
        <v>0</v>
      </c>
      <c r="O338" s="7">
        <f>IF(首页!$B$13="自然对流",IF(首页!$B$14="立式圆筒",(0.825+0.3063*I338^(1/6))^2+0.87*(M338/B338),(0.752+0.303*I338^(1/6))^2),0.3+SQRT((0.592*N338^0.5)^2+(0.0262*N338^0.8/(1-0.5/N338^0.1))^2))</f>
        <v>10080.306739576121</v>
      </c>
      <c r="P338" s="6">
        <f t="shared" si="55"/>
        <v>2.9510194925512497E-2</v>
      </c>
      <c r="Q338" s="6">
        <f t="shared" si="56"/>
        <v>5.38898218829436</v>
      </c>
      <c r="R338" s="6">
        <f t="shared" si="57"/>
        <v>13.157715988796316</v>
      </c>
      <c r="S338" s="6">
        <f>IF($Y$2="按单位面积散热损失 qp",B338*LN(B338/首页!$B$4),LN(B338/首页!$B$4))</f>
        <v>1.4772595290226684</v>
      </c>
      <c r="T338" s="6">
        <f>IF($Y$2="按单位面积散热损失 qp",2*PI()*首页!$B$8*((E338-D338)/$Y$3-1/R338),2*PI()*首页!$B$8*((E338-D338)/$Y$4-1/(PI()*B338*R338)))</f>
        <v>4.0810944018990887E-2</v>
      </c>
      <c r="U338" t="str">
        <f t="shared" si="58"/>
        <v>按单位面积散热损失 qp</v>
      </c>
      <c r="V338" s="6">
        <f t="shared" si="59"/>
        <v>1.4364485850036774</v>
      </c>
    </row>
    <row r="339" spans="1:22" x14ac:dyDescent="0.15">
      <c r="A339">
        <v>334</v>
      </c>
      <c r="B339" s="6">
        <f>首页!$B$4+2*A339/1000</f>
        <v>0.78800000000000003</v>
      </c>
      <c r="C339" s="6">
        <f>首页!$B$7+273.15</f>
        <v>388.15</v>
      </c>
      <c r="D339" s="6">
        <f>首页!$B$6+273.15</f>
        <v>293.14999999999998</v>
      </c>
      <c r="E339" s="6">
        <f>首页!$B$5+273.15</f>
        <v>1373.15</v>
      </c>
      <c r="F339" s="6">
        <f t="shared" si="50"/>
        <v>95</v>
      </c>
      <c r="G339" s="6">
        <f t="shared" si="51"/>
        <v>340.65</v>
      </c>
      <c r="H339" s="6">
        <f t="shared" si="52"/>
        <v>1.9926207055139041E-5</v>
      </c>
      <c r="I339" s="7">
        <f t="shared" si="53"/>
        <v>1158916576932337.8</v>
      </c>
      <c r="J339" s="6">
        <f t="shared" si="54"/>
        <v>1.0226038455893147</v>
      </c>
      <c r="K339" s="7">
        <f>J339*H339*首页!$B$12/P339</f>
        <v>0.69532757496605813</v>
      </c>
      <c r="L339" s="6">
        <f>首页!$B$9*0.0000000567*((C339^4-D339^4)/(C339-D339))</f>
        <v>7.7687338005019564</v>
      </c>
      <c r="M339" s="6">
        <f>IF(首页!$B$13="自然对流",IF(首页!$B$14="立式圆筒",首页!$B$10,PI()*B339/2),PI()*B339/2)</f>
        <v>55.2</v>
      </c>
      <c r="N339" s="7">
        <f>IF(首页!$B$13="强制对流",首页!$B$11*M339/H339,0)</f>
        <v>0</v>
      </c>
      <c r="O339" s="7">
        <f>IF(首页!$B$13="自然对流",IF(首页!$B$14="立式圆筒",(0.825+0.3063*I339^(1/6))^2+0.87*(M339/B339),(0.752+0.303*I339^(1/6))^2),0.3+SQRT((0.592*N339^0.5)^2+(0.0262*N339^0.8/(1-0.5/N339^0.1))^2))</f>
        <v>10080.151665371448</v>
      </c>
      <c r="P339" s="6">
        <f t="shared" si="55"/>
        <v>2.9510194925512497E-2</v>
      </c>
      <c r="Q339" s="6">
        <f t="shared" si="56"/>
        <v>5.3888992848521893</v>
      </c>
      <c r="R339" s="6">
        <f t="shared" si="57"/>
        <v>13.157633085354146</v>
      </c>
      <c r="S339" s="6">
        <f>IF($Y$2="按单位面积散热损失 qp",B339*LN(B339/首页!$B$4),LN(B339/首页!$B$4))</f>
        <v>1.4830210014957568</v>
      </c>
      <c r="T339" s="6">
        <f>IF($Y$2="按单位面积散热损失 qp",2*PI()*首页!$B$8*((E339-D339)/$Y$3-1/R339),2*PI()*首页!$B$8*((E339-D339)/$Y$4-1/(PI()*B339*R339)))</f>
        <v>4.0810808622731648E-2</v>
      </c>
      <c r="U339" t="str">
        <f t="shared" si="58"/>
        <v>按单位面积散热损失 qp</v>
      </c>
      <c r="V339" s="6">
        <f t="shared" si="59"/>
        <v>1.4422101928730251</v>
      </c>
    </row>
    <row r="340" spans="1:22" x14ac:dyDescent="0.15">
      <c r="A340">
        <v>335</v>
      </c>
      <c r="B340" s="6">
        <f>首页!$B$4+2*A340/1000</f>
        <v>0.79</v>
      </c>
      <c r="C340" s="6">
        <f>首页!$B$7+273.15</f>
        <v>388.15</v>
      </c>
      <c r="D340" s="6">
        <f>首页!$B$6+273.15</f>
        <v>293.14999999999998</v>
      </c>
      <c r="E340" s="6">
        <f>首页!$B$5+273.15</f>
        <v>1373.15</v>
      </c>
      <c r="F340" s="6">
        <f t="shared" si="50"/>
        <v>95</v>
      </c>
      <c r="G340" s="6">
        <f t="shared" si="51"/>
        <v>340.65</v>
      </c>
      <c r="H340" s="6">
        <f t="shared" si="52"/>
        <v>1.9926207055139041E-5</v>
      </c>
      <c r="I340" s="7">
        <f t="shared" si="53"/>
        <v>1158916576932337.8</v>
      </c>
      <c r="J340" s="6">
        <f t="shared" si="54"/>
        <v>1.0226038455893147</v>
      </c>
      <c r="K340" s="7">
        <f>J340*H340*首页!$B$12/P340</f>
        <v>0.69532757496605813</v>
      </c>
      <c r="L340" s="6">
        <f>首页!$B$9*0.0000000567*((C340^4-D340^4)/(C340-D340))</f>
        <v>7.7687338005019564</v>
      </c>
      <c r="M340" s="6">
        <f>IF(首页!$B$13="自然对流",IF(首页!$B$14="立式圆筒",首页!$B$10,PI()*B340/2),PI()*B340/2)</f>
        <v>55.2</v>
      </c>
      <c r="N340" s="7">
        <f>IF(首页!$B$13="强制对流",首页!$B$11*M340/H340,0)</f>
        <v>0</v>
      </c>
      <c r="O340" s="7">
        <f>IF(首页!$B$13="自然对流",IF(首页!$B$14="立式圆筒",(0.825+0.3063*I340^(1/6))^2+0.87*(M340/B340),(0.752+0.303*I340^(1/6))^2),0.3+SQRT((0.592*N340^0.5)^2+(0.0262*N340^0.8/(1-0.5/N340^0.1))^2))</f>
        <v>10079.997376352621</v>
      </c>
      <c r="P340" s="6">
        <f t="shared" si="55"/>
        <v>2.9510194925512497E-2</v>
      </c>
      <c r="Q340" s="6">
        <f t="shared" si="56"/>
        <v>5.3888168011742819</v>
      </c>
      <c r="R340" s="6">
        <f t="shared" si="57"/>
        <v>13.157550601676238</v>
      </c>
      <c r="S340" s="6">
        <f>IF($Y$2="按单位面积散热损失 qp",B340*LN(B340/首页!$B$4),LN(B340/首页!$B$4))</f>
        <v>1.4887875501164269</v>
      </c>
      <c r="T340" s="6">
        <f>IF($Y$2="按单位面积散热损失 qp",2*PI()*首页!$B$8*((E340-D340)/$Y$3-1/R340),2*PI()*首页!$B$8*((E340-D340)/$Y$4-1/(PI()*B340*R340)))</f>
        <v>4.0810673910329796E-2</v>
      </c>
      <c r="U340" t="str">
        <f t="shared" si="58"/>
        <v>按单位面积散热损失 qp</v>
      </c>
      <c r="V340" s="6">
        <f t="shared" si="59"/>
        <v>1.4479768762060972</v>
      </c>
    </row>
    <row r="341" spans="1:22" x14ac:dyDescent="0.15">
      <c r="A341">
        <v>336</v>
      </c>
      <c r="B341" s="6">
        <f>首页!$B$4+2*A341/1000</f>
        <v>0.79200000000000004</v>
      </c>
      <c r="C341" s="6">
        <f>首页!$B$7+273.15</f>
        <v>388.15</v>
      </c>
      <c r="D341" s="6">
        <f>首页!$B$6+273.15</f>
        <v>293.14999999999998</v>
      </c>
      <c r="E341" s="6">
        <f>首页!$B$5+273.15</f>
        <v>1373.15</v>
      </c>
      <c r="F341" s="6">
        <f t="shared" si="50"/>
        <v>95</v>
      </c>
      <c r="G341" s="6">
        <f t="shared" si="51"/>
        <v>340.65</v>
      </c>
      <c r="H341" s="6">
        <f t="shared" si="52"/>
        <v>1.9926207055139041E-5</v>
      </c>
      <c r="I341" s="7">
        <f t="shared" si="53"/>
        <v>1158916576932337.8</v>
      </c>
      <c r="J341" s="6">
        <f t="shared" si="54"/>
        <v>1.0226038455893147</v>
      </c>
      <c r="K341" s="7">
        <f>J341*H341*首页!$B$12/P341</f>
        <v>0.69532757496605813</v>
      </c>
      <c r="L341" s="6">
        <f>首页!$B$9*0.0000000567*((C341^4-D341^4)/(C341-D341))</f>
        <v>7.7687338005019564</v>
      </c>
      <c r="M341" s="6">
        <f>IF(首页!$B$13="自然对流",IF(首页!$B$14="立式圆筒",首页!$B$10,PI()*B341/2),PI()*B341/2)</f>
        <v>55.2</v>
      </c>
      <c r="N341" s="7">
        <f>IF(首页!$B$13="强制对流",首页!$B$11*M341/H341,0)</f>
        <v>0</v>
      </c>
      <c r="O341" s="7">
        <f>IF(首页!$B$13="自然对流",IF(首页!$B$14="立式圆筒",(0.825+0.3063*I341^(1/6))^2+0.87*(M341/B341),(0.752+0.303*I341^(1/6))^2),0.3+SQRT((0.592*N341^0.5)^2+(0.0262*N341^0.8/(1-0.5/N341^0.1))^2))</f>
        <v>10079.843866571264</v>
      </c>
      <c r="P341" s="6">
        <f t="shared" si="55"/>
        <v>2.9510194925512497E-2</v>
      </c>
      <c r="Q341" s="6">
        <f t="shared" si="56"/>
        <v>5.3887347340806082</v>
      </c>
      <c r="R341" s="6">
        <f t="shared" si="57"/>
        <v>13.157468534582565</v>
      </c>
      <c r="S341" s="6">
        <f>IF($Y$2="按单位面积散热损失 qp",B341*LN(B341/首页!$B$4),LN(B341/首页!$B$4))</f>
        <v>1.4945591620336449</v>
      </c>
      <c r="T341" s="6">
        <f>IF($Y$2="按单位面积散热损失 qp",2*PI()*首页!$B$8*((E341-D341)/$Y$3-1/R341),2*PI()*首页!$B$8*((E341-D341)/$Y$4-1/(PI()*B341*R341)))</f>
        <v>4.0810539876617369E-2</v>
      </c>
      <c r="U341" t="str">
        <f t="shared" si="58"/>
        <v>按单位面积散热损失 qp</v>
      </c>
      <c r="V341" s="6">
        <f t="shared" si="59"/>
        <v>1.4537486221570275</v>
      </c>
    </row>
    <row r="342" spans="1:22" x14ac:dyDescent="0.15">
      <c r="A342">
        <v>337</v>
      </c>
      <c r="B342" s="6">
        <f>首页!$B$4+2*A342/1000</f>
        <v>0.79400000000000004</v>
      </c>
      <c r="C342" s="6">
        <f>首页!$B$7+273.15</f>
        <v>388.15</v>
      </c>
      <c r="D342" s="6">
        <f>首页!$B$6+273.15</f>
        <v>293.14999999999998</v>
      </c>
      <c r="E342" s="6">
        <f>首页!$B$5+273.15</f>
        <v>1373.15</v>
      </c>
      <c r="F342" s="6">
        <f t="shared" si="50"/>
        <v>95</v>
      </c>
      <c r="G342" s="6">
        <f t="shared" si="51"/>
        <v>340.65</v>
      </c>
      <c r="H342" s="6">
        <f t="shared" si="52"/>
        <v>1.9926207055139041E-5</v>
      </c>
      <c r="I342" s="7">
        <f t="shared" si="53"/>
        <v>1158916576932337.8</v>
      </c>
      <c r="J342" s="6">
        <f t="shared" si="54"/>
        <v>1.0226038455893147</v>
      </c>
      <c r="K342" s="7">
        <f>J342*H342*首页!$B$12/P342</f>
        <v>0.69532757496605813</v>
      </c>
      <c r="L342" s="6">
        <f>首页!$B$9*0.0000000567*((C342^4-D342^4)/(C342-D342))</f>
        <v>7.7687338005019564</v>
      </c>
      <c r="M342" s="6">
        <f>IF(首页!$B$13="自然对流",IF(首页!$B$14="立式圆筒",首页!$B$10,PI()*B342/2),PI()*B342/2)</f>
        <v>55.2</v>
      </c>
      <c r="N342" s="7">
        <f>IF(首页!$B$13="强制对流",首页!$B$11*M342/H342,0)</f>
        <v>0</v>
      </c>
      <c r="O342" s="7">
        <f>IF(首页!$B$13="自然对流",IF(首页!$B$14="立式圆筒",(0.825+0.3063*I342^(1/6))^2+0.87*(M342/B342),(0.752+0.303*I342^(1/6))^2),0.3+SQRT((0.592*N342^0.5)^2+(0.0262*N342^0.8/(1-0.5/N342^0.1))^2))</f>
        <v>10079.69113013893</v>
      </c>
      <c r="P342" s="6">
        <f t="shared" si="55"/>
        <v>2.9510194925512497E-2</v>
      </c>
      <c r="Q342" s="6">
        <f t="shared" si="56"/>
        <v>5.3886530804231727</v>
      </c>
      <c r="R342" s="6">
        <f t="shared" si="57"/>
        <v>13.157386880925129</v>
      </c>
      <c r="S342" s="6">
        <f>IF($Y$2="按单位面积散热损失 qp",B342*LN(B342/首页!$B$4),LN(B342/首页!$B$4))</f>
        <v>1.5003358244612814</v>
      </c>
      <c r="T342" s="6">
        <f>IF($Y$2="按单位面积散热损失 qp",2*PI()*首页!$B$8*((E342-D342)/$Y$3-1/R342),2*PI()*首页!$B$8*((E342-D342)/$Y$4-1/(PI()*B342*R342)))</f>
        <v>4.0810406516478347E-2</v>
      </c>
      <c r="U342" t="str">
        <f t="shared" si="58"/>
        <v>按单位面积散热损失 qp</v>
      </c>
      <c r="V342" s="6">
        <f t="shared" si="59"/>
        <v>1.4595254179448032</v>
      </c>
    </row>
    <row r="343" spans="1:22" x14ac:dyDescent="0.15">
      <c r="A343">
        <v>338</v>
      </c>
      <c r="B343" s="6">
        <f>首页!$B$4+2*A343/1000</f>
        <v>0.79600000000000004</v>
      </c>
      <c r="C343" s="6">
        <f>首页!$B$7+273.15</f>
        <v>388.15</v>
      </c>
      <c r="D343" s="6">
        <f>首页!$B$6+273.15</f>
        <v>293.14999999999998</v>
      </c>
      <c r="E343" s="6">
        <f>首页!$B$5+273.15</f>
        <v>1373.15</v>
      </c>
      <c r="F343" s="6">
        <f t="shared" si="50"/>
        <v>95</v>
      </c>
      <c r="G343" s="6">
        <f t="shared" si="51"/>
        <v>340.65</v>
      </c>
      <c r="H343" s="6">
        <f t="shared" si="52"/>
        <v>1.9926207055139041E-5</v>
      </c>
      <c r="I343" s="7">
        <f t="shared" si="53"/>
        <v>1158916576932337.8</v>
      </c>
      <c r="J343" s="6">
        <f t="shared" si="54"/>
        <v>1.0226038455893147</v>
      </c>
      <c r="K343" s="7">
        <f>J343*H343*首页!$B$12/P343</f>
        <v>0.69532757496605813</v>
      </c>
      <c r="L343" s="6">
        <f>首页!$B$9*0.0000000567*((C343^4-D343^4)/(C343-D343))</f>
        <v>7.7687338005019564</v>
      </c>
      <c r="M343" s="6">
        <f>IF(首页!$B$13="自然对流",IF(首页!$B$14="立式圆筒",首页!$B$10,PI()*B343/2),PI()*B343/2)</f>
        <v>55.2</v>
      </c>
      <c r="N343" s="7">
        <f>IF(首页!$B$13="强制对流",首页!$B$11*M343/H343,0)</f>
        <v>0</v>
      </c>
      <c r="O343" s="7">
        <f>IF(首页!$B$13="自然对流",IF(首页!$B$14="立式圆筒",(0.825+0.3063*I343^(1/6))^2+0.87*(M343/B343),(0.752+0.303*I343^(1/6))^2),0.3+SQRT((0.592*N343^0.5)^2+(0.0262*N343^0.8/(1-0.5/N343^0.1))^2))</f>
        <v>10079.539161226357</v>
      </c>
      <c r="P343" s="6">
        <f t="shared" si="55"/>
        <v>2.9510194925512497E-2</v>
      </c>
      <c r="Q343" s="6">
        <f t="shared" si="56"/>
        <v>5.3885718370856255</v>
      </c>
      <c r="R343" s="6">
        <f t="shared" si="57"/>
        <v>13.157305637587582</v>
      </c>
      <c r="S343" s="6">
        <f>IF($Y$2="按单位面积散热损失 qp",B343*LN(B343/首页!$B$4),LN(B343/首页!$B$4))</f>
        <v>1.5061175246776204</v>
      </c>
      <c r="T343" s="6">
        <f>IF($Y$2="按单位面积散热损失 qp",2*PI()*首页!$B$8*((E343-D343)/$Y$3-1/R343),2*PI()*首页!$B$8*((E343-D343)/$Y$4-1/(PI()*B343*R343)))</f>
        <v>4.0810273824847969E-2</v>
      </c>
      <c r="U343" t="str">
        <f t="shared" si="58"/>
        <v>按单位面积散热损失 qp</v>
      </c>
      <c r="V343" s="6">
        <f t="shared" si="59"/>
        <v>1.4653072508527725</v>
      </c>
    </row>
    <row r="344" spans="1:22" x14ac:dyDescent="0.15">
      <c r="A344">
        <v>339</v>
      </c>
      <c r="B344" s="6">
        <f>首页!$B$4+2*A344/1000</f>
        <v>0.79800000000000004</v>
      </c>
      <c r="C344" s="6">
        <f>首页!$B$7+273.15</f>
        <v>388.15</v>
      </c>
      <c r="D344" s="6">
        <f>首页!$B$6+273.15</f>
        <v>293.14999999999998</v>
      </c>
      <c r="E344" s="6">
        <f>首页!$B$5+273.15</f>
        <v>1373.15</v>
      </c>
      <c r="F344" s="6">
        <f t="shared" si="50"/>
        <v>95</v>
      </c>
      <c r="G344" s="6">
        <f t="shared" si="51"/>
        <v>340.65</v>
      </c>
      <c r="H344" s="6">
        <f t="shared" si="52"/>
        <v>1.9926207055139041E-5</v>
      </c>
      <c r="I344" s="7">
        <f t="shared" si="53"/>
        <v>1158916576932337.8</v>
      </c>
      <c r="J344" s="6">
        <f t="shared" si="54"/>
        <v>1.0226038455893147</v>
      </c>
      <c r="K344" s="7">
        <f>J344*H344*首页!$B$12/P344</f>
        <v>0.69532757496605813</v>
      </c>
      <c r="L344" s="6">
        <f>首页!$B$9*0.0000000567*((C344^4-D344^4)/(C344-D344))</f>
        <v>7.7687338005019564</v>
      </c>
      <c r="M344" s="6">
        <f>IF(首页!$B$13="自然对流",IF(首页!$B$14="立式圆筒",首页!$B$10,PI()*B344/2),PI()*B344/2)</f>
        <v>55.2</v>
      </c>
      <c r="N344" s="7">
        <f>IF(首页!$B$13="强制对流",首页!$B$11*M344/H344,0)</f>
        <v>0</v>
      </c>
      <c r="O344" s="7">
        <f>IF(首页!$B$13="自然对流",IF(首页!$B$14="立式圆筒",(0.825+0.3063*I344^(1/6))^2+0.87*(M344/B344),(0.752+0.303*I344^(1/6))^2),0.3+SQRT((0.592*N344^0.5)^2+(0.0262*N344^0.8/(1-0.5/N344^0.1))^2))</f>
        <v>10079.387954062719</v>
      </c>
      <c r="P344" s="6">
        <f t="shared" si="55"/>
        <v>2.9510194925512497E-2</v>
      </c>
      <c r="Q344" s="6">
        <f t="shared" si="56"/>
        <v>5.3884910009828513</v>
      </c>
      <c r="R344" s="6">
        <f t="shared" si="57"/>
        <v>13.157224801484809</v>
      </c>
      <c r="S344" s="6">
        <f>IF($Y$2="按单位面积散热损失 qp",B344*LN(B344/首页!$B$4),LN(B344/首页!$B$4))</f>
        <v>1.5119042500248749</v>
      </c>
      <c r="T344" s="6">
        <f>IF($Y$2="按单位面积散热损失 qp",2*PI()*首页!$B$8*((E344-D344)/$Y$3-1/R344),2*PI()*首页!$B$8*((E344-D344)/$Y$4-1/(PI()*B344*R344)))</f>
        <v>4.0810141796712156E-2</v>
      </c>
      <c r="U344" t="str">
        <f t="shared" si="58"/>
        <v>按单位面积散热损失 qp</v>
      </c>
      <c r="V344" s="6">
        <f t="shared" si="59"/>
        <v>1.4710941082281628</v>
      </c>
    </row>
    <row r="345" spans="1:22" x14ac:dyDescent="0.15">
      <c r="A345">
        <v>340</v>
      </c>
      <c r="B345" s="6">
        <f>首页!$B$4+2*A345/1000</f>
        <v>0.8</v>
      </c>
      <c r="C345" s="6">
        <f>首页!$B$7+273.15</f>
        <v>388.15</v>
      </c>
      <c r="D345" s="6">
        <f>首页!$B$6+273.15</f>
        <v>293.14999999999998</v>
      </c>
      <c r="E345" s="6">
        <f>首页!$B$5+273.15</f>
        <v>1373.15</v>
      </c>
      <c r="F345" s="6">
        <f t="shared" si="50"/>
        <v>95</v>
      </c>
      <c r="G345" s="6">
        <f t="shared" si="51"/>
        <v>340.65</v>
      </c>
      <c r="H345" s="6">
        <f t="shared" si="52"/>
        <v>1.9926207055139041E-5</v>
      </c>
      <c r="I345" s="7">
        <f t="shared" si="53"/>
        <v>1158916576932337.8</v>
      </c>
      <c r="J345" s="6">
        <f t="shared" si="54"/>
        <v>1.0226038455893147</v>
      </c>
      <c r="K345" s="7">
        <f>J345*H345*首页!$B$12/P345</f>
        <v>0.69532757496605813</v>
      </c>
      <c r="L345" s="6">
        <f>首页!$B$9*0.0000000567*((C345^4-D345^4)/(C345-D345))</f>
        <v>7.7687338005019564</v>
      </c>
      <c r="M345" s="6">
        <f>IF(首页!$B$13="自然对流",IF(首页!$B$14="立式圆筒",首页!$B$10,PI()*B345/2),PI()*B345/2)</f>
        <v>55.2</v>
      </c>
      <c r="N345" s="7">
        <f>IF(首页!$B$13="强制对流",首页!$B$11*M345/H345,0)</f>
        <v>0</v>
      </c>
      <c r="O345" s="7">
        <f>IF(首页!$B$13="自然对流",IF(首页!$B$14="立式圆筒",(0.825+0.3063*I345^(1/6))^2+0.87*(M345/B345),(0.752+0.303*I345^(1/6))^2),0.3+SQRT((0.592*N345^0.5)^2+(0.0262*N345^0.8/(1-0.5/N345^0.1))^2))</f>
        <v>10079.2375029349</v>
      </c>
      <c r="P345" s="6">
        <f t="shared" si="55"/>
        <v>2.9510194925512497E-2</v>
      </c>
      <c r="Q345" s="6">
        <f t="shared" si="56"/>
        <v>5.3884105690605928</v>
      </c>
      <c r="R345" s="6">
        <f t="shared" si="57"/>
        <v>13.157144369562548</v>
      </c>
      <c r="S345" s="6">
        <f>IF($Y$2="按单位面积散热损失 qp",B345*LN(B345/首页!$B$4),LN(B345/首页!$B$4))</f>
        <v>1.5176959879087051</v>
      </c>
      <c r="T345" s="6">
        <f>IF($Y$2="按单位面积散热损失 qp",2*PI()*首页!$B$8*((E345-D345)/$Y$3-1/R345),2*PI()*首页!$B$8*((E345-D345)/$Y$4-1/(PI()*B345*R345)))</f>
        <v>4.0810010427106837E-2</v>
      </c>
      <c r="U345" t="str">
        <f t="shared" si="58"/>
        <v>按单位面积散热损失 qp</v>
      </c>
      <c r="V345" s="6">
        <f t="shared" si="59"/>
        <v>1.4768859774815983</v>
      </c>
    </row>
    <row r="346" spans="1:22" x14ac:dyDescent="0.15">
      <c r="A346">
        <v>341</v>
      </c>
      <c r="B346" s="6">
        <f>首页!$B$4+2*A346/1000</f>
        <v>0.80200000000000005</v>
      </c>
      <c r="C346" s="6">
        <f>首页!$B$7+273.15</f>
        <v>388.15</v>
      </c>
      <c r="D346" s="6">
        <f>首页!$B$6+273.15</f>
        <v>293.14999999999998</v>
      </c>
      <c r="E346" s="6">
        <f>首页!$B$5+273.15</f>
        <v>1373.15</v>
      </c>
      <c r="F346" s="6">
        <f t="shared" si="50"/>
        <v>95</v>
      </c>
      <c r="G346" s="6">
        <f t="shared" si="51"/>
        <v>340.65</v>
      </c>
      <c r="H346" s="6">
        <f t="shared" si="52"/>
        <v>1.9926207055139041E-5</v>
      </c>
      <c r="I346" s="7">
        <f t="shared" si="53"/>
        <v>1158916576932337.8</v>
      </c>
      <c r="J346" s="6">
        <f t="shared" si="54"/>
        <v>1.0226038455893147</v>
      </c>
      <c r="K346" s="7">
        <f>J346*H346*首页!$B$12/P346</f>
        <v>0.69532757496605813</v>
      </c>
      <c r="L346" s="6">
        <f>首页!$B$9*0.0000000567*((C346^4-D346^4)/(C346-D346))</f>
        <v>7.7687338005019564</v>
      </c>
      <c r="M346" s="6">
        <f>IF(首页!$B$13="自然对流",IF(首页!$B$14="立式圆筒",首页!$B$10,PI()*B346/2),PI()*B346/2)</f>
        <v>55.2</v>
      </c>
      <c r="N346" s="7">
        <f>IF(首页!$B$13="强制对流",首页!$B$11*M346/H346,0)</f>
        <v>0</v>
      </c>
      <c r="O346" s="7">
        <f>IF(首页!$B$13="自然对流",IF(首页!$B$14="立式圆筒",(0.825+0.3063*I346^(1/6))^2+0.87*(M346/B346),(0.752+0.303*I346^(1/6))^2),0.3+SQRT((0.592*N346^0.5)^2+(0.0262*N346^0.8/(1-0.5/N346^0.1))^2))</f>
        <v>10079.08780218677</v>
      </c>
      <c r="P346" s="6">
        <f t="shared" si="55"/>
        <v>2.9510194925512497E-2</v>
      </c>
      <c r="Q346" s="6">
        <f t="shared" si="56"/>
        <v>5.3883305382950528</v>
      </c>
      <c r="R346" s="6">
        <f t="shared" si="57"/>
        <v>13.15706433879701</v>
      </c>
      <c r="S346" s="6">
        <f>IF($Y$2="按单位面积散热损失 qp",B346*LN(B346/首页!$B$4),LN(B346/首页!$B$4))</f>
        <v>1.5234927257977438</v>
      </c>
      <c r="T346" s="6">
        <f>IF($Y$2="按单位面积散热损失 qp",2*PI()*首页!$B$8*((E346-D346)/$Y$3-1/R346),2*PI()*首页!$B$8*((E346-D346)/$Y$4-1/(PI()*B346*R346)))</f>
        <v>4.0809879711117339E-2</v>
      </c>
      <c r="U346" t="str">
        <f t="shared" si="58"/>
        <v>按单位面积散热损失 qp</v>
      </c>
      <c r="V346" s="6">
        <f t="shared" si="59"/>
        <v>1.4826828460866264</v>
      </c>
    </row>
    <row r="347" spans="1:22" x14ac:dyDescent="0.15">
      <c r="A347">
        <v>342</v>
      </c>
      <c r="B347" s="6">
        <f>首页!$B$4+2*A347/1000</f>
        <v>0.80400000000000005</v>
      </c>
      <c r="C347" s="6">
        <f>首页!$B$7+273.15</f>
        <v>388.15</v>
      </c>
      <c r="D347" s="6">
        <f>首页!$B$6+273.15</f>
        <v>293.14999999999998</v>
      </c>
      <c r="E347" s="6">
        <f>首页!$B$5+273.15</f>
        <v>1373.15</v>
      </c>
      <c r="F347" s="6">
        <f t="shared" si="50"/>
        <v>95</v>
      </c>
      <c r="G347" s="6">
        <f t="shared" si="51"/>
        <v>340.65</v>
      </c>
      <c r="H347" s="6">
        <f t="shared" si="52"/>
        <v>1.9926207055139041E-5</v>
      </c>
      <c r="I347" s="7">
        <f t="shared" si="53"/>
        <v>1158916576932337.8</v>
      </c>
      <c r="J347" s="6">
        <f t="shared" si="54"/>
        <v>1.0226038455893147</v>
      </c>
      <c r="K347" s="7">
        <f>J347*H347*首页!$B$12/P347</f>
        <v>0.69532757496605813</v>
      </c>
      <c r="L347" s="6">
        <f>首页!$B$9*0.0000000567*((C347^4-D347^4)/(C347-D347))</f>
        <v>7.7687338005019564</v>
      </c>
      <c r="M347" s="6">
        <f>IF(首页!$B$13="自然对流",IF(首页!$B$14="立式圆筒",首页!$B$10,PI()*B347/2),PI()*B347/2)</f>
        <v>55.2</v>
      </c>
      <c r="N347" s="7">
        <f>IF(首页!$B$13="强制对流",首页!$B$11*M347/H347,0)</f>
        <v>0</v>
      </c>
      <c r="O347" s="7">
        <f>IF(首页!$B$13="自然对流",IF(首页!$B$14="立式圆筒",(0.825+0.3063*I347^(1/6))^2+0.87*(M347/B347),(0.752+0.303*I347^(1/6))^2),0.3+SQRT((0.592*N347^0.5)^2+(0.0262*N347^0.8/(1-0.5/N347^0.1))^2))</f>
        <v>10078.938846218482</v>
      </c>
      <c r="P347" s="6">
        <f t="shared" si="55"/>
        <v>2.9510194925512497E-2</v>
      </c>
      <c r="Q347" s="6">
        <f t="shared" si="56"/>
        <v>5.3882509056925256</v>
      </c>
      <c r="R347" s="6">
        <f t="shared" si="57"/>
        <v>13.156984706194482</v>
      </c>
      <c r="S347" s="6">
        <f>IF($Y$2="按单位面积散热损失 qp",B347*LN(B347/首页!$B$4),LN(B347/首页!$B$4))</f>
        <v>1.5292944512231241</v>
      </c>
      <c r="T347" s="6">
        <f>IF($Y$2="按单位面积散热损失 qp",2*PI()*首页!$B$8*((E347-D347)/$Y$3-1/R347),2*PI()*首页!$B$8*((E347-D347)/$Y$4-1/(PI()*B347*R347)))</f>
        <v>4.0809749643877763E-2</v>
      </c>
      <c r="U347" t="str">
        <f t="shared" si="58"/>
        <v>按单位面积散热损失 qp</v>
      </c>
      <c r="V347" s="6">
        <f t="shared" si="59"/>
        <v>1.4884847015792464</v>
      </c>
    </row>
    <row r="348" spans="1:22" x14ac:dyDescent="0.15">
      <c r="A348">
        <v>343</v>
      </c>
      <c r="B348" s="6">
        <f>首页!$B$4+2*A348/1000</f>
        <v>0.80600000000000005</v>
      </c>
      <c r="C348" s="6">
        <f>首页!$B$7+273.15</f>
        <v>388.15</v>
      </c>
      <c r="D348" s="6">
        <f>首页!$B$6+273.15</f>
        <v>293.14999999999998</v>
      </c>
      <c r="E348" s="6">
        <f>首页!$B$5+273.15</f>
        <v>1373.15</v>
      </c>
      <c r="F348" s="6">
        <f t="shared" si="50"/>
        <v>95</v>
      </c>
      <c r="G348" s="6">
        <f t="shared" si="51"/>
        <v>340.65</v>
      </c>
      <c r="H348" s="6">
        <f t="shared" si="52"/>
        <v>1.9926207055139041E-5</v>
      </c>
      <c r="I348" s="7">
        <f t="shared" si="53"/>
        <v>1158916576932337.8</v>
      </c>
      <c r="J348" s="6">
        <f t="shared" si="54"/>
        <v>1.0226038455893147</v>
      </c>
      <c r="K348" s="7">
        <f>J348*H348*首页!$B$12/P348</f>
        <v>0.69532757496605813</v>
      </c>
      <c r="L348" s="6">
        <f>首页!$B$9*0.0000000567*((C348^4-D348^4)/(C348-D348))</f>
        <v>7.7687338005019564</v>
      </c>
      <c r="M348" s="6">
        <f>IF(首页!$B$13="自然对流",IF(首页!$B$14="立式圆筒",首页!$B$10,PI()*B348/2),PI()*B348/2)</f>
        <v>55.2</v>
      </c>
      <c r="N348" s="7">
        <f>IF(首页!$B$13="强制对流",首页!$B$11*M348/H348,0)</f>
        <v>0</v>
      </c>
      <c r="O348" s="7">
        <f>IF(首页!$B$13="自然对流",IF(首页!$B$14="立式圆筒",(0.825+0.3063*I348^(1/6))^2+0.87*(M348/B348),(0.752+0.303*I348^(1/6))^2),0.3+SQRT((0.592*N348^0.5)^2+(0.0262*N348^0.8/(1-0.5/N348^0.1))^2))</f>
        <v>10078.790629485768</v>
      </c>
      <c r="P348" s="6">
        <f t="shared" si="55"/>
        <v>2.9510194925512497E-2</v>
      </c>
      <c r="Q348" s="6">
        <f t="shared" si="56"/>
        <v>5.3881716682890177</v>
      </c>
      <c r="R348" s="6">
        <f t="shared" si="57"/>
        <v>13.156905468790974</v>
      </c>
      <c r="S348" s="6">
        <f>IF($Y$2="按单位面积散热损失 qp",B348*LN(B348/首页!$B$4),LN(B348/首页!$B$4))</f>
        <v>1.5351011517780135</v>
      </c>
      <c r="T348" s="6">
        <f>IF($Y$2="按单位面积散热损失 qp",2*PI()*首页!$B$8*((E348-D348)/$Y$3-1/R348),2*PI()*首页!$B$8*((E348-D348)/$Y$4-1/(PI()*B348*R348)))</f>
        <v>4.0809620220570407E-2</v>
      </c>
      <c r="U348" t="str">
        <f t="shared" si="58"/>
        <v>按单位面积散热损失 qp</v>
      </c>
      <c r="V348" s="6">
        <f t="shared" si="59"/>
        <v>1.4942915315574432</v>
      </c>
    </row>
    <row r="349" spans="1:22" x14ac:dyDescent="0.15">
      <c r="A349">
        <v>344</v>
      </c>
      <c r="B349" s="6">
        <f>首页!$B$4+2*A349/1000</f>
        <v>0.80799999999999994</v>
      </c>
      <c r="C349" s="6">
        <f>首页!$B$7+273.15</f>
        <v>388.15</v>
      </c>
      <c r="D349" s="6">
        <f>首页!$B$6+273.15</f>
        <v>293.14999999999998</v>
      </c>
      <c r="E349" s="6">
        <f>首页!$B$5+273.15</f>
        <v>1373.15</v>
      </c>
      <c r="F349" s="6">
        <f t="shared" si="50"/>
        <v>95</v>
      </c>
      <c r="G349" s="6">
        <f t="shared" si="51"/>
        <v>340.65</v>
      </c>
      <c r="H349" s="6">
        <f t="shared" si="52"/>
        <v>1.9926207055139041E-5</v>
      </c>
      <c r="I349" s="7">
        <f t="shared" si="53"/>
        <v>1158916576932337.8</v>
      </c>
      <c r="J349" s="6">
        <f t="shared" si="54"/>
        <v>1.0226038455893147</v>
      </c>
      <c r="K349" s="7">
        <f>J349*H349*首页!$B$12/P349</f>
        <v>0.69532757496605813</v>
      </c>
      <c r="L349" s="6">
        <f>首页!$B$9*0.0000000567*((C349^4-D349^4)/(C349-D349))</f>
        <v>7.7687338005019564</v>
      </c>
      <c r="M349" s="6">
        <f>IF(首页!$B$13="自然对流",IF(首页!$B$14="立式圆筒",首页!$B$10,PI()*B349/2),PI()*B349/2)</f>
        <v>55.2</v>
      </c>
      <c r="N349" s="7">
        <f>IF(首页!$B$13="强制对流",首页!$B$11*M349/H349,0)</f>
        <v>0</v>
      </c>
      <c r="O349" s="7">
        <f>IF(首页!$B$13="自然对流",IF(首页!$B$14="立式圆筒",(0.825+0.3063*I349^(1/6))^2+0.87*(M349/B349),(0.752+0.303*I349^(1/6))^2),0.3+SQRT((0.592*N349^0.5)^2+(0.0262*N349^0.8/(1-0.5/N349^0.1))^2))</f>
        <v>10078.643146499257</v>
      </c>
      <c r="P349" s="6">
        <f t="shared" si="55"/>
        <v>2.9510194925512497E-2</v>
      </c>
      <c r="Q349" s="6">
        <f t="shared" si="56"/>
        <v>5.3880928231498846</v>
      </c>
      <c r="R349" s="6">
        <f t="shared" si="57"/>
        <v>13.156826623651842</v>
      </c>
      <c r="S349" s="6">
        <f>IF($Y$2="按单位面积散热损失 qp",B349*LN(B349/首页!$B$4),LN(B349/首页!$B$4))</f>
        <v>1.5409128151171518</v>
      </c>
      <c r="T349" s="6">
        <f>IF($Y$2="按单位面积散热损失 qp",2*PI()*首页!$B$8*((E349-D349)/$Y$3-1/R349),2*PI()*首页!$B$8*((E349-D349)/$Y$4-1/(PI()*B349*R349)))</f>
        <v>4.0809491436425128E-2</v>
      </c>
      <c r="U349" t="str">
        <f t="shared" si="58"/>
        <v>按单位面积散热损失 qp</v>
      </c>
      <c r="V349" s="6">
        <f t="shared" si="59"/>
        <v>1.5001033236807266</v>
      </c>
    </row>
    <row r="350" spans="1:22" x14ac:dyDescent="0.15">
      <c r="A350">
        <v>345</v>
      </c>
      <c r="B350" s="6">
        <f>首页!$B$4+2*A350/1000</f>
        <v>0.80999999999999994</v>
      </c>
      <c r="C350" s="6">
        <f>首页!$B$7+273.15</f>
        <v>388.15</v>
      </c>
      <c r="D350" s="6">
        <f>首页!$B$6+273.15</f>
        <v>293.14999999999998</v>
      </c>
      <c r="E350" s="6">
        <f>首页!$B$5+273.15</f>
        <v>1373.15</v>
      </c>
      <c r="F350" s="6">
        <f t="shared" si="50"/>
        <v>95</v>
      </c>
      <c r="G350" s="6">
        <f t="shared" si="51"/>
        <v>340.65</v>
      </c>
      <c r="H350" s="6">
        <f t="shared" si="52"/>
        <v>1.9926207055139041E-5</v>
      </c>
      <c r="I350" s="7">
        <f t="shared" si="53"/>
        <v>1158916576932337.8</v>
      </c>
      <c r="J350" s="6">
        <f t="shared" si="54"/>
        <v>1.0226038455893147</v>
      </c>
      <c r="K350" s="7">
        <f>J350*H350*首页!$B$12/P350</f>
        <v>0.69532757496605813</v>
      </c>
      <c r="L350" s="6">
        <f>首页!$B$9*0.0000000567*((C350^4-D350^4)/(C350-D350))</f>
        <v>7.7687338005019564</v>
      </c>
      <c r="M350" s="6">
        <f>IF(首页!$B$13="自然对流",IF(首页!$B$14="立式圆筒",首页!$B$10,PI()*B350/2),PI()*B350/2)</f>
        <v>55.2</v>
      </c>
      <c r="N350" s="7">
        <f>IF(首页!$B$13="强制对流",首页!$B$11*M350/H350,0)</f>
        <v>0</v>
      </c>
      <c r="O350" s="7">
        <f>IF(首页!$B$13="自然对流",IF(首页!$B$14="立式圆筒",(0.825+0.3063*I350^(1/6))^2+0.87*(M350/B350),(0.752+0.303*I350^(1/6))^2),0.3+SQRT((0.592*N350^0.5)^2+(0.0262*N350^0.8/(1-0.5/N350^0.1))^2))</f>
        <v>10078.496391823788</v>
      </c>
      <c r="P350" s="6">
        <f t="shared" si="55"/>
        <v>2.9510194925512497E-2</v>
      </c>
      <c r="Q350" s="6">
        <f t="shared" si="56"/>
        <v>5.388014367369462</v>
      </c>
      <c r="R350" s="6">
        <f t="shared" si="57"/>
        <v>13.156748167871418</v>
      </c>
      <c r="S350" s="6">
        <f>IF($Y$2="按单位面积散热损失 qp",B350*LN(B350/首页!$B$4),LN(B350/首页!$B$4))</f>
        <v>1.5467294289563951</v>
      </c>
      <c r="T350" s="6">
        <f>IF($Y$2="按单位面积散热损失 qp",2*PI()*首页!$B$8*((E350-D350)/$Y$3-1/R350),2*PI()*首页!$B$8*((E350-D350)/$Y$4-1/(PI()*B350*R350)))</f>
        <v>4.0809363286718817E-2</v>
      </c>
      <c r="U350" t="str">
        <f t="shared" si="58"/>
        <v>按单位面积散热损失 qp</v>
      </c>
      <c r="V350" s="6">
        <f t="shared" si="59"/>
        <v>1.5059200656696763</v>
      </c>
    </row>
    <row r="351" spans="1:22" x14ac:dyDescent="0.15">
      <c r="A351">
        <v>346</v>
      </c>
      <c r="B351" s="6">
        <f>首页!$B$4+2*A351/1000</f>
        <v>0.81199999999999994</v>
      </c>
      <c r="C351" s="6">
        <f>首页!$B$7+273.15</f>
        <v>388.15</v>
      </c>
      <c r="D351" s="6">
        <f>首页!$B$6+273.15</f>
        <v>293.14999999999998</v>
      </c>
      <c r="E351" s="6">
        <f>首页!$B$5+273.15</f>
        <v>1373.15</v>
      </c>
      <c r="F351" s="6">
        <f t="shared" si="50"/>
        <v>95</v>
      </c>
      <c r="G351" s="6">
        <f t="shared" si="51"/>
        <v>340.65</v>
      </c>
      <c r="H351" s="6">
        <f t="shared" si="52"/>
        <v>1.9926207055139041E-5</v>
      </c>
      <c r="I351" s="7">
        <f t="shared" si="53"/>
        <v>1158916576932337.8</v>
      </c>
      <c r="J351" s="6">
        <f t="shared" si="54"/>
        <v>1.0226038455893147</v>
      </c>
      <c r="K351" s="7">
        <f>J351*H351*首页!$B$12/P351</f>
        <v>0.69532757496605813</v>
      </c>
      <c r="L351" s="6">
        <f>首页!$B$9*0.0000000567*((C351^4-D351^4)/(C351-D351))</f>
        <v>7.7687338005019564</v>
      </c>
      <c r="M351" s="6">
        <f>IF(首页!$B$13="自然对流",IF(首页!$B$14="立式圆筒",首页!$B$10,PI()*B351/2),PI()*B351/2)</f>
        <v>55.2</v>
      </c>
      <c r="N351" s="7">
        <f>IF(首页!$B$13="强制对流",首页!$B$11*M351/H351,0)</f>
        <v>0</v>
      </c>
      <c r="O351" s="7">
        <f>IF(首页!$B$13="自然对流",IF(首页!$B$14="立式圆筒",(0.825+0.3063*I351^(1/6))^2+0.87*(M351/B351),(0.752+0.303*I351^(1/6))^2),0.3+SQRT((0.592*N351^0.5)^2+(0.0262*N351^0.8/(1-0.5/N351^0.1))^2))</f>
        <v>10078.350360077757</v>
      </c>
      <c r="P351" s="6">
        <f t="shared" si="55"/>
        <v>2.9510194925512497E-2</v>
      </c>
      <c r="Q351" s="6">
        <f t="shared" si="56"/>
        <v>5.3879362980707182</v>
      </c>
      <c r="R351" s="6">
        <f t="shared" si="57"/>
        <v>13.156670098572675</v>
      </c>
      <c r="S351" s="6">
        <f>IF($Y$2="按单位面积散热损失 qp",B351*LN(B351/首页!$B$4),LN(B351/首页!$B$4))</f>
        <v>1.5525509810722611</v>
      </c>
      <c r="T351" s="6">
        <f>IF($Y$2="按单位面积散热损失 qp",2*PI()*首页!$B$8*((E351-D351)/$Y$3-1/R351),2*PI()*首页!$B$8*((E351-D351)/$Y$4-1/(PI()*B351*R351)))</f>
        <v>4.0809235766774761E-2</v>
      </c>
      <c r="U351" t="str">
        <f t="shared" si="58"/>
        <v>按单位面积散热损失 qp</v>
      </c>
      <c r="V351" s="6">
        <f t="shared" si="59"/>
        <v>1.5117417453054862</v>
      </c>
    </row>
    <row r="352" spans="1:22" x14ac:dyDescent="0.15">
      <c r="A352">
        <v>347</v>
      </c>
      <c r="B352" s="6">
        <f>首页!$B$4+2*A352/1000</f>
        <v>0.81399999999999995</v>
      </c>
      <c r="C352" s="6">
        <f>首页!$B$7+273.15</f>
        <v>388.15</v>
      </c>
      <c r="D352" s="6">
        <f>首页!$B$6+273.15</f>
        <v>293.14999999999998</v>
      </c>
      <c r="E352" s="6">
        <f>首页!$B$5+273.15</f>
        <v>1373.15</v>
      </c>
      <c r="F352" s="6">
        <f t="shared" si="50"/>
        <v>95</v>
      </c>
      <c r="G352" s="6">
        <f t="shared" si="51"/>
        <v>340.65</v>
      </c>
      <c r="H352" s="6">
        <f t="shared" si="52"/>
        <v>1.9926207055139041E-5</v>
      </c>
      <c r="I352" s="7">
        <f t="shared" si="53"/>
        <v>1158916576932337.8</v>
      </c>
      <c r="J352" s="6">
        <f t="shared" si="54"/>
        <v>1.0226038455893147</v>
      </c>
      <c r="K352" s="7">
        <f>J352*H352*首页!$B$12/P352</f>
        <v>0.69532757496605813</v>
      </c>
      <c r="L352" s="6">
        <f>首页!$B$9*0.0000000567*((C352^4-D352^4)/(C352-D352))</f>
        <v>7.7687338005019564</v>
      </c>
      <c r="M352" s="6">
        <f>IF(首页!$B$13="自然对流",IF(首页!$B$14="立式圆筒",首页!$B$10,PI()*B352/2),PI()*B352/2)</f>
        <v>55.2</v>
      </c>
      <c r="N352" s="7">
        <f>IF(首页!$B$13="强制对流",首页!$B$11*M352/H352,0)</f>
        <v>0</v>
      </c>
      <c r="O352" s="7">
        <f>IF(首页!$B$13="自然对流",IF(首页!$B$14="立式圆筒",(0.825+0.3063*I352^(1/6))^2+0.87*(M352/B352),(0.752+0.303*I352^(1/6))^2),0.3+SQRT((0.592*N352^0.5)^2+(0.0262*N352^0.8/(1-0.5/N352^0.1))^2))</f>
        <v>10078.205045932444</v>
      </c>
      <c r="P352" s="6">
        <f t="shared" si="55"/>
        <v>2.9510194925512497E-2</v>
      </c>
      <c r="Q352" s="6">
        <f t="shared" si="56"/>
        <v>5.3878586124048908</v>
      </c>
      <c r="R352" s="6">
        <f t="shared" si="57"/>
        <v>13.156592412906846</v>
      </c>
      <c r="S352" s="6">
        <f>IF($Y$2="按单位面积散热损失 qp",B352*LN(B352/首页!$B$4),LN(B352/首页!$B$4))</f>
        <v>1.5583774593014823</v>
      </c>
      <c r="T352" s="6">
        <f>IF($Y$2="按单位面积散热损失 qp",2*PI()*首页!$B$8*((E352-D352)/$Y$3-1/R352),2*PI()*首页!$B$8*((E352-D352)/$Y$4-1/(PI()*B352*R352)))</f>
        <v>4.0809108871962096E-2</v>
      </c>
      <c r="U352" t="str">
        <f t="shared" si="58"/>
        <v>按单位面积散热损失 qp</v>
      </c>
      <c r="V352" s="6">
        <f t="shared" si="59"/>
        <v>1.5175683504295203</v>
      </c>
    </row>
    <row r="353" spans="1:22" x14ac:dyDescent="0.15">
      <c r="A353">
        <v>348</v>
      </c>
      <c r="B353" s="6">
        <f>首页!$B$4+2*A353/1000</f>
        <v>0.81599999999999995</v>
      </c>
      <c r="C353" s="6">
        <f>首页!$B$7+273.15</f>
        <v>388.15</v>
      </c>
      <c r="D353" s="6">
        <f>首页!$B$6+273.15</f>
        <v>293.14999999999998</v>
      </c>
      <c r="E353" s="6">
        <f>首页!$B$5+273.15</f>
        <v>1373.15</v>
      </c>
      <c r="F353" s="6">
        <f t="shared" si="50"/>
        <v>95</v>
      </c>
      <c r="G353" s="6">
        <f t="shared" si="51"/>
        <v>340.65</v>
      </c>
      <c r="H353" s="6">
        <f t="shared" si="52"/>
        <v>1.9926207055139041E-5</v>
      </c>
      <c r="I353" s="7">
        <f t="shared" si="53"/>
        <v>1158916576932337.8</v>
      </c>
      <c r="J353" s="6">
        <f t="shared" si="54"/>
        <v>1.0226038455893147</v>
      </c>
      <c r="K353" s="7">
        <f>J353*H353*首页!$B$12/P353</f>
        <v>0.69532757496605813</v>
      </c>
      <c r="L353" s="6">
        <f>首页!$B$9*0.0000000567*((C353^4-D353^4)/(C353-D353))</f>
        <v>7.7687338005019564</v>
      </c>
      <c r="M353" s="6">
        <f>IF(首页!$B$13="自然对流",IF(首页!$B$14="立式圆筒",首页!$B$10,PI()*B353/2),PI()*B353/2)</f>
        <v>55.2</v>
      </c>
      <c r="N353" s="7">
        <f>IF(首页!$B$13="强制对流",首页!$B$11*M353/H353,0)</f>
        <v>0</v>
      </c>
      <c r="O353" s="7">
        <f>IF(首页!$B$13="自然对流",IF(首页!$B$14="立式圆筒",(0.825+0.3063*I353^(1/6))^2+0.87*(M353/B353),(0.752+0.303*I353^(1/6))^2),0.3+SQRT((0.592*N353^0.5)^2+(0.0262*N353^0.8/(1-0.5/N353^0.1))^2))</f>
        <v>10078.06044411137</v>
      </c>
      <c r="P353" s="6">
        <f t="shared" si="55"/>
        <v>2.9510194925512497E-2</v>
      </c>
      <c r="Q353" s="6">
        <f t="shared" si="56"/>
        <v>5.3877813075511511</v>
      </c>
      <c r="R353" s="6">
        <f t="shared" si="57"/>
        <v>13.156515108053107</v>
      </c>
      <c r="S353" s="6">
        <f>IF($Y$2="按单位面积散热损失 qp",B353*LN(B353/首页!$B$4),LN(B353/首页!$B$4))</f>
        <v>1.5642088515405617</v>
      </c>
      <c r="T353" s="6">
        <f>IF($Y$2="按单位面积散热损失 qp",2*PI()*首页!$B$8*((E353-D353)/$Y$3-1/R353),2*PI()*首页!$B$8*((E353-D353)/$Y$4-1/(PI()*B353*R353)))</f>
        <v>4.0808982597695269E-2</v>
      </c>
      <c r="U353" t="str">
        <f t="shared" si="58"/>
        <v>按单位面积散热损失 qp</v>
      </c>
      <c r="V353" s="6">
        <f t="shared" si="59"/>
        <v>1.5233998689428665</v>
      </c>
    </row>
    <row r="354" spans="1:22" x14ac:dyDescent="0.15">
      <c r="A354">
        <v>349</v>
      </c>
      <c r="B354" s="6">
        <f>首页!$B$4+2*A354/1000</f>
        <v>0.81799999999999995</v>
      </c>
      <c r="C354" s="6">
        <f>首页!$B$7+273.15</f>
        <v>388.15</v>
      </c>
      <c r="D354" s="6">
        <f>首页!$B$6+273.15</f>
        <v>293.14999999999998</v>
      </c>
      <c r="E354" s="6">
        <f>首页!$B$5+273.15</f>
        <v>1373.15</v>
      </c>
      <c r="F354" s="6">
        <f t="shared" si="50"/>
        <v>95</v>
      </c>
      <c r="G354" s="6">
        <f t="shared" si="51"/>
        <v>340.65</v>
      </c>
      <c r="H354" s="6">
        <f t="shared" si="52"/>
        <v>1.9926207055139041E-5</v>
      </c>
      <c r="I354" s="7">
        <f t="shared" si="53"/>
        <v>1158916576932337.8</v>
      </c>
      <c r="J354" s="6">
        <f t="shared" si="54"/>
        <v>1.0226038455893147</v>
      </c>
      <c r="K354" s="7">
        <f>J354*H354*首页!$B$12/P354</f>
        <v>0.69532757496605813</v>
      </c>
      <c r="L354" s="6">
        <f>首页!$B$9*0.0000000567*((C354^4-D354^4)/(C354-D354))</f>
        <v>7.7687338005019564</v>
      </c>
      <c r="M354" s="6">
        <f>IF(首页!$B$13="自然对流",IF(首页!$B$14="立式圆筒",首页!$B$10,PI()*B354/2),PI()*B354/2)</f>
        <v>55.2</v>
      </c>
      <c r="N354" s="7">
        <f>IF(首页!$B$13="强制对流",首页!$B$11*M354/H354,0)</f>
        <v>0</v>
      </c>
      <c r="O354" s="7">
        <f>IF(首页!$B$13="自然对流",IF(首页!$B$14="立式圆筒",(0.825+0.3063*I354^(1/6))^2+0.87*(M354/B354),(0.752+0.303*I354^(1/6))^2),0.3+SQRT((0.592*N354^0.5)^2+(0.0262*N354^0.8/(1-0.5/N354^0.1))^2))</f>
        <v>10077.916549389667</v>
      </c>
      <c r="P354" s="6">
        <f t="shared" si="55"/>
        <v>2.9510194925512497E-2</v>
      </c>
      <c r="Q354" s="6">
        <f t="shared" si="56"/>
        <v>5.3877043807162561</v>
      </c>
      <c r="R354" s="6">
        <f t="shared" si="57"/>
        <v>13.156438181218213</v>
      </c>
      <c r="S354" s="6">
        <f>IF($Y$2="按单位面积散热损失 qp",B354*LN(B354/首页!$B$4),LN(B354/首页!$B$4))</f>
        <v>1.5700451457453335</v>
      </c>
      <c r="T354" s="6">
        <f>IF($Y$2="按单位面积散热损失 qp",2*PI()*首页!$B$8*((E354-D354)/$Y$3-1/R354),2*PI()*首页!$B$8*((E354-D354)/$Y$4-1/(PI()*B354*R354)))</f>
        <v>4.0808856939433459E-2</v>
      </c>
      <c r="U354" t="str">
        <f t="shared" si="58"/>
        <v>按单位面积散热损失 qp</v>
      </c>
      <c r="V354" s="6">
        <f t="shared" si="59"/>
        <v>1.5292362888059001</v>
      </c>
    </row>
    <row r="355" spans="1:22" x14ac:dyDescent="0.15">
      <c r="A355">
        <v>350</v>
      </c>
      <c r="B355" s="6">
        <f>首页!$B$4+2*A355/1000</f>
        <v>0.82</v>
      </c>
      <c r="C355" s="6">
        <f>首页!$B$7+273.15</f>
        <v>388.15</v>
      </c>
      <c r="D355" s="6">
        <f>首页!$B$6+273.15</f>
        <v>293.14999999999998</v>
      </c>
      <c r="E355" s="6">
        <f>首页!$B$5+273.15</f>
        <v>1373.15</v>
      </c>
      <c r="F355" s="6">
        <f t="shared" si="50"/>
        <v>95</v>
      </c>
      <c r="G355" s="6">
        <f t="shared" si="51"/>
        <v>340.65</v>
      </c>
      <c r="H355" s="6">
        <f t="shared" si="52"/>
        <v>1.9926207055139041E-5</v>
      </c>
      <c r="I355" s="7">
        <f t="shared" si="53"/>
        <v>1158916576932337.8</v>
      </c>
      <c r="J355" s="6">
        <f t="shared" si="54"/>
        <v>1.0226038455893147</v>
      </c>
      <c r="K355" s="7">
        <f>J355*H355*首页!$B$12/P355</f>
        <v>0.69532757496605813</v>
      </c>
      <c r="L355" s="6">
        <f>首页!$B$9*0.0000000567*((C355^4-D355^4)/(C355-D355))</f>
        <v>7.7687338005019564</v>
      </c>
      <c r="M355" s="6">
        <f>IF(首页!$B$13="自然对流",IF(首页!$B$14="立式圆筒",首页!$B$10,PI()*B355/2),PI()*B355/2)</f>
        <v>55.2</v>
      </c>
      <c r="N355" s="7">
        <f>IF(首页!$B$13="强制对流",首页!$B$11*M355/H355,0)</f>
        <v>0</v>
      </c>
      <c r="O355" s="7">
        <f>IF(首页!$B$13="自然对流",IF(首页!$B$14="立式圆筒",(0.825+0.3063*I355^(1/6))^2+0.87*(M355/B355),(0.752+0.303*I355^(1/6))^2),0.3+SQRT((0.592*N355^0.5)^2+(0.0262*N355^0.8/(1-0.5/N355^0.1))^2))</f>
        <v>10077.773356593436</v>
      </c>
      <c r="P355" s="6">
        <f t="shared" si="55"/>
        <v>2.9510194925512497E-2</v>
      </c>
      <c r="Q355" s="6">
        <f t="shared" si="56"/>
        <v>5.3876278291342148</v>
      </c>
      <c r="R355" s="6">
        <f t="shared" si="57"/>
        <v>13.156361629636171</v>
      </c>
      <c r="S355" s="6">
        <f>IF($Y$2="按单位面积散热损失 qp",B355*LN(B355/首页!$B$4),LN(B355/首页!$B$4))</f>
        <v>1.5758863299305272</v>
      </c>
      <c r="T355" s="6">
        <f>IF($Y$2="按单位面积散热损失 qp",2*PI()*首页!$B$8*((E355-D355)/$Y$3-1/R355),2*PI()*首页!$B$8*((E355-D355)/$Y$4-1/(PI()*B355*R355)))</f>
        <v>4.0808731892680049E-2</v>
      </c>
      <c r="U355" t="str">
        <f t="shared" si="58"/>
        <v>按单位面积散热损失 qp</v>
      </c>
      <c r="V355" s="6">
        <f t="shared" si="59"/>
        <v>1.5350775980378473</v>
      </c>
    </row>
    <row r="356" spans="1:22" x14ac:dyDescent="0.15">
      <c r="A356">
        <v>351</v>
      </c>
      <c r="B356" s="6">
        <f>首页!$B$4+2*A356/1000</f>
        <v>0.82199999999999995</v>
      </c>
      <c r="C356" s="6">
        <f>首页!$B$7+273.15</f>
        <v>388.15</v>
      </c>
      <c r="D356" s="6">
        <f>首页!$B$6+273.15</f>
        <v>293.14999999999998</v>
      </c>
      <c r="E356" s="6">
        <f>首页!$B$5+273.15</f>
        <v>1373.15</v>
      </c>
      <c r="F356" s="6">
        <f t="shared" si="50"/>
        <v>95</v>
      </c>
      <c r="G356" s="6">
        <f t="shared" si="51"/>
        <v>340.65</v>
      </c>
      <c r="H356" s="6">
        <f t="shared" si="52"/>
        <v>1.9926207055139041E-5</v>
      </c>
      <c r="I356" s="7">
        <f t="shared" si="53"/>
        <v>1158916576932337.8</v>
      </c>
      <c r="J356" s="6">
        <f t="shared" si="54"/>
        <v>1.0226038455893147</v>
      </c>
      <c r="K356" s="7">
        <f>J356*H356*首页!$B$12/P356</f>
        <v>0.69532757496605813</v>
      </c>
      <c r="L356" s="6">
        <f>首页!$B$9*0.0000000567*((C356^4-D356^4)/(C356-D356))</f>
        <v>7.7687338005019564</v>
      </c>
      <c r="M356" s="6">
        <f>IF(首页!$B$13="自然对流",IF(首页!$B$14="立式圆筒",首页!$B$10,PI()*B356/2),PI()*B356/2)</f>
        <v>55.2</v>
      </c>
      <c r="N356" s="7">
        <f>IF(首页!$B$13="强制对流",首页!$B$11*M356/H356,0)</f>
        <v>0</v>
      </c>
      <c r="O356" s="7">
        <f>IF(首页!$B$13="自然对流",IF(首页!$B$14="立式圆筒",(0.825+0.3063*I356^(1/6))^2+0.87*(M356/B356),(0.752+0.303*I356^(1/6))^2),0.3+SQRT((0.592*N356^0.5)^2+(0.0262*N356^0.8/(1-0.5/N356^0.1))^2))</f>
        <v>10077.630860599133</v>
      </c>
      <c r="P356" s="6">
        <f t="shared" si="55"/>
        <v>2.9510194925512497E-2</v>
      </c>
      <c r="Q356" s="6">
        <f t="shared" si="56"/>
        <v>5.3875516500659542</v>
      </c>
      <c r="R356" s="6">
        <f t="shared" si="57"/>
        <v>13.156285450567911</v>
      </c>
      <c r="S356" s="6">
        <f>IF($Y$2="按单位面积散热损失 qp",B356*LN(B356/首页!$B$4),LN(B356/首页!$B$4))</f>
        <v>1.5817323921693378</v>
      </c>
      <c r="T356" s="6">
        <f>IF($Y$2="按单位面积散热损失 qp",2*PI()*首页!$B$8*((E356-D356)/$Y$3-1/R356),2*PI()*首页!$B$8*((E356-D356)/$Y$4-1/(PI()*B356*R356)))</f>
        <v>4.0808607452982044E-2</v>
      </c>
      <c r="U356" t="str">
        <f t="shared" si="58"/>
        <v>按单位面积散热损失 qp</v>
      </c>
      <c r="V356" s="6">
        <f t="shared" si="59"/>
        <v>1.5409237847163557</v>
      </c>
    </row>
    <row r="357" spans="1:22" x14ac:dyDescent="0.15">
      <c r="A357">
        <v>352</v>
      </c>
      <c r="B357" s="6">
        <f>首页!$B$4+2*A357/1000</f>
        <v>0.82399999999999995</v>
      </c>
      <c r="C357" s="6">
        <f>首页!$B$7+273.15</f>
        <v>388.15</v>
      </c>
      <c r="D357" s="6">
        <f>首页!$B$6+273.15</f>
        <v>293.14999999999998</v>
      </c>
      <c r="E357" s="6">
        <f>首页!$B$5+273.15</f>
        <v>1373.15</v>
      </c>
      <c r="F357" s="6">
        <f t="shared" si="50"/>
        <v>95</v>
      </c>
      <c r="G357" s="6">
        <f t="shared" si="51"/>
        <v>340.65</v>
      </c>
      <c r="H357" s="6">
        <f t="shared" si="52"/>
        <v>1.9926207055139041E-5</v>
      </c>
      <c r="I357" s="7">
        <f t="shared" si="53"/>
        <v>1158916576932337.8</v>
      </c>
      <c r="J357" s="6">
        <f t="shared" si="54"/>
        <v>1.0226038455893147</v>
      </c>
      <c r="K357" s="7">
        <f>J357*H357*首页!$B$12/P357</f>
        <v>0.69532757496605813</v>
      </c>
      <c r="L357" s="6">
        <f>首页!$B$9*0.0000000567*((C357^4-D357^4)/(C357-D357))</f>
        <v>7.7687338005019564</v>
      </c>
      <c r="M357" s="6">
        <f>IF(首页!$B$13="自然对流",IF(首页!$B$14="立式圆筒",首页!$B$10,PI()*B357/2),PI()*B357/2)</f>
        <v>55.2</v>
      </c>
      <c r="N357" s="7">
        <f>IF(首页!$B$13="强制对流",首页!$B$11*M357/H357,0)</f>
        <v>0</v>
      </c>
      <c r="O357" s="7">
        <f>IF(首页!$B$13="自然对流",IF(首页!$B$14="立式圆筒",(0.825+0.3063*I357^(1/6))^2+0.87*(M357/B357),(0.752+0.303*I357^(1/6))^2),0.3+SQRT((0.592*N357^0.5)^2+(0.0262*N357^0.8/(1-0.5/N357^0.1))^2))</f>
        <v>10077.489056332957</v>
      </c>
      <c r="P357" s="6">
        <f t="shared" si="55"/>
        <v>2.9510194925512497E-2</v>
      </c>
      <c r="Q357" s="6">
        <f t="shared" si="56"/>
        <v>5.3874758407989951</v>
      </c>
      <c r="R357" s="6">
        <f t="shared" si="57"/>
        <v>13.156209641300951</v>
      </c>
      <c r="S357" s="6">
        <f>IF($Y$2="按单位面积散热损失 qp",B357*LN(B357/首页!$B$4),LN(B357/首页!$B$4))</f>
        <v>1.5875833205929986</v>
      </c>
      <c r="T357" s="6">
        <f>IF($Y$2="按单位面积散热损失 qp",2*PI()*首页!$B$8*((E357-D357)/$Y$3-1/R357),2*PI()*首页!$B$8*((E357-D357)/$Y$4-1/(PI()*B357*R357)))</f>
        <v>4.0808483615929619E-2</v>
      </c>
      <c r="U357" t="str">
        <f t="shared" si="58"/>
        <v>按单位面积散热损失 qp</v>
      </c>
      <c r="V357" s="6">
        <f t="shared" si="59"/>
        <v>1.5467748369770689</v>
      </c>
    </row>
    <row r="358" spans="1:22" x14ac:dyDescent="0.15">
      <c r="A358">
        <v>353</v>
      </c>
      <c r="B358" s="6">
        <f>首页!$B$4+2*A358/1000</f>
        <v>0.82599999999999996</v>
      </c>
      <c r="C358" s="6">
        <f>首页!$B$7+273.15</f>
        <v>388.15</v>
      </c>
      <c r="D358" s="6">
        <f>首页!$B$6+273.15</f>
        <v>293.14999999999998</v>
      </c>
      <c r="E358" s="6">
        <f>首页!$B$5+273.15</f>
        <v>1373.15</v>
      </c>
      <c r="F358" s="6">
        <f t="shared" si="50"/>
        <v>95</v>
      </c>
      <c r="G358" s="6">
        <f t="shared" si="51"/>
        <v>340.65</v>
      </c>
      <c r="H358" s="6">
        <f t="shared" si="52"/>
        <v>1.9926207055139041E-5</v>
      </c>
      <c r="I358" s="7">
        <f t="shared" si="53"/>
        <v>1158916576932337.8</v>
      </c>
      <c r="J358" s="6">
        <f t="shared" si="54"/>
        <v>1.0226038455893147</v>
      </c>
      <c r="K358" s="7">
        <f>J358*H358*首页!$B$12/P358</f>
        <v>0.69532757496605813</v>
      </c>
      <c r="L358" s="6">
        <f>首页!$B$9*0.0000000567*((C358^4-D358^4)/(C358-D358))</f>
        <v>7.7687338005019564</v>
      </c>
      <c r="M358" s="6">
        <f>IF(首页!$B$13="自然对流",IF(首页!$B$14="立式圆筒",首页!$B$10,PI()*B358/2),PI()*B358/2)</f>
        <v>55.2</v>
      </c>
      <c r="N358" s="7">
        <f>IF(首页!$B$13="强制对流",首页!$B$11*M358/H358,0)</f>
        <v>0</v>
      </c>
      <c r="O358" s="7">
        <f>IF(首页!$B$13="自然对流",IF(首页!$B$14="立式圆筒",(0.825+0.3063*I358^(1/6))^2+0.87*(M358/B358),(0.752+0.303*I358^(1/6))^2),0.3+SQRT((0.592*N358^0.5)^2+(0.0262*N358^0.8/(1-0.5/N358^0.1))^2))</f>
        <v>10077.34793877025</v>
      </c>
      <c r="P358" s="6">
        <f t="shared" si="55"/>
        <v>2.9510194925512497E-2</v>
      </c>
      <c r="Q358" s="6">
        <f t="shared" si="56"/>
        <v>5.3874003986471308</v>
      </c>
      <c r="R358" s="6">
        <f t="shared" si="57"/>
        <v>13.156134199149086</v>
      </c>
      <c r="S358" s="6">
        <f>IF($Y$2="按单位面积散热损失 qp",B358*LN(B358/首页!$B$4),LN(B358/首页!$B$4))</f>
        <v>1.5934391033903579</v>
      </c>
      <c r="T358" s="6">
        <f>IF($Y$2="按单位面积散热损失 qp",2*PI()*首页!$B$8*((E358-D358)/$Y$3-1/R358),2*PI()*首页!$B$8*((E358-D358)/$Y$4-1/(PI()*B358*R358)))</f>
        <v>4.0808360377155552E-2</v>
      </c>
      <c r="U358" t="str">
        <f t="shared" si="58"/>
        <v>按单位面积散热损失 qp</v>
      </c>
      <c r="V358" s="6">
        <f t="shared" si="59"/>
        <v>1.5526307430132023</v>
      </c>
    </row>
    <row r="359" spans="1:22" x14ac:dyDescent="0.15">
      <c r="A359">
        <v>354</v>
      </c>
      <c r="B359" s="6">
        <f>首页!$B$4+2*A359/1000</f>
        <v>0.82799999999999996</v>
      </c>
      <c r="C359" s="6">
        <f>首页!$B$7+273.15</f>
        <v>388.15</v>
      </c>
      <c r="D359" s="6">
        <f>首页!$B$6+273.15</f>
        <v>293.14999999999998</v>
      </c>
      <c r="E359" s="6">
        <f>首页!$B$5+273.15</f>
        <v>1373.15</v>
      </c>
      <c r="F359" s="6">
        <f t="shared" si="50"/>
        <v>95</v>
      </c>
      <c r="G359" s="6">
        <f t="shared" si="51"/>
        <v>340.65</v>
      </c>
      <c r="H359" s="6">
        <f t="shared" si="52"/>
        <v>1.9926207055139041E-5</v>
      </c>
      <c r="I359" s="7">
        <f t="shared" si="53"/>
        <v>1158916576932337.8</v>
      </c>
      <c r="J359" s="6">
        <f t="shared" si="54"/>
        <v>1.0226038455893147</v>
      </c>
      <c r="K359" s="7">
        <f>J359*H359*首页!$B$12/P359</f>
        <v>0.69532757496605813</v>
      </c>
      <c r="L359" s="6">
        <f>首页!$B$9*0.0000000567*((C359^4-D359^4)/(C359-D359))</f>
        <v>7.7687338005019564</v>
      </c>
      <c r="M359" s="6">
        <f>IF(首页!$B$13="自然对流",IF(首页!$B$14="立式圆筒",首页!$B$10,PI()*B359/2),PI()*B359/2)</f>
        <v>55.2</v>
      </c>
      <c r="N359" s="7">
        <f>IF(首页!$B$13="强制对流",首页!$B$11*M359/H359,0)</f>
        <v>0</v>
      </c>
      <c r="O359" s="7">
        <f>IF(首页!$B$13="自然对流",IF(首页!$B$14="立式圆筒",(0.825+0.3063*I359^(1/6))^2+0.87*(M359/B359),(0.752+0.303*I359^(1/6))^2),0.3+SQRT((0.592*N359^0.5)^2+(0.0262*N359^0.8/(1-0.5/N359^0.1))^2))</f>
        <v>10077.2075029349</v>
      </c>
      <c r="P359" s="6">
        <f t="shared" si="55"/>
        <v>2.9510194925512497E-2</v>
      </c>
      <c r="Q359" s="6">
        <f t="shared" si="56"/>
        <v>5.3873253209501071</v>
      </c>
      <c r="R359" s="6">
        <f t="shared" si="57"/>
        <v>13.156059121452063</v>
      </c>
      <c r="S359" s="6">
        <f>IF($Y$2="按单位面积散热损失 qp",B359*LN(B359/首页!$B$4),LN(B359/首页!$B$4))</f>
        <v>1.5992997288074609</v>
      </c>
      <c r="T359" s="6">
        <f>IF($Y$2="按单位面积散热损失 qp",2*PI()*首页!$B$8*((E359-D359)/$Y$3-1/R359),2*PI()*首页!$B$8*((E359-D359)/$Y$4-1/(PI()*B359*R359)))</f>
        <v>4.0808237732334704E-2</v>
      </c>
      <c r="U359" t="str">
        <f t="shared" si="58"/>
        <v>按单位面积散热损失 qp</v>
      </c>
      <c r="V359" s="6">
        <f t="shared" si="59"/>
        <v>1.5584914910751262</v>
      </c>
    </row>
    <row r="360" spans="1:22" x14ac:dyDescent="0.15">
      <c r="A360">
        <v>355</v>
      </c>
      <c r="B360" s="6">
        <f>首页!$B$4+2*A360/1000</f>
        <v>0.83</v>
      </c>
      <c r="C360" s="6">
        <f>首页!$B$7+273.15</f>
        <v>388.15</v>
      </c>
      <c r="D360" s="6">
        <f>首页!$B$6+273.15</f>
        <v>293.14999999999998</v>
      </c>
      <c r="E360" s="6">
        <f>首页!$B$5+273.15</f>
        <v>1373.15</v>
      </c>
      <c r="F360" s="6">
        <f t="shared" si="50"/>
        <v>95</v>
      </c>
      <c r="G360" s="6">
        <f t="shared" si="51"/>
        <v>340.65</v>
      </c>
      <c r="H360" s="6">
        <f t="shared" si="52"/>
        <v>1.9926207055139041E-5</v>
      </c>
      <c r="I360" s="7">
        <f t="shared" si="53"/>
        <v>1158916576932337.8</v>
      </c>
      <c r="J360" s="6">
        <f t="shared" si="54"/>
        <v>1.0226038455893147</v>
      </c>
      <c r="K360" s="7">
        <f>J360*H360*首页!$B$12/P360</f>
        <v>0.69532757496605813</v>
      </c>
      <c r="L360" s="6">
        <f>首页!$B$9*0.0000000567*((C360^4-D360^4)/(C360-D360))</f>
        <v>7.7687338005019564</v>
      </c>
      <c r="M360" s="6">
        <f>IF(首页!$B$13="自然对流",IF(首页!$B$14="立式圆筒",首页!$B$10,PI()*B360/2),PI()*B360/2)</f>
        <v>55.2</v>
      </c>
      <c r="N360" s="7">
        <f>IF(首页!$B$13="强制对流",首页!$B$11*M360/H360,0)</f>
        <v>0</v>
      </c>
      <c r="O360" s="7">
        <f>IF(首页!$B$13="自然对流",IF(首页!$B$14="立式圆筒",(0.825+0.3063*I360^(1/6))^2+0.87*(M360/B360),(0.752+0.303*I360^(1/6))^2),0.3+SQRT((0.592*N360^0.5)^2+(0.0262*N360^0.8/(1-0.5/N360^0.1))^2))</f>
        <v>10077.067743898755</v>
      </c>
      <c r="P360" s="6">
        <f t="shared" si="55"/>
        <v>2.9510194925512497E-2</v>
      </c>
      <c r="Q360" s="6">
        <f t="shared" si="56"/>
        <v>5.3872506050733096</v>
      </c>
      <c r="R360" s="6">
        <f t="shared" si="57"/>
        <v>13.155984405575266</v>
      </c>
      <c r="S360" s="6">
        <f>IF($Y$2="按单位面积散热损失 qp",B360*LN(B360/首页!$B$4),LN(B360/首页!$B$4))</f>
        <v>1.605165185147136</v>
      </c>
      <c r="T360" s="6">
        <f>IF($Y$2="按单位面积散热损失 qp",2*PI()*首页!$B$8*((E360-D360)/$Y$3-1/R360),2*PI()*首页!$B$8*((E360-D360)/$Y$4-1/(PI()*B360*R360)))</f>
        <v>4.0808115677183537E-2</v>
      </c>
      <c r="U360" t="str">
        <f t="shared" si="58"/>
        <v>按单位面积散热损失 qp</v>
      </c>
      <c r="V360" s="6">
        <f t="shared" si="59"/>
        <v>1.5643570694699525</v>
      </c>
    </row>
    <row r="361" spans="1:22" x14ac:dyDescent="0.15">
      <c r="A361">
        <v>356</v>
      </c>
      <c r="B361" s="6">
        <f>首页!$B$4+2*A361/1000</f>
        <v>0.83199999999999996</v>
      </c>
      <c r="C361" s="6">
        <f>首页!$B$7+273.15</f>
        <v>388.15</v>
      </c>
      <c r="D361" s="6">
        <f>首页!$B$6+273.15</f>
        <v>293.14999999999998</v>
      </c>
      <c r="E361" s="6">
        <f>首页!$B$5+273.15</f>
        <v>1373.15</v>
      </c>
      <c r="F361" s="6">
        <f t="shared" si="50"/>
        <v>95</v>
      </c>
      <c r="G361" s="6">
        <f t="shared" si="51"/>
        <v>340.65</v>
      </c>
      <c r="H361" s="6">
        <f t="shared" si="52"/>
        <v>1.9926207055139041E-5</v>
      </c>
      <c r="I361" s="7">
        <f t="shared" si="53"/>
        <v>1158916576932337.8</v>
      </c>
      <c r="J361" s="6">
        <f t="shared" si="54"/>
        <v>1.0226038455893147</v>
      </c>
      <c r="K361" s="7">
        <f>J361*H361*首页!$B$12/P361</f>
        <v>0.69532757496605813</v>
      </c>
      <c r="L361" s="6">
        <f>首页!$B$9*0.0000000567*((C361^4-D361^4)/(C361-D361))</f>
        <v>7.7687338005019564</v>
      </c>
      <c r="M361" s="6">
        <f>IF(首页!$B$13="自然对流",IF(首页!$B$14="立式圆筒",首页!$B$10,PI()*B361/2),PI()*B361/2)</f>
        <v>55.2</v>
      </c>
      <c r="N361" s="7">
        <f>IF(首页!$B$13="强制对流",首页!$B$11*M361/H361,0)</f>
        <v>0</v>
      </c>
      <c r="O361" s="7">
        <f>IF(首页!$B$13="自然对流",IF(首页!$B$14="立式圆筒",(0.825+0.3063*I361^(1/6))^2+0.87*(M361/B361),(0.752+0.303*I361^(1/6))^2),0.3+SQRT((0.592*N361^0.5)^2+(0.0262*N361^0.8/(1-0.5/N361^0.1))^2))</f>
        <v>10076.928656781054</v>
      </c>
      <c r="P361" s="6">
        <f t="shared" si="55"/>
        <v>2.9510194925512497E-2</v>
      </c>
      <c r="Q361" s="6">
        <f t="shared" si="56"/>
        <v>5.3871762484074583</v>
      </c>
      <c r="R361" s="6">
        <f t="shared" si="57"/>
        <v>13.155910048909416</v>
      </c>
      <c r="S361" s="6">
        <f>IF($Y$2="按单位面积散热损失 qp",B361*LN(B361/首页!$B$4),LN(B361/首页!$B$4))</f>
        <v>1.6110354607685833</v>
      </c>
      <c r="T361" s="6">
        <f>IF($Y$2="按单位面积散热损失 qp",2*PI()*首页!$B$8*((E361-D361)/$Y$3-1/R361),2*PI()*首页!$B$8*((E361-D361)/$Y$4-1/(PI()*B361*R361)))</f>
        <v>4.0807994207459591E-2</v>
      </c>
      <c r="U361" t="str">
        <f t="shared" si="58"/>
        <v>按单位面积散热损失 qp</v>
      </c>
      <c r="V361" s="6">
        <f t="shared" si="59"/>
        <v>1.5702274665611238</v>
      </c>
    </row>
    <row r="362" spans="1:22" x14ac:dyDescent="0.15">
      <c r="A362">
        <v>357</v>
      </c>
      <c r="B362" s="6">
        <f>首页!$B$4+2*A362/1000</f>
        <v>0.83399999999999996</v>
      </c>
      <c r="C362" s="6">
        <f>首页!$B$7+273.15</f>
        <v>388.15</v>
      </c>
      <c r="D362" s="6">
        <f>首页!$B$6+273.15</f>
        <v>293.14999999999998</v>
      </c>
      <c r="E362" s="6">
        <f>首页!$B$5+273.15</f>
        <v>1373.15</v>
      </c>
      <c r="F362" s="6">
        <f t="shared" si="50"/>
        <v>95</v>
      </c>
      <c r="G362" s="6">
        <f t="shared" si="51"/>
        <v>340.65</v>
      </c>
      <c r="H362" s="6">
        <f t="shared" si="52"/>
        <v>1.9926207055139041E-5</v>
      </c>
      <c r="I362" s="7">
        <f t="shared" si="53"/>
        <v>1158916576932337.8</v>
      </c>
      <c r="J362" s="6">
        <f t="shared" si="54"/>
        <v>1.0226038455893147</v>
      </c>
      <c r="K362" s="7">
        <f>J362*H362*首页!$B$12/P362</f>
        <v>0.69532757496605813</v>
      </c>
      <c r="L362" s="6">
        <f>首页!$B$9*0.0000000567*((C362^4-D362^4)/(C362-D362))</f>
        <v>7.7687338005019564</v>
      </c>
      <c r="M362" s="6">
        <f>IF(首页!$B$13="自然对流",IF(首页!$B$14="立式圆筒",首页!$B$10,PI()*B362/2),PI()*B362/2)</f>
        <v>55.2</v>
      </c>
      <c r="N362" s="7">
        <f>IF(首页!$B$13="强制对流",首页!$B$11*M362/H362,0)</f>
        <v>0</v>
      </c>
      <c r="O362" s="7">
        <f>IF(首页!$B$13="自然对流",IF(首页!$B$14="立式圆筒",(0.825+0.3063*I362^(1/6))^2+0.87*(M362/B362),(0.752+0.303*I362^(1/6))^2),0.3+SQRT((0.592*N362^0.5)^2+(0.0262*N362^0.8/(1-0.5/N362^0.1))^2))</f>
        <v>10076.790236747849</v>
      </c>
      <c r="P362" s="6">
        <f t="shared" si="55"/>
        <v>2.9510194925512497E-2</v>
      </c>
      <c r="Q362" s="6">
        <f t="shared" si="56"/>
        <v>5.3871022483683006</v>
      </c>
      <c r="R362" s="6">
        <f t="shared" si="57"/>
        <v>13.155836048870256</v>
      </c>
      <c r="S362" s="6">
        <f>IF($Y$2="按单位面积散热损失 qp",B362*LN(B362/首页!$B$4),LN(B362/首页!$B$4))</f>
        <v>1.6169105440869684</v>
      </c>
      <c r="T362" s="6">
        <f>IF($Y$2="按单位面积散热损失 qp",2*PI()*首页!$B$8*((E362-D362)/$Y$3-1/R362),2*PI()*首页!$B$8*((E362-D362)/$Y$4-1/(PI()*B362*R362)))</f>
        <v>4.0807873318961019E-2</v>
      </c>
      <c r="U362" t="str">
        <f t="shared" si="58"/>
        <v>按单位面积散热损失 qp</v>
      </c>
      <c r="V362" s="6">
        <f t="shared" si="59"/>
        <v>1.5761026707680075</v>
      </c>
    </row>
    <row r="363" spans="1:22" x14ac:dyDescent="0.15">
      <c r="A363">
        <v>358</v>
      </c>
      <c r="B363" s="6">
        <f>首页!$B$4+2*A363/1000</f>
        <v>0.83599999999999997</v>
      </c>
      <c r="C363" s="6">
        <f>首页!$B$7+273.15</f>
        <v>388.15</v>
      </c>
      <c r="D363" s="6">
        <f>首页!$B$6+273.15</f>
        <v>293.14999999999998</v>
      </c>
      <c r="E363" s="6">
        <f>首页!$B$5+273.15</f>
        <v>1373.15</v>
      </c>
      <c r="F363" s="6">
        <f t="shared" si="50"/>
        <v>95</v>
      </c>
      <c r="G363" s="6">
        <f t="shared" si="51"/>
        <v>340.65</v>
      </c>
      <c r="H363" s="6">
        <f t="shared" si="52"/>
        <v>1.9926207055139041E-5</v>
      </c>
      <c r="I363" s="7">
        <f t="shared" si="53"/>
        <v>1158916576932337.8</v>
      </c>
      <c r="J363" s="6">
        <f t="shared" si="54"/>
        <v>1.0226038455893147</v>
      </c>
      <c r="K363" s="7">
        <f>J363*H363*首页!$B$12/P363</f>
        <v>0.69532757496605813</v>
      </c>
      <c r="L363" s="6">
        <f>首页!$B$9*0.0000000567*((C363^4-D363^4)/(C363-D363))</f>
        <v>7.7687338005019564</v>
      </c>
      <c r="M363" s="6">
        <f>IF(首页!$B$13="自然对流",IF(首页!$B$14="立式圆筒",首页!$B$10,PI()*B363/2),PI()*B363/2)</f>
        <v>55.2</v>
      </c>
      <c r="N363" s="7">
        <f>IF(首页!$B$13="强制对流",首页!$B$11*M363/H363,0)</f>
        <v>0</v>
      </c>
      <c r="O363" s="7">
        <f>IF(首页!$B$13="自然对流",IF(首页!$B$14="立式圆筒",(0.825+0.3063*I363^(1/6))^2+0.87*(M363/B363),(0.752+0.303*I363^(1/6))^2),0.3+SQRT((0.592*N363^0.5)^2+(0.0262*N363^0.8/(1-0.5/N363^0.1))^2))</f>
        <v>10076.652479011454</v>
      </c>
      <c r="P363" s="6">
        <f t="shared" si="55"/>
        <v>2.9510194925512497E-2</v>
      </c>
      <c r="Q363" s="6">
        <f t="shared" si="56"/>
        <v>5.3870286023963168</v>
      </c>
      <c r="R363" s="6">
        <f t="shared" si="57"/>
        <v>13.155762402898272</v>
      </c>
      <c r="S363" s="6">
        <f>IF($Y$2="按单位面积散热损失 qp",B363*LN(B363/首页!$B$4),LN(B363/首页!$B$4))</f>
        <v>1.6227904235730202</v>
      </c>
      <c r="T363" s="6">
        <f>IF($Y$2="按单位面积散热损失 qp",2*PI()*首页!$B$8*((E363-D363)/$Y$3-1/R363),2*PI()*首页!$B$8*((E363-D363)/$Y$4-1/(PI()*B363*R363)))</f>
        <v>4.0807753007526086E-2</v>
      </c>
      <c r="U363" t="str">
        <f t="shared" si="58"/>
        <v>按单位面积散热损失 qp</v>
      </c>
      <c r="V363" s="6">
        <f t="shared" si="59"/>
        <v>1.581982670565494</v>
      </c>
    </row>
    <row r="364" spans="1:22" x14ac:dyDescent="0.15">
      <c r="A364">
        <v>359</v>
      </c>
      <c r="B364" s="6">
        <f>首页!$B$4+2*A364/1000</f>
        <v>0.83799999999999997</v>
      </c>
      <c r="C364" s="6">
        <f>首页!$B$7+273.15</f>
        <v>388.15</v>
      </c>
      <c r="D364" s="6">
        <f>首页!$B$6+273.15</f>
        <v>293.14999999999998</v>
      </c>
      <c r="E364" s="6">
        <f>首页!$B$5+273.15</f>
        <v>1373.15</v>
      </c>
      <c r="F364" s="6">
        <f t="shared" si="50"/>
        <v>95</v>
      </c>
      <c r="G364" s="6">
        <f t="shared" si="51"/>
        <v>340.65</v>
      </c>
      <c r="H364" s="6">
        <f t="shared" si="52"/>
        <v>1.9926207055139041E-5</v>
      </c>
      <c r="I364" s="7">
        <f t="shared" si="53"/>
        <v>1158916576932337.8</v>
      </c>
      <c r="J364" s="6">
        <f t="shared" si="54"/>
        <v>1.0226038455893147</v>
      </c>
      <c r="K364" s="7">
        <f>J364*H364*首页!$B$12/P364</f>
        <v>0.69532757496605813</v>
      </c>
      <c r="L364" s="6">
        <f>首页!$B$9*0.0000000567*((C364^4-D364^4)/(C364-D364))</f>
        <v>7.7687338005019564</v>
      </c>
      <c r="M364" s="6">
        <f>IF(首页!$B$13="自然对流",IF(首页!$B$14="立式圆筒",首页!$B$10,PI()*B364/2),PI()*B364/2)</f>
        <v>55.2</v>
      </c>
      <c r="N364" s="7">
        <f>IF(首页!$B$13="强制对流",首页!$B$11*M364/H364,0)</f>
        <v>0</v>
      </c>
      <c r="O364" s="7">
        <f>IF(首页!$B$13="自然对流",IF(首页!$B$14="立式圆筒",(0.825+0.3063*I364^(1/6))^2+0.87*(M364/B364),(0.752+0.303*I364^(1/6))^2),0.3+SQRT((0.592*N364^0.5)^2+(0.0262*N364^0.8/(1-0.5/N364^0.1))^2))</f>
        <v>10076.515378829889</v>
      </c>
      <c r="P364" s="6">
        <f t="shared" si="55"/>
        <v>2.9510194925512497E-2</v>
      </c>
      <c r="Q364" s="6">
        <f t="shared" si="56"/>
        <v>5.3869553079564207</v>
      </c>
      <c r="R364" s="6">
        <f t="shared" si="57"/>
        <v>13.155689108458377</v>
      </c>
      <c r="S364" s="6">
        <f>IF($Y$2="按单位面积散热损失 qp",B364*LN(B364/首页!$B$4),LN(B364/首页!$B$4))</f>
        <v>1.628675087752631</v>
      </c>
      <c r="T364" s="6">
        <f>IF($Y$2="按单位面积散热损失 qp",2*PI()*首页!$B$8*((E364-D364)/$Y$3-1/R364),2*PI()*首页!$B$8*((E364-D364)/$Y$4-1/(PI()*B364*R364)))</f>
        <v>4.0807633269032702E-2</v>
      </c>
      <c r="U364" t="str">
        <f t="shared" si="58"/>
        <v>按单位面积散热损失 qp</v>
      </c>
      <c r="V364" s="6">
        <f t="shared" si="59"/>
        <v>1.5878674544835982</v>
      </c>
    </row>
    <row r="365" spans="1:22" x14ac:dyDescent="0.15">
      <c r="A365">
        <v>360</v>
      </c>
      <c r="B365" s="6">
        <f>首页!$B$4+2*A365/1000</f>
        <v>0.84</v>
      </c>
      <c r="C365" s="6">
        <f>首页!$B$7+273.15</f>
        <v>388.15</v>
      </c>
      <c r="D365" s="6">
        <f>首页!$B$6+273.15</f>
        <v>293.14999999999998</v>
      </c>
      <c r="E365" s="6">
        <f>首页!$B$5+273.15</f>
        <v>1373.15</v>
      </c>
      <c r="F365" s="6">
        <f t="shared" si="50"/>
        <v>95</v>
      </c>
      <c r="G365" s="6">
        <f t="shared" si="51"/>
        <v>340.65</v>
      </c>
      <c r="H365" s="6">
        <f t="shared" si="52"/>
        <v>1.9926207055139041E-5</v>
      </c>
      <c r="I365" s="7">
        <f t="shared" si="53"/>
        <v>1158916576932337.8</v>
      </c>
      <c r="J365" s="6">
        <f t="shared" si="54"/>
        <v>1.0226038455893147</v>
      </c>
      <c r="K365" s="7">
        <f>J365*H365*首页!$B$12/P365</f>
        <v>0.69532757496605813</v>
      </c>
      <c r="L365" s="6">
        <f>首页!$B$9*0.0000000567*((C365^4-D365^4)/(C365-D365))</f>
        <v>7.7687338005019564</v>
      </c>
      <c r="M365" s="6">
        <f>IF(首页!$B$13="自然对流",IF(首页!$B$14="立式圆筒",首页!$B$10,PI()*B365/2),PI()*B365/2)</f>
        <v>55.2</v>
      </c>
      <c r="N365" s="7">
        <f>IF(首页!$B$13="强制对流",首页!$B$11*M365/H365,0)</f>
        <v>0</v>
      </c>
      <c r="O365" s="7">
        <f>IF(首页!$B$13="自然对流",IF(首页!$B$14="立式圆筒",(0.825+0.3063*I365^(1/6))^2+0.87*(M365/B365),(0.752+0.303*I365^(1/6))^2),0.3+SQRT((0.592*N365^0.5)^2+(0.0262*N365^0.8/(1-0.5/N365^0.1))^2))</f>
        <v>10076.378931506328</v>
      </c>
      <c r="P365" s="6">
        <f t="shared" si="55"/>
        <v>2.9510194925512497E-2</v>
      </c>
      <c r="Q365" s="6">
        <f t="shared" si="56"/>
        <v>5.3868823625376638</v>
      </c>
      <c r="R365" s="6">
        <f t="shared" si="57"/>
        <v>13.155616163039621</v>
      </c>
      <c r="S365" s="6">
        <f>IF($Y$2="按单位面积散热损失 qp",B365*LN(B365/首页!$B$4),LN(B365/首页!$B$4))</f>
        <v>1.6345645252064631</v>
      </c>
      <c r="T365" s="6">
        <f>IF($Y$2="按单位面积散热损失 qp",2*PI()*首页!$B$8*((E365-D365)/$Y$3-1/R365),2*PI()*首页!$B$8*((E365-D365)/$Y$4-1/(PI()*B365*R365)))</f>
        <v>4.0807514099397917E-2</v>
      </c>
      <c r="U365" t="str">
        <f t="shared" si="58"/>
        <v>按单位面积散热损失 qp</v>
      </c>
      <c r="V365" s="6">
        <f t="shared" si="59"/>
        <v>1.5937570111070651</v>
      </c>
    </row>
    <row r="366" spans="1:22" x14ac:dyDescent="0.15">
      <c r="A366">
        <v>361</v>
      </c>
      <c r="B366" s="6">
        <f>首页!$B$4+2*A366/1000</f>
        <v>0.84199999999999997</v>
      </c>
      <c r="C366" s="6">
        <f>首页!$B$7+273.15</f>
        <v>388.15</v>
      </c>
      <c r="D366" s="6">
        <f>首页!$B$6+273.15</f>
        <v>293.14999999999998</v>
      </c>
      <c r="E366" s="6">
        <f>首页!$B$5+273.15</f>
        <v>1373.15</v>
      </c>
      <c r="F366" s="6">
        <f t="shared" si="50"/>
        <v>95</v>
      </c>
      <c r="G366" s="6">
        <f t="shared" si="51"/>
        <v>340.65</v>
      </c>
      <c r="H366" s="6">
        <f t="shared" si="52"/>
        <v>1.9926207055139041E-5</v>
      </c>
      <c r="I366" s="7">
        <f t="shared" si="53"/>
        <v>1158916576932337.8</v>
      </c>
      <c r="J366" s="6">
        <f t="shared" si="54"/>
        <v>1.0226038455893147</v>
      </c>
      <c r="K366" s="7">
        <f>J366*H366*首页!$B$12/P366</f>
        <v>0.69532757496605813</v>
      </c>
      <c r="L366" s="6">
        <f>首页!$B$9*0.0000000567*((C366^4-D366^4)/(C366-D366))</f>
        <v>7.7687338005019564</v>
      </c>
      <c r="M366" s="6">
        <f>IF(首页!$B$13="自然对流",IF(首页!$B$14="立式圆筒",首页!$B$10,PI()*B366/2),PI()*B366/2)</f>
        <v>55.2</v>
      </c>
      <c r="N366" s="7">
        <f>IF(首页!$B$13="强制对流",首页!$B$11*M366/H366,0)</f>
        <v>0</v>
      </c>
      <c r="O366" s="7">
        <f>IF(首页!$B$13="自然对流",IF(首页!$B$14="立式圆筒",(0.825+0.3063*I366^(1/6))^2+0.87*(M366/B366),(0.752+0.303*I366^(1/6))^2),0.3+SQRT((0.592*N366^0.5)^2+(0.0262*N366^0.8/(1-0.5/N366^0.1))^2))</f>
        <v>10076.243132388581</v>
      </c>
      <c r="P366" s="6">
        <f t="shared" si="55"/>
        <v>2.9510194925512497E-2</v>
      </c>
      <c r="Q366" s="6">
        <f t="shared" si="56"/>
        <v>5.3868097636529644</v>
      </c>
      <c r="R366" s="6">
        <f t="shared" si="57"/>
        <v>13.155543564154922</v>
      </c>
      <c r="S366" s="6">
        <f>IF($Y$2="按单位面积散热损失 qp",B366*LN(B366/首页!$B$4),LN(B366/首页!$B$4))</f>
        <v>1.6404587245695563</v>
      </c>
      <c r="T366" s="6">
        <f>IF($Y$2="按单位面积散热损失 qp",2*PI()*首页!$B$8*((E366-D366)/$Y$3-1/R366),2*PI()*首页!$B$8*((E366-D366)/$Y$4-1/(PI()*B366*R366)))</f>
        <v>4.0807395494577514E-2</v>
      </c>
      <c r="U366" t="str">
        <f t="shared" si="58"/>
        <v>按单位面积散热损失 qp</v>
      </c>
      <c r="V366" s="6">
        <f t="shared" si="59"/>
        <v>1.5996513290749788</v>
      </c>
    </row>
    <row r="367" spans="1:22" x14ac:dyDescent="0.15">
      <c r="A367">
        <v>362</v>
      </c>
      <c r="B367" s="6">
        <f>首页!$B$4+2*A367/1000</f>
        <v>0.84399999999999997</v>
      </c>
      <c r="C367" s="6">
        <f>首页!$B$7+273.15</f>
        <v>388.15</v>
      </c>
      <c r="D367" s="6">
        <f>首页!$B$6+273.15</f>
        <v>293.14999999999998</v>
      </c>
      <c r="E367" s="6">
        <f>首页!$B$5+273.15</f>
        <v>1373.15</v>
      </c>
      <c r="F367" s="6">
        <f t="shared" si="50"/>
        <v>95</v>
      </c>
      <c r="G367" s="6">
        <f t="shared" si="51"/>
        <v>340.65</v>
      </c>
      <c r="H367" s="6">
        <f t="shared" si="52"/>
        <v>1.9926207055139041E-5</v>
      </c>
      <c r="I367" s="7">
        <f t="shared" si="53"/>
        <v>1158916576932337.8</v>
      </c>
      <c r="J367" s="6">
        <f t="shared" si="54"/>
        <v>1.0226038455893147</v>
      </c>
      <c r="K367" s="7">
        <f>J367*H367*首页!$B$12/P367</f>
        <v>0.69532757496605813</v>
      </c>
      <c r="L367" s="6">
        <f>首页!$B$9*0.0000000567*((C367^4-D367^4)/(C367-D367))</f>
        <v>7.7687338005019564</v>
      </c>
      <c r="M367" s="6">
        <f>IF(首页!$B$13="自然对流",IF(首页!$B$14="立式圆筒",首页!$B$10,PI()*B367/2),PI()*B367/2)</f>
        <v>55.2</v>
      </c>
      <c r="N367" s="7">
        <f>IF(首页!$B$13="强制对流",首页!$B$11*M367/H367,0)</f>
        <v>0</v>
      </c>
      <c r="O367" s="7">
        <f>IF(首页!$B$13="自然对流",IF(首页!$B$14="立式圆筒",(0.825+0.3063*I367^(1/6))^2+0.87*(M367/B367),(0.752+0.303*I367^(1/6))^2),0.3+SQRT((0.592*N367^0.5)^2+(0.0262*N367^0.8/(1-0.5/N367^0.1))^2))</f>
        <v>10076.107976868549</v>
      </c>
      <c r="P367" s="6">
        <f t="shared" si="55"/>
        <v>2.9510194925512497E-2</v>
      </c>
      <c r="Q367" s="6">
        <f t="shared" si="56"/>
        <v>5.3867375088388085</v>
      </c>
      <c r="R367" s="6">
        <f t="shared" si="57"/>
        <v>13.155471309340765</v>
      </c>
      <c r="S367" s="6">
        <f>IF($Y$2="按单位面积散热损失 qp",B367*LN(B367/首页!$B$4),LN(B367/首页!$B$4))</f>
        <v>1.646357674530941</v>
      </c>
      <c r="T367" s="6">
        <f>IF($Y$2="按单位面积散热损失 qp",2*PI()*首页!$B$8*((E367-D367)/$Y$3-1/R367),2*PI()*首页!$B$8*((E367-D367)/$Y$4-1/(PI()*B367*R367)))</f>
        <v>4.0807277450565511E-2</v>
      </c>
      <c r="U367" t="str">
        <f t="shared" si="58"/>
        <v>按单位面积散热损失 qp</v>
      </c>
      <c r="V367" s="6">
        <f t="shared" si="59"/>
        <v>1.6055503970803755</v>
      </c>
    </row>
    <row r="368" spans="1:22" x14ac:dyDescent="0.15">
      <c r="A368">
        <v>363</v>
      </c>
      <c r="B368" s="6">
        <f>首页!$B$4+2*A368/1000</f>
        <v>0.84599999999999997</v>
      </c>
      <c r="C368" s="6">
        <f>首页!$B$7+273.15</f>
        <v>388.15</v>
      </c>
      <c r="D368" s="6">
        <f>首页!$B$6+273.15</f>
        <v>293.14999999999998</v>
      </c>
      <c r="E368" s="6">
        <f>首页!$B$5+273.15</f>
        <v>1373.15</v>
      </c>
      <c r="F368" s="6">
        <f t="shared" si="50"/>
        <v>95</v>
      </c>
      <c r="G368" s="6">
        <f t="shared" si="51"/>
        <v>340.65</v>
      </c>
      <c r="H368" s="6">
        <f t="shared" si="52"/>
        <v>1.9926207055139041E-5</v>
      </c>
      <c r="I368" s="7">
        <f t="shared" si="53"/>
        <v>1158916576932337.8</v>
      </c>
      <c r="J368" s="6">
        <f t="shared" si="54"/>
        <v>1.0226038455893147</v>
      </c>
      <c r="K368" s="7">
        <f>J368*H368*首页!$B$12/P368</f>
        <v>0.69532757496605813</v>
      </c>
      <c r="L368" s="6">
        <f>首页!$B$9*0.0000000567*((C368^4-D368^4)/(C368-D368))</f>
        <v>7.7687338005019564</v>
      </c>
      <c r="M368" s="6">
        <f>IF(首页!$B$13="自然对流",IF(首页!$B$14="立式圆筒",首页!$B$10,PI()*B368/2),PI()*B368/2)</f>
        <v>55.2</v>
      </c>
      <c r="N368" s="7">
        <f>IF(首页!$B$13="强制对流",首页!$B$11*M368/H368,0)</f>
        <v>0</v>
      </c>
      <c r="O368" s="7">
        <f>IF(首页!$B$13="自然对流",IF(首页!$B$14="立式圆筒",(0.825+0.3063*I368^(1/6))^2+0.87*(M368/B368),(0.752+0.303*I368^(1/6))^2),0.3+SQRT((0.592*N368^0.5)^2+(0.0262*N368^0.8/(1-0.5/N368^0.1))^2))</f>
        <v>10075.973460381709</v>
      </c>
      <c r="P368" s="6">
        <f t="shared" si="55"/>
        <v>2.9510194925512497E-2</v>
      </c>
      <c r="Q368" s="6">
        <f t="shared" si="56"/>
        <v>5.3866655956549794</v>
      </c>
      <c r="R368" s="6">
        <f t="shared" si="57"/>
        <v>13.155399396156936</v>
      </c>
      <c r="S368" s="6">
        <f>IF($Y$2="按单位面积散热损失 qp",B368*LN(B368/首页!$B$4),LN(B368/首页!$B$4))</f>
        <v>1.6522613638332539</v>
      </c>
      <c r="T368" s="6">
        <f>IF($Y$2="按单位面积散热损失 qp",2*PI()*首页!$B$8*((E368-D368)/$Y$3-1/R368),2*PI()*首页!$B$8*((E368-D368)/$Y$4-1/(PI()*B368*R368)))</f>
        <v>4.0807159963393715E-2</v>
      </c>
      <c r="U368" t="str">
        <f t="shared" si="58"/>
        <v>按单位面积散热损失 qp</v>
      </c>
      <c r="V368" s="6">
        <f t="shared" si="59"/>
        <v>1.6114542038698603</v>
      </c>
    </row>
    <row r="369" spans="1:22" x14ac:dyDescent="0.15">
      <c r="A369">
        <v>364</v>
      </c>
      <c r="B369" s="6">
        <f>首页!$B$4+2*A369/1000</f>
        <v>0.84799999999999998</v>
      </c>
      <c r="C369" s="6">
        <f>首页!$B$7+273.15</f>
        <v>388.15</v>
      </c>
      <c r="D369" s="6">
        <f>首页!$B$6+273.15</f>
        <v>293.14999999999998</v>
      </c>
      <c r="E369" s="6">
        <f>首页!$B$5+273.15</f>
        <v>1373.15</v>
      </c>
      <c r="F369" s="6">
        <f t="shared" si="50"/>
        <v>95</v>
      </c>
      <c r="G369" s="6">
        <f t="shared" si="51"/>
        <v>340.65</v>
      </c>
      <c r="H369" s="6">
        <f t="shared" si="52"/>
        <v>1.9926207055139041E-5</v>
      </c>
      <c r="I369" s="7">
        <f t="shared" si="53"/>
        <v>1158916576932337.8</v>
      </c>
      <c r="J369" s="6">
        <f t="shared" si="54"/>
        <v>1.0226038455893147</v>
      </c>
      <c r="K369" s="7">
        <f>J369*H369*首页!$B$12/P369</f>
        <v>0.69532757496605813</v>
      </c>
      <c r="L369" s="6">
        <f>首页!$B$9*0.0000000567*((C369^4-D369^4)/(C369-D369))</f>
        <v>7.7687338005019564</v>
      </c>
      <c r="M369" s="6">
        <f>IF(首页!$B$13="自然对流",IF(首页!$B$14="立式圆筒",首页!$B$10,PI()*B369/2),PI()*B369/2)</f>
        <v>55.2</v>
      </c>
      <c r="N369" s="7">
        <f>IF(首页!$B$13="强制对流",首页!$B$11*M369/H369,0)</f>
        <v>0</v>
      </c>
      <c r="O369" s="7">
        <f>IF(首页!$B$13="自然对流",IF(首页!$B$14="立式圆筒",(0.825+0.3063*I369^(1/6))^2+0.87*(M369/B369),(0.752+0.303*I369^(1/6))^2),0.3+SQRT((0.592*N369^0.5)^2+(0.0262*N369^0.8/(1-0.5/N369^0.1))^2))</f>
        <v>10075.839578406598</v>
      </c>
      <c r="P369" s="6">
        <f t="shared" si="55"/>
        <v>2.9510194925512497E-2</v>
      </c>
      <c r="Q369" s="6">
        <f t="shared" si="56"/>
        <v>5.3865940216842816</v>
      </c>
      <c r="R369" s="6">
        <f t="shared" si="57"/>
        <v>13.155327822186237</v>
      </c>
      <c r="S369" s="6">
        <f>IF($Y$2="按单位面积散热损失 qp",B369*LN(B369/首页!$B$4),LN(B369/首页!$B$4))</f>
        <v>1.6581697812723588</v>
      </c>
      <c r="T369" s="6">
        <f>IF($Y$2="按单位面积散热损失 qp",2*PI()*首页!$B$8*((E369-D369)/$Y$3-1/R369),2*PI()*首页!$B$8*((E369-D369)/$Y$4-1/(PI()*B369*R369)))</f>
        <v>4.0807043029131275E-2</v>
      </c>
      <c r="U369" t="str">
        <f t="shared" si="58"/>
        <v>按单位面积散热损失 qp</v>
      </c>
      <c r="V369" s="6">
        <f t="shared" si="59"/>
        <v>1.6173627382432276</v>
      </c>
    </row>
    <row r="370" spans="1:22" x14ac:dyDescent="0.15">
      <c r="A370">
        <v>365</v>
      </c>
      <c r="B370" s="6">
        <f>首页!$B$4+2*A370/1000</f>
        <v>0.85</v>
      </c>
      <c r="C370" s="6">
        <f>首页!$B$7+273.15</f>
        <v>388.15</v>
      </c>
      <c r="D370" s="6">
        <f>首页!$B$6+273.15</f>
        <v>293.14999999999998</v>
      </c>
      <c r="E370" s="6">
        <f>首页!$B$5+273.15</f>
        <v>1373.15</v>
      </c>
      <c r="F370" s="6">
        <f t="shared" si="50"/>
        <v>95</v>
      </c>
      <c r="G370" s="6">
        <f t="shared" si="51"/>
        <v>340.65</v>
      </c>
      <c r="H370" s="6">
        <f t="shared" si="52"/>
        <v>1.9926207055139041E-5</v>
      </c>
      <c r="I370" s="7">
        <f t="shared" si="53"/>
        <v>1158916576932337.8</v>
      </c>
      <c r="J370" s="6">
        <f t="shared" si="54"/>
        <v>1.0226038455893147</v>
      </c>
      <c r="K370" s="7">
        <f>J370*H370*首页!$B$12/P370</f>
        <v>0.69532757496605813</v>
      </c>
      <c r="L370" s="6">
        <f>首页!$B$9*0.0000000567*((C370^4-D370^4)/(C370-D370))</f>
        <v>7.7687338005019564</v>
      </c>
      <c r="M370" s="6">
        <f>IF(首页!$B$13="自然对流",IF(首页!$B$14="立式圆筒",首页!$B$10,PI()*B370/2),PI()*B370/2)</f>
        <v>55.2</v>
      </c>
      <c r="N370" s="7">
        <f>IF(首页!$B$13="强制对流",首页!$B$11*M370/H370,0)</f>
        <v>0</v>
      </c>
      <c r="O370" s="7">
        <f>IF(首页!$B$13="自然对流",IF(首页!$B$14="立式圆筒",(0.825+0.3063*I370^(1/6))^2+0.87*(M370/B370),(0.752+0.303*I370^(1/6))^2),0.3+SQRT((0.592*N370^0.5)^2+(0.0262*N370^0.8/(1-0.5/N370^0.1))^2))</f>
        <v>10075.706326464311</v>
      </c>
      <c r="P370" s="6">
        <f t="shared" si="55"/>
        <v>2.9510194925512497E-2</v>
      </c>
      <c r="Q370" s="6">
        <f t="shared" si="56"/>
        <v>5.3865227845322696</v>
      </c>
      <c r="R370" s="6">
        <f t="shared" si="57"/>
        <v>13.155256585034227</v>
      </c>
      <c r="S370" s="6">
        <f>IF($Y$2="按单位面积散热损失 qp",B370*LN(B370/首页!$B$4),LN(B370/首页!$B$4))</f>
        <v>1.6640829156969685</v>
      </c>
      <c r="T370" s="6">
        <f>IF($Y$2="按单位面积散热损失 qp",2*PI()*首页!$B$8*((E370-D370)/$Y$3-1/R370),2*PI()*首页!$B$8*((E370-D370)/$Y$4-1/(PI()*B370*R370)))</f>
        <v>4.0806926643884286E-2</v>
      </c>
      <c r="U370" t="str">
        <f t="shared" si="58"/>
        <v>按单位面积散热损失 qp</v>
      </c>
      <c r="V370" s="6">
        <f t="shared" si="59"/>
        <v>1.6232759890530843</v>
      </c>
    </row>
    <row r="371" spans="1:22" x14ac:dyDescent="0.15">
      <c r="A371">
        <v>366</v>
      </c>
      <c r="B371" s="6">
        <f>首页!$B$4+2*A371/1000</f>
        <v>0.85199999999999998</v>
      </c>
      <c r="C371" s="6">
        <f>首页!$B$7+273.15</f>
        <v>388.15</v>
      </c>
      <c r="D371" s="6">
        <f>首页!$B$6+273.15</f>
        <v>293.14999999999998</v>
      </c>
      <c r="E371" s="6">
        <f>首页!$B$5+273.15</f>
        <v>1373.15</v>
      </c>
      <c r="F371" s="6">
        <f t="shared" si="50"/>
        <v>95</v>
      </c>
      <c r="G371" s="6">
        <f t="shared" si="51"/>
        <v>340.65</v>
      </c>
      <c r="H371" s="6">
        <f t="shared" si="52"/>
        <v>1.9926207055139041E-5</v>
      </c>
      <c r="I371" s="7">
        <f t="shared" si="53"/>
        <v>1158916576932337.8</v>
      </c>
      <c r="J371" s="6">
        <f t="shared" si="54"/>
        <v>1.0226038455893147</v>
      </c>
      <c r="K371" s="7">
        <f>J371*H371*首页!$B$12/P371</f>
        <v>0.69532757496605813</v>
      </c>
      <c r="L371" s="6">
        <f>首页!$B$9*0.0000000567*((C371^4-D371^4)/(C371-D371))</f>
        <v>7.7687338005019564</v>
      </c>
      <c r="M371" s="6">
        <f>IF(首页!$B$13="自然对流",IF(首页!$B$14="立式圆筒",首页!$B$10,PI()*B371/2),PI()*B371/2)</f>
        <v>55.2</v>
      </c>
      <c r="N371" s="7">
        <f>IF(首页!$B$13="强制对流",首页!$B$11*M371/H371,0)</f>
        <v>0</v>
      </c>
      <c r="O371" s="7">
        <f>IF(首页!$B$13="自然对流",IF(首页!$B$14="立式圆筒",(0.825+0.3063*I371^(1/6))^2+0.87*(M371/B371),(0.752+0.303*I371^(1/6))^2),0.3+SQRT((0.592*N371^0.5)^2+(0.0262*N371^0.8/(1-0.5/N371^0.1))^2))</f>
        <v>10075.573700117999</v>
      </c>
      <c r="P371" s="6">
        <f t="shared" si="55"/>
        <v>2.9510194925512497E-2</v>
      </c>
      <c r="Q371" s="6">
        <f t="shared" si="56"/>
        <v>5.3864518818269804</v>
      </c>
      <c r="R371" s="6">
        <f t="shared" si="57"/>
        <v>13.155185682328938</v>
      </c>
      <c r="S371" s="6">
        <f>IF($Y$2="按单位面积散热损失 qp",B371*LN(B371/首页!$B$4),LN(B371/首页!$B$4))</f>
        <v>1.6700007560082739</v>
      </c>
      <c r="T371" s="6">
        <f>IF($Y$2="按单位面积散热损失 qp",2*PI()*首页!$B$8*((E371-D371)/$Y$3-1/R371),2*PI()*首页!$B$8*((E371-D371)/$Y$4-1/(PI()*B371*R371)))</f>
        <v>4.0806810803795279E-2</v>
      </c>
      <c r="U371" t="str">
        <f t="shared" si="58"/>
        <v>按单位面积散热损失 qp</v>
      </c>
      <c r="V371" s="6">
        <f t="shared" si="59"/>
        <v>1.6291939452044786</v>
      </c>
    </row>
    <row r="372" spans="1:22" x14ac:dyDescent="0.15">
      <c r="A372">
        <v>367</v>
      </c>
      <c r="B372" s="6">
        <f>首页!$B$4+2*A372/1000</f>
        <v>0.85399999999999998</v>
      </c>
      <c r="C372" s="6">
        <f>首页!$B$7+273.15</f>
        <v>388.15</v>
      </c>
      <c r="D372" s="6">
        <f>首页!$B$6+273.15</f>
        <v>293.14999999999998</v>
      </c>
      <c r="E372" s="6">
        <f>首页!$B$5+273.15</f>
        <v>1373.15</v>
      </c>
      <c r="F372" s="6">
        <f t="shared" si="50"/>
        <v>95</v>
      </c>
      <c r="G372" s="6">
        <f t="shared" si="51"/>
        <v>340.65</v>
      </c>
      <c r="H372" s="6">
        <f t="shared" si="52"/>
        <v>1.9926207055139041E-5</v>
      </c>
      <c r="I372" s="7">
        <f t="shared" si="53"/>
        <v>1158916576932337.8</v>
      </c>
      <c r="J372" s="6">
        <f t="shared" si="54"/>
        <v>1.0226038455893147</v>
      </c>
      <c r="K372" s="7">
        <f>J372*H372*首页!$B$12/P372</f>
        <v>0.69532757496605813</v>
      </c>
      <c r="L372" s="6">
        <f>首页!$B$9*0.0000000567*((C372^4-D372^4)/(C372-D372))</f>
        <v>7.7687338005019564</v>
      </c>
      <c r="M372" s="6">
        <f>IF(首页!$B$13="自然对流",IF(首页!$B$14="立式圆筒",首页!$B$10,PI()*B372/2),PI()*B372/2)</f>
        <v>55.2</v>
      </c>
      <c r="N372" s="7">
        <f>IF(首页!$B$13="强制对流",首页!$B$11*M372/H372,0)</f>
        <v>0</v>
      </c>
      <c r="O372" s="7">
        <f>IF(首页!$B$13="自然对流",IF(首页!$B$14="立式圆筒",(0.825+0.3063*I372^(1/6))^2+0.87*(M372/B372),(0.752+0.303*I372^(1/6))^2),0.3+SQRT((0.592*N372^0.5)^2+(0.0262*N372^0.8/(1-0.5/N372^0.1))^2))</f>
        <v>10075.441694972371</v>
      </c>
      <c r="P372" s="6">
        <f t="shared" si="55"/>
        <v>2.9510194925512497E-2</v>
      </c>
      <c r="Q372" s="6">
        <f t="shared" si="56"/>
        <v>5.3863813112186714</v>
      </c>
      <c r="R372" s="6">
        <f t="shared" si="57"/>
        <v>13.155115111720628</v>
      </c>
      <c r="S372" s="6">
        <f>IF($Y$2="按单位面积散热损失 qp",B372*LN(B372/首页!$B$4),LN(B372/首页!$B$4))</f>
        <v>1.6759232911595714</v>
      </c>
      <c r="T372" s="6">
        <f>IF($Y$2="按单位面积散热损失 qp",2*PI()*首页!$B$8*((E372-D372)/$Y$3-1/R372),2*PI()*首页!$B$8*((E372-D372)/$Y$4-1/(PI()*B372*R372)))</f>
        <v>4.0806695505042866E-2</v>
      </c>
      <c r="U372" t="str">
        <f t="shared" si="58"/>
        <v>按单位面积散热损失 qp</v>
      </c>
      <c r="V372" s="6">
        <f t="shared" si="59"/>
        <v>1.6351165956545286</v>
      </c>
    </row>
    <row r="373" spans="1:22" x14ac:dyDescent="0.15">
      <c r="A373">
        <v>368</v>
      </c>
      <c r="B373" s="6">
        <f>首页!$B$4+2*A373/1000</f>
        <v>0.85599999999999998</v>
      </c>
      <c r="C373" s="6">
        <f>首页!$B$7+273.15</f>
        <v>388.15</v>
      </c>
      <c r="D373" s="6">
        <f>首页!$B$6+273.15</f>
        <v>293.14999999999998</v>
      </c>
      <c r="E373" s="6">
        <f>首页!$B$5+273.15</f>
        <v>1373.15</v>
      </c>
      <c r="F373" s="6">
        <f t="shared" si="50"/>
        <v>95</v>
      </c>
      <c r="G373" s="6">
        <f t="shared" si="51"/>
        <v>340.65</v>
      </c>
      <c r="H373" s="6">
        <f t="shared" si="52"/>
        <v>1.9926207055139041E-5</v>
      </c>
      <c r="I373" s="7">
        <f t="shared" si="53"/>
        <v>1158916576932337.8</v>
      </c>
      <c r="J373" s="6">
        <f t="shared" si="54"/>
        <v>1.0226038455893147</v>
      </c>
      <c r="K373" s="7">
        <f>J373*H373*首页!$B$12/P373</f>
        <v>0.69532757496605813</v>
      </c>
      <c r="L373" s="6">
        <f>首页!$B$9*0.0000000567*((C373^4-D373^4)/(C373-D373))</f>
        <v>7.7687338005019564</v>
      </c>
      <c r="M373" s="6">
        <f>IF(首页!$B$13="自然对流",IF(首页!$B$14="立式圆筒",首页!$B$10,PI()*B373/2),PI()*B373/2)</f>
        <v>55.2</v>
      </c>
      <c r="N373" s="7">
        <f>IF(首页!$B$13="强制对流",首页!$B$11*M373/H373,0)</f>
        <v>0</v>
      </c>
      <c r="O373" s="7">
        <f>IF(首页!$B$13="自然对流",IF(首页!$B$14="立式圆筒",(0.825+0.3063*I373^(1/6))^2+0.87*(M373/B373),(0.752+0.303*I373^(1/6))^2),0.3+SQRT((0.592*N373^0.5)^2+(0.0262*N373^0.8/(1-0.5/N373^0.1))^2))</f>
        <v>10075.310306673218</v>
      </c>
      <c r="P373" s="6">
        <f t="shared" si="55"/>
        <v>2.9510194925512497E-2</v>
      </c>
      <c r="Q373" s="6">
        <f t="shared" si="56"/>
        <v>5.38631107037956</v>
      </c>
      <c r="R373" s="6">
        <f t="shared" si="57"/>
        <v>13.155044870881516</v>
      </c>
      <c r="S373" s="6">
        <f>IF($Y$2="按单位面积散热损失 qp",B373*LN(B373/首页!$B$4),LN(B373/首页!$B$4))</f>
        <v>1.6818505101558998</v>
      </c>
      <c r="T373" s="6">
        <f>IF($Y$2="按单位面积散热损失 qp",2*PI()*首页!$B$8*((E373-D373)/$Y$3-1/R373),2*PI()*首页!$B$8*((E373-D373)/$Y$4-1/(PI()*B373*R373)))</f>
        <v>4.0806580743841282E-2</v>
      </c>
      <c r="U373" t="str">
        <f t="shared" si="58"/>
        <v>按单位面积散热损失 qp</v>
      </c>
      <c r="V373" s="6">
        <f t="shared" si="59"/>
        <v>1.6410439294120585</v>
      </c>
    </row>
    <row r="374" spans="1:22" x14ac:dyDescent="0.15">
      <c r="A374">
        <v>369</v>
      </c>
      <c r="B374" s="6">
        <f>首页!$B$4+2*A374/1000</f>
        <v>0.85799999999999998</v>
      </c>
      <c r="C374" s="6">
        <f>首页!$B$7+273.15</f>
        <v>388.15</v>
      </c>
      <c r="D374" s="6">
        <f>首页!$B$6+273.15</f>
        <v>293.14999999999998</v>
      </c>
      <c r="E374" s="6">
        <f>首页!$B$5+273.15</f>
        <v>1373.15</v>
      </c>
      <c r="F374" s="6">
        <f t="shared" si="50"/>
        <v>95</v>
      </c>
      <c r="G374" s="6">
        <f t="shared" si="51"/>
        <v>340.65</v>
      </c>
      <c r="H374" s="6">
        <f t="shared" si="52"/>
        <v>1.9926207055139041E-5</v>
      </c>
      <c r="I374" s="7">
        <f t="shared" si="53"/>
        <v>1158916576932337.8</v>
      </c>
      <c r="J374" s="6">
        <f t="shared" si="54"/>
        <v>1.0226038455893147</v>
      </c>
      <c r="K374" s="7">
        <f>J374*H374*首页!$B$12/P374</f>
        <v>0.69532757496605813</v>
      </c>
      <c r="L374" s="6">
        <f>首页!$B$9*0.0000000567*((C374^4-D374^4)/(C374-D374))</f>
        <v>7.7687338005019564</v>
      </c>
      <c r="M374" s="6">
        <f>IF(首页!$B$13="自然对流",IF(首页!$B$14="立式圆筒",首页!$B$10,PI()*B374/2),PI()*B374/2)</f>
        <v>55.2</v>
      </c>
      <c r="N374" s="7">
        <f>IF(首页!$B$13="强制对流",首页!$B$11*M374/H374,0)</f>
        <v>0</v>
      </c>
      <c r="O374" s="7">
        <f>IF(首页!$B$13="自然对流",IF(首页!$B$14="立式圆筒",(0.825+0.3063*I374^(1/6))^2+0.87*(M374/B374),(0.752+0.303*I374^(1/6))^2),0.3+SQRT((0.592*N374^0.5)^2+(0.0262*N374^0.8/(1-0.5/N374^0.1))^2))</f>
        <v>10075.179530906928</v>
      </c>
      <c r="P374" s="6">
        <f t="shared" si="55"/>
        <v>2.9510194925512497E-2</v>
      </c>
      <c r="Q374" s="6">
        <f t="shared" si="56"/>
        <v>5.3862411570035684</v>
      </c>
      <c r="R374" s="6">
        <f t="shared" si="57"/>
        <v>13.154974957505525</v>
      </c>
      <c r="S374" s="6">
        <f>IF($Y$2="按单位面积散热损失 qp",B374*LN(B374/首页!$B$4),LN(B374/首页!$B$4))</f>
        <v>1.6877824020536762</v>
      </c>
      <c r="T374" s="6">
        <f>IF($Y$2="按单位面积散热损失 qp",2*PI()*首页!$B$8*((E374-D374)/$Y$3-1/R374),2*PI()*首页!$B$8*((E374-D374)/$Y$4-1/(PI()*B374*R374)))</f>
        <v>4.0806466516439974E-2</v>
      </c>
      <c r="U374" t="str">
        <f t="shared" si="58"/>
        <v>按单位面积散热损失 qp</v>
      </c>
      <c r="V374" s="6">
        <f t="shared" si="59"/>
        <v>1.6469759355372362</v>
      </c>
    </row>
    <row r="375" spans="1:22" x14ac:dyDescent="0.15">
      <c r="A375">
        <v>370</v>
      </c>
      <c r="B375" s="6">
        <f>首页!$B$4+2*A375/1000</f>
        <v>0.86</v>
      </c>
      <c r="C375" s="6">
        <f>首页!$B$7+273.15</f>
        <v>388.15</v>
      </c>
      <c r="D375" s="6">
        <f>首页!$B$6+273.15</f>
        <v>293.14999999999998</v>
      </c>
      <c r="E375" s="6">
        <f>首页!$B$5+273.15</f>
        <v>1373.15</v>
      </c>
      <c r="F375" s="6">
        <f t="shared" si="50"/>
        <v>95</v>
      </c>
      <c r="G375" s="6">
        <f t="shared" si="51"/>
        <v>340.65</v>
      </c>
      <c r="H375" s="6">
        <f t="shared" si="52"/>
        <v>1.9926207055139041E-5</v>
      </c>
      <c r="I375" s="7">
        <f t="shared" si="53"/>
        <v>1158916576932337.8</v>
      </c>
      <c r="J375" s="6">
        <f t="shared" si="54"/>
        <v>1.0226038455893147</v>
      </c>
      <c r="K375" s="7">
        <f>J375*H375*首页!$B$12/P375</f>
        <v>0.69532757496605813</v>
      </c>
      <c r="L375" s="6">
        <f>首页!$B$9*0.0000000567*((C375^4-D375^4)/(C375-D375))</f>
        <v>7.7687338005019564</v>
      </c>
      <c r="M375" s="6">
        <f>IF(首页!$B$13="自然对流",IF(首页!$B$14="立式圆筒",首页!$B$10,PI()*B375/2),PI()*B375/2)</f>
        <v>55.2</v>
      </c>
      <c r="N375" s="7">
        <f>IF(首页!$B$13="强制对流",首页!$B$11*M375/H375,0)</f>
        <v>0</v>
      </c>
      <c r="O375" s="7">
        <f>IF(首页!$B$13="自然对流",IF(首页!$B$14="立式圆筒",(0.825+0.3063*I375^(1/6))^2+0.87*(M375/B375),(0.752+0.303*I375^(1/6))^2),0.3+SQRT((0.592*N375^0.5)^2+(0.0262*N375^0.8/(1-0.5/N375^0.1))^2))</f>
        <v>10075.049363400016</v>
      </c>
      <c r="P375" s="6">
        <f t="shared" si="55"/>
        <v>2.9510194925512497E-2</v>
      </c>
      <c r="Q375" s="6">
        <f t="shared" si="56"/>
        <v>5.3861715688060698</v>
      </c>
      <c r="R375" s="6">
        <f t="shared" si="57"/>
        <v>13.154905369308025</v>
      </c>
      <c r="S375" s="6">
        <f>IF($Y$2="按单位面积散热损失 qp",B375*LN(B375/首页!$B$4),LN(B375/首页!$B$4))</f>
        <v>1.6937189559603363</v>
      </c>
      <c r="T375" s="6">
        <f>IF($Y$2="按单位面积散热损失 qp",2*PI()*首页!$B$8*((E375-D375)/$Y$3-1/R375),2*PI()*首页!$B$8*((E375-D375)/$Y$4-1/(PI()*B375*R375)))</f>
        <v>4.0806352819123218E-2</v>
      </c>
      <c r="U375" t="str">
        <f t="shared" si="58"/>
        <v>按单位面积散热损失 qp</v>
      </c>
      <c r="V375" s="6">
        <f t="shared" si="59"/>
        <v>1.6529126031412131</v>
      </c>
    </row>
    <row r="376" spans="1:22" x14ac:dyDescent="0.15">
      <c r="A376">
        <v>371</v>
      </c>
      <c r="B376" s="6">
        <f>首页!$B$4+2*A376/1000</f>
        <v>0.86199999999999999</v>
      </c>
      <c r="C376" s="6">
        <f>首页!$B$7+273.15</f>
        <v>388.15</v>
      </c>
      <c r="D376" s="6">
        <f>首页!$B$6+273.15</f>
        <v>293.14999999999998</v>
      </c>
      <c r="E376" s="6">
        <f>首页!$B$5+273.15</f>
        <v>1373.15</v>
      </c>
      <c r="F376" s="6">
        <f t="shared" si="50"/>
        <v>95</v>
      </c>
      <c r="G376" s="6">
        <f t="shared" si="51"/>
        <v>340.65</v>
      </c>
      <c r="H376" s="6">
        <f t="shared" si="52"/>
        <v>1.9926207055139041E-5</v>
      </c>
      <c r="I376" s="7">
        <f t="shared" si="53"/>
        <v>1158916576932337.8</v>
      </c>
      <c r="J376" s="6">
        <f t="shared" si="54"/>
        <v>1.0226038455893147</v>
      </c>
      <c r="K376" s="7">
        <f>J376*H376*首页!$B$12/P376</f>
        <v>0.69532757496605813</v>
      </c>
      <c r="L376" s="6">
        <f>首页!$B$9*0.0000000567*((C376^4-D376^4)/(C376-D376))</f>
        <v>7.7687338005019564</v>
      </c>
      <c r="M376" s="6">
        <f>IF(首页!$B$13="自然对流",IF(首页!$B$14="立式圆筒",首页!$B$10,PI()*B376/2),PI()*B376/2)</f>
        <v>55.2</v>
      </c>
      <c r="N376" s="7">
        <f>IF(首页!$B$13="强制对流",首页!$B$11*M376/H376,0)</f>
        <v>0</v>
      </c>
      <c r="O376" s="7">
        <f>IF(首页!$B$13="自然对流",IF(首页!$B$14="立式圆筒",(0.825+0.3063*I376^(1/6))^2+0.87*(M376/B376),(0.752+0.303*I376^(1/6))^2),0.3+SQRT((0.592*N376^0.5)^2+(0.0262*N376^0.8/(1-0.5/N376^0.1))^2))</f>
        <v>10074.919799918658</v>
      </c>
      <c r="P376" s="6">
        <f t="shared" si="55"/>
        <v>2.9510194925512497E-2</v>
      </c>
      <c r="Q376" s="6">
        <f t="shared" si="56"/>
        <v>5.3861023035236402</v>
      </c>
      <c r="R376" s="6">
        <f t="shared" si="57"/>
        <v>13.154836104025597</v>
      </c>
      <c r="S376" s="6">
        <f>IF($Y$2="按单位面积散热损失 qp",B376*LN(B376/首页!$B$4),LN(B376/首页!$B$4))</f>
        <v>1.6996601610339799</v>
      </c>
      <c r="T376" s="6">
        <f>IF($Y$2="按单位面积散热损失 qp",2*PI()*首页!$B$8*((E376-D376)/$Y$3-1/R376),2*PI()*首页!$B$8*((E376-D376)/$Y$4-1/(PI()*B376*R376)))</f>
        <v>4.0806239648209668E-2</v>
      </c>
      <c r="U376" t="str">
        <f t="shared" si="58"/>
        <v>按单位面积散热损失 qp</v>
      </c>
      <c r="V376" s="6">
        <f t="shared" si="59"/>
        <v>1.6588539213857703</v>
      </c>
    </row>
    <row r="377" spans="1:22" x14ac:dyDescent="0.15">
      <c r="A377">
        <v>372</v>
      </c>
      <c r="B377" s="6">
        <f>首页!$B$4+2*A377/1000</f>
        <v>0.86399999999999999</v>
      </c>
      <c r="C377" s="6">
        <f>首页!$B$7+273.15</f>
        <v>388.15</v>
      </c>
      <c r="D377" s="6">
        <f>首页!$B$6+273.15</f>
        <v>293.14999999999998</v>
      </c>
      <c r="E377" s="6">
        <f>首页!$B$5+273.15</f>
        <v>1373.15</v>
      </c>
      <c r="F377" s="6">
        <f t="shared" si="50"/>
        <v>95</v>
      </c>
      <c r="G377" s="6">
        <f t="shared" si="51"/>
        <v>340.65</v>
      </c>
      <c r="H377" s="6">
        <f t="shared" si="52"/>
        <v>1.9926207055139041E-5</v>
      </c>
      <c r="I377" s="7">
        <f t="shared" si="53"/>
        <v>1158916576932337.8</v>
      </c>
      <c r="J377" s="6">
        <f t="shared" si="54"/>
        <v>1.0226038455893147</v>
      </c>
      <c r="K377" s="7">
        <f>J377*H377*首页!$B$12/P377</f>
        <v>0.69532757496605813</v>
      </c>
      <c r="L377" s="6">
        <f>首页!$B$9*0.0000000567*((C377^4-D377^4)/(C377-D377))</f>
        <v>7.7687338005019564</v>
      </c>
      <c r="M377" s="6">
        <f>IF(首页!$B$13="自然对流",IF(首页!$B$14="立式圆筒",首页!$B$10,PI()*B377/2),PI()*B377/2)</f>
        <v>55.2</v>
      </c>
      <c r="N377" s="7">
        <f>IF(首页!$B$13="强制对流",首页!$B$11*M377/H377,0)</f>
        <v>0</v>
      </c>
      <c r="O377" s="7">
        <f>IF(首页!$B$13="自然对流",IF(首页!$B$14="立式圆筒",(0.825+0.3063*I377^(1/6))^2+0.87*(M377/B377),(0.752+0.303*I377^(1/6))^2),0.3+SQRT((0.592*N377^0.5)^2+(0.0262*N377^0.8/(1-0.5/N377^0.1))^2))</f>
        <v>10074.790836268234</v>
      </c>
      <c r="P377" s="6">
        <f t="shared" si="55"/>
        <v>2.9510194925512497E-2</v>
      </c>
      <c r="Q377" s="6">
        <f t="shared" si="56"/>
        <v>5.3860333589138154</v>
      </c>
      <c r="R377" s="6">
        <f t="shared" si="57"/>
        <v>13.154767159415773</v>
      </c>
      <c r="S377" s="6">
        <f>IF($Y$2="按单位面积散热损失 qp",B377*LN(B377/首页!$B$4),LN(B377/首页!$B$4))</f>
        <v>1.7056060064830163</v>
      </c>
      <c r="T377" s="6">
        <f>IF($Y$2="按单位面积散热损失 qp",2*PI()*首页!$B$8*((E377-D377)/$Y$3-1/R377),2*PI()*首页!$B$8*((E377-D377)/$Y$4-1/(PI()*B377*R377)))</f>
        <v>4.0806127000052025E-2</v>
      </c>
      <c r="U377" t="str">
        <f t="shared" si="58"/>
        <v>按单位面积散热损失 qp</v>
      </c>
      <c r="V377" s="6">
        <f t="shared" si="59"/>
        <v>1.6647998794829644</v>
      </c>
    </row>
    <row r="378" spans="1:22" x14ac:dyDescent="0.15">
      <c r="A378">
        <v>373</v>
      </c>
      <c r="B378" s="6">
        <f>首页!$B$4+2*A378/1000</f>
        <v>0.86599999999999999</v>
      </c>
      <c r="C378" s="6">
        <f>首页!$B$7+273.15</f>
        <v>388.15</v>
      </c>
      <c r="D378" s="6">
        <f>首页!$B$6+273.15</f>
        <v>293.14999999999998</v>
      </c>
      <c r="E378" s="6">
        <f>首页!$B$5+273.15</f>
        <v>1373.15</v>
      </c>
      <c r="F378" s="6">
        <f t="shared" si="50"/>
        <v>95</v>
      </c>
      <c r="G378" s="6">
        <f t="shared" si="51"/>
        <v>340.65</v>
      </c>
      <c r="H378" s="6">
        <f t="shared" si="52"/>
        <v>1.9926207055139041E-5</v>
      </c>
      <c r="I378" s="7">
        <f t="shared" si="53"/>
        <v>1158916576932337.8</v>
      </c>
      <c r="J378" s="6">
        <f t="shared" si="54"/>
        <v>1.0226038455893147</v>
      </c>
      <c r="K378" s="7">
        <f>J378*H378*首页!$B$12/P378</f>
        <v>0.69532757496605813</v>
      </c>
      <c r="L378" s="6">
        <f>首页!$B$9*0.0000000567*((C378^4-D378^4)/(C378-D378))</f>
        <v>7.7687338005019564</v>
      </c>
      <c r="M378" s="6">
        <f>IF(首页!$B$13="自然对流",IF(首页!$B$14="立式圆筒",首页!$B$10,PI()*B378/2),PI()*B378/2)</f>
        <v>55.2</v>
      </c>
      <c r="N378" s="7">
        <f>IF(首页!$B$13="强制对流",首页!$B$11*M378/H378,0)</f>
        <v>0</v>
      </c>
      <c r="O378" s="7">
        <f>IF(首页!$B$13="自然对流",IF(首页!$B$14="立式圆筒",(0.825+0.3063*I378^(1/6))^2+0.87*(M378/B378),(0.752+0.303*I378^(1/6))^2),0.3+SQRT((0.592*N378^0.5)^2+(0.0262*N378^0.8/(1-0.5/N378^0.1))^2))</f>
        <v>10074.662468292867</v>
      </c>
      <c r="P378" s="6">
        <f t="shared" si="55"/>
        <v>2.9510194925512497E-2</v>
      </c>
      <c r="Q378" s="6">
        <f t="shared" si="56"/>
        <v>5.385964732754843</v>
      </c>
      <c r="R378" s="6">
        <f t="shared" si="57"/>
        <v>13.154698533256798</v>
      </c>
      <c r="S378" s="6">
        <f>IF($Y$2="按单位面积散热损失 qp",B378*LN(B378/首页!$B$4),LN(B378/首页!$B$4))</f>
        <v>1.7115564815658171</v>
      </c>
      <c r="T378" s="6">
        <f>IF($Y$2="按单位面积散热损失 qp",2*PI()*首页!$B$8*((E378-D378)/$Y$3-1/R378),2*PI()*首页!$B$8*((E378-D378)/$Y$4-1/(PI()*B378*R378)))</f>
        <v>4.0806014871036564E-2</v>
      </c>
      <c r="U378" t="str">
        <f t="shared" si="58"/>
        <v>按单位面积散热损失 qp</v>
      </c>
      <c r="V378" s="6">
        <f t="shared" si="59"/>
        <v>1.6707504666947806</v>
      </c>
    </row>
    <row r="379" spans="1:22" x14ac:dyDescent="0.15">
      <c r="A379">
        <v>374</v>
      </c>
      <c r="B379" s="6">
        <f>首页!$B$4+2*A379/1000</f>
        <v>0.86799999999999999</v>
      </c>
      <c r="C379" s="6">
        <f>首页!$B$7+273.15</f>
        <v>388.15</v>
      </c>
      <c r="D379" s="6">
        <f>首页!$B$6+273.15</f>
        <v>293.14999999999998</v>
      </c>
      <c r="E379" s="6">
        <f>首页!$B$5+273.15</f>
        <v>1373.15</v>
      </c>
      <c r="F379" s="6">
        <f t="shared" si="50"/>
        <v>95</v>
      </c>
      <c r="G379" s="6">
        <f t="shared" si="51"/>
        <v>340.65</v>
      </c>
      <c r="H379" s="6">
        <f t="shared" si="52"/>
        <v>1.9926207055139041E-5</v>
      </c>
      <c r="I379" s="7">
        <f t="shared" si="53"/>
        <v>1158916576932337.8</v>
      </c>
      <c r="J379" s="6">
        <f t="shared" si="54"/>
        <v>1.0226038455893147</v>
      </c>
      <c r="K379" s="7">
        <f>J379*H379*首页!$B$12/P379</f>
        <v>0.69532757496605813</v>
      </c>
      <c r="L379" s="6">
        <f>首页!$B$9*0.0000000567*((C379^4-D379^4)/(C379-D379))</f>
        <v>7.7687338005019564</v>
      </c>
      <c r="M379" s="6">
        <f>IF(首页!$B$13="自然对流",IF(首页!$B$14="立式圆筒",首页!$B$10,PI()*B379/2),PI()*B379/2)</f>
        <v>55.2</v>
      </c>
      <c r="N379" s="7">
        <f>IF(首页!$B$13="强制对流",首页!$B$11*M379/H379,0)</f>
        <v>0</v>
      </c>
      <c r="O379" s="7">
        <f>IF(首页!$B$13="自然对流",IF(首页!$B$14="立式圆筒",(0.825+0.3063*I379^(1/6))^2+0.87*(M379/B379),(0.752+0.303*I379^(1/6))^2),0.3+SQRT((0.592*N379^0.5)^2+(0.0262*N379^0.8/(1-0.5/N379^0.1))^2))</f>
        <v>10074.534691874993</v>
      </c>
      <c r="P379" s="6">
        <f t="shared" si="55"/>
        <v>2.9510194925512497E-2</v>
      </c>
      <c r="Q379" s="6">
        <f t="shared" si="56"/>
        <v>5.3858964228454527</v>
      </c>
      <c r="R379" s="6">
        <f t="shared" si="57"/>
        <v>13.154630223347409</v>
      </c>
      <c r="S379" s="6">
        <f>IF($Y$2="按单位面积散热损失 qp",B379*LN(B379/首页!$B$4),LN(B379/首页!$B$4))</f>
        <v>1.717511575590368</v>
      </c>
      <c r="T379" s="6">
        <f>IF($Y$2="按单位面积散热损失 qp",2*PI()*首页!$B$8*((E379-D379)/$Y$3-1/R379),2*PI()*首页!$B$8*((E379-D379)/$Y$4-1/(PI()*B379*R379)))</f>
        <v>4.0805903257582835E-2</v>
      </c>
      <c r="U379" t="str">
        <f t="shared" si="58"/>
        <v>按单位面积散热损失 qp</v>
      </c>
      <c r="V379" s="6">
        <f t="shared" si="59"/>
        <v>1.6767056723327851</v>
      </c>
    </row>
    <row r="380" spans="1:22" x14ac:dyDescent="0.15">
      <c r="A380">
        <v>375</v>
      </c>
      <c r="B380" s="6">
        <f>首页!$B$4+2*A380/1000</f>
        <v>0.87</v>
      </c>
      <c r="C380" s="6">
        <f>首页!$B$7+273.15</f>
        <v>388.15</v>
      </c>
      <c r="D380" s="6">
        <f>首页!$B$6+273.15</f>
        <v>293.14999999999998</v>
      </c>
      <c r="E380" s="6">
        <f>首页!$B$5+273.15</f>
        <v>1373.15</v>
      </c>
      <c r="F380" s="6">
        <f t="shared" si="50"/>
        <v>95</v>
      </c>
      <c r="G380" s="6">
        <f t="shared" si="51"/>
        <v>340.65</v>
      </c>
      <c r="H380" s="6">
        <f t="shared" si="52"/>
        <v>1.9926207055139041E-5</v>
      </c>
      <c r="I380" s="7">
        <f t="shared" si="53"/>
        <v>1158916576932337.8</v>
      </c>
      <c r="J380" s="6">
        <f t="shared" si="54"/>
        <v>1.0226038455893147</v>
      </c>
      <c r="K380" s="7">
        <f>J380*H380*首页!$B$12/P380</f>
        <v>0.69532757496605813</v>
      </c>
      <c r="L380" s="6">
        <f>首页!$B$9*0.0000000567*((C380^4-D380^4)/(C380-D380))</f>
        <v>7.7687338005019564</v>
      </c>
      <c r="M380" s="6">
        <f>IF(首页!$B$13="自然对流",IF(首页!$B$14="立式圆筒",首页!$B$10,PI()*B380/2),PI()*B380/2)</f>
        <v>55.2</v>
      </c>
      <c r="N380" s="7">
        <f>IF(首页!$B$13="强制对流",首页!$B$11*M380/H380,0)</f>
        <v>0</v>
      </c>
      <c r="O380" s="7">
        <f>IF(首页!$B$13="自然对流",IF(首页!$B$14="立式圆筒",(0.825+0.3063*I380^(1/6))^2+0.87*(M380/B380),(0.752+0.303*I380^(1/6))^2),0.3+SQRT((0.592*N380^0.5)^2+(0.0262*N380^0.8/(1-0.5/N380^0.1))^2))</f>
        <v>10074.407502934901</v>
      </c>
      <c r="P380" s="6">
        <f t="shared" si="55"/>
        <v>2.9510194925512497E-2</v>
      </c>
      <c r="Q380" s="6">
        <f t="shared" si="56"/>
        <v>5.3858284270046104</v>
      </c>
      <c r="R380" s="6">
        <f t="shared" si="57"/>
        <v>13.154562227506567</v>
      </c>
      <c r="S380" s="6">
        <f>IF($Y$2="按单位面积散热损失 qp",B380*LN(B380/首页!$B$4),LN(B380/首页!$B$4))</f>
        <v>1.7234712779139274</v>
      </c>
      <c r="T380" s="6">
        <f>IF($Y$2="按单位面积散热损失 qp",2*PI()*首页!$B$8*((E380-D380)/$Y$3-1/R380),2*PI()*首页!$B$8*((E380-D380)/$Y$4-1/(PI()*B380*R380)))</f>
        <v>4.0805792156143182E-2</v>
      </c>
      <c r="U380" t="str">
        <f t="shared" si="58"/>
        <v>按单位面积散热损失 qp</v>
      </c>
      <c r="V380" s="6">
        <f t="shared" si="59"/>
        <v>1.6826654857577843</v>
      </c>
    </row>
    <row r="381" spans="1:22" x14ac:dyDescent="0.15">
      <c r="A381">
        <v>376</v>
      </c>
      <c r="B381" s="6">
        <f>首页!$B$4+2*A381/1000</f>
        <v>0.872</v>
      </c>
      <c r="C381" s="6">
        <f>首页!$B$7+273.15</f>
        <v>388.15</v>
      </c>
      <c r="D381" s="6">
        <f>首页!$B$6+273.15</f>
        <v>293.14999999999998</v>
      </c>
      <c r="E381" s="6">
        <f>首页!$B$5+273.15</f>
        <v>1373.15</v>
      </c>
      <c r="F381" s="6">
        <f t="shared" si="50"/>
        <v>95</v>
      </c>
      <c r="G381" s="6">
        <f t="shared" si="51"/>
        <v>340.65</v>
      </c>
      <c r="H381" s="6">
        <f t="shared" si="52"/>
        <v>1.9926207055139041E-5</v>
      </c>
      <c r="I381" s="7">
        <f t="shared" si="53"/>
        <v>1158916576932337.8</v>
      </c>
      <c r="J381" s="6">
        <f t="shared" si="54"/>
        <v>1.0226038455893147</v>
      </c>
      <c r="K381" s="7">
        <f>J381*H381*首页!$B$12/P381</f>
        <v>0.69532757496605813</v>
      </c>
      <c r="L381" s="6">
        <f>首页!$B$9*0.0000000567*((C381^4-D381^4)/(C381-D381))</f>
        <v>7.7687338005019564</v>
      </c>
      <c r="M381" s="6">
        <f>IF(首页!$B$13="自然对流",IF(首页!$B$14="立式圆筒",首页!$B$10,PI()*B381/2),PI()*B381/2)</f>
        <v>55.2</v>
      </c>
      <c r="N381" s="7">
        <f>IF(首页!$B$13="强制对流",首页!$B$11*M381/H381,0)</f>
        <v>0</v>
      </c>
      <c r="O381" s="7">
        <f>IF(首页!$B$13="自然对流",IF(首页!$B$14="立式圆筒",(0.825+0.3063*I381^(1/6))^2+0.87*(M381/B381),(0.752+0.303*I381^(1/6))^2),0.3+SQRT((0.592*N381^0.5)^2+(0.0262*N381^0.8/(1-0.5/N381^0.1))^2))</f>
        <v>10074.280897430313</v>
      </c>
      <c r="P381" s="6">
        <f t="shared" si="55"/>
        <v>2.9510194925512497E-2</v>
      </c>
      <c r="Q381" s="6">
        <f t="shared" si="56"/>
        <v>5.3857607430712955</v>
      </c>
      <c r="R381" s="6">
        <f t="shared" si="57"/>
        <v>13.154494543573252</v>
      </c>
      <c r="S381" s="6">
        <f>IF($Y$2="按单位面积散热损失 qp",B381*LN(B381/首页!$B$4),LN(B381/首页!$B$4))</f>
        <v>1.7294355779426862</v>
      </c>
      <c r="T381" s="6">
        <f>IF($Y$2="按单位面积散热损失 qp",2*PI()*首页!$B$8*((E381-D381)/$Y$3-1/R381),2*PI()*首页!$B$8*((E381-D381)/$Y$4-1/(PI()*B381*R381)))</f>
        <v>4.0805681563202502E-2</v>
      </c>
      <c r="U381" t="str">
        <f t="shared" si="58"/>
        <v>按单位面积散热损失 qp</v>
      </c>
      <c r="V381" s="6">
        <f t="shared" si="59"/>
        <v>1.6886298963794837</v>
      </c>
    </row>
    <row r="382" spans="1:22" x14ac:dyDescent="0.15">
      <c r="A382">
        <v>377</v>
      </c>
      <c r="B382" s="6">
        <f>首页!$B$4+2*A382/1000</f>
        <v>0.874</v>
      </c>
      <c r="C382" s="6">
        <f>首页!$B$7+273.15</f>
        <v>388.15</v>
      </c>
      <c r="D382" s="6">
        <f>首页!$B$6+273.15</f>
        <v>293.14999999999998</v>
      </c>
      <c r="E382" s="6">
        <f>首页!$B$5+273.15</f>
        <v>1373.15</v>
      </c>
      <c r="F382" s="6">
        <f t="shared" si="50"/>
        <v>95</v>
      </c>
      <c r="G382" s="6">
        <f t="shared" si="51"/>
        <v>340.65</v>
      </c>
      <c r="H382" s="6">
        <f t="shared" si="52"/>
        <v>1.9926207055139041E-5</v>
      </c>
      <c r="I382" s="7">
        <f t="shared" si="53"/>
        <v>1158916576932337.8</v>
      </c>
      <c r="J382" s="6">
        <f t="shared" si="54"/>
        <v>1.0226038455893147</v>
      </c>
      <c r="K382" s="7">
        <f>J382*H382*首页!$B$12/P382</f>
        <v>0.69532757496605813</v>
      </c>
      <c r="L382" s="6">
        <f>首页!$B$9*0.0000000567*((C382^4-D382^4)/(C382-D382))</f>
        <v>7.7687338005019564</v>
      </c>
      <c r="M382" s="6">
        <f>IF(首页!$B$13="自然对流",IF(首页!$B$14="立式圆筒",首页!$B$10,PI()*B382/2),PI()*B382/2)</f>
        <v>55.2</v>
      </c>
      <c r="N382" s="7">
        <f>IF(首页!$B$13="强制对流",首页!$B$11*M382/H382,0)</f>
        <v>0</v>
      </c>
      <c r="O382" s="7">
        <f>IF(首页!$B$13="自然对流",IF(首页!$B$14="立式圆筒",(0.825+0.3063*I382^(1/6))^2+0.87*(M382/B382),(0.752+0.303*I382^(1/6))^2),0.3+SQRT((0.592*N382^0.5)^2+(0.0262*N382^0.8/(1-0.5/N382^0.1))^2))</f>
        <v>10074.154871355953</v>
      </c>
      <c r="P382" s="6">
        <f t="shared" si="55"/>
        <v>2.9510194925512497E-2</v>
      </c>
      <c r="Q382" s="6">
        <f t="shared" si="56"/>
        <v>5.3856933689042652</v>
      </c>
      <c r="R382" s="6">
        <f t="shared" si="57"/>
        <v>13.154427169406222</v>
      </c>
      <c r="S382" s="6">
        <f>IF($Y$2="按单位面积散热损失 qp",B382*LN(B382/首页!$B$4),LN(B382/首页!$B$4))</f>
        <v>1.7354044651314298</v>
      </c>
      <c r="T382" s="6">
        <f>IF($Y$2="按单位面积散热损失 qp",2*PI()*首页!$B$8*((E382-D382)/$Y$3-1/R382),2*PI()*首页!$B$8*((E382-D382)/$Y$4-1/(PI()*B382*R382)))</f>
        <v>4.0805571475277719E-2</v>
      </c>
      <c r="U382" t="str">
        <f t="shared" si="58"/>
        <v>按单位面积散热损失 qp</v>
      </c>
      <c r="V382" s="6">
        <f t="shared" si="59"/>
        <v>1.694598893656152</v>
      </c>
    </row>
    <row r="383" spans="1:22" x14ac:dyDescent="0.15">
      <c r="A383">
        <v>378</v>
      </c>
      <c r="B383" s="6">
        <f>首页!$B$4+2*A383/1000</f>
        <v>0.876</v>
      </c>
      <c r="C383" s="6">
        <f>首页!$B$7+273.15</f>
        <v>388.15</v>
      </c>
      <c r="D383" s="6">
        <f>首页!$B$6+273.15</f>
        <v>293.14999999999998</v>
      </c>
      <c r="E383" s="6">
        <f>首页!$B$5+273.15</f>
        <v>1373.15</v>
      </c>
      <c r="F383" s="6">
        <f t="shared" si="50"/>
        <v>95</v>
      </c>
      <c r="G383" s="6">
        <f t="shared" si="51"/>
        <v>340.65</v>
      </c>
      <c r="H383" s="6">
        <f t="shared" si="52"/>
        <v>1.9926207055139041E-5</v>
      </c>
      <c r="I383" s="7">
        <f t="shared" si="53"/>
        <v>1158916576932337.8</v>
      </c>
      <c r="J383" s="6">
        <f t="shared" si="54"/>
        <v>1.0226038455893147</v>
      </c>
      <c r="K383" s="7">
        <f>J383*H383*首页!$B$12/P383</f>
        <v>0.69532757496605813</v>
      </c>
      <c r="L383" s="6">
        <f>首页!$B$9*0.0000000567*((C383^4-D383^4)/(C383-D383))</f>
        <v>7.7687338005019564</v>
      </c>
      <c r="M383" s="6">
        <f>IF(首页!$B$13="自然对流",IF(首页!$B$14="立式圆筒",首页!$B$10,PI()*B383/2),PI()*B383/2)</f>
        <v>55.2</v>
      </c>
      <c r="N383" s="7">
        <f>IF(首页!$B$13="强制对流",首页!$B$11*M383/H383,0)</f>
        <v>0</v>
      </c>
      <c r="O383" s="7">
        <f>IF(首页!$B$13="自然对流",IF(首页!$B$14="立式圆筒",(0.825+0.3063*I383^(1/6))^2+0.87*(M383/B383),(0.752+0.303*I383^(1/6))^2),0.3+SQRT((0.592*N383^0.5)^2+(0.0262*N383^0.8/(1-0.5/N383^0.1))^2))</f>
        <v>10074.02942074312</v>
      </c>
      <c r="P383" s="6">
        <f t="shared" si="55"/>
        <v>2.9510194925512497E-2</v>
      </c>
      <c r="Q383" s="6">
        <f t="shared" si="56"/>
        <v>5.3856263023818327</v>
      </c>
      <c r="R383" s="6">
        <f t="shared" si="57"/>
        <v>13.154360102883789</v>
      </c>
      <c r="S383" s="6">
        <f>IF($Y$2="按单位面积散热损失 qp",B383*LN(B383/首页!$B$4),LN(B383/首页!$B$4))</f>
        <v>1.7413779289832068</v>
      </c>
      <c r="T383" s="6">
        <f>IF($Y$2="按单位面积散热损失 qp",2*PI()*首页!$B$8*((E383-D383)/$Y$3-1/R383),2*PI()*首页!$B$8*((E383-D383)/$Y$4-1/(PI()*B383*R383)))</f>
        <v>4.0805461888917545E-2</v>
      </c>
      <c r="U383" t="str">
        <f t="shared" si="58"/>
        <v>按单位面积散热损失 qp</v>
      </c>
      <c r="V383" s="6">
        <f t="shared" si="59"/>
        <v>1.7005724670942892</v>
      </c>
    </row>
    <row r="384" spans="1:22" x14ac:dyDescent="0.15">
      <c r="A384">
        <v>379</v>
      </c>
      <c r="B384" s="6">
        <f>首页!$B$4+2*A384/1000</f>
        <v>0.878</v>
      </c>
      <c r="C384" s="6">
        <f>首页!$B$7+273.15</f>
        <v>388.15</v>
      </c>
      <c r="D384" s="6">
        <f>首页!$B$6+273.15</f>
        <v>293.14999999999998</v>
      </c>
      <c r="E384" s="6">
        <f>首页!$B$5+273.15</f>
        <v>1373.15</v>
      </c>
      <c r="F384" s="6">
        <f t="shared" si="50"/>
        <v>95</v>
      </c>
      <c r="G384" s="6">
        <f t="shared" si="51"/>
        <v>340.65</v>
      </c>
      <c r="H384" s="6">
        <f t="shared" si="52"/>
        <v>1.9926207055139041E-5</v>
      </c>
      <c r="I384" s="7">
        <f t="shared" si="53"/>
        <v>1158916576932337.8</v>
      </c>
      <c r="J384" s="6">
        <f t="shared" si="54"/>
        <v>1.0226038455893147</v>
      </c>
      <c r="K384" s="7">
        <f>J384*H384*首页!$B$12/P384</f>
        <v>0.69532757496605813</v>
      </c>
      <c r="L384" s="6">
        <f>首页!$B$9*0.0000000567*((C384^4-D384^4)/(C384-D384))</f>
        <v>7.7687338005019564</v>
      </c>
      <c r="M384" s="6">
        <f>IF(首页!$B$13="自然对流",IF(首页!$B$14="立式圆筒",首页!$B$10,PI()*B384/2),PI()*B384/2)</f>
        <v>55.2</v>
      </c>
      <c r="N384" s="7">
        <f>IF(首页!$B$13="强制对流",首页!$B$11*M384/H384,0)</f>
        <v>0</v>
      </c>
      <c r="O384" s="7">
        <f>IF(首页!$B$13="自然对流",IF(首页!$B$14="立式圆筒",(0.825+0.3063*I384^(1/6))^2+0.87*(M384/B384),(0.752+0.303*I384^(1/6))^2),0.3+SQRT((0.592*N384^0.5)^2+(0.0262*N384^0.8/(1-0.5/N384^0.1))^2))</f>
        <v>10073.904541659273</v>
      </c>
      <c r="P384" s="6">
        <f t="shared" si="55"/>
        <v>2.9510194925512497E-2</v>
      </c>
      <c r="Q384" s="6">
        <f t="shared" si="56"/>
        <v>5.3855595414016442</v>
      </c>
      <c r="R384" s="6">
        <f t="shared" si="57"/>
        <v>13.1542933419036</v>
      </c>
      <c r="S384" s="6">
        <f>IF($Y$2="按单位面积散热损失 qp",B384*LN(B384/首页!$B$4),LN(B384/首页!$B$4))</f>
        <v>1.747355959048996</v>
      </c>
      <c r="T384" s="6">
        <f>IF($Y$2="按单位面积散热损失 qp",2*PI()*首页!$B$8*((E384-D384)/$Y$3-1/R384),2*PI()*首页!$B$8*((E384-D384)/$Y$4-1/(PI()*B384*R384)))</f>
        <v>4.0805352800702036E-2</v>
      </c>
      <c r="U384" t="str">
        <f t="shared" si="58"/>
        <v>按单位面积散热损失 qp</v>
      </c>
      <c r="V384" s="6">
        <f t="shared" si="59"/>
        <v>1.706550606248294</v>
      </c>
    </row>
    <row r="385" spans="1:22" x14ac:dyDescent="0.15">
      <c r="A385">
        <v>380</v>
      </c>
      <c r="B385" s="6">
        <f>首页!$B$4+2*A385/1000</f>
        <v>0.88</v>
      </c>
      <c r="C385" s="6">
        <f>首页!$B$7+273.15</f>
        <v>388.15</v>
      </c>
      <c r="D385" s="6">
        <f>首页!$B$6+273.15</f>
        <v>293.14999999999998</v>
      </c>
      <c r="E385" s="6">
        <f>首页!$B$5+273.15</f>
        <v>1373.15</v>
      </c>
      <c r="F385" s="6">
        <f t="shared" si="50"/>
        <v>95</v>
      </c>
      <c r="G385" s="6">
        <f t="shared" si="51"/>
        <v>340.65</v>
      </c>
      <c r="H385" s="6">
        <f t="shared" si="52"/>
        <v>1.9926207055139041E-5</v>
      </c>
      <c r="I385" s="7">
        <f t="shared" si="53"/>
        <v>1158916576932337.8</v>
      </c>
      <c r="J385" s="6">
        <f t="shared" si="54"/>
        <v>1.0226038455893147</v>
      </c>
      <c r="K385" s="7">
        <f>J385*H385*首页!$B$12/P385</f>
        <v>0.69532757496605813</v>
      </c>
      <c r="L385" s="6">
        <f>首页!$B$9*0.0000000567*((C385^4-D385^4)/(C385-D385))</f>
        <v>7.7687338005019564</v>
      </c>
      <c r="M385" s="6">
        <f>IF(首页!$B$13="自然对流",IF(首页!$B$14="立式圆筒",首页!$B$10,PI()*B385/2),PI()*B385/2)</f>
        <v>55.2</v>
      </c>
      <c r="N385" s="7">
        <f>IF(首页!$B$13="强制对流",首页!$B$11*M385/H385,0)</f>
        <v>0</v>
      </c>
      <c r="O385" s="7">
        <f>IF(首页!$B$13="自然对流",IF(首页!$B$14="立式圆筒",(0.825+0.3063*I385^(1/6))^2+0.87*(M385/B385),(0.752+0.303*I385^(1/6))^2),0.3+SQRT((0.592*N385^0.5)^2+(0.0262*N385^0.8/(1-0.5/N385^0.1))^2))</f>
        <v>10073.780230207627</v>
      </c>
      <c r="P385" s="6">
        <f t="shared" si="55"/>
        <v>2.9510194925512497E-2</v>
      </c>
      <c r="Q385" s="6">
        <f t="shared" si="56"/>
        <v>5.3854930838804576</v>
      </c>
      <c r="R385" s="6">
        <f t="shared" si="57"/>
        <v>13.154226884382414</v>
      </c>
      <c r="S385" s="6">
        <f>IF($Y$2="按单位面积散热损失 qp",B385*LN(B385/首页!$B$4),LN(B385/首页!$B$4))</f>
        <v>1.7533385449273815</v>
      </c>
      <c r="T385" s="6">
        <f>IF($Y$2="按单位面积散热损失 qp",2*PI()*首页!$B$8*((E385-D385)/$Y$3-1/R385),2*PI()*首页!$B$8*((E385-D385)/$Y$4-1/(PI()*B385*R385)))</f>
        <v>4.080524420724229E-2</v>
      </c>
      <c r="U385" t="str">
        <f t="shared" si="58"/>
        <v>按单位面积散热损失 qp</v>
      </c>
      <c r="V385" s="6">
        <f t="shared" si="59"/>
        <v>1.7125333007201393</v>
      </c>
    </row>
    <row r="386" spans="1:22" x14ac:dyDescent="0.15">
      <c r="A386">
        <v>381</v>
      </c>
      <c r="B386" s="6">
        <f>首页!$B$4+2*A386/1000</f>
        <v>0.88200000000000001</v>
      </c>
      <c r="C386" s="6">
        <f>首页!$B$7+273.15</f>
        <v>388.15</v>
      </c>
      <c r="D386" s="6">
        <f>首页!$B$6+273.15</f>
        <v>293.14999999999998</v>
      </c>
      <c r="E386" s="6">
        <f>首页!$B$5+273.15</f>
        <v>1373.15</v>
      </c>
      <c r="F386" s="6">
        <f t="shared" si="50"/>
        <v>95</v>
      </c>
      <c r="G386" s="6">
        <f t="shared" si="51"/>
        <v>340.65</v>
      </c>
      <c r="H386" s="6">
        <f t="shared" si="52"/>
        <v>1.9926207055139041E-5</v>
      </c>
      <c r="I386" s="7">
        <f t="shared" si="53"/>
        <v>1158916576932337.8</v>
      </c>
      <c r="J386" s="6">
        <f t="shared" si="54"/>
        <v>1.0226038455893147</v>
      </c>
      <c r="K386" s="7">
        <f>J386*H386*首页!$B$12/P386</f>
        <v>0.69532757496605813</v>
      </c>
      <c r="L386" s="6">
        <f>首页!$B$9*0.0000000567*((C386^4-D386^4)/(C386-D386))</f>
        <v>7.7687338005019564</v>
      </c>
      <c r="M386" s="6">
        <f>IF(首页!$B$13="自然对流",IF(首页!$B$14="立式圆筒",首页!$B$10,PI()*B386/2),PI()*B386/2)</f>
        <v>55.2</v>
      </c>
      <c r="N386" s="7">
        <f>IF(首页!$B$13="强制对流",首页!$B$11*M386/H386,0)</f>
        <v>0</v>
      </c>
      <c r="O386" s="7">
        <f>IF(首页!$B$13="自然对流",IF(首页!$B$14="立式圆筒",(0.825+0.3063*I386^(1/6))^2+0.87*(M386/B386),(0.752+0.303*I386^(1/6))^2),0.3+SQRT((0.592*N386^0.5)^2+(0.0262*N386^0.8/(1-0.5/N386^0.1))^2))</f>
        <v>10073.656482526736</v>
      </c>
      <c r="P386" s="6">
        <f t="shared" si="55"/>
        <v>2.9510194925512497E-2</v>
      </c>
      <c r="Q386" s="6">
        <f t="shared" si="56"/>
        <v>5.3854269277539224</v>
      </c>
      <c r="R386" s="6">
        <f t="shared" si="57"/>
        <v>13.154160728255878</v>
      </c>
      <c r="S386" s="6">
        <f>IF($Y$2="按单位面积散热损失 qp",B386*LN(B386/首页!$B$4),LN(B386/首页!$B$4))</f>
        <v>1.7593256762642255</v>
      </c>
      <c r="T386" s="6">
        <f>IF($Y$2="按单位面积散热损失 qp",2*PI()*首页!$B$8*((E386-D386)/$Y$3-1/R386),2*PI()*首页!$B$8*((E386-D386)/$Y$4-1/(PI()*B386*R386)))</f>
        <v>4.0805136105180065E-2</v>
      </c>
      <c r="U386" t="str">
        <f t="shared" si="58"/>
        <v>按单位面积散热损失 qp</v>
      </c>
      <c r="V386" s="6">
        <f t="shared" si="59"/>
        <v>1.7185205401590455</v>
      </c>
    </row>
    <row r="387" spans="1:22" x14ac:dyDescent="0.15">
      <c r="A387">
        <v>382</v>
      </c>
      <c r="B387" s="6">
        <f>首页!$B$4+2*A387/1000</f>
        <v>0.88400000000000001</v>
      </c>
      <c r="C387" s="6">
        <f>首页!$B$7+273.15</f>
        <v>388.15</v>
      </c>
      <c r="D387" s="6">
        <f>首页!$B$6+273.15</f>
        <v>293.14999999999998</v>
      </c>
      <c r="E387" s="6">
        <f>首页!$B$5+273.15</f>
        <v>1373.15</v>
      </c>
      <c r="F387" s="6">
        <f t="shared" si="50"/>
        <v>95</v>
      </c>
      <c r="G387" s="6">
        <f t="shared" si="51"/>
        <v>340.65</v>
      </c>
      <c r="H387" s="6">
        <f t="shared" si="52"/>
        <v>1.9926207055139041E-5</v>
      </c>
      <c r="I387" s="7">
        <f t="shared" si="53"/>
        <v>1158916576932337.8</v>
      </c>
      <c r="J387" s="6">
        <f t="shared" si="54"/>
        <v>1.0226038455893147</v>
      </c>
      <c r="K387" s="7">
        <f>J387*H387*首页!$B$12/P387</f>
        <v>0.69532757496605813</v>
      </c>
      <c r="L387" s="6">
        <f>首页!$B$9*0.0000000567*((C387^4-D387^4)/(C387-D387))</f>
        <v>7.7687338005019564</v>
      </c>
      <c r="M387" s="6">
        <f>IF(首页!$B$13="自然对流",IF(首页!$B$14="立式圆筒",首页!$B$10,PI()*B387/2),PI()*B387/2)</f>
        <v>55.2</v>
      </c>
      <c r="N387" s="7">
        <f>IF(首页!$B$13="强制对流",首页!$B$11*M387/H387,0)</f>
        <v>0</v>
      </c>
      <c r="O387" s="7">
        <f>IF(首页!$B$13="自然对流",IF(首页!$B$14="立式圆筒",(0.825+0.3063*I387^(1/6))^2+0.87*(M387/B387),(0.752+0.303*I387^(1/6))^2),0.3+SQRT((0.592*N387^0.5)^2+(0.0262*N387^0.8/(1-0.5/N387^0.1))^2))</f>
        <v>10073.533294790104</v>
      </c>
      <c r="P387" s="6">
        <f t="shared" si="55"/>
        <v>2.9510194925512497E-2</v>
      </c>
      <c r="Q387" s="6">
        <f t="shared" si="56"/>
        <v>5.3853610709763782</v>
      </c>
      <c r="R387" s="6">
        <f t="shared" si="57"/>
        <v>13.154094871478335</v>
      </c>
      <c r="S387" s="6">
        <f>IF($Y$2="按单位面积散热损失 qp",B387*LN(B387/首页!$B$4),LN(B387/首页!$B$4))</f>
        <v>1.7653173427523481</v>
      </c>
      <c r="T387" s="6">
        <f>IF($Y$2="按单位面积散热损失 qp",2*PI()*首页!$B$8*((E387-D387)/$Y$3-1/R387),2*PI()*首页!$B$8*((E387-D387)/$Y$4-1/(PI()*B387*R387)))</f>
        <v>4.0805028491187466E-2</v>
      </c>
      <c r="U387" t="str">
        <f t="shared" si="58"/>
        <v>按单位面积散热损失 qp</v>
      </c>
      <c r="V387" s="6">
        <f t="shared" si="59"/>
        <v>1.7245123142611607</v>
      </c>
    </row>
    <row r="388" spans="1:22" x14ac:dyDescent="0.15">
      <c r="A388">
        <v>383</v>
      </c>
      <c r="B388" s="6">
        <f>首页!$B$4+2*A388/1000</f>
        <v>0.88600000000000001</v>
      </c>
      <c r="C388" s="6">
        <f>首页!$B$7+273.15</f>
        <v>388.15</v>
      </c>
      <c r="D388" s="6">
        <f>首页!$B$6+273.15</f>
        <v>293.14999999999998</v>
      </c>
      <c r="E388" s="6">
        <f>首页!$B$5+273.15</f>
        <v>1373.15</v>
      </c>
      <c r="F388" s="6">
        <f t="shared" si="50"/>
        <v>95</v>
      </c>
      <c r="G388" s="6">
        <f t="shared" si="51"/>
        <v>340.65</v>
      </c>
      <c r="H388" s="6">
        <f t="shared" si="52"/>
        <v>1.9926207055139041E-5</v>
      </c>
      <c r="I388" s="7">
        <f t="shared" si="53"/>
        <v>1158916576932337.8</v>
      </c>
      <c r="J388" s="6">
        <f t="shared" si="54"/>
        <v>1.0226038455893147</v>
      </c>
      <c r="K388" s="7">
        <f>J388*H388*首页!$B$12/P388</f>
        <v>0.69532757496605813</v>
      </c>
      <c r="L388" s="6">
        <f>首页!$B$9*0.0000000567*((C388^4-D388^4)/(C388-D388))</f>
        <v>7.7687338005019564</v>
      </c>
      <c r="M388" s="6">
        <f>IF(首页!$B$13="自然对流",IF(首页!$B$14="立式圆筒",首页!$B$10,PI()*B388/2),PI()*B388/2)</f>
        <v>55.2</v>
      </c>
      <c r="N388" s="7">
        <f>IF(首页!$B$13="强制对流",首页!$B$11*M388/H388,0)</f>
        <v>0</v>
      </c>
      <c r="O388" s="7">
        <f>IF(首页!$B$13="自然对流",IF(首页!$B$14="立式圆筒",(0.825+0.3063*I388^(1/6))^2+0.87*(M388/B388),(0.752+0.303*I388^(1/6))^2),0.3+SQRT((0.592*N388^0.5)^2+(0.0262*N388^0.8/(1-0.5/N388^0.1))^2))</f>
        <v>10073.410663205781</v>
      </c>
      <c r="P388" s="6">
        <f t="shared" si="55"/>
        <v>2.9510194925512497E-2</v>
      </c>
      <c r="Q388" s="6">
        <f t="shared" si="56"/>
        <v>5.3852955115206287</v>
      </c>
      <c r="R388" s="6">
        <f t="shared" si="57"/>
        <v>13.154029312022585</v>
      </c>
      <c r="S388" s="6">
        <f>IF($Y$2="按单位面积散热损失 qp",B388*LN(B388/首页!$B$4),LN(B388/首页!$B$4))</f>
        <v>1.771313534131209</v>
      </c>
      <c r="T388" s="6">
        <f>IF($Y$2="按单位面积散热损失 qp",2*PI()*首页!$B$8*((E388-D388)/$Y$3-1/R388),2*PI()*首页!$B$8*((E388-D388)/$Y$4-1/(PI()*B388*R388)))</f>
        <v>4.0804921361966541E-2</v>
      </c>
      <c r="U388" t="str">
        <f t="shared" si="58"/>
        <v>按单位面积散热损失 qp</v>
      </c>
      <c r="V388" s="6">
        <f t="shared" si="59"/>
        <v>1.7305086127692424</v>
      </c>
    </row>
    <row r="389" spans="1:22" x14ac:dyDescent="0.15">
      <c r="A389">
        <v>384</v>
      </c>
      <c r="B389" s="6">
        <f>首页!$B$4+2*A389/1000</f>
        <v>0.88800000000000001</v>
      </c>
      <c r="C389" s="6">
        <f>首页!$B$7+273.15</f>
        <v>388.15</v>
      </c>
      <c r="D389" s="6">
        <f>首页!$B$6+273.15</f>
        <v>293.14999999999998</v>
      </c>
      <c r="E389" s="6">
        <f>首页!$B$5+273.15</f>
        <v>1373.15</v>
      </c>
      <c r="F389" s="6">
        <f t="shared" ref="F389:F452" si="60">C389-D389</f>
        <v>95</v>
      </c>
      <c r="G389" s="6">
        <f t="shared" ref="G389:G452" si="61">(C389+D389)/2</f>
        <v>340.65</v>
      </c>
      <c r="H389" s="6">
        <f t="shared" ref="H389:H452" si="62">0.0000000042113*G389^2.5/(112+G389)</f>
        <v>1.9926207055139041E-5</v>
      </c>
      <c r="I389" s="7">
        <f t="shared" ref="I389:I452" si="63">9.81*M389^3*F389/(H389^2*G389)</f>
        <v>1158916576932337.8</v>
      </c>
      <c r="J389" s="6">
        <f t="shared" ref="J389:J452" si="64">348.35/G389</f>
        <v>1.0226038455893147</v>
      </c>
      <c r="K389" s="7">
        <f>J389*H389*首页!$B$12/P389</f>
        <v>0.69532757496605813</v>
      </c>
      <c r="L389" s="6">
        <f>首页!$B$9*0.0000000567*((C389^4-D389^4)/(C389-D389))</f>
        <v>7.7687338005019564</v>
      </c>
      <c r="M389" s="6">
        <f>IF(首页!$B$13="自然对流",IF(首页!$B$14="立式圆筒",首页!$B$10,PI()*B389/2),PI()*B389/2)</f>
        <v>55.2</v>
      </c>
      <c r="N389" s="7">
        <f>IF(首页!$B$13="强制对流",首页!$B$11*M389/H389,0)</f>
        <v>0</v>
      </c>
      <c r="O389" s="7">
        <f>IF(首页!$B$13="自然对流",IF(首页!$B$14="立式圆筒",(0.825+0.3063*I389^(1/6))^2+0.87*(M389/B389),(0.752+0.303*I389^(1/6))^2),0.3+SQRT((0.592*N389^0.5)^2+(0.0262*N389^0.8/(1-0.5/N389^0.1))^2))</f>
        <v>10073.288584015982</v>
      </c>
      <c r="P389" s="6">
        <f t="shared" ref="P389:P452" si="65">0.0243+0.000078421*(G389-273)-0.000000020755*(G389-273)^2</f>
        <v>2.9510194925512497E-2</v>
      </c>
      <c r="Q389" s="6">
        <f t="shared" ref="Q389:Q452" si="66">O389*P389/M389</f>
        <v>5.3852302473777414</v>
      </c>
      <c r="R389" s="6">
        <f t="shared" ref="R389:R452" si="67">L389+Q389</f>
        <v>13.153964047879697</v>
      </c>
      <c r="S389" s="6">
        <f>IF($Y$2="按单位面积散热损失 qp",B389*LN(B389/首页!$B$4),LN(B389/首页!$B$4))</f>
        <v>1.7773142401865905</v>
      </c>
      <c r="T389" s="6">
        <f>IF($Y$2="按单位面积散热损失 qp",2*PI()*首页!$B$8*((E389-D389)/$Y$3-1/R389),2*PI()*首页!$B$8*((E389-D389)/$Y$4-1/(PI()*B389*R389)))</f>
        <v>4.0804814714249016E-2</v>
      </c>
      <c r="U389" t="str">
        <f t="shared" ref="U389:U452" si="68">IF($Y$2="按单位面积散热损失 qp","按单位面积散热损失 qp","按单位长度散热损失 ql")</f>
        <v>按单位面积散热损失 qp</v>
      </c>
      <c r="V389" s="6">
        <f t="shared" ref="V389:V452" si="69">ABS(S389-T389)</f>
        <v>1.7365094254723414</v>
      </c>
    </row>
    <row r="390" spans="1:22" x14ac:dyDescent="0.15">
      <c r="A390">
        <v>385</v>
      </c>
      <c r="B390" s="6">
        <f>首页!$B$4+2*A390/1000</f>
        <v>0.89</v>
      </c>
      <c r="C390" s="6">
        <f>首页!$B$7+273.15</f>
        <v>388.15</v>
      </c>
      <c r="D390" s="6">
        <f>首页!$B$6+273.15</f>
        <v>293.14999999999998</v>
      </c>
      <c r="E390" s="6">
        <f>首页!$B$5+273.15</f>
        <v>1373.15</v>
      </c>
      <c r="F390" s="6">
        <f t="shared" si="60"/>
        <v>95</v>
      </c>
      <c r="G390" s="6">
        <f t="shared" si="61"/>
        <v>340.65</v>
      </c>
      <c r="H390" s="6">
        <f t="shared" si="62"/>
        <v>1.9926207055139041E-5</v>
      </c>
      <c r="I390" s="7">
        <f t="shared" si="63"/>
        <v>1158916576932337.8</v>
      </c>
      <c r="J390" s="6">
        <f t="shared" si="64"/>
        <v>1.0226038455893147</v>
      </c>
      <c r="K390" s="7">
        <f>J390*H390*首页!$B$12/P390</f>
        <v>0.69532757496605813</v>
      </c>
      <c r="L390" s="6">
        <f>首页!$B$9*0.0000000567*((C390^4-D390^4)/(C390-D390))</f>
        <v>7.7687338005019564</v>
      </c>
      <c r="M390" s="6">
        <f>IF(首页!$B$13="自然对流",IF(首页!$B$14="立式圆筒",首页!$B$10,PI()*B390/2),PI()*B390/2)</f>
        <v>55.2</v>
      </c>
      <c r="N390" s="7">
        <f>IF(首页!$B$13="强制对流",首页!$B$11*M390/H390,0)</f>
        <v>0</v>
      </c>
      <c r="O390" s="7">
        <f>IF(首页!$B$13="自然对流",IF(首页!$B$14="立式圆筒",(0.825+0.3063*I390^(1/6))^2+0.87*(M390/B390),(0.752+0.303*I390^(1/6))^2),0.3+SQRT((0.592*N390^0.5)^2+(0.0262*N390^0.8/(1-0.5/N390^0.1))^2))</f>
        <v>10073.167053496698</v>
      </c>
      <c r="P390" s="6">
        <f t="shared" si="65"/>
        <v>2.9510194925512497E-2</v>
      </c>
      <c r="Q390" s="6">
        <f t="shared" si="66"/>
        <v>5.3851652765568456</v>
      </c>
      <c r="R390" s="6">
        <f t="shared" si="67"/>
        <v>13.153899077058803</v>
      </c>
      <c r="S390" s="6">
        <f>IF($Y$2="按单位面积散热损失 qp",B390*LN(B390/首页!$B$4),LN(B390/首页!$B$4))</f>
        <v>1.7833194507502843</v>
      </c>
      <c r="T390" s="6">
        <f>IF($Y$2="按单位面积散热损失 qp",2*PI()*首页!$B$8*((E390-D390)/$Y$3-1/R390),2*PI()*首页!$B$8*((E390-D390)/$Y$4-1/(PI()*B390*R390)))</f>
        <v>4.0804708544795912E-2</v>
      </c>
      <c r="U390" t="str">
        <f t="shared" si="68"/>
        <v>按单位面积散热损失 qp</v>
      </c>
      <c r="V390" s="6">
        <f t="shared" si="69"/>
        <v>1.7425147422054883</v>
      </c>
    </row>
    <row r="391" spans="1:22" x14ac:dyDescent="0.15">
      <c r="A391">
        <v>386</v>
      </c>
      <c r="B391" s="6">
        <f>首页!$B$4+2*A391/1000</f>
        <v>0.89200000000000002</v>
      </c>
      <c r="C391" s="6">
        <f>首页!$B$7+273.15</f>
        <v>388.15</v>
      </c>
      <c r="D391" s="6">
        <f>首页!$B$6+273.15</f>
        <v>293.14999999999998</v>
      </c>
      <c r="E391" s="6">
        <f>首页!$B$5+273.15</f>
        <v>1373.15</v>
      </c>
      <c r="F391" s="6">
        <f t="shared" si="60"/>
        <v>95</v>
      </c>
      <c r="G391" s="6">
        <f t="shared" si="61"/>
        <v>340.65</v>
      </c>
      <c r="H391" s="6">
        <f t="shared" si="62"/>
        <v>1.9926207055139041E-5</v>
      </c>
      <c r="I391" s="7">
        <f t="shared" si="63"/>
        <v>1158916576932337.8</v>
      </c>
      <c r="J391" s="6">
        <f t="shared" si="64"/>
        <v>1.0226038455893147</v>
      </c>
      <c r="K391" s="7">
        <f>J391*H391*首页!$B$12/P391</f>
        <v>0.69532757496605813</v>
      </c>
      <c r="L391" s="6">
        <f>首页!$B$9*0.0000000567*((C391^4-D391^4)/(C391-D391))</f>
        <v>7.7687338005019564</v>
      </c>
      <c r="M391" s="6">
        <f>IF(首页!$B$13="自然对流",IF(首页!$B$14="立式圆筒",首页!$B$10,PI()*B391/2),PI()*B391/2)</f>
        <v>55.2</v>
      </c>
      <c r="N391" s="7">
        <f>IF(首页!$B$13="强制对流",首页!$B$11*M391/H391,0)</f>
        <v>0</v>
      </c>
      <c r="O391" s="7">
        <f>IF(首页!$B$13="自然对流",IF(首页!$B$14="立式圆筒",(0.825+0.3063*I391^(1/6))^2+0.87*(M391/B391),(0.752+0.303*I391^(1/6))^2),0.3+SQRT((0.592*N391^0.5)^2+(0.0262*N391^0.8/(1-0.5/N391^0.1))^2))</f>
        <v>10073.046067957321</v>
      </c>
      <c r="P391" s="6">
        <f t="shared" si="65"/>
        <v>2.9510194925512497E-2</v>
      </c>
      <c r="Q391" s="6">
        <f t="shared" si="66"/>
        <v>5.3851005970849224</v>
      </c>
      <c r="R391" s="6">
        <f t="shared" si="67"/>
        <v>13.153834397586879</v>
      </c>
      <c r="S391" s="6">
        <f>IF($Y$2="按单位面积散热损失 qp",B391*LN(B391/首页!$B$4),LN(B391/首页!$B$4))</f>
        <v>1.7893291556997835</v>
      </c>
      <c r="T391" s="6">
        <f>IF($Y$2="按单位面积散热损失 qp",2*PI()*首页!$B$8*((E391-D391)/$Y$3-1/R391),2*PI()*首页!$B$8*((E391-D391)/$Y$4-1/(PI()*B391*R391)))</f>
        <v>4.0804602850397248E-2</v>
      </c>
      <c r="U391" t="str">
        <f t="shared" si="68"/>
        <v>按单位面积散热损失 qp</v>
      </c>
      <c r="V391" s="6">
        <f t="shared" si="69"/>
        <v>1.7485245528493862</v>
      </c>
    </row>
    <row r="392" spans="1:22" x14ac:dyDescent="0.15">
      <c r="A392">
        <v>387</v>
      </c>
      <c r="B392" s="6">
        <f>首页!$B$4+2*A392/1000</f>
        <v>0.89400000000000002</v>
      </c>
      <c r="C392" s="6">
        <f>首页!$B$7+273.15</f>
        <v>388.15</v>
      </c>
      <c r="D392" s="6">
        <f>首页!$B$6+273.15</f>
        <v>293.14999999999998</v>
      </c>
      <c r="E392" s="6">
        <f>首页!$B$5+273.15</f>
        <v>1373.15</v>
      </c>
      <c r="F392" s="6">
        <f t="shared" si="60"/>
        <v>95</v>
      </c>
      <c r="G392" s="6">
        <f t="shared" si="61"/>
        <v>340.65</v>
      </c>
      <c r="H392" s="6">
        <f t="shared" si="62"/>
        <v>1.9926207055139041E-5</v>
      </c>
      <c r="I392" s="7">
        <f t="shared" si="63"/>
        <v>1158916576932337.8</v>
      </c>
      <c r="J392" s="6">
        <f t="shared" si="64"/>
        <v>1.0226038455893147</v>
      </c>
      <c r="K392" s="7">
        <f>J392*H392*首页!$B$12/P392</f>
        <v>0.69532757496605813</v>
      </c>
      <c r="L392" s="6">
        <f>首页!$B$9*0.0000000567*((C392^4-D392^4)/(C392-D392))</f>
        <v>7.7687338005019564</v>
      </c>
      <c r="M392" s="6">
        <f>IF(首页!$B$13="自然对流",IF(首页!$B$14="立式圆筒",首页!$B$10,PI()*B392/2),PI()*B392/2)</f>
        <v>55.2</v>
      </c>
      <c r="N392" s="7">
        <f>IF(首页!$B$13="强制对流",首页!$B$11*M392/H392,0)</f>
        <v>0</v>
      </c>
      <c r="O392" s="7">
        <f>IF(首页!$B$13="自然对流",IF(首页!$B$14="立式圆筒",(0.825+0.3063*I392^(1/6))^2+0.87*(M392/B392),(0.752+0.303*I392^(1/6))^2),0.3+SQRT((0.592*N392^0.5)^2+(0.0262*N392^0.8/(1-0.5/N392^0.1))^2))</f>
        <v>10072.92562374027</v>
      </c>
      <c r="P392" s="6">
        <f t="shared" si="65"/>
        <v>2.9510194925512497E-2</v>
      </c>
      <c r="Q392" s="6">
        <f t="shared" si="66"/>
        <v>5.3850362070066096</v>
      </c>
      <c r="R392" s="6">
        <f t="shared" si="67"/>
        <v>13.153770007508566</v>
      </c>
      <c r="S392" s="6">
        <f>IF($Y$2="按单位面积散热损失 qp",B392*LN(B392/首页!$B$4),LN(B392/首页!$B$4))</f>
        <v>1.7953433449579728</v>
      </c>
      <c r="T392" s="6">
        <f>IF($Y$2="按单位面积散热损失 qp",2*PI()*首页!$B$8*((E392-D392)/$Y$3-1/R392),2*PI()*首页!$B$8*((E392-D392)/$Y$4-1/(PI()*B392*R392)))</f>
        <v>4.0804497627871701E-2</v>
      </c>
      <c r="U392" t="str">
        <f t="shared" si="68"/>
        <v>按单位面积散热损失 qp</v>
      </c>
      <c r="V392" s="6">
        <f t="shared" si="69"/>
        <v>1.7545388473301011</v>
      </c>
    </row>
    <row r="393" spans="1:22" x14ac:dyDescent="0.15">
      <c r="A393">
        <v>388</v>
      </c>
      <c r="B393" s="6">
        <f>首页!$B$4+2*A393/1000</f>
        <v>0.89600000000000002</v>
      </c>
      <c r="C393" s="6">
        <f>首页!$B$7+273.15</f>
        <v>388.15</v>
      </c>
      <c r="D393" s="6">
        <f>首页!$B$6+273.15</f>
        <v>293.14999999999998</v>
      </c>
      <c r="E393" s="6">
        <f>首页!$B$5+273.15</f>
        <v>1373.15</v>
      </c>
      <c r="F393" s="6">
        <f t="shared" si="60"/>
        <v>95</v>
      </c>
      <c r="G393" s="6">
        <f t="shared" si="61"/>
        <v>340.65</v>
      </c>
      <c r="H393" s="6">
        <f t="shared" si="62"/>
        <v>1.9926207055139041E-5</v>
      </c>
      <c r="I393" s="7">
        <f t="shared" si="63"/>
        <v>1158916576932337.8</v>
      </c>
      <c r="J393" s="6">
        <f t="shared" si="64"/>
        <v>1.0226038455893147</v>
      </c>
      <c r="K393" s="7">
        <f>J393*H393*首页!$B$12/P393</f>
        <v>0.69532757496605813</v>
      </c>
      <c r="L393" s="6">
        <f>首页!$B$9*0.0000000567*((C393^4-D393^4)/(C393-D393))</f>
        <v>7.7687338005019564</v>
      </c>
      <c r="M393" s="6">
        <f>IF(首页!$B$13="自然对流",IF(首页!$B$14="立式圆筒",首页!$B$10,PI()*B393/2),PI()*B393/2)</f>
        <v>55.2</v>
      </c>
      <c r="N393" s="7">
        <f>IF(首页!$B$13="强制对流",首页!$B$11*M393/H393,0)</f>
        <v>0</v>
      </c>
      <c r="O393" s="7">
        <f>IF(首页!$B$13="自然对流",IF(首页!$B$14="立式圆筒",(0.825+0.3063*I393^(1/6))^2+0.87*(M393/B393),(0.752+0.303*I393^(1/6))^2),0.3+SQRT((0.592*N393^0.5)^2+(0.0262*N393^0.8/(1-0.5/N393^0.1))^2))</f>
        <v>10072.805717220614</v>
      </c>
      <c r="P393" s="6">
        <f t="shared" si="65"/>
        <v>2.9510194925512497E-2</v>
      </c>
      <c r="Q393" s="6">
        <f t="shared" si="66"/>
        <v>5.384972104384004</v>
      </c>
      <c r="R393" s="6">
        <f t="shared" si="67"/>
        <v>13.15370590488596</v>
      </c>
      <c r="S393" s="6">
        <f>IF($Y$2="按单位面积散热损失 qp",B393*LN(B393/首页!$B$4),LN(B393/首页!$B$4))</f>
        <v>1.8013620084928246</v>
      </c>
      <c r="T393" s="6">
        <f>IF($Y$2="按单位面积散热损失 qp",2*PI()*首页!$B$8*((E393-D393)/$Y$3-1/R393),2*PI()*首页!$B$8*((E393-D393)/$Y$4-1/(PI()*B393*R393)))</f>
        <v>4.08043928740663E-2</v>
      </c>
      <c r="U393" t="str">
        <f t="shared" si="68"/>
        <v>按单位面积散热损失 qp</v>
      </c>
      <c r="V393" s="6">
        <f t="shared" si="69"/>
        <v>1.7605576156187583</v>
      </c>
    </row>
    <row r="394" spans="1:22" x14ac:dyDescent="0.15">
      <c r="A394">
        <v>389</v>
      </c>
      <c r="B394" s="6">
        <f>首页!$B$4+2*A394/1000</f>
        <v>0.89800000000000002</v>
      </c>
      <c r="C394" s="6">
        <f>首页!$B$7+273.15</f>
        <v>388.15</v>
      </c>
      <c r="D394" s="6">
        <f>首页!$B$6+273.15</f>
        <v>293.14999999999998</v>
      </c>
      <c r="E394" s="6">
        <f>首页!$B$5+273.15</f>
        <v>1373.15</v>
      </c>
      <c r="F394" s="6">
        <f t="shared" si="60"/>
        <v>95</v>
      </c>
      <c r="G394" s="6">
        <f t="shared" si="61"/>
        <v>340.65</v>
      </c>
      <c r="H394" s="6">
        <f t="shared" si="62"/>
        <v>1.9926207055139041E-5</v>
      </c>
      <c r="I394" s="7">
        <f t="shared" si="63"/>
        <v>1158916576932337.8</v>
      </c>
      <c r="J394" s="6">
        <f t="shared" si="64"/>
        <v>1.0226038455893147</v>
      </c>
      <c r="K394" s="7">
        <f>J394*H394*首页!$B$12/P394</f>
        <v>0.69532757496605813</v>
      </c>
      <c r="L394" s="6">
        <f>首页!$B$9*0.0000000567*((C394^4-D394^4)/(C394-D394))</f>
        <v>7.7687338005019564</v>
      </c>
      <c r="M394" s="6">
        <f>IF(首页!$B$13="自然对流",IF(首页!$B$14="立式圆筒",首页!$B$10,PI()*B394/2),PI()*B394/2)</f>
        <v>55.2</v>
      </c>
      <c r="N394" s="7">
        <f>IF(首页!$B$13="强制对流",首页!$B$11*M394/H394,0)</f>
        <v>0</v>
      </c>
      <c r="O394" s="7">
        <f>IF(首页!$B$13="自然对流",IF(首页!$B$14="立式圆筒",(0.825+0.3063*I394^(1/6))^2+0.87*(M394/B394),(0.752+0.303*I394^(1/6))^2),0.3+SQRT((0.592*N394^0.5)^2+(0.0262*N394^0.8/(1-0.5/N394^0.1))^2))</f>
        <v>10072.686344805725</v>
      </c>
      <c r="P394" s="6">
        <f t="shared" si="65"/>
        <v>2.9510194925512497E-2</v>
      </c>
      <c r="Q394" s="6">
        <f t="shared" si="66"/>
        <v>5.384908287296466</v>
      </c>
      <c r="R394" s="6">
        <f t="shared" si="67"/>
        <v>13.153642087798422</v>
      </c>
      <c r="S394" s="6">
        <f>IF($Y$2="按单位面积散热损失 qp",B394*LN(B394/首页!$B$4),LN(B394/首页!$B$4))</f>
        <v>1.8073851363170981</v>
      </c>
      <c r="T394" s="6">
        <f>IF($Y$2="按单位面积散热损失 qp",2*PI()*首页!$B$8*((E394-D394)/$Y$3-1/R394),2*PI()*首页!$B$8*((E394-D394)/$Y$4-1/(PI()*B394*R394)))</f>
        <v>4.0804288585856066E-2</v>
      </c>
      <c r="U394" t="str">
        <f t="shared" si="68"/>
        <v>按单位面积散热损失 qp</v>
      </c>
      <c r="V394" s="6">
        <f t="shared" si="69"/>
        <v>1.7665808477312419</v>
      </c>
    </row>
    <row r="395" spans="1:22" x14ac:dyDescent="0.15">
      <c r="A395">
        <v>390</v>
      </c>
      <c r="B395" s="6">
        <f>首页!$B$4+2*A395/1000</f>
        <v>0.9</v>
      </c>
      <c r="C395" s="6">
        <f>首页!$B$7+273.15</f>
        <v>388.15</v>
      </c>
      <c r="D395" s="6">
        <f>首页!$B$6+273.15</f>
        <v>293.14999999999998</v>
      </c>
      <c r="E395" s="6">
        <f>首页!$B$5+273.15</f>
        <v>1373.15</v>
      </c>
      <c r="F395" s="6">
        <f t="shared" si="60"/>
        <v>95</v>
      </c>
      <c r="G395" s="6">
        <f t="shared" si="61"/>
        <v>340.65</v>
      </c>
      <c r="H395" s="6">
        <f t="shared" si="62"/>
        <v>1.9926207055139041E-5</v>
      </c>
      <c r="I395" s="7">
        <f t="shared" si="63"/>
        <v>1158916576932337.8</v>
      </c>
      <c r="J395" s="6">
        <f t="shared" si="64"/>
        <v>1.0226038455893147</v>
      </c>
      <c r="K395" s="7">
        <f>J395*H395*首页!$B$12/P395</f>
        <v>0.69532757496605813</v>
      </c>
      <c r="L395" s="6">
        <f>首页!$B$9*0.0000000567*((C395^4-D395^4)/(C395-D395))</f>
        <v>7.7687338005019564</v>
      </c>
      <c r="M395" s="6">
        <f>IF(首页!$B$13="自然对流",IF(首页!$B$14="立式圆筒",首页!$B$10,PI()*B395/2),PI()*B395/2)</f>
        <v>55.2</v>
      </c>
      <c r="N395" s="7">
        <f>IF(首页!$B$13="强制对流",首页!$B$11*M395/H395,0)</f>
        <v>0</v>
      </c>
      <c r="O395" s="7">
        <f>IF(首页!$B$13="自然对流",IF(首页!$B$14="立式圆筒",(0.825+0.3063*I395^(1/6))^2+0.87*(M395/B395),(0.752+0.303*I395^(1/6))^2),0.3+SQRT((0.592*N395^0.5)^2+(0.0262*N395^0.8/(1-0.5/N395^0.1))^2))</f>
        <v>10072.5675029349</v>
      </c>
      <c r="P395" s="6">
        <f t="shared" si="65"/>
        <v>2.9510194925512497E-2</v>
      </c>
      <c r="Q395" s="6">
        <f t="shared" si="66"/>
        <v>5.3848447538404276</v>
      </c>
      <c r="R395" s="6">
        <f t="shared" si="67"/>
        <v>13.153578554342385</v>
      </c>
      <c r="S395" s="6">
        <f>IF($Y$2="按单位面积散热损失 qp",B395*LN(B395/首页!$B$4),LN(B395/首页!$B$4))</f>
        <v>1.8134127184880382</v>
      </c>
      <c r="T395" s="6">
        <f>IF($Y$2="按单位面积散热损失 qp",2*PI()*首页!$B$8*((E395-D395)/$Y$3-1/R395),2*PI()*首页!$B$8*((E395-D395)/$Y$4-1/(PI()*B395*R395)))</f>
        <v>4.0804184760143782E-2</v>
      </c>
      <c r="U395" t="str">
        <f t="shared" si="68"/>
        <v>按单位面积散热损失 qp</v>
      </c>
      <c r="V395" s="6">
        <f t="shared" si="69"/>
        <v>1.7726085337278945</v>
      </c>
    </row>
    <row r="396" spans="1:22" x14ac:dyDescent="0.15">
      <c r="A396">
        <v>391</v>
      </c>
      <c r="B396" s="6">
        <f>首页!$B$4+2*A396/1000</f>
        <v>0.90200000000000002</v>
      </c>
      <c r="C396" s="6">
        <f>首页!$B$7+273.15</f>
        <v>388.15</v>
      </c>
      <c r="D396" s="6">
        <f>首页!$B$6+273.15</f>
        <v>293.14999999999998</v>
      </c>
      <c r="E396" s="6">
        <f>首页!$B$5+273.15</f>
        <v>1373.15</v>
      </c>
      <c r="F396" s="6">
        <f t="shared" si="60"/>
        <v>95</v>
      </c>
      <c r="G396" s="6">
        <f t="shared" si="61"/>
        <v>340.65</v>
      </c>
      <c r="H396" s="6">
        <f t="shared" si="62"/>
        <v>1.9926207055139041E-5</v>
      </c>
      <c r="I396" s="7">
        <f t="shared" si="63"/>
        <v>1158916576932337.8</v>
      </c>
      <c r="J396" s="6">
        <f t="shared" si="64"/>
        <v>1.0226038455893147</v>
      </c>
      <c r="K396" s="7">
        <f>J396*H396*首页!$B$12/P396</f>
        <v>0.69532757496605813</v>
      </c>
      <c r="L396" s="6">
        <f>首页!$B$9*0.0000000567*((C396^4-D396^4)/(C396-D396))</f>
        <v>7.7687338005019564</v>
      </c>
      <c r="M396" s="6">
        <f>IF(首页!$B$13="自然对流",IF(首页!$B$14="立式圆筒",首页!$B$10,PI()*B396/2),PI()*B396/2)</f>
        <v>55.2</v>
      </c>
      <c r="N396" s="7">
        <f>IF(首页!$B$13="强制对流",首页!$B$11*M396/H396,0)</f>
        <v>0</v>
      </c>
      <c r="O396" s="7">
        <f>IF(首页!$B$13="自然对流",IF(首页!$B$14="立式圆筒",(0.825+0.3063*I396^(1/6))^2+0.87*(M396/B396),(0.752+0.303*I396^(1/6))^2),0.3+SQRT((0.592*N396^0.5)^2+(0.0262*N396^0.8/(1-0.5/N396^0.1))^2))</f>
        <v>10072.449188079025</v>
      </c>
      <c r="P396" s="6">
        <f t="shared" si="65"/>
        <v>2.9510194925512497E-2</v>
      </c>
      <c r="Q396" s="6">
        <f t="shared" si="66"/>
        <v>5.3847815021292043</v>
      </c>
      <c r="R396" s="6">
        <f t="shared" si="67"/>
        <v>13.15351530263116</v>
      </c>
      <c r="S396" s="6">
        <f>IF($Y$2="按单位面积散热损失 qp",B396*LN(B396/首页!$B$4),LN(B396/首页!$B$4))</f>
        <v>1.8194447451070812</v>
      </c>
      <c r="T396" s="6">
        <f>IF($Y$2="按单位面积散热损失 qp",2*PI()*首页!$B$8*((E396-D396)/$Y$3-1/R396),2*PI()*首页!$B$8*((E396-D396)/$Y$4-1/(PI()*B396*R396)))</f>
        <v>4.0804081393859611E-2</v>
      </c>
      <c r="U396" t="str">
        <f t="shared" si="68"/>
        <v>按单位面积散热损失 qp</v>
      </c>
      <c r="V396" s="6">
        <f t="shared" si="69"/>
        <v>1.7786406637132215</v>
      </c>
    </row>
    <row r="397" spans="1:22" x14ac:dyDescent="0.15">
      <c r="A397">
        <v>392</v>
      </c>
      <c r="B397" s="6">
        <f>首页!$B$4+2*A397/1000</f>
        <v>0.90400000000000003</v>
      </c>
      <c r="C397" s="6">
        <f>首页!$B$7+273.15</f>
        <v>388.15</v>
      </c>
      <c r="D397" s="6">
        <f>首页!$B$6+273.15</f>
        <v>293.14999999999998</v>
      </c>
      <c r="E397" s="6">
        <f>首页!$B$5+273.15</f>
        <v>1373.15</v>
      </c>
      <c r="F397" s="6">
        <f t="shared" si="60"/>
        <v>95</v>
      </c>
      <c r="G397" s="6">
        <f t="shared" si="61"/>
        <v>340.65</v>
      </c>
      <c r="H397" s="6">
        <f t="shared" si="62"/>
        <v>1.9926207055139041E-5</v>
      </c>
      <c r="I397" s="7">
        <f t="shared" si="63"/>
        <v>1158916576932337.8</v>
      </c>
      <c r="J397" s="6">
        <f t="shared" si="64"/>
        <v>1.0226038455893147</v>
      </c>
      <c r="K397" s="7">
        <f>J397*H397*首页!$B$12/P397</f>
        <v>0.69532757496605813</v>
      </c>
      <c r="L397" s="6">
        <f>首页!$B$9*0.0000000567*((C397^4-D397^4)/(C397-D397))</f>
        <v>7.7687338005019564</v>
      </c>
      <c r="M397" s="6">
        <f>IF(首页!$B$13="自然对流",IF(首页!$B$14="立式圆筒",首页!$B$10,PI()*B397/2),PI()*B397/2)</f>
        <v>55.2</v>
      </c>
      <c r="N397" s="7">
        <f>IF(首页!$B$13="强制对流",首页!$B$11*M397/H397,0)</f>
        <v>0</v>
      </c>
      <c r="O397" s="7">
        <f>IF(首页!$B$13="自然对流",IF(首页!$B$14="立式圆筒",(0.825+0.3063*I397^(1/6))^2+0.87*(M397/B397),(0.752+0.303*I397^(1/6))^2),0.3+SQRT((0.592*N397^0.5)^2+(0.0262*N397^0.8/(1-0.5/N397^0.1))^2))</f>
        <v>10072.33139674021</v>
      </c>
      <c r="P397" s="6">
        <f t="shared" si="65"/>
        <v>2.9510194925512497E-2</v>
      </c>
      <c r="Q397" s="6">
        <f t="shared" si="66"/>
        <v>5.38471853029281</v>
      </c>
      <c r="R397" s="6">
        <f t="shared" si="67"/>
        <v>13.153452330794767</v>
      </c>
      <c r="S397" s="6">
        <f>IF($Y$2="按单位面积散热损失 qp",B397*LN(B397/首页!$B$4),LN(B397/首页!$B$4))</f>
        <v>1.8254812063195582</v>
      </c>
      <c r="T397" s="6">
        <f>IF($Y$2="按单位面积散热损失 qp",2*PI()*首页!$B$8*((E397-D397)/$Y$3-1/R397),2*PI()*首页!$B$8*((E397-D397)/$Y$4-1/(PI()*B397*R397)))</f>
        <v>4.0803978483960841E-2</v>
      </c>
      <c r="U397" t="str">
        <f t="shared" si="68"/>
        <v>按单位面积散热损失 qp</v>
      </c>
      <c r="V397" s="6">
        <f t="shared" si="69"/>
        <v>1.7846772278355973</v>
      </c>
    </row>
    <row r="398" spans="1:22" x14ac:dyDescent="0.15">
      <c r="A398">
        <v>393</v>
      </c>
      <c r="B398" s="6">
        <f>首页!$B$4+2*A398/1000</f>
        <v>0.90600000000000003</v>
      </c>
      <c r="C398" s="6">
        <f>首页!$B$7+273.15</f>
        <v>388.15</v>
      </c>
      <c r="D398" s="6">
        <f>首页!$B$6+273.15</f>
        <v>293.14999999999998</v>
      </c>
      <c r="E398" s="6">
        <f>首页!$B$5+273.15</f>
        <v>1373.15</v>
      </c>
      <c r="F398" s="6">
        <f t="shared" si="60"/>
        <v>95</v>
      </c>
      <c r="G398" s="6">
        <f t="shared" si="61"/>
        <v>340.65</v>
      </c>
      <c r="H398" s="6">
        <f t="shared" si="62"/>
        <v>1.9926207055139041E-5</v>
      </c>
      <c r="I398" s="7">
        <f t="shared" si="63"/>
        <v>1158916576932337.8</v>
      </c>
      <c r="J398" s="6">
        <f t="shared" si="64"/>
        <v>1.0226038455893147</v>
      </c>
      <c r="K398" s="7">
        <f>J398*H398*首页!$B$12/P398</f>
        <v>0.69532757496605813</v>
      </c>
      <c r="L398" s="6">
        <f>首页!$B$9*0.0000000567*((C398^4-D398^4)/(C398-D398))</f>
        <v>7.7687338005019564</v>
      </c>
      <c r="M398" s="6">
        <f>IF(首页!$B$13="自然对流",IF(首页!$B$14="立式圆筒",首页!$B$10,PI()*B398/2),PI()*B398/2)</f>
        <v>55.2</v>
      </c>
      <c r="N398" s="7">
        <f>IF(首页!$B$13="强制对流",首页!$B$11*M398/H398,0)</f>
        <v>0</v>
      </c>
      <c r="O398" s="7">
        <f>IF(首页!$B$13="自然对流",IF(首页!$B$14="立式圆筒",(0.825+0.3063*I398^(1/6))^2+0.87*(M398/B398),(0.752+0.303*I398^(1/6))^2),0.3+SQRT((0.592*N398^0.5)^2+(0.0262*N398^0.8/(1-0.5/N398^0.1))^2))</f>
        <v>10072.214125451455</v>
      </c>
      <c r="P398" s="6">
        <f t="shared" si="65"/>
        <v>2.9510194925512497E-2</v>
      </c>
      <c r="Q398" s="6">
        <f t="shared" si="66"/>
        <v>5.3846558364777675</v>
      </c>
      <c r="R398" s="6">
        <f t="shared" si="67"/>
        <v>13.153389636979725</v>
      </c>
      <c r="S398" s="6">
        <f>IF($Y$2="按单位面积散热损失 qp",B398*LN(B398/首页!$B$4),LN(B398/首页!$B$4))</f>
        <v>1.8315220923144058</v>
      </c>
      <c r="T398" s="6">
        <f>IF($Y$2="按单位面积散热损失 qp",2*PI()*首页!$B$8*((E398-D398)/$Y$3-1/R398),2*PI()*首页!$B$8*((E398-D398)/$Y$4-1/(PI()*B398*R398)))</f>
        <v>4.0803876027431574E-2</v>
      </c>
      <c r="U398" t="str">
        <f t="shared" si="68"/>
        <v>按单位面积散热损失 qp</v>
      </c>
      <c r="V398" s="6">
        <f t="shared" si="69"/>
        <v>1.7907182162869741</v>
      </c>
    </row>
    <row r="399" spans="1:22" x14ac:dyDescent="0.15">
      <c r="A399">
        <v>394</v>
      </c>
      <c r="B399" s="6">
        <f>首页!$B$4+2*A399/1000</f>
        <v>0.90800000000000003</v>
      </c>
      <c r="C399" s="6">
        <f>首页!$B$7+273.15</f>
        <v>388.15</v>
      </c>
      <c r="D399" s="6">
        <f>首页!$B$6+273.15</f>
        <v>293.14999999999998</v>
      </c>
      <c r="E399" s="6">
        <f>首页!$B$5+273.15</f>
        <v>1373.15</v>
      </c>
      <c r="F399" s="6">
        <f t="shared" si="60"/>
        <v>95</v>
      </c>
      <c r="G399" s="6">
        <f t="shared" si="61"/>
        <v>340.65</v>
      </c>
      <c r="H399" s="6">
        <f t="shared" si="62"/>
        <v>1.9926207055139041E-5</v>
      </c>
      <c r="I399" s="7">
        <f t="shared" si="63"/>
        <v>1158916576932337.8</v>
      </c>
      <c r="J399" s="6">
        <f t="shared" si="64"/>
        <v>1.0226038455893147</v>
      </c>
      <c r="K399" s="7">
        <f>J399*H399*首页!$B$12/P399</f>
        <v>0.69532757496605813</v>
      </c>
      <c r="L399" s="6">
        <f>首页!$B$9*0.0000000567*((C399^4-D399^4)/(C399-D399))</f>
        <v>7.7687338005019564</v>
      </c>
      <c r="M399" s="6">
        <f>IF(首页!$B$13="自然对流",IF(首页!$B$14="立式圆筒",首页!$B$10,PI()*B399/2),PI()*B399/2)</f>
        <v>55.2</v>
      </c>
      <c r="N399" s="7">
        <f>IF(首页!$B$13="强制对流",首页!$B$11*M399/H399,0)</f>
        <v>0</v>
      </c>
      <c r="O399" s="7">
        <f>IF(首页!$B$13="自然对流",IF(首页!$B$14="立式圆筒",(0.825+0.3063*I399^(1/6))^2+0.87*(M399/B399),(0.752+0.303*I399^(1/6))^2),0.3+SQRT((0.592*N399^0.5)^2+(0.0262*N399^0.8/(1-0.5/N399^0.1))^2))</f>
        <v>10072.09737077631</v>
      </c>
      <c r="P399" s="6">
        <f t="shared" si="65"/>
        <v>2.9510194925512497E-2</v>
      </c>
      <c r="Q399" s="6">
        <f t="shared" si="66"/>
        <v>5.3845934188469347</v>
      </c>
      <c r="R399" s="6">
        <f t="shared" si="67"/>
        <v>13.153327219348892</v>
      </c>
      <c r="S399" s="6">
        <f>IF($Y$2="按单位面积散热损失 qp",B399*LN(B399/首页!$B$4),LN(B399/首页!$B$4))</f>
        <v>1.8375673933238768</v>
      </c>
      <c r="T399" s="6">
        <f>IF($Y$2="按单位面积散热损失 qp",2*PI()*首页!$B$8*((E399-D399)/$Y$3-1/R399),2*PI()*首页!$B$8*((E399-D399)/$Y$4-1/(PI()*B399*R399)))</f>
        <v>4.08037740212824E-2</v>
      </c>
      <c r="U399" t="str">
        <f t="shared" si="68"/>
        <v>按单位面积散热损失 qp</v>
      </c>
      <c r="V399" s="6">
        <f t="shared" si="69"/>
        <v>1.7967636193025944</v>
      </c>
    </row>
    <row r="400" spans="1:22" x14ac:dyDescent="0.15">
      <c r="A400">
        <v>395</v>
      </c>
      <c r="B400" s="6">
        <f>首页!$B$4+2*A400/1000</f>
        <v>0.91</v>
      </c>
      <c r="C400" s="6">
        <f>首页!$B$7+273.15</f>
        <v>388.15</v>
      </c>
      <c r="D400" s="6">
        <f>首页!$B$6+273.15</f>
        <v>293.14999999999998</v>
      </c>
      <c r="E400" s="6">
        <f>首页!$B$5+273.15</f>
        <v>1373.15</v>
      </c>
      <c r="F400" s="6">
        <f t="shared" si="60"/>
        <v>95</v>
      </c>
      <c r="G400" s="6">
        <f t="shared" si="61"/>
        <v>340.65</v>
      </c>
      <c r="H400" s="6">
        <f t="shared" si="62"/>
        <v>1.9926207055139041E-5</v>
      </c>
      <c r="I400" s="7">
        <f t="shared" si="63"/>
        <v>1158916576932337.8</v>
      </c>
      <c r="J400" s="6">
        <f t="shared" si="64"/>
        <v>1.0226038455893147</v>
      </c>
      <c r="K400" s="7">
        <f>J400*H400*首页!$B$12/P400</f>
        <v>0.69532757496605813</v>
      </c>
      <c r="L400" s="6">
        <f>首页!$B$9*0.0000000567*((C400^4-D400^4)/(C400-D400))</f>
        <v>7.7687338005019564</v>
      </c>
      <c r="M400" s="6">
        <f>IF(首页!$B$13="自然对流",IF(首页!$B$14="立式圆筒",首页!$B$10,PI()*B400/2),PI()*B400/2)</f>
        <v>55.2</v>
      </c>
      <c r="N400" s="7">
        <f>IF(首页!$B$13="强制对流",首页!$B$11*M400/H400,0)</f>
        <v>0</v>
      </c>
      <c r="O400" s="7">
        <f>IF(首页!$B$13="自然对流",IF(首页!$B$14="立式圆筒",(0.825+0.3063*I400^(1/6))^2+0.87*(M400/B400),(0.752+0.303*I400^(1/6))^2),0.3+SQRT((0.592*N400^0.5)^2+(0.0262*N400^0.8/(1-0.5/N400^0.1))^2))</f>
        <v>10071.981129308526</v>
      </c>
      <c r="P400" s="6">
        <f t="shared" si="65"/>
        <v>2.9510194925512497E-2</v>
      </c>
      <c r="Q400" s="6">
        <f t="shared" si="66"/>
        <v>5.3845312755793131</v>
      </c>
      <c r="R400" s="6">
        <f t="shared" si="67"/>
        <v>13.153265076081269</v>
      </c>
      <c r="S400" s="6">
        <f>IF($Y$2="按单位面积散热损失 qp",B400*LN(B400/首页!$B$4),LN(B400/首页!$B$4))</f>
        <v>1.8436170996232535</v>
      </c>
      <c r="T400" s="6">
        <f>IF($Y$2="按单位面积散热损失 qp",2*PI()*首页!$B$8*((E400-D400)/$Y$3-1/R400),2*PI()*首页!$B$8*((E400-D400)/$Y$4-1/(PI()*B400*R400)))</f>
        <v>4.080367246255015E-2</v>
      </c>
      <c r="U400" t="str">
        <f t="shared" si="68"/>
        <v>按单位面积散热损失 qp</v>
      </c>
      <c r="V400" s="6">
        <f t="shared" si="69"/>
        <v>1.8028134271607033</v>
      </c>
    </row>
    <row r="401" spans="1:22" x14ac:dyDescent="0.15">
      <c r="A401">
        <v>396</v>
      </c>
      <c r="B401" s="6">
        <f>首页!$B$4+2*A401/1000</f>
        <v>0.91200000000000003</v>
      </c>
      <c r="C401" s="6">
        <f>首页!$B$7+273.15</f>
        <v>388.15</v>
      </c>
      <c r="D401" s="6">
        <f>首页!$B$6+273.15</f>
        <v>293.14999999999998</v>
      </c>
      <c r="E401" s="6">
        <f>首页!$B$5+273.15</f>
        <v>1373.15</v>
      </c>
      <c r="F401" s="6">
        <f t="shared" si="60"/>
        <v>95</v>
      </c>
      <c r="G401" s="6">
        <f t="shared" si="61"/>
        <v>340.65</v>
      </c>
      <c r="H401" s="6">
        <f t="shared" si="62"/>
        <v>1.9926207055139041E-5</v>
      </c>
      <c r="I401" s="7">
        <f t="shared" si="63"/>
        <v>1158916576932337.8</v>
      </c>
      <c r="J401" s="6">
        <f t="shared" si="64"/>
        <v>1.0226038455893147</v>
      </c>
      <c r="K401" s="7">
        <f>J401*H401*首页!$B$12/P401</f>
        <v>0.69532757496605813</v>
      </c>
      <c r="L401" s="6">
        <f>首页!$B$9*0.0000000567*((C401^4-D401^4)/(C401-D401))</f>
        <v>7.7687338005019564</v>
      </c>
      <c r="M401" s="6">
        <f>IF(首页!$B$13="自然对流",IF(首页!$B$14="立式圆筒",首页!$B$10,PI()*B401/2),PI()*B401/2)</f>
        <v>55.2</v>
      </c>
      <c r="N401" s="7">
        <f>IF(首页!$B$13="强制对流",首页!$B$11*M401/H401,0)</f>
        <v>0</v>
      </c>
      <c r="O401" s="7">
        <f>IF(首页!$B$13="自然对流",IF(首页!$B$14="立式圆筒",(0.825+0.3063*I401^(1/6))^2+0.87*(M401/B401),(0.752+0.303*I401^(1/6))^2),0.3+SQRT((0.592*N401^0.5)^2+(0.0262*N401^0.8/(1-0.5/N401^0.1))^2))</f>
        <v>10071.865397671741</v>
      </c>
      <c r="P401" s="6">
        <f t="shared" si="65"/>
        <v>2.9510194925512497E-2</v>
      </c>
      <c r="Q401" s="6">
        <f t="shared" si="66"/>
        <v>5.3844694048698827</v>
      </c>
      <c r="R401" s="6">
        <f t="shared" si="67"/>
        <v>13.153203205371838</v>
      </c>
      <c r="S401" s="6">
        <f>IF($Y$2="按单位面积散热损失 qp",B401*LN(B401/首页!$B$4),LN(B401/首页!$B$4))</f>
        <v>1.8496712015305645</v>
      </c>
      <c r="T401" s="6">
        <f>IF($Y$2="按单位面积散热损失 qp",2*PI()*首页!$B$8*((E401-D401)/$Y$3-1/R401),2*PI()*首页!$B$8*((E401-D401)/$Y$4-1/(PI()*B401*R401)))</f>
        <v>4.0803571348297603E-2</v>
      </c>
      <c r="U401" t="str">
        <f t="shared" si="68"/>
        <v>按单位面积散热损失 qp</v>
      </c>
      <c r="V401" s="6">
        <f t="shared" si="69"/>
        <v>1.8088676301822668</v>
      </c>
    </row>
    <row r="402" spans="1:22" x14ac:dyDescent="0.15">
      <c r="A402">
        <v>397</v>
      </c>
      <c r="B402" s="6">
        <f>首页!$B$4+2*A402/1000</f>
        <v>0.91400000000000003</v>
      </c>
      <c r="C402" s="6">
        <f>首页!$B$7+273.15</f>
        <v>388.15</v>
      </c>
      <c r="D402" s="6">
        <f>首页!$B$6+273.15</f>
        <v>293.14999999999998</v>
      </c>
      <c r="E402" s="6">
        <f>首页!$B$5+273.15</f>
        <v>1373.15</v>
      </c>
      <c r="F402" s="6">
        <f t="shared" si="60"/>
        <v>95</v>
      </c>
      <c r="G402" s="6">
        <f t="shared" si="61"/>
        <v>340.65</v>
      </c>
      <c r="H402" s="6">
        <f t="shared" si="62"/>
        <v>1.9926207055139041E-5</v>
      </c>
      <c r="I402" s="7">
        <f t="shared" si="63"/>
        <v>1158916576932337.8</v>
      </c>
      <c r="J402" s="6">
        <f t="shared" si="64"/>
        <v>1.0226038455893147</v>
      </c>
      <c r="K402" s="7">
        <f>J402*H402*首页!$B$12/P402</f>
        <v>0.69532757496605813</v>
      </c>
      <c r="L402" s="6">
        <f>首页!$B$9*0.0000000567*((C402^4-D402^4)/(C402-D402))</f>
        <v>7.7687338005019564</v>
      </c>
      <c r="M402" s="6">
        <f>IF(首页!$B$13="自然对流",IF(首页!$B$14="立式圆筒",首页!$B$10,PI()*B402/2),PI()*B402/2)</f>
        <v>55.2</v>
      </c>
      <c r="N402" s="7">
        <f>IF(首页!$B$13="强制对流",首页!$B$11*M402/H402,0)</f>
        <v>0</v>
      </c>
      <c r="O402" s="7">
        <f>IF(首页!$B$13="自然对流",IF(首页!$B$14="立式圆筒",(0.825+0.3063*I402^(1/6))^2+0.87*(M402/B402),(0.752+0.303*I402^(1/6))^2),0.3+SQRT((0.592*N402^0.5)^2+(0.0262*N402^0.8/(1-0.5/N402^0.1))^2))</f>
        <v>10071.750172519145</v>
      </c>
      <c r="P402" s="6">
        <f t="shared" si="65"/>
        <v>2.9510194925512497E-2</v>
      </c>
      <c r="Q402" s="6">
        <f t="shared" si="66"/>
        <v>5.3844078049294222</v>
      </c>
      <c r="R402" s="6">
        <f t="shared" si="67"/>
        <v>13.153141605431379</v>
      </c>
      <c r="S402" s="6">
        <f>IF($Y$2="按单位面积散热损失 qp",B402*LN(B402/首页!$B$4),LN(B402/首页!$B$4))</f>
        <v>1.8557296894063033</v>
      </c>
      <c r="T402" s="6">
        <f>IF($Y$2="按单位面积散热损失 qp",2*PI()*首页!$B$8*((E402-D402)/$Y$3-1/R402),2*PI()*首页!$B$8*((E402-D402)/$Y$4-1/(PI()*B402*R402)))</f>
        <v>4.0803470675613185E-2</v>
      </c>
      <c r="U402" t="str">
        <f t="shared" si="68"/>
        <v>按单位面积散热损失 qp</v>
      </c>
      <c r="V402" s="6">
        <f t="shared" si="69"/>
        <v>1.8149262187306903</v>
      </c>
    </row>
    <row r="403" spans="1:22" x14ac:dyDescent="0.15">
      <c r="A403">
        <v>398</v>
      </c>
      <c r="B403" s="6">
        <f>首页!$B$4+2*A403/1000</f>
        <v>0.91600000000000004</v>
      </c>
      <c r="C403" s="6">
        <f>首页!$B$7+273.15</f>
        <v>388.15</v>
      </c>
      <c r="D403" s="6">
        <f>首页!$B$6+273.15</f>
        <v>293.14999999999998</v>
      </c>
      <c r="E403" s="6">
        <f>首页!$B$5+273.15</f>
        <v>1373.15</v>
      </c>
      <c r="F403" s="6">
        <f t="shared" si="60"/>
        <v>95</v>
      </c>
      <c r="G403" s="6">
        <f t="shared" si="61"/>
        <v>340.65</v>
      </c>
      <c r="H403" s="6">
        <f t="shared" si="62"/>
        <v>1.9926207055139041E-5</v>
      </c>
      <c r="I403" s="7">
        <f t="shared" si="63"/>
        <v>1158916576932337.8</v>
      </c>
      <c r="J403" s="6">
        <f t="shared" si="64"/>
        <v>1.0226038455893147</v>
      </c>
      <c r="K403" s="7">
        <f>J403*H403*首页!$B$12/P403</f>
        <v>0.69532757496605813</v>
      </c>
      <c r="L403" s="6">
        <f>首页!$B$9*0.0000000567*((C403^4-D403^4)/(C403-D403))</f>
        <v>7.7687338005019564</v>
      </c>
      <c r="M403" s="6">
        <f>IF(首页!$B$13="自然对流",IF(首页!$B$14="立式圆筒",首页!$B$10,PI()*B403/2),PI()*B403/2)</f>
        <v>55.2</v>
      </c>
      <c r="N403" s="7">
        <f>IF(首页!$B$13="强制对流",首页!$B$11*M403/H403,0)</f>
        <v>0</v>
      </c>
      <c r="O403" s="7">
        <f>IF(首页!$B$13="自然对流",IF(首页!$B$14="立式圆筒",(0.825+0.3063*I403^(1/6))^2+0.87*(M403/B403),(0.752+0.303*I403^(1/6))^2),0.3+SQRT((0.592*N403^0.5)^2+(0.0262*N403^0.8/(1-0.5/N403^0.1))^2))</f>
        <v>10071.635450533153</v>
      </c>
      <c r="P403" s="6">
        <f t="shared" si="65"/>
        <v>2.9510194925512497E-2</v>
      </c>
      <c r="Q403" s="6">
        <f t="shared" si="66"/>
        <v>5.3843464739843334</v>
      </c>
      <c r="R403" s="6">
        <f t="shared" si="67"/>
        <v>13.153080274486289</v>
      </c>
      <c r="S403" s="6">
        <f>IF($Y$2="按单位面积散热损失 qp",B403*LN(B403/首页!$B$4),LN(B403/首页!$B$4))</f>
        <v>1.8617925536531494</v>
      </c>
      <c r="T403" s="6">
        <f>IF($Y$2="按单位面积散热损失 qp",2*PI()*首页!$B$8*((E403-D403)/$Y$3-1/R403),2*PI()*首页!$B$8*((E403-D403)/$Y$4-1/(PI()*B403*R403)))</f>
        <v>4.080337044161067E-2</v>
      </c>
      <c r="U403" t="str">
        <f t="shared" si="68"/>
        <v>按单位面积散热损失 qp</v>
      </c>
      <c r="V403" s="6">
        <f t="shared" si="69"/>
        <v>1.8209891832115388</v>
      </c>
    </row>
    <row r="404" spans="1:22" x14ac:dyDescent="0.15">
      <c r="A404">
        <v>399</v>
      </c>
      <c r="B404" s="6">
        <f>首页!$B$4+2*A404/1000</f>
        <v>0.91800000000000004</v>
      </c>
      <c r="C404" s="6">
        <f>首页!$B$7+273.15</f>
        <v>388.15</v>
      </c>
      <c r="D404" s="6">
        <f>首页!$B$6+273.15</f>
        <v>293.14999999999998</v>
      </c>
      <c r="E404" s="6">
        <f>首页!$B$5+273.15</f>
        <v>1373.15</v>
      </c>
      <c r="F404" s="6">
        <f t="shared" si="60"/>
        <v>95</v>
      </c>
      <c r="G404" s="6">
        <f t="shared" si="61"/>
        <v>340.65</v>
      </c>
      <c r="H404" s="6">
        <f t="shared" si="62"/>
        <v>1.9926207055139041E-5</v>
      </c>
      <c r="I404" s="7">
        <f t="shared" si="63"/>
        <v>1158916576932337.8</v>
      </c>
      <c r="J404" s="6">
        <f t="shared" si="64"/>
        <v>1.0226038455893147</v>
      </c>
      <c r="K404" s="7">
        <f>J404*H404*首页!$B$12/P404</f>
        <v>0.69532757496605813</v>
      </c>
      <c r="L404" s="6">
        <f>首页!$B$9*0.0000000567*((C404^4-D404^4)/(C404-D404))</f>
        <v>7.7687338005019564</v>
      </c>
      <c r="M404" s="6">
        <f>IF(首页!$B$13="自然对流",IF(首页!$B$14="立式圆筒",首页!$B$10,PI()*B404/2),PI()*B404/2)</f>
        <v>55.2</v>
      </c>
      <c r="N404" s="7">
        <f>IF(首页!$B$13="强制对流",首页!$B$11*M404/H404,0)</f>
        <v>0</v>
      </c>
      <c r="O404" s="7">
        <f>IF(首页!$B$13="自然对流",IF(首页!$B$14="立式圆筒",(0.825+0.3063*I404^(1/6))^2+0.87*(M404/B404),(0.752+0.303*I404^(1/6))^2),0.3+SQRT((0.592*N404^0.5)^2+(0.0262*N404^0.8/(1-0.5/N404^0.1))^2))</f>
        <v>10071.521228425096</v>
      </c>
      <c r="P404" s="6">
        <f t="shared" si="65"/>
        <v>2.9510194925512497E-2</v>
      </c>
      <c r="Q404" s="6">
        <f t="shared" si="66"/>
        <v>5.3842854102764788</v>
      </c>
      <c r="R404" s="6">
        <f t="shared" si="67"/>
        <v>13.153019210778435</v>
      </c>
      <c r="S404" s="6">
        <f>IF($Y$2="按单位面积散热损失 qp",B404*LN(B404/首页!$B$4),LN(B404/首页!$B$4))</f>
        <v>1.8678597847156921</v>
      </c>
      <c r="T404" s="6">
        <f>IF($Y$2="按单位面积散热损失 qp",2*PI()*首页!$B$8*((E404-D404)/$Y$3-1/R404),2*PI()*首页!$B$8*((E404-D404)/$Y$4-1/(PI()*B404*R404)))</f>
        <v>4.0803270643428952E-2</v>
      </c>
      <c r="U404" t="str">
        <f t="shared" si="68"/>
        <v>按单位面积散热损失 qp</v>
      </c>
      <c r="V404" s="6">
        <f t="shared" si="69"/>
        <v>1.8270565140722632</v>
      </c>
    </row>
    <row r="405" spans="1:22" x14ac:dyDescent="0.15">
      <c r="A405">
        <v>400</v>
      </c>
      <c r="B405" s="6">
        <f>首页!$B$4+2*A405/1000</f>
        <v>0.92</v>
      </c>
      <c r="C405" s="6">
        <f>首页!$B$7+273.15</f>
        <v>388.15</v>
      </c>
      <c r="D405" s="6">
        <f>首页!$B$6+273.15</f>
        <v>293.14999999999998</v>
      </c>
      <c r="E405" s="6">
        <f>首页!$B$5+273.15</f>
        <v>1373.15</v>
      </c>
      <c r="F405" s="6">
        <f t="shared" si="60"/>
        <v>95</v>
      </c>
      <c r="G405" s="6">
        <f t="shared" si="61"/>
        <v>340.65</v>
      </c>
      <c r="H405" s="6">
        <f t="shared" si="62"/>
        <v>1.9926207055139041E-5</v>
      </c>
      <c r="I405" s="7">
        <f t="shared" si="63"/>
        <v>1158916576932337.8</v>
      </c>
      <c r="J405" s="6">
        <f t="shared" si="64"/>
        <v>1.0226038455893147</v>
      </c>
      <c r="K405" s="7">
        <f>J405*H405*首页!$B$12/P405</f>
        <v>0.69532757496605813</v>
      </c>
      <c r="L405" s="6">
        <f>首页!$B$9*0.0000000567*((C405^4-D405^4)/(C405-D405))</f>
        <v>7.7687338005019564</v>
      </c>
      <c r="M405" s="6">
        <f>IF(首页!$B$13="自然对流",IF(首页!$B$14="立式圆筒",首页!$B$10,PI()*B405/2),PI()*B405/2)</f>
        <v>55.2</v>
      </c>
      <c r="N405" s="7">
        <f>IF(首页!$B$13="强制对流",首页!$B$11*M405/H405,0)</f>
        <v>0</v>
      </c>
      <c r="O405" s="7">
        <f>IF(首页!$B$13="自然对流",IF(首页!$B$14="立式圆筒",(0.825+0.3063*I405^(1/6))^2+0.87*(M405/B405),(0.752+0.303*I405^(1/6))^2),0.3+SQRT((0.592*N405^0.5)^2+(0.0262*N405^0.8/(1-0.5/N405^0.1))^2))</f>
        <v>10071.407502934901</v>
      </c>
      <c r="P405" s="6">
        <f t="shared" si="65"/>
        <v>2.9510194925512497E-2</v>
      </c>
      <c r="Q405" s="6">
        <f t="shared" si="66"/>
        <v>5.3842246120630062</v>
      </c>
      <c r="R405" s="6">
        <f t="shared" si="67"/>
        <v>13.152958412564963</v>
      </c>
      <c r="S405" s="6">
        <f>IF($Y$2="按单位面积散热损失 qp",B405*LN(B405/首页!$B$4),LN(B405/首页!$B$4))</f>
        <v>1.873931373080157</v>
      </c>
      <c r="T405" s="6">
        <f>IF($Y$2="按单位面积散热损失 qp",2*PI()*首页!$B$8*((E405-D405)/$Y$3-1/R405),2*PI()*首页!$B$8*((E405-D405)/$Y$4-1/(PI()*B405*R405)))</f>
        <v>4.0803171278231784E-2</v>
      </c>
      <c r="U405" t="str">
        <f t="shared" si="68"/>
        <v>按单位面积散热损失 qp</v>
      </c>
      <c r="V405" s="6">
        <f t="shared" si="69"/>
        <v>1.8331282018019253</v>
      </c>
    </row>
    <row r="406" spans="1:22" x14ac:dyDescent="0.15">
      <c r="A406">
        <v>401</v>
      </c>
      <c r="B406" s="6">
        <f>首页!$B$4+2*A406/1000</f>
        <v>0.92200000000000004</v>
      </c>
      <c r="C406" s="6">
        <f>首页!$B$7+273.15</f>
        <v>388.15</v>
      </c>
      <c r="D406" s="6">
        <f>首页!$B$6+273.15</f>
        <v>293.14999999999998</v>
      </c>
      <c r="E406" s="6">
        <f>首页!$B$5+273.15</f>
        <v>1373.15</v>
      </c>
      <c r="F406" s="6">
        <f t="shared" si="60"/>
        <v>95</v>
      </c>
      <c r="G406" s="6">
        <f t="shared" si="61"/>
        <v>340.65</v>
      </c>
      <c r="H406" s="6">
        <f t="shared" si="62"/>
        <v>1.9926207055139041E-5</v>
      </c>
      <c r="I406" s="7">
        <f t="shared" si="63"/>
        <v>1158916576932337.8</v>
      </c>
      <c r="J406" s="6">
        <f t="shared" si="64"/>
        <v>1.0226038455893147</v>
      </c>
      <c r="K406" s="7">
        <f>J406*H406*首页!$B$12/P406</f>
        <v>0.69532757496605813</v>
      </c>
      <c r="L406" s="6">
        <f>首页!$B$9*0.0000000567*((C406^4-D406^4)/(C406-D406))</f>
        <v>7.7687338005019564</v>
      </c>
      <c r="M406" s="6">
        <f>IF(首页!$B$13="自然对流",IF(首页!$B$14="立式圆筒",首页!$B$10,PI()*B406/2),PI()*B406/2)</f>
        <v>55.2</v>
      </c>
      <c r="N406" s="7">
        <f>IF(首页!$B$13="强制对流",首页!$B$11*M406/H406,0)</f>
        <v>0</v>
      </c>
      <c r="O406" s="7">
        <f>IF(首页!$B$13="自然对流",IF(首页!$B$14="立式圆筒",(0.825+0.3063*I406^(1/6))^2+0.87*(M406/B406),(0.752+0.303*I406^(1/6))^2),0.3+SQRT((0.592*N406^0.5)^2+(0.0262*N406^0.8/(1-0.5/N406^0.1))^2))</f>
        <v>10071.294270830778</v>
      </c>
      <c r="P406" s="6">
        <f t="shared" si="65"/>
        <v>2.9510194925512497E-2</v>
      </c>
      <c r="Q406" s="6">
        <f t="shared" si="66"/>
        <v>5.3841640776161874</v>
      </c>
      <c r="R406" s="6">
        <f t="shared" si="67"/>
        <v>13.152897878118143</v>
      </c>
      <c r="S406" s="6">
        <f>IF($Y$2="按单位面积散热损失 qp",B406*LN(B406/首页!$B$4),LN(B406/首页!$B$4))</f>
        <v>1.8800073092741332</v>
      </c>
      <c r="T406" s="6">
        <f>IF($Y$2="按单位面积散热损失 qp",2*PI()*首页!$B$8*((E406-D406)/$Y$3-1/R406),2*PI()*首页!$B$8*((E406-D406)/$Y$4-1/(PI()*B406*R406)))</f>
        <v>4.080307234320741E-2</v>
      </c>
      <c r="U406" t="str">
        <f t="shared" si="68"/>
        <v>按单位面积散热损失 qp</v>
      </c>
      <c r="V406" s="6">
        <f t="shared" si="69"/>
        <v>1.8392042369309258</v>
      </c>
    </row>
    <row r="407" spans="1:22" x14ac:dyDescent="0.15">
      <c r="A407">
        <v>402</v>
      </c>
      <c r="B407" s="6">
        <f>首页!$B$4+2*A407/1000</f>
        <v>0.92400000000000004</v>
      </c>
      <c r="C407" s="6">
        <f>首页!$B$7+273.15</f>
        <v>388.15</v>
      </c>
      <c r="D407" s="6">
        <f>首页!$B$6+273.15</f>
        <v>293.14999999999998</v>
      </c>
      <c r="E407" s="6">
        <f>首页!$B$5+273.15</f>
        <v>1373.15</v>
      </c>
      <c r="F407" s="6">
        <f t="shared" si="60"/>
        <v>95</v>
      </c>
      <c r="G407" s="6">
        <f t="shared" si="61"/>
        <v>340.65</v>
      </c>
      <c r="H407" s="6">
        <f t="shared" si="62"/>
        <v>1.9926207055139041E-5</v>
      </c>
      <c r="I407" s="7">
        <f t="shared" si="63"/>
        <v>1158916576932337.8</v>
      </c>
      <c r="J407" s="6">
        <f t="shared" si="64"/>
        <v>1.0226038455893147</v>
      </c>
      <c r="K407" s="7">
        <f>J407*H407*首页!$B$12/P407</f>
        <v>0.69532757496605813</v>
      </c>
      <c r="L407" s="6">
        <f>首页!$B$9*0.0000000567*((C407^4-D407^4)/(C407-D407))</f>
        <v>7.7687338005019564</v>
      </c>
      <c r="M407" s="6">
        <f>IF(首页!$B$13="自然对流",IF(首页!$B$14="立式圆筒",首页!$B$10,PI()*B407/2),PI()*B407/2)</f>
        <v>55.2</v>
      </c>
      <c r="N407" s="7">
        <f>IF(首页!$B$13="强制对流",首页!$B$11*M407/H407,0)</f>
        <v>0</v>
      </c>
      <c r="O407" s="7">
        <f>IF(首页!$B$13="自然对流",IF(首页!$B$14="立式圆筒",(0.825+0.3063*I407^(1/6))^2+0.87*(M407/B407),(0.752+0.303*I407^(1/6))^2),0.3+SQRT((0.592*N407^0.5)^2+(0.0262*N407^0.8/(1-0.5/N407^0.1))^2))</f>
        <v>10071.181528908926</v>
      </c>
      <c r="P407" s="6">
        <f t="shared" si="65"/>
        <v>2.9510194925512497E-2</v>
      </c>
      <c r="Q407" s="6">
        <f t="shared" si="66"/>
        <v>5.3841038052232495</v>
      </c>
      <c r="R407" s="6">
        <f t="shared" si="67"/>
        <v>13.152837605725207</v>
      </c>
      <c r="S407" s="6">
        <f>IF($Y$2="按单位面积散热损失 qp",B407*LN(B407/首页!$B$4),LN(B407/首页!$B$4))</f>
        <v>1.8860875838663058</v>
      </c>
      <c r="T407" s="6">
        <f>IF($Y$2="按单位面积散热损失 qp",2*PI()*首页!$B$8*((E407-D407)/$Y$3-1/R407),2*PI()*首页!$B$8*((E407-D407)/$Y$4-1/(PI()*B407*R407)))</f>
        <v>4.0802973835568426E-2</v>
      </c>
      <c r="U407" t="str">
        <f t="shared" si="68"/>
        <v>按单位面积散热损失 qp</v>
      </c>
      <c r="V407" s="6">
        <f t="shared" si="69"/>
        <v>1.8452846100307374</v>
      </c>
    </row>
    <row r="408" spans="1:22" x14ac:dyDescent="0.15">
      <c r="A408">
        <v>403</v>
      </c>
      <c r="B408" s="6">
        <f>首页!$B$4+2*A408/1000</f>
        <v>0.92600000000000005</v>
      </c>
      <c r="C408" s="6">
        <f>首页!$B$7+273.15</f>
        <v>388.15</v>
      </c>
      <c r="D408" s="6">
        <f>首页!$B$6+273.15</f>
        <v>293.14999999999998</v>
      </c>
      <c r="E408" s="6">
        <f>首页!$B$5+273.15</f>
        <v>1373.15</v>
      </c>
      <c r="F408" s="6">
        <f t="shared" si="60"/>
        <v>95</v>
      </c>
      <c r="G408" s="6">
        <f t="shared" si="61"/>
        <v>340.65</v>
      </c>
      <c r="H408" s="6">
        <f t="shared" si="62"/>
        <v>1.9926207055139041E-5</v>
      </c>
      <c r="I408" s="7">
        <f t="shared" si="63"/>
        <v>1158916576932337.8</v>
      </c>
      <c r="J408" s="6">
        <f t="shared" si="64"/>
        <v>1.0226038455893147</v>
      </c>
      <c r="K408" s="7">
        <f>J408*H408*首页!$B$12/P408</f>
        <v>0.69532757496605813</v>
      </c>
      <c r="L408" s="6">
        <f>首页!$B$9*0.0000000567*((C408^4-D408^4)/(C408-D408))</f>
        <v>7.7687338005019564</v>
      </c>
      <c r="M408" s="6">
        <f>IF(首页!$B$13="自然对流",IF(首页!$B$14="立式圆筒",首页!$B$10,PI()*B408/2),PI()*B408/2)</f>
        <v>55.2</v>
      </c>
      <c r="N408" s="7">
        <f>IF(首页!$B$13="强制对流",首页!$B$11*M408/H408,0)</f>
        <v>0</v>
      </c>
      <c r="O408" s="7">
        <f>IF(首页!$B$13="自然对流",IF(首页!$B$14="立式圆筒",(0.825+0.3063*I408^(1/6))^2+0.87*(M408/B408),(0.752+0.303*I408^(1/6))^2),0.3+SQRT((0.592*N408^0.5)^2+(0.0262*N408^0.8/(1-0.5/N408^0.1))^2))</f>
        <v>10071.069273993215</v>
      </c>
      <c r="P408" s="6">
        <f t="shared" si="65"/>
        <v>2.9510194925512497E-2</v>
      </c>
      <c r="Q408" s="6">
        <f t="shared" si="66"/>
        <v>5.3840437931862208</v>
      </c>
      <c r="R408" s="6">
        <f t="shared" si="67"/>
        <v>13.152777593688178</v>
      </c>
      <c r="S408" s="6">
        <f>IF($Y$2="按单位面积散热损失 qp",B408*LN(B408/首页!$B$4),LN(B408/首页!$B$4))</f>
        <v>1.8921721874661879</v>
      </c>
      <c r="T408" s="6">
        <f>IF($Y$2="按单位面积散热损失 qp",2*PI()*首页!$B$8*((E408-D408)/$Y$3-1/R408),2*PI()*首页!$B$8*((E408-D408)/$Y$4-1/(PI()*B408*R408)))</f>
        <v>4.0802875752551419E-2</v>
      </c>
      <c r="U408" t="str">
        <f t="shared" si="68"/>
        <v>按单位面积散热损失 qp</v>
      </c>
      <c r="V408" s="6">
        <f t="shared" si="69"/>
        <v>1.8513693117136365</v>
      </c>
    </row>
    <row r="409" spans="1:22" x14ac:dyDescent="0.15">
      <c r="A409">
        <v>404</v>
      </c>
      <c r="B409" s="6">
        <f>首页!$B$4+2*A409/1000</f>
        <v>0.92800000000000005</v>
      </c>
      <c r="C409" s="6">
        <f>首页!$B$7+273.15</f>
        <v>388.15</v>
      </c>
      <c r="D409" s="6">
        <f>首页!$B$6+273.15</f>
        <v>293.14999999999998</v>
      </c>
      <c r="E409" s="6">
        <f>首页!$B$5+273.15</f>
        <v>1373.15</v>
      </c>
      <c r="F409" s="6">
        <f t="shared" si="60"/>
        <v>95</v>
      </c>
      <c r="G409" s="6">
        <f t="shared" si="61"/>
        <v>340.65</v>
      </c>
      <c r="H409" s="6">
        <f t="shared" si="62"/>
        <v>1.9926207055139041E-5</v>
      </c>
      <c r="I409" s="7">
        <f t="shared" si="63"/>
        <v>1158916576932337.8</v>
      </c>
      <c r="J409" s="6">
        <f t="shared" si="64"/>
        <v>1.0226038455893147</v>
      </c>
      <c r="K409" s="7">
        <f>J409*H409*首页!$B$12/P409</f>
        <v>0.69532757496605813</v>
      </c>
      <c r="L409" s="6">
        <f>首页!$B$9*0.0000000567*((C409^4-D409^4)/(C409-D409))</f>
        <v>7.7687338005019564</v>
      </c>
      <c r="M409" s="6">
        <f>IF(首页!$B$13="自然对流",IF(首页!$B$14="立式圆筒",首页!$B$10,PI()*B409/2),PI()*B409/2)</f>
        <v>55.2</v>
      </c>
      <c r="N409" s="7">
        <f>IF(首页!$B$13="强制对流",首页!$B$11*M409/H409,0)</f>
        <v>0</v>
      </c>
      <c r="O409" s="7">
        <f>IF(首页!$B$13="自然对流",IF(首页!$B$14="立式圆筒",(0.825+0.3063*I409^(1/6))^2+0.87*(M409/B409),(0.752+0.303*I409^(1/6))^2),0.3+SQRT((0.592*N409^0.5)^2+(0.0262*N409^0.8/(1-0.5/N409^0.1))^2))</f>
        <v>10070.9575029349</v>
      </c>
      <c r="P409" s="6">
        <f t="shared" si="65"/>
        <v>2.9510194925512497E-2</v>
      </c>
      <c r="Q409" s="6">
        <f t="shared" si="66"/>
        <v>5.3839840398217653</v>
      </c>
      <c r="R409" s="6">
        <f t="shared" si="67"/>
        <v>13.152717840323721</v>
      </c>
      <c r="S409" s="6">
        <f>IF($Y$2="按单位面积散热损失 qp",B409*LN(B409/首页!$B$4),LN(B409/首页!$B$4))</f>
        <v>1.8982611107238558</v>
      </c>
      <c r="T409" s="6">
        <f>IF($Y$2="按单位面积散热损失 qp",2*PI()*首页!$B$8*((E409-D409)/$Y$3-1/R409),2*PI()*首页!$B$8*((E409-D409)/$Y$4-1/(PI()*B409*R409)))</f>
        <v>4.0802778091416761E-2</v>
      </c>
      <c r="U409" t="str">
        <f t="shared" si="68"/>
        <v>按单位面积散热损失 qp</v>
      </c>
      <c r="V409" s="6">
        <f t="shared" si="69"/>
        <v>1.857458332632439</v>
      </c>
    </row>
    <row r="410" spans="1:22" x14ac:dyDescent="0.15">
      <c r="A410">
        <v>405</v>
      </c>
      <c r="B410" s="6">
        <f>首页!$B$4+2*A410/1000</f>
        <v>0.93</v>
      </c>
      <c r="C410" s="6">
        <f>首页!$B$7+273.15</f>
        <v>388.15</v>
      </c>
      <c r="D410" s="6">
        <f>首页!$B$6+273.15</f>
        <v>293.14999999999998</v>
      </c>
      <c r="E410" s="6">
        <f>首页!$B$5+273.15</f>
        <v>1373.15</v>
      </c>
      <c r="F410" s="6">
        <f t="shared" si="60"/>
        <v>95</v>
      </c>
      <c r="G410" s="6">
        <f t="shared" si="61"/>
        <v>340.65</v>
      </c>
      <c r="H410" s="6">
        <f t="shared" si="62"/>
        <v>1.9926207055139041E-5</v>
      </c>
      <c r="I410" s="7">
        <f t="shared" si="63"/>
        <v>1158916576932337.8</v>
      </c>
      <c r="J410" s="6">
        <f t="shared" si="64"/>
        <v>1.0226038455893147</v>
      </c>
      <c r="K410" s="7">
        <f>J410*H410*首页!$B$12/P410</f>
        <v>0.69532757496605813</v>
      </c>
      <c r="L410" s="6">
        <f>首页!$B$9*0.0000000567*((C410^4-D410^4)/(C410-D410))</f>
        <v>7.7687338005019564</v>
      </c>
      <c r="M410" s="6">
        <f>IF(首页!$B$13="自然对流",IF(首页!$B$14="立式圆筒",首页!$B$10,PI()*B410/2),PI()*B410/2)</f>
        <v>55.2</v>
      </c>
      <c r="N410" s="7">
        <f>IF(首页!$B$13="强制对流",首页!$B$11*M410/H410,0)</f>
        <v>0</v>
      </c>
      <c r="O410" s="7">
        <f>IF(首页!$B$13="自然对流",IF(首页!$B$14="立式圆筒",(0.825+0.3063*I410^(1/6))^2+0.87*(M410/B410),(0.752+0.303*I410^(1/6))^2),0.3+SQRT((0.592*N410^0.5)^2+(0.0262*N410^0.8/(1-0.5/N410^0.1))^2))</f>
        <v>10070.84621261232</v>
      </c>
      <c r="P410" s="6">
        <f t="shared" si="65"/>
        <v>2.9510194925512497E-2</v>
      </c>
      <c r="Q410" s="6">
        <f t="shared" si="66"/>
        <v>5.3839245434610286</v>
      </c>
      <c r="R410" s="6">
        <f t="shared" si="67"/>
        <v>13.152658343962985</v>
      </c>
      <c r="S410" s="6">
        <f>IF($Y$2="按单位面积散热损失 qp",B410*LN(B410/首页!$B$4),LN(B410/首页!$B$4))</f>
        <v>1.9043543443296882</v>
      </c>
      <c r="T410" s="6">
        <f>IF($Y$2="按单位面积散热损失 qp",2*PI()*首页!$B$8*((E410-D410)/$Y$3-1/R410),2*PI()*首页!$B$8*((E410-D410)/$Y$4-1/(PI()*B410*R410)))</f>
        <v>4.080268084944836E-2</v>
      </c>
      <c r="U410" t="str">
        <f t="shared" si="68"/>
        <v>按单位面积散热损失 qp</v>
      </c>
      <c r="V410" s="6">
        <f t="shared" si="69"/>
        <v>1.8635516634802398</v>
      </c>
    </row>
    <row r="411" spans="1:22" x14ac:dyDescent="0.15">
      <c r="A411">
        <v>406</v>
      </c>
      <c r="B411" s="6">
        <f>首页!$B$4+2*A411/1000</f>
        <v>0.93200000000000005</v>
      </c>
      <c r="C411" s="6">
        <f>首页!$B$7+273.15</f>
        <v>388.15</v>
      </c>
      <c r="D411" s="6">
        <f>首页!$B$6+273.15</f>
        <v>293.14999999999998</v>
      </c>
      <c r="E411" s="6">
        <f>首页!$B$5+273.15</f>
        <v>1373.15</v>
      </c>
      <c r="F411" s="6">
        <f t="shared" si="60"/>
        <v>95</v>
      </c>
      <c r="G411" s="6">
        <f t="shared" si="61"/>
        <v>340.65</v>
      </c>
      <c r="H411" s="6">
        <f t="shared" si="62"/>
        <v>1.9926207055139041E-5</v>
      </c>
      <c r="I411" s="7">
        <f t="shared" si="63"/>
        <v>1158916576932337.8</v>
      </c>
      <c r="J411" s="6">
        <f t="shared" si="64"/>
        <v>1.0226038455893147</v>
      </c>
      <c r="K411" s="7">
        <f>J411*H411*首页!$B$12/P411</f>
        <v>0.69532757496605813</v>
      </c>
      <c r="L411" s="6">
        <f>首页!$B$9*0.0000000567*((C411^4-D411^4)/(C411-D411))</f>
        <v>7.7687338005019564</v>
      </c>
      <c r="M411" s="6">
        <f>IF(首页!$B$13="自然对流",IF(首页!$B$14="立式圆筒",首页!$B$10,PI()*B411/2),PI()*B411/2)</f>
        <v>55.2</v>
      </c>
      <c r="N411" s="7">
        <f>IF(首页!$B$13="强制对流",首页!$B$11*M411/H411,0)</f>
        <v>0</v>
      </c>
      <c r="O411" s="7">
        <f>IF(首页!$B$13="自然对流",IF(首页!$B$14="立式圆筒",(0.825+0.3063*I411^(1/6))^2+0.87*(M411/B411),(0.752+0.303*I411^(1/6))^2),0.3+SQRT((0.592*N411^0.5)^2+(0.0262*N411^0.8/(1-0.5/N411^0.1))^2))</f>
        <v>10070.735399930609</v>
      </c>
      <c r="P411" s="6">
        <f t="shared" si="65"/>
        <v>2.9510194925512497E-2</v>
      </c>
      <c r="Q411" s="6">
        <f t="shared" si="66"/>
        <v>5.3838653024494807</v>
      </c>
      <c r="R411" s="6">
        <f t="shared" si="67"/>
        <v>13.152599102951438</v>
      </c>
      <c r="S411" s="6">
        <f>IF($Y$2="按单位面积散热损失 qp",B411*LN(B411/首页!$B$4),LN(B411/首页!$B$4))</f>
        <v>1.9104518790141041</v>
      </c>
      <c r="T411" s="6">
        <f>IF($Y$2="按单位面积散热损失 qp",2*PI()*首页!$B$8*((E411-D411)/$Y$3-1/R411),2*PI()*首页!$B$8*((E411-D411)/$Y$4-1/(PI()*B411*R411)))</f>
        <v>4.0802584023953356E-2</v>
      </c>
      <c r="U411" t="str">
        <f t="shared" si="68"/>
        <v>按单位面积散热损失 qp</v>
      </c>
      <c r="V411" s="6">
        <f t="shared" si="69"/>
        <v>1.8696492949901506</v>
      </c>
    </row>
    <row r="412" spans="1:22" x14ac:dyDescent="0.15">
      <c r="A412">
        <v>407</v>
      </c>
      <c r="B412" s="6">
        <f>首页!$B$4+2*A412/1000</f>
        <v>0.93399999999999994</v>
      </c>
      <c r="C412" s="6">
        <f>首页!$B$7+273.15</f>
        <v>388.15</v>
      </c>
      <c r="D412" s="6">
        <f>首页!$B$6+273.15</f>
        <v>293.14999999999998</v>
      </c>
      <c r="E412" s="6">
        <f>首页!$B$5+273.15</f>
        <v>1373.15</v>
      </c>
      <c r="F412" s="6">
        <f t="shared" si="60"/>
        <v>95</v>
      </c>
      <c r="G412" s="6">
        <f t="shared" si="61"/>
        <v>340.65</v>
      </c>
      <c r="H412" s="6">
        <f t="shared" si="62"/>
        <v>1.9926207055139041E-5</v>
      </c>
      <c r="I412" s="7">
        <f t="shared" si="63"/>
        <v>1158916576932337.8</v>
      </c>
      <c r="J412" s="6">
        <f t="shared" si="64"/>
        <v>1.0226038455893147</v>
      </c>
      <c r="K412" s="7">
        <f>J412*H412*首页!$B$12/P412</f>
        <v>0.69532757496605813</v>
      </c>
      <c r="L412" s="6">
        <f>首页!$B$9*0.0000000567*((C412^4-D412^4)/(C412-D412))</f>
        <v>7.7687338005019564</v>
      </c>
      <c r="M412" s="6">
        <f>IF(首页!$B$13="自然对流",IF(首页!$B$14="立式圆筒",首页!$B$10,PI()*B412/2),PI()*B412/2)</f>
        <v>55.2</v>
      </c>
      <c r="N412" s="7">
        <f>IF(首页!$B$13="强制对流",首页!$B$11*M412/H412,0)</f>
        <v>0</v>
      </c>
      <c r="O412" s="7">
        <f>IF(首页!$B$13="自然对流",IF(首页!$B$14="立式圆筒",(0.825+0.3063*I412^(1/6))^2+0.87*(M412/B412),(0.752+0.303*I412^(1/6))^2),0.3+SQRT((0.592*N412^0.5)^2+(0.0262*N412^0.8/(1-0.5/N412^0.1))^2))</f>
        <v>10070.625061821409</v>
      </c>
      <c r="P412" s="6">
        <f t="shared" si="65"/>
        <v>2.9510194925512497E-2</v>
      </c>
      <c r="Q412" s="6">
        <f t="shared" si="66"/>
        <v>5.3838063151467592</v>
      </c>
      <c r="R412" s="6">
        <f t="shared" si="67"/>
        <v>13.152540115648716</v>
      </c>
      <c r="S412" s="6">
        <f>IF($Y$2="按单位面积散热损失 qp",B412*LN(B412/首页!$B$4),LN(B412/首页!$B$4))</f>
        <v>1.9165537055473079</v>
      </c>
      <c r="T412" s="6">
        <f>IF($Y$2="按单位面积散热损失 qp",2*PI()*首页!$B$8*((E412-D412)/$Y$3-1/R412),2*PI()*首页!$B$8*((E412-D412)/$Y$4-1/(PI()*B412*R412)))</f>
        <v>4.0802487612261927E-2</v>
      </c>
      <c r="U412" t="str">
        <f t="shared" si="68"/>
        <v>按单位面积散热损失 qp</v>
      </c>
      <c r="V412" s="6">
        <f t="shared" si="69"/>
        <v>1.875751217935046</v>
      </c>
    </row>
    <row r="413" spans="1:22" x14ac:dyDescent="0.15">
      <c r="A413">
        <v>408</v>
      </c>
      <c r="B413" s="6">
        <f>首页!$B$4+2*A413/1000</f>
        <v>0.93599999999999994</v>
      </c>
      <c r="C413" s="6">
        <f>首页!$B$7+273.15</f>
        <v>388.15</v>
      </c>
      <c r="D413" s="6">
        <f>首页!$B$6+273.15</f>
        <v>293.14999999999998</v>
      </c>
      <c r="E413" s="6">
        <f>首页!$B$5+273.15</f>
        <v>1373.15</v>
      </c>
      <c r="F413" s="6">
        <f t="shared" si="60"/>
        <v>95</v>
      </c>
      <c r="G413" s="6">
        <f t="shared" si="61"/>
        <v>340.65</v>
      </c>
      <c r="H413" s="6">
        <f t="shared" si="62"/>
        <v>1.9926207055139041E-5</v>
      </c>
      <c r="I413" s="7">
        <f t="shared" si="63"/>
        <v>1158916576932337.8</v>
      </c>
      <c r="J413" s="6">
        <f t="shared" si="64"/>
        <v>1.0226038455893147</v>
      </c>
      <c r="K413" s="7">
        <f>J413*H413*首页!$B$12/P413</f>
        <v>0.69532757496605813</v>
      </c>
      <c r="L413" s="6">
        <f>首页!$B$9*0.0000000567*((C413^4-D413^4)/(C413-D413))</f>
        <v>7.7687338005019564</v>
      </c>
      <c r="M413" s="6">
        <f>IF(首页!$B$13="自然对流",IF(首页!$B$14="立式圆筒",首页!$B$10,PI()*B413/2),PI()*B413/2)</f>
        <v>55.2</v>
      </c>
      <c r="N413" s="7">
        <f>IF(首页!$B$13="强制对流",首页!$B$11*M413/H413,0)</f>
        <v>0</v>
      </c>
      <c r="O413" s="7">
        <f>IF(首页!$B$13="自然对流",IF(首页!$B$14="立式圆筒",(0.825+0.3063*I413^(1/6))^2+0.87*(M413/B413),(0.752+0.303*I413^(1/6))^2),0.3+SQRT((0.592*N413^0.5)^2+(0.0262*N413^0.8/(1-0.5/N413^0.1))^2))</f>
        <v>10070.515195242591</v>
      </c>
      <c r="P413" s="6">
        <f t="shared" si="65"/>
        <v>2.9510194925512497E-2</v>
      </c>
      <c r="Q413" s="6">
        <f t="shared" si="66"/>
        <v>5.3837475799265286</v>
      </c>
      <c r="R413" s="6">
        <f t="shared" si="67"/>
        <v>13.152481380428485</v>
      </c>
      <c r="S413" s="6">
        <f>IF($Y$2="按单位面积散热损失 qp",B413*LN(B413/首页!$B$4),LN(B413/首页!$B$4))</f>
        <v>1.9226598147390312</v>
      </c>
      <c r="T413" s="6">
        <f>IF($Y$2="按单位面积散热损失 qp",2*PI()*首页!$B$8*((E413-D413)/$Y$3-1/R413),2*PI()*首页!$B$8*((E413-D413)/$Y$4-1/(PI()*B413*R413)))</f>
        <v>4.0802391611727017E-2</v>
      </c>
      <c r="U413" t="str">
        <f t="shared" si="68"/>
        <v>按单位面积散热损失 qp</v>
      </c>
      <c r="V413" s="6">
        <f t="shared" si="69"/>
        <v>1.8818574231273042</v>
      </c>
    </row>
    <row r="414" spans="1:22" x14ac:dyDescent="0.15">
      <c r="A414">
        <v>409</v>
      </c>
      <c r="B414" s="6">
        <f>首页!$B$4+2*A414/1000</f>
        <v>0.93799999999999994</v>
      </c>
      <c r="C414" s="6">
        <f>首页!$B$7+273.15</f>
        <v>388.15</v>
      </c>
      <c r="D414" s="6">
        <f>首页!$B$6+273.15</f>
        <v>293.14999999999998</v>
      </c>
      <c r="E414" s="6">
        <f>首页!$B$5+273.15</f>
        <v>1373.15</v>
      </c>
      <c r="F414" s="6">
        <f t="shared" si="60"/>
        <v>95</v>
      </c>
      <c r="G414" s="6">
        <f t="shared" si="61"/>
        <v>340.65</v>
      </c>
      <c r="H414" s="6">
        <f t="shared" si="62"/>
        <v>1.9926207055139041E-5</v>
      </c>
      <c r="I414" s="7">
        <f t="shared" si="63"/>
        <v>1158916576932337.8</v>
      </c>
      <c r="J414" s="6">
        <f t="shared" si="64"/>
        <v>1.0226038455893147</v>
      </c>
      <c r="K414" s="7">
        <f>J414*H414*首页!$B$12/P414</f>
        <v>0.69532757496605813</v>
      </c>
      <c r="L414" s="6">
        <f>首页!$B$9*0.0000000567*((C414^4-D414^4)/(C414-D414))</f>
        <v>7.7687338005019564</v>
      </c>
      <c r="M414" s="6">
        <f>IF(首页!$B$13="自然对流",IF(首页!$B$14="立式圆筒",首页!$B$10,PI()*B414/2),PI()*B414/2)</f>
        <v>55.2</v>
      </c>
      <c r="N414" s="7">
        <f>IF(首页!$B$13="强制对流",首页!$B$11*M414/H414,0)</f>
        <v>0</v>
      </c>
      <c r="O414" s="7">
        <f>IF(首页!$B$13="自然对流",IF(首页!$B$14="立式圆筒",(0.825+0.3063*I414^(1/6))^2+0.87*(M414/B414),(0.752+0.303*I414^(1/6))^2),0.3+SQRT((0.592*N414^0.5)^2+(0.0262*N414^0.8/(1-0.5/N414^0.1))^2))</f>
        <v>10070.405797177969</v>
      </c>
      <c r="P414" s="6">
        <f t="shared" si="65"/>
        <v>2.9510194925512497E-2</v>
      </c>
      <c r="Q414" s="6">
        <f t="shared" si="66"/>
        <v>5.3836890951763214</v>
      </c>
      <c r="R414" s="6">
        <f t="shared" si="67"/>
        <v>13.152422895678278</v>
      </c>
      <c r="S414" s="6">
        <f>IF($Y$2="按单位面积散热损失 qp",B414*LN(B414/首页!$B$4),LN(B414/首页!$B$4))</f>
        <v>1.9287701974382796</v>
      </c>
      <c r="T414" s="6">
        <f>IF($Y$2="按单位面积散热损失 qp",2*PI()*首页!$B$8*((E414-D414)/$Y$3-1/R414),2*PI()*首页!$B$8*((E414-D414)/$Y$4-1/(PI()*B414*R414)))</f>
        <v>4.0802296019724113E-2</v>
      </c>
      <c r="U414" t="str">
        <f t="shared" si="68"/>
        <v>按单位面积散热损失 qp</v>
      </c>
      <c r="V414" s="6">
        <f t="shared" si="69"/>
        <v>1.8879679014185555</v>
      </c>
    </row>
    <row r="415" spans="1:22" x14ac:dyDescent="0.15">
      <c r="A415">
        <v>410</v>
      </c>
      <c r="B415" s="6">
        <f>首页!$B$4+2*A415/1000</f>
        <v>0.94</v>
      </c>
      <c r="C415" s="6">
        <f>首页!$B$7+273.15</f>
        <v>388.15</v>
      </c>
      <c r="D415" s="6">
        <f>首页!$B$6+273.15</f>
        <v>293.14999999999998</v>
      </c>
      <c r="E415" s="6">
        <f>首页!$B$5+273.15</f>
        <v>1373.15</v>
      </c>
      <c r="F415" s="6">
        <f t="shared" si="60"/>
        <v>95</v>
      </c>
      <c r="G415" s="6">
        <f t="shared" si="61"/>
        <v>340.65</v>
      </c>
      <c r="H415" s="6">
        <f t="shared" si="62"/>
        <v>1.9926207055139041E-5</v>
      </c>
      <c r="I415" s="7">
        <f t="shared" si="63"/>
        <v>1158916576932337.8</v>
      </c>
      <c r="J415" s="6">
        <f t="shared" si="64"/>
        <v>1.0226038455893147</v>
      </c>
      <c r="K415" s="7">
        <f>J415*H415*首页!$B$12/P415</f>
        <v>0.69532757496605813</v>
      </c>
      <c r="L415" s="6">
        <f>首页!$B$9*0.0000000567*((C415^4-D415^4)/(C415-D415))</f>
        <v>7.7687338005019564</v>
      </c>
      <c r="M415" s="6">
        <f>IF(首页!$B$13="自然对流",IF(首页!$B$14="立式圆筒",首页!$B$10,PI()*B415/2),PI()*B415/2)</f>
        <v>55.2</v>
      </c>
      <c r="N415" s="7">
        <f>IF(首页!$B$13="强制对流",首页!$B$11*M415/H415,0)</f>
        <v>0</v>
      </c>
      <c r="O415" s="7">
        <f>IF(首页!$B$13="自然对流",IF(首页!$B$14="立式圆筒",(0.825+0.3063*I415^(1/6))^2+0.87*(M415/B415),(0.752+0.303*I415^(1/6))^2),0.3+SQRT((0.592*N415^0.5)^2+(0.0262*N415^0.8/(1-0.5/N415^0.1))^2))</f>
        <v>10070.296864637028</v>
      </c>
      <c r="P415" s="6">
        <f t="shared" si="65"/>
        <v>2.9510194925512497E-2</v>
      </c>
      <c r="Q415" s="6">
        <f t="shared" si="66"/>
        <v>5.3836308592973916</v>
      </c>
      <c r="R415" s="6">
        <f t="shared" si="67"/>
        <v>13.152364659799348</v>
      </c>
      <c r="S415" s="6">
        <f>IF($Y$2="按单位面积散热损失 qp",B415*LN(B415/首页!$B$4),LN(B415/首页!$B$4))</f>
        <v>1.9348848445330831</v>
      </c>
      <c r="T415" s="6">
        <f>IF($Y$2="按单位面积散热损失 qp",2*PI()*首页!$B$8*((E415-D415)/$Y$3-1/R415),2*PI()*首页!$B$8*((E415-D415)/$Y$4-1/(PI()*B415*R415)))</f>
        <v>4.0802200833650965E-2</v>
      </c>
      <c r="U415" t="str">
        <f t="shared" si="68"/>
        <v>按单位面积散热损失 qp</v>
      </c>
      <c r="V415" s="6">
        <f t="shared" si="69"/>
        <v>1.894082643699432</v>
      </c>
    </row>
    <row r="416" spans="1:22" x14ac:dyDescent="0.15">
      <c r="A416">
        <v>411</v>
      </c>
      <c r="B416" s="6">
        <f>首页!$B$4+2*A416/1000</f>
        <v>0.94199999999999995</v>
      </c>
      <c r="C416" s="6">
        <f>首页!$B$7+273.15</f>
        <v>388.15</v>
      </c>
      <c r="D416" s="6">
        <f>首页!$B$6+273.15</f>
        <v>293.14999999999998</v>
      </c>
      <c r="E416" s="6">
        <f>首页!$B$5+273.15</f>
        <v>1373.15</v>
      </c>
      <c r="F416" s="6">
        <f t="shared" si="60"/>
        <v>95</v>
      </c>
      <c r="G416" s="6">
        <f t="shared" si="61"/>
        <v>340.65</v>
      </c>
      <c r="H416" s="6">
        <f t="shared" si="62"/>
        <v>1.9926207055139041E-5</v>
      </c>
      <c r="I416" s="7">
        <f t="shared" si="63"/>
        <v>1158916576932337.8</v>
      </c>
      <c r="J416" s="6">
        <f t="shared" si="64"/>
        <v>1.0226038455893147</v>
      </c>
      <c r="K416" s="7">
        <f>J416*H416*首页!$B$12/P416</f>
        <v>0.69532757496605813</v>
      </c>
      <c r="L416" s="6">
        <f>首页!$B$9*0.0000000567*((C416^4-D416^4)/(C416-D416))</f>
        <v>7.7687338005019564</v>
      </c>
      <c r="M416" s="6">
        <f>IF(首页!$B$13="自然对流",IF(首页!$B$14="立式圆筒",首页!$B$10,PI()*B416/2),PI()*B416/2)</f>
        <v>55.2</v>
      </c>
      <c r="N416" s="7">
        <f>IF(首页!$B$13="强制对流",首页!$B$11*M416/H416,0)</f>
        <v>0</v>
      </c>
      <c r="O416" s="7">
        <f>IF(首页!$B$13="自然对流",IF(首页!$B$14="立式圆筒",(0.825+0.3063*I416^(1/6))^2+0.87*(M416/B416),(0.752+0.303*I416^(1/6))^2),0.3+SQRT((0.592*N416^0.5)^2+(0.0262*N416^0.8/(1-0.5/N416^0.1))^2))</f>
        <v>10070.188394654646</v>
      </c>
      <c r="P416" s="6">
        <f t="shared" si="65"/>
        <v>2.9510194925512497E-2</v>
      </c>
      <c r="Q416" s="6">
        <f t="shared" si="66"/>
        <v>5.3835728707045707</v>
      </c>
      <c r="R416" s="6">
        <f t="shared" si="67"/>
        <v>13.152306671206528</v>
      </c>
      <c r="S416" s="6">
        <f>IF($Y$2="按单位面积散热损失 qp",B416*LN(B416/首页!$B$4),LN(B416/首页!$B$4))</f>
        <v>1.9410037469502464</v>
      </c>
      <c r="T416" s="6">
        <f>IF($Y$2="按单位面积散热损失 qp",2*PI()*首页!$B$8*((E416-D416)/$Y$3-1/R416),2*PI()*首页!$B$8*((E416-D416)/$Y$4-1/(PI()*B416*R416)))</f>
        <v>4.0802106050927392E-2</v>
      </c>
      <c r="U416" t="str">
        <f t="shared" si="68"/>
        <v>按单位面积散热损失 qp</v>
      </c>
      <c r="V416" s="6">
        <f t="shared" si="69"/>
        <v>1.900201640899319</v>
      </c>
    </row>
    <row r="417" spans="1:22" x14ac:dyDescent="0.15">
      <c r="A417">
        <v>412</v>
      </c>
      <c r="B417" s="6">
        <f>首页!$B$4+2*A417/1000</f>
        <v>0.94399999999999995</v>
      </c>
      <c r="C417" s="6">
        <f>首页!$B$7+273.15</f>
        <v>388.15</v>
      </c>
      <c r="D417" s="6">
        <f>首页!$B$6+273.15</f>
        <v>293.14999999999998</v>
      </c>
      <c r="E417" s="6">
        <f>首页!$B$5+273.15</f>
        <v>1373.15</v>
      </c>
      <c r="F417" s="6">
        <f t="shared" si="60"/>
        <v>95</v>
      </c>
      <c r="G417" s="6">
        <f t="shared" si="61"/>
        <v>340.65</v>
      </c>
      <c r="H417" s="6">
        <f t="shared" si="62"/>
        <v>1.9926207055139041E-5</v>
      </c>
      <c r="I417" s="7">
        <f t="shared" si="63"/>
        <v>1158916576932337.8</v>
      </c>
      <c r="J417" s="6">
        <f t="shared" si="64"/>
        <v>1.0226038455893147</v>
      </c>
      <c r="K417" s="7">
        <f>J417*H417*首页!$B$12/P417</f>
        <v>0.69532757496605813</v>
      </c>
      <c r="L417" s="6">
        <f>首页!$B$9*0.0000000567*((C417^4-D417^4)/(C417-D417))</f>
        <v>7.7687338005019564</v>
      </c>
      <c r="M417" s="6">
        <f>IF(首页!$B$13="自然对流",IF(首页!$B$14="立式圆筒",首页!$B$10,PI()*B417/2),PI()*B417/2)</f>
        <v>55.2</v>
      </c>
      <c r="N417" s="7">
        <f>IF(首页!$B$13="强制对流",首页!$B$11*M417/H417,0)</f>
        <v>0</v>
      </c>
      <c r="O417" s="7">
        <f>IF(首页!$B$13="自然对流",IF(首页!$B$14="立式圆筒",(0.825+0.3063*I417^(1/6))^2+0.87*(M417/B417),(0.752+0.303*I417^(1/6))^2),0.3+SQRT((0.592*N417^0.5)^2+(0.0262*N417^0.8/(1-0.5/N417^0.1))^2))</f>
        <v>10070.080384290832</v>
      </c>
      <c r="P417" s="6">
        <f t="shared" si="65"/>
        <v>2.9510194925512497E-2</v>
      </c>
      <c r="Q417" s="6">
        <f t="shared" si="66"/>
        <v>5.3835151278261275</v>
      </c>
      <c r="R417" s="6">
        <f t="shared" si="67"/>
        <v>13.152248928328085</v>
      </c>
      <c r="S417" s="6">
        <f>IF($Y$2="按单位面积散热损失 qp",B417*LN(B417/首页!$B$4),LN(B417/首页!$B$4))</f>
        <v>1.9471268956551011</v>
      </c>
      <c r="T417" s="6">
        <f>IF($Y$2="按单位面积散热损失 qp",2*PI()*首页!$B$8*((E417-D417)/$Y$3-1/R417),2*PI()*首页!$B$8*((E417-D417)/$Y$4-1/(PI()*B417*R417)))</f>
        <v>4.0802011668995025E-2</v>
      </c>
      <c r="U417" t="str">
        <f t="shared" si="68"/>
        <v>按单位面积散热损失 qp</v>
      </c>
      <c r="V417" s="6">
        <f t="shared" si="69"/>
        <v>1.906324883986106</v>
      </c>
    </row>
    <row r="418" spans="1:22" x14ac:dyDescent="0.15">
      <c r="A418">
        <v>413</v>
      </c>
      <c r="B418" s="6">
        <f>首页!$B$4+2*A418/1000</f>
        <v>0.94599999999999995</v>
      </c>
      <c r="C418" s="6">
        <f>首页!$B$7+273.15</f>
        <v>388.15</v>
      </c>
      <c r="D418" s="6">
        <f>首页!$B$6+273.15</f>
        <v>293.14999999999998</v>
      </c>
      <c r="E418" s="6">
        <f>首页!$B$5+273.15</f>
        <v>1373.15</v>
      </c>
      <c r="F418" s="6">
        <f t="shared" si="60"/>
        <v>95</v>
      </c>
      <c r="G418" s="6">
        <f t="shared" si="61"/>
        <v>340.65</v>
      </c>
      <c r="H418" s="6">
        <f t="shared" si="62"/>
        <v>1.9926207055139041E-5</v>
      </c>
      <c r="I418" s="7">
        <f t="shared" si="63"/>
        <v>1158916576932337.8</v>
      </c>
      <c r="J418" s="6">
        <f t="shared" si="64"/>
        <v>1.0226038455893147</v>
      </c>
      <c r="K418" s="7">
        <f>J418*H418*首页!$B$12/P418</f>
        <v>0.69532757496605813</v>
      </c>
      <c r="L418" s="6">
        <f>首页!$B$9*0.0000000567*((C418^4-D418^4)/(C418-D418))</f>
        <v>7.7687338005019564</v>
      </c>
      <c r="M418" s="6">
        <f>IF(首页!$B$13="自然对流",IF(首页!$B$14="立式圆筒",首页!$B$10,PI()*B418/2),PI()*B418/2)</f>
        <v>55.2</v>
      </c>
      <c r="N418" s="7">
        <f>IF(首页!$B$13="强制对流",首页!$B$11*M418/H418,0)</f>
        <v>0</v>
      </c>
      <c r="O418" s="7">
        <f>IF(首页!$B$13="自然对流",IF(首页!$B$14="立式圆筒",(0.825+0.3063*I418^(1/6))^2+0.87*(M418/B418),(0.752+0.303*I418^(1/6))^2),0.3+SQRT((0.592*N418^0.5)^2+(0.0262*N418^0.8/(1-0.5/N418^0.1))^2))</f>
        <v>10069.972830630461</v>
      </c>
      <c r="P418" s="6">
        <f t="shared" si="65"/>
        <v>2.9510194925512497E-2</v>
      </c>
      <c r="Q418" s="6">
        <f t="shared" si="66"/>
        <v>5.383457629103618</v>
      </c>
      <c r="R418" s="6">
        <f t="shared" si="67"/>
        <v>13.152191429605574</v>
      </c>
      <c r="S418" s="6">
        <f>IF($Y$2="按单位面积散热损失 qp",B418*LN(B418/首页!$B$4),LN(B418/首页!$B$4))</f>
        <v>1.9532542816512612</v>
      </c>
      <c r="T418" s="6">
        <f>IF($Y$2="按单位面积散热损失 qp",2*PI()*首页!$B$8*((E418-D418)/$Y$3-1/R418),2*PI()*首页!$B$8*((E418-D418)/$Y$4-1/(PI()*B418*R418)))</f>
        <v>4.0801917685317123E-2</v>
      </c>
      <c r="U418" t="str">
        <f t="shared" si="68"/>
        <v>按单位面积散热损失 qp</v>
      </c>
      <c r="V418" s="6">
        <f t="shared" si="69"/>
        <v>1.9124523639659441</v>
      </c>
    </row>
    <row r="419" spans="1:22" x14ac:dyDescent="0.15">
      <c r="A419">
        <v>414</v>
      </c>
      <c r="B419" s="6">
        <f>首页!$B$4+2*A419/1000</f>
        <v>0.94799999999999995</v>
      </c>
      <c r="C419" s="6">
        <f>首页!$B$7+273.15</f>
        <v>388.15</v>
      </c>
      <c r="D419" s="6">
        <f>首页!$B$6+273.15</f>
        <v>293.14999999999998</v>
      </c>
      <c r="E419" s="6">
        <f>首页!$B$5+273.15</f>
        <v>1373.15</v>
      </c>
      <c r="F419" s="6">
        <f t="shared" si="60"/>
        <v>95</v>
      </c>
      <c r="G419" s="6">
        <f t="shared" si="61"/>
        <v>340.65</v>
      </c>
      <c r="H419" s="6">
        <f t="shared" si="62"/>
        <v>1.9926207055139041E-5</v>
      </c>
      <c r="I419" s="7">
        <f t="shared" si="63"/>
        <v>1158916576932337.8</v>
      </c>
      <c r="J419" s="6">
        <f t="shared" si="64"/>
        <v>1.0226038455893147</v>
      </c>
      <c r="K419" s="7">
        <f>J419*H419*首页!$B$12/P419</f>
        <v>0.69532757496605813</v>
      </c>
      <c r="L419" s="6">
        <f>首页!$B$9*0.0000000567*((C419^4-D419^4)/(C419-D419))</f>
        <v>7.7687338005019564</v>
      </c>
      <c r="M419" s="6">
        <f>IF(首页!$B$13="自然对流",IF(首页!$B$14="立式圆筒",首页!$B$10,PI()*B419/2),PI()*B419/2)</f>
        <v>55.2</v>
      </c>
      <c r="N419" s="7">
        <f>IF(首页!$B$13="强制对流",首页!$B$11*M419/H419,0)</f>
        <v>0</v>
      </c>
      <c r="O419" s="7">
        <f>IF(首页!$B$13="自然对流",IF(首页!$B$14="立式圆筒",(0.825+0.3063*I419^(1/6))^2+0.87*(M419/B419),(0.752+0.303*I419^(1/6))^2),0.3+SQRT((0.592*N419^0.5)^2+(0.0262*N419^0.8/(1-0.5/N419^0.1))^2))</f>
        <v>10069.865730783002</v>
      </c>
      <c r="P419" s="6">
        <f t="shared" si="65"/>
        <v>2.9510194925512497E-2</v>
      </c>
      <c r="Q419" s="6">
        <f t="shared" si="66"/>
        <v>5.3834003729917512</v>
      </c>
      <c r="R419" s="6">
        <f t="shared" si="67"/>
        <v>13.152134173493707</v>
      </c>
      <c r="S419" s="6">
        <f>IF($Y$2="按单位面积散热损失 qp",B419*LN(B419/首页!$B$4),LN(B419/首页!$B$4))</f>
        <v>1.9593858959803807</v>
      </c>
      <c r="T419" s="6">
        <f>IF($Y$2="按单位面积散热损失 qp",2*PI()*首页!$B$8*((E419-D419)/$Y$3-1/R419),2*PI()*首页!$B$8*((E419-D419)/$Y$4-1/(PI()*B419*R419)))</f>
        <v>4.0801824097378245E-2</v>
      </c>
      <c r="U419" t="str">
        <f t="shared" si="68"/>
        <v>按单位面积散热损失 qp</v>
      </c>
      <c r="V419" s="6">
        <f t="shared" si="69"/>
        <v>1.9185840718830025</v>
      </c>
    </row>
    <row r="420" spans="1:22" x14ac:dyDescent="0.15">
      <c r="A420">
        <v>415</v>
      </c>
      <c r="B420" s="6">
        <f>首页!$B$4+2*A420/1000</f>
        <v>0.95</v>
      </c>
      <c r="C420" s="6">
        <f>首页!$B$7+273.15</f>
        <v>388.15</v>
      </c>
      <c r="D420" s="6">
        <f>首页!$B$6+273.15</f>
        <v>293.14999999999998</v>
      </c>
      <c r="E420" s="6">
        <f>首页!$B$5+273.15</f>
        <v>1373.15</v>
      </c>
      <c r="F420" s="6">
        <f t="shared" si="60"/>
        <v>95</v>
      </c>
      <c r="G420" s="6">
        <f t="shared" si="61"/>
        <v>340.65</v>
      </c>
      <c r="H420" s="6">
        <f t="shared" si="62"/>
        <v>1.9926207055139041E-5</v>
      </c>
      <c r="I420" s="7">
        <f t="shared" si="63"/>
        <v>1158916576932337.8</v>
      </c>
      <c r="J420" s="6">
        <f t="shared" si="64"/>
        <v>1.0226038455893147</v>
      </c>
      <c r="K420" s="7">
        <f>J420*H420*首页!$B$12/P420</f>
        <v>0.69532757496605813</v>
      </c>
      <c r="L420" s="6">
        <f>首页!$B$9*0.0000000567*((C420^4-D420^4)/(C420-D420))</f>
        <v>7.7687338005019564</v>
      </c>
      <c r="M420" s="6">
        <f>IF(首页!$B$13="自然对流",IF(首页!$B$14="立式圆筒",首页!$B$10,PI()*B420/2),PI()*B420/2)</f>
        <v>55.2</v>
      </c>
      <c r="N420" s="7">
        <f>IF(首页!$B$13="强制对流",首页!$B$11*M420/H420,0)</f>
        <v>0</v>
      </c>
      <c r="O420" s="7">
        <f>IF(首页!$B$13="自然对流",IF(首页!$B$14="立式圆筒",(0.825+0.3063*I420^(1/6))^2+0.87*(M420/B420),(0.752+0.303*I420^(1/6))^2),0.3+SQRT((0.592*N420^0.5)^2+(0.0262*N420^0.8/(1-0.5/N420^0.1))^2))</f>
        <v>10069.759081882268</v>
      </c>
      <c r="P420" s="6">
        <f t="shared" si="65"/>
        <v>2.9510194925512497E-2</v>
      </c>
      <c r="Q420" s="6">
        <f t="shared" si="66"/>
        <v>5.3833433579582515</v>
      </c>
      <c r="R420" s="6">
        <f t="shared" si="67"/>
        <v>13.152077158460209</v>
      </c>
      <c r="S420" s="6">
        <f>IF($Y$2="按单位面积散热损失 qp",B420*LN(B420/首页!$B$4),LN(B420/首页!$B$4))</f>
        <v>1.9655217297219132</v>
      </c>
      <c r="T420" s="6">
        <f>IF($Y$2="按单位面积散热损失 qp",2*PI()*首页!$B$8*((E420-D420)/$Y$3-1/R420),2*PI()*首页!$B$8*((E420-D420)/$Y$4-1/(PI()*B420*R420)))</f>
        <v>4.0801730902684144E-2</v>
      </c>
      <c r="U420" t="str">
        <f t="shared" si="68"/>
        <v>按单位面积散热损失 qp</v>
      </c>
      <c r="V420" s="6">
        <f t="shared" si="69"/>
        <v>1.9247199988192289</v>
      </c>
    </row>
    <row r="421" spans="1:22" x14ac:dyDescent="0.15">
      <c r="A421">
        <v>416</v>
      </c>
      <c r="B421" s="6">
        <f>首页!$B$4+2*A421/1000</f>
        <v>0.95199999999999996</v>
      </c>
      <c r="C421" s="6">
        <f>首页!$B$7+273.15</f>
        <v>388.15</v>
      </c>
      <c r="D421" s="6">
        <f>首页!$B$6+273.15</f>
        <v>293.14999999999998</v>
      </c>
      <c r="E421" s="6">
        <f>首页!$B$5+273.15</f>
        <v>1373.15</v>
      </c>
      <c r="F421" s="6">
        <f t="shared" si="60"/>
        <v>95</v>
      </c>
      <c r="G421" s="6">
        <f t="shared" si="61"/>
        <v>340.65</v>
      </c>
      <c r="H421" s="6">
        <f t="shared" si="62"/>
        <v>1.9926207055139041E-5</v>
      </c>
      <c r="I421" s="7">
        <f t="shared" si="63"/>
        <v>1158916576932337.8</v>
      </c>
      <c r="J421" s="6">
        <f t="shared" si="64"/>
        <v>1.0226038455893147</v>
      </c>
      <c r="K421" s="7">
        <f>J421*H421*首页!$B$12/P421</f>
        <v>0.69532757496605813</v>
      </c>
      <c r="L421" s="6">
        <f>首页!$B$9*0.0000000567*((C421^4-D421^4)/(C421-D421))</f>
        <v>7.7687338005019564</v>
      </c>
      <c r="M421" s="6">
        <f>IF(首页!$B$13="自然对流",IF(首页!$B$14="立式圆筒",首页!$B$10,PI()*B421/2),PI()*B421/2)</f>
        <v>55.2</v>
      </c>
      <c r="N421" s="7">
        <f>IF(首页!$B$13="强制对流",首页!$B$11*M421/H421,0)</f>
        <v>0</v>
      </c>
      <c r="O421" s="7">
        <f>IF(首页!$B$13="自然对流",IF(首页!$B$14="立式圆筒",(0.825+0.3063*I421^(1/6))^2+0.87*(M421/B421),(0.752+0.303*I421^(1/6))^2),0.3+SQRT((0.592*N421^0.5)^2+(0.0262*N421^0.8/(1-0.5/N421^0.1))^2))</f>
        <v>10069.65288108616</v>
      </c>
      <c r="P421" s="6">
        <f t="shared" si="65"/>
        <v>2.9510194925512497E-2</v>
      </c>
      <c r="Q421" s="6">
        <f t="shared" si="66"/>
        <v>5.3832865824837155</v>
      </c>
      <c r="R421" s="6">
        <f t="shared" si="67"/>
        <v>13.152020382985672</v>
      </c>
      <c r="S421" s="6">
        <f>IF($Y$2="按单位面积散热损失 qp",B421*LN(B421/首页!$B$4),LN(B421/首页!$B$4))</f>
        <v>1.9716617739928721</v>
      </c>
      <c r="T421" s="6">
        <f>IF($Y$2="按单位面积散热损失 qp",2*PI()*首页!$B$8*((E421-D421)/$Y$3-1/R421),2*PI()*首页!$B$8*((E421-D421)/$Y$4-1/(PI()*B421*R421)))</f>
        <v>4.0801638098761445E-2</v>
      </c>
      <c r="U421" t="str">
        <f t="shared" si="68"/>
        <v>按单位面积散热损失 qp</v>
      </c>
      <c r="V421" s="6">
        <f t="shared" si="69"/>
        <v>1.9308601358941107</v>
      </c>
    </row>
    <row r="422" spans="1:22" x14ac:dyDescent="0.15">
      <c r="A422">
        <v>417</v>
      </c>
      <c r="B422" s="6">
        <f>首页!$B$4+2*A422/1000</f>
        <v>0.95399999999999996</v>
      </c>
      <c r="C422" s="6">
        <f>首页!$B$7+273.15</f>
        <v>388.15</v>
      </c>
      <c r="D422" s="6">
        <f>首页!$B$6+273.15</f>
        <v>293.14999999999998</v>
      </c>
      <c r="E422" s="6">
        <f>首页!$B$5+273.15</f>
        <v>1373.15</v>
      </c>
      <c r="F422" s="6">
        <f t="shared" si="60"/>
        <v>95</v>
      </c>
      <c r="G422" s="6">
        <f t="shared" si="61"/>
        <v>340.65</v>
      </c>
      <c r="H422" s="6">
        <f t="shared" si="62"/>
        <v>1.9926207055139041E-5</v>
      </c>
      <c r="I422" s="7">
        <f t="shared" si="63"/>
        <v>1158916576932337.8</v>
      </c>
      <c r="J422" s="6">
        <f t="shared" si="64"/>
        <v>1.0226038455893147</v>
      </c>
      <c r="K422" s="7">
        <f>J422*H422*首页!$B$12/P422</f>
        <v>0.69532757496605813</v>
      </c>
      <c r="L422" s="6">
        <f>首页!$B$9*0.0000000567*((C422^4-D422^4)/(C422-D422))</f>
        <v>7.7687338005019564</v>
      </c>
      <c r="M422" s="6">
        <f>IF(首页!$B$13="自然对流",IF(首页!$B$14="立式圆筒",首页!$B$10,PI()*B422/2),PI()*B422/2)</f>
        <v>55.2</v>
      </c>
      <c r="N422" s="7">
        <f>IF(首页!$B$13="强制对流",首页!$B$11*M422/H422,0)</f>
        <v>0</v>
      </c>
      <c r="O422" s="7">
        <f>IF(首页!$B$13="自然对流",IF(首页!$B$14="立式圆筒",(0.825+0.3063*I422^(1/6))^2+0.87*(M422/B422),(0.752+0.303*I422^(1/6))^2),0.3+SQRT((0.592*N422^0.5)^2+(0.0262*N422^0.8/(1-0.5/N422^0.1))^2))</f>
        <v>10069.54712557641</v>
      </c>
      <c r="P422" s="6">
        <f t="shared" si="65"/>
        <v>2.9510194925512497E-2</v>
      </c>
      <c r="Q422" s="6">
        <f t="shared" si="66"/>
        <v>5.3832300450614836</v>
      </c>
      <c r="R422" s="6">
        <f t="shared" si="67"/>
        <v>13.15196384556344</v>
      </c>
      <c r="S422" s="6">
        <f>IF($Y$2="按单位面积散热损失 qp",B422*LN(B422/首页!$B$4),LN(B422/首页!$B$4))</f>
        <v>1.9778060199475935</v>
      </c>
      <c r="T422" s="6">
        <f>IF($Y$2="按单位面积散热损失 qp",2*PI()*首页!$B$8*((E422-D422)/$Y$3-1/R422),2*PI()*首页!$B$8*((E422-D422)/$Y$4-1/(PI()*B422*R422)))</f>
        <v>4.0801545683157525E-2</v>
      </c>
      <c r="U422" t="str">
        <f t="shared" si="68"/>
        <v>按单位面积散热损失 qp</v>
      </c>
      <c r="V422" s="6">
        <f t="shared" si="69"/>
        <v>1.9370044742644361</v>
      </c>
    </row>
    <row r="423" spans="1:22" x14ac:dyDescent="0.15">
      <c r="A423">
        <v>418</v>
      </c>
      <c r="B423" s="6">
        <f>首页!$B$4+2*A423/1000</f>
        <v>0.95599999999999996</v>
      </c>
      <c r="C423" s="6">
        <f>首页!$B$7+273.15</f>
        <v>388.15</v>
      </c>
      <c r="D423" s="6">
        <f>首页!$B$6+273.15</f>
        <v>293.14999999999998</v>
      </c>
      <c r="E423" s="6">
        <f>首页!$B$5+273.15</f>
        <v>1373.15</v>
      </c>
      <c r="F423" s="6">
        <f t="shared" si="60"/>
        <v>95</v>
      </c>
      <c r="G423" s="6">
        <f t="shared" si="61"/>
        <v>340.65</v>
      </c>
      <c r="H423" s="6">
        <f t="shared" si="62"/>
        <v>1.9926207055139041E-5</v>
      </c>
      <c r="I423" s="7">
        <f t="shared" si="63"/>
        <v>1158916576932337.8</v>
      </c>
      <c r="J423" s="6">
        <f t="shared" si="64"/>
        <v>1.0226038455893147</v>
      </c>
      <c r="K423" s="7">
        <f>J423*H423*首页!$B$12/P423</f>
        <v>0.69532757496605813</v>
      </c>
      <c r="L423" s="6">
        <f>首页!$B$9*0.0000000567*((C423^4-D423^4)/(C423-D423))</f>
        <v>7.7687338005019564</v>
      </c>
      <c r="M423" s="6">
        <f>IF(首页!$B$13="自然对流",IF(首页!$B$14="立式圆筒",首页!$B$10,PI()*B423/2),PI()*B423/2)</f>
        <v>55.2</v>
      </c>
      <c r="N423" s="7">
        <f>IF(首页!$B$13="强制对流",首页!$B$11*M423/H423,0)</f>
        <v>0</v>
      </c>
      <c r="O423" s="7">
        <f>IF(首页!$B$13="自然对流",IF(首页!$B$14="立式圆筒",(0.825+0.3063*I423^(1/6))^2+0.87*(M423/B423),(0.752+0.303*I423^(1/6))^2),0.3+SQRT((0.592*N423^0.5)^2+(0.0262*N423^0.8/(1-0.5/N423^0.1))^2))</f>
        <v>10069.441812558331</v>
      </c>
      <c r="P423" s="6">
        <f t="shared" si="65"/>
        <v>2.9510194925512497E-2</v>
      </c>
      <c r="Q423" s="6">
        <f t="shared" si="66"/>
        <v>5.3831737441975038</v>
      </c>
      <c r="R423" s="6">
        <f t="shared" si="67"/>
        <v>13.15190754469946</v>
      </c>
      <c r="S423" s="6">
        <f>IF($Y$2="按单位面积散热损失 qp",B423*LN(B423/首页!$B$4),LN(B423/首页!$B$4))</f>
        <v>1.9839544587775033</v>
      </c>
      <c r="T423" s="6">
        <f>IF($Y$2="按单位面积散热损失 qp",2*PI()*首页!$B$8*((E423-D423)/$Y$3-1/R423),2*PI()*首页!$B$8*((E423-D423)/$Y$4-1/(PI()*B423*R423)))</f>
        <v>4.0801453653440199E-2</v>
      </c>
      <c r="U423" t="str">
        <f t="shared" si="68"/>
        <v>按单位面积散热损失 qp</v>
      </c>
      <c r="V423" s="6">
        <f t="shared" si="69"/>
        <v>1.9431530051240631</v>
      </c>
    </row>
    <row r="424" spans="1:22" x14ac:dyDescent="0.15">
      <c r="A424">
        <v>419</v>
      </c>
      <c r="B424" s="6">
        <f>首页!$B$4+2*A424/1000</f>
        <v>0.95799999999999996</v>
      </c>
      <c r="C424" s="6">
        <f>首页!$B$7+273.15</f>
        <v>388.15</v>
      </c>
      <c r="D424" s="6">
        <f>首页!$B$6+273.15</f>
        <v>293.14999999999998</v>
      </c>
      <c r="E424" s="6">
        <f>首页!$B$5+273.15</f>
        <v>1373.15</v>
      </c>
      <c r="F424" s="6">
        <f t="shared" si="60"/>
        <v>95</v>
      </c>
      <c r="G424" s="6">
        <f t="shared" si="61"/>
        <v>340.65</v>
      </c>
      <c r="H424" s="6">
        <f t="shared" si="62"/>
        <v>1.9926207055139041E-5</v>
      </c>
      <c r="I424" s="7">
        <f t="shared" si="63"/>
        <v>1158916576932337.8</v>
      </c>
      <c r="J424" s="6">
        <f t="shared" si="64"/>
        <v>1.0226038455893147</v>
      </c>
      <c r="K424" s="7">
        <f>J424*H424*首页!$B$12/P424</f>
        <v>0.69532757496605813</v>
      </c>
      <c r="L424" s="6">
        <f>首页!$B$9*0.0000000567*((C424^4-D424^4)/(C424-D424))</f>
        <v>7.7687338005019564</v>
      </c>
      <c r="M424" s="6">
        <f>IF(首页!$B$13="自然对流",IF(首页!$B$14="立式圆筒",首页!$B$10,PI()*B424/2),PI()*B424/2)</f>
        <v>55.2</v>
      </c>
      <c r="N424" s="7">
        <f>IF(首页!$B$13="强制对流",首页!$B$11*M424/H424,0)</f>
        <v>0</v>
      </c>
      <c r="O424" s="7">
        <f>IF(首页!$B$13="自然对流",IF(首页!$B$14="立式圆筒",(0.825+0.3063*I424^(1/6))^2+0.87*(M424/B424),(0.752+0.303*I424^(1/6))^2),0.3+SQRT((0.592*N424^0.5)^2+(0.0262*N424^0.8/(1-0.5/N424^0.1))^2))</f>
        <v>10069.336939260578</v>
      </c>
      <c r="P424" s="6">
        <f t="shared" si="65"/>
        <v>2.9510194925512497E-2</v>
      </c>
      <c r="Q424" s="6">
        <f t="shared" si="66"/>
        <v>5.3831176784101995</v>
      </c>
      <c r="R424" s="6">
        <f t="shared" si="67"/>
        <v>13.151851478912157</v>
      </c>
      <c r="S424" s="6">
        <f>IF($Y$2="按单位面积散热损失 qp",B424*LN(B424/首页!$B$4),LN(B424/首页!$B$4))</f>
        <v>1.9901070817108841</v>
      </c>
      <c r="T424" s="6">
        <f>IF($Y$2="按单位面积散热损失 qp",2*PI()*首页!$B$8*((E424-D424)/$Y$3-1/R424),2*PI()*首页!$B$8*((E424-D424)/$Y$4-1/(PI()*B424*R424)))</f>
        <v>4.0801362007197563E-2</v>
      </c>
      <c r="U424" t="str">
        <f t="shared" si="68"/>
        <v>按单位面积散热损失 qp</v>
      </c>
      <c r="V424" s="6">
        <f t="shared" si="69"/>
        <v>1.9493057197036865</v>
      </c>
    </row>
    <row r="425" spans="1:22" x14ac:dyDescent="0.15">
      <c r="A425">
        <v>420</v>
      </c>
      <c r="B425" s="6">
        <f>首页!$B$4+2*A425/1000</f>
        <v>0.96</v>
      </c>
      <c r="C425" s="6">
        <f>首页!$B$7+273.15</f>
        <v>388.15</v>
      </c>
      <c r="D425" s="6">
        <f>首页!$B$6+273.15</f>
        <v>293.14999999999998</v>
      </c>
      <c r="E425" s="6">
        <f>首页!$B$5+273.15</f>
        <v>1373.15</v>
      </c>
      <c r="F425" s="6">
        <f t="shared" si="60"/>
        <v>95</v>
      </c>
      <c r="G425" s="6">
        <f t="shared" si="61"/>
        <v>340.65</v>
      </c>
      <c r="H425" s="6">
        <f t="shared" si="62"/>
        <v>1.9926207055139041E-5</v>
      </c>
      <c r="I425" s="7">
        <f t="shared" si="63"/>
        <v>1158916576932337.8</v>
      </c>
      <c r="J425" s="6">
        <f t="shared" si="64"/>
        <v>1.0226038455893147</v>
      </c>
      <c r="K425" s="7">
        <f>J425*H425*首页!$B$12/P425</f>
        <v>0.69532757496605813</v>
      </c>
      <c r="L425" s="6">
        <f>首页!$B$9*0.0000000567*((C425^4-D425^4)/(C425-D425))</f>
        <v>7.7687338005019564</v>
      </c>
      <c r="M425" s="6">
        <f>IF(首页!$B$13="自然对流",IF(首页!$B$14="立式圆筒",首页!$B$10,PI()*B425/2),PI()*B425/2)</f>
        <v>55.2</v>
      </c>
      <c r="N425" s="7">
        <f>IF(首页!$B$13="强制对流",首页!$B$11*M425/H425,0)</f>
        <v>0</v>
      </c>
      <c r="O425" s="7">
        <f>IF(首页!$B$13="自然对流",IF(首页!$B$14="立式圆筒",(0.825+0.3063*I425^(1/6))^2+0.87*(M425/B425),(0.752+0.303*I425^(1/6))^2),0.3+SQRT((0.592*N425^0.5)^2+(0.0262*N425^0.8/(1-0.5/N425^0.1))^2))</f>
        <v>10069.232502934899</v>
      </c>
      <c r="P425" s="6">
        <f t="shared" si="65"/>
        <v>2.9510194925512497E-2</v>
      </c>
      <c r="Q425" s="6">
        <f t="shared" si="66"/>
        <v>5.3830618462303441</v>
      </c>
      <c r="R425" s="6">
        <f t="shared" si="67"/>
        <v>13.1517956467323</v>
      </c>
      <c r="S425" s="6">
        <f>IF($Y$2="按单位面积散热损失 qp",B425*LN(B425/首页!$B$4),LN(B425/首页!$B$4))</f>
        <v>1.9962638800126422</v>
      </c>
      <c r="T425" s="6">
        <f>IF($Y$2="按单位面积散热损失 qp",2*PI()*首页!$B$8*((E425-D425)/$Y$3-1/R425),2*PI()*首页!$B$8*((E425-D425)/$Y$4-1/(PI()*B425*R425)))</f>
        <v>4.0801270742037772E-2</v>
      </c>
      <c r="U425" t="str">
        <f t="shared" si="68"/>
        <v>按单位面积散热损失 qp</v>
      </c>
      <c r="V425" s="6">
        <f t="shared" si="69"/>
        <v>1.9554626092706044</v>
      </c>
    </row>
    <row r="426" spans="1:22" x14ac:dyDescent="0.15">
      <c r="A426">
        <v>421</v>
      </c>
      <c r="B426" s="6">
        <f>首页!$B$4+2*A426/1000</f>
        <v>0.96199999999999997</v>
      </c>
      <c r="C426" s="6">
        <f>首页!$B$7+273.15</f>
        <v>388.15</v>
      </c>
      <c r="D426" s="6">
        <f>首页!$B$6+273.15</f>
        <v>293.14999999999998</v>
      </c>
      <c r="E426" s="6">
        <f>首页!$B$5+273.15</f>
        <v>1373.15</v>
      </c>
      <c r="F426" s="6">
        <f t="shared" si="60"/>
        <v>95</v>
      </c>
      <c r="G426" s="6">
        <f t="shared" si="61"/>
        <v>340.65</v>
      </c>
      <c r="H426" s="6">
        <f t="shared" si="62"/>
        <v>1.9926207055139041E-5</v>
      </c>
      <c r="I426" s="7">
        <f t="shared" si="63"/>
        <v>1158916576932337.8</v>
      </c>
      <c r="J426" s="6">
        <f t="shared" si="64"/>
        <v>1.0226038455893147</v>
      </c>
      <c r="K426" s="7">
        <f>J426*H426*首页!$B$12/P426</f>
        <v>0.69532757496605813</v>
      </c>
      <c r="L426" s="6">
        <f>首页!$B$9*0.0000000567*((C426^4-D426^4)/(C426-D426))</f>
        <v>7.7687338005019564</v>
      </c>
      <c r="M426" s="6">
        <f>IF(首页!$B$13="自然对流",IF(首页!$B$14="立式圆筒",首页!$B$10,PI()*B426/2),PI()*B426/2)</f>
        <v>55.2</v>
      </c>
      <c r="N426" s="7">
        <f>IF(首页!$B$13="强制对流",首页!$B$11*M426/H426,0)</f>
        <v>0</v>
      </c>
      <c r="O426" s="7">
        <f>IF(首页!$B$13="自然对流",IF(首页!$B$14="立式圆筒",(0.825+0.3063*I426^(1/6))^2+0.87*(M426/B426),(0.752+0.303*I426^(1/6))^2),0.3+SQRT((0.592*N426^0.5)^2+(0.0262*N426^0.8/(1-0.5/N426^0.1))^2))</f>
        <v>10069.128500855897</v>
      </c>
      <c r="P426" s="6">
        <f t="shared" si="65"/>
        <v>2.9510194925512497E-2</v>
      </c>
      <c r="Q426" s="6">
        <f t="shared" si="66"/>
        <v>5.3830062462009227</v>
      </c>
      <c r="R426" s="6">
        <f t="shared" si="67"/>
        <v>13.15174004670288</v>
      </c>
      <c r="S426" s="6">
        <f>IF($Y$2="按单位面积散热损失 qp",B426*LN(B426/首页!$B$4),LN(B426/首页!$B$4))</f>
        <v>2.0024248449840814</v>
      </c>
      <c r="T426" s="6">
        <f>IF($Y$2="按单位面积散热损失 qp",2*PI()*首页!$B$8*((E426-D426)/$Y$3-1/R426),2*PI()*首页!$B$8*((E426-D426)/$Y$4-1/(PI()*B426*R426)))</f>
        <v>4.080117985558885E-2</v>
      </c>
      <c r="U426" t="str">
        <f t="shared" si="68"/>
        <v>按单位面积散热损失 qp</v>
      </c>
      <c r="V426" s="6">
        <f t="shared" si="69"/>
        <v>1.9616236651284924</v>
      </c>
    </row>
    <row r="427" spans="1:22" x14ac:dyDescent="0.15">
      <c r="A427">
        <v>422</v>
      </c>
      <c r="B427" s="6">
        <f>首页!$B$4+2*A427/1000</f>
        <v>0.96399999999999997</v>
      </c>
      <c r="C427" s="6">
        <f>首页!$B$7+273.15</f>
        <v>388.15</v>
      </c>
      <c r="D427" s="6">
        <f>首页!$B$6+273.15</f>
        <v>293.14999999999998</v>
      </c>
      <c r="E427" s="6">
        <f>首页!$B$5+273.15</f>
        <v>1373.15</v>
      </c>
      <c r="F427" s="6">
        <f t="shared" si="60"/>
        <v>95</v>
      </c>
      <c r="G427" s="6">
        <f t="shared" si="61"/>
        <v>340.65</v>
      </c>
      <c r="H427" s="6">
        <f t="shared" si="62"/>
        <v>1.9926207055139041E-5</v>
      </c>
      <c r="I427" s="7">
        <f t="shared" si="63"/>
        <v>1158916576932337.8</v>
      </c>
      <c r="J427" s="6">
        <f t="shared" si="64"/>
        <v>1.0226038455893147</v>
      </c>
      <c r="K427" s="7">
        <f>J427*H427*首页!$B$12/P427</f>
        <v>0.69532757496605813</v>
      </c>
      <c r="L427" s="6">
        <f>首页!$B$9*0.0000000567*((C427^4-D427^4)/(C427-D427))</f>
        <v>7.7687338005019564</v>
      </c>
      <c r="M427" s="6">
        <f>IF(首页!$B$13="自然对流",IF(首页!$B$14="立式圆筒",首页!$B$10,PI()*B427/2),PI()*B427/2)</f>
        <v>55.2</v>
      </c>
      <c r="N427" s="7">
        <f>IF(首页!$B$13="强制对流",首页!$B$11*M427/H427,0)</f>
        <v>0</v>
      </c>
      <c r="O427" s="7">
        <f>IF(首页!$B$13="自然对流",IF(首页!$B$14="立式圆筒",(0.825+0.3063*I427^(1/6))^2+0.87*(M427/B427),(0.752+0.303*I427^(1/6))^2),0.3+SQRT((0.592*N427^0.5)^2+(0.0262*N427^0.8/(1-0.5/N427^0.1))^2))</f>
        <v>10069.024930320791</v>
      </c>
      <c r="P427" s="6">
        <f t="shared" si="65"/>
        <v>2.9510194925512497E-2</v>
      </c>
      <c r="Q427" s="6">
        <f t="shared" si="66"/>
        <v>5.3829508768770182</v>
      </c>
      <c r="R427" s="6">
        <f t="shared" si="67"/>
        <v>13.151684677378974</v>
      </c>
      <c r="S427" s="6">
        <f>IF($Y$2="按单位面积散热损失 qp",B427*LN(B427/首页!$B$4),LN(B427/首页!$B$4))</f>
        <v>2.0085899679626738</v>
      </c>
      <c r="T427" s="6">
        <f>IF($Y$2="按单位面积散热损失 qp",2*PI()*首页!$B$8*((E427-D427)/$Y$3-1/R427),2*PI()*首页!$B$8*((E427-D427)/$Y$4-1/(PI()*B427*R427)))</f>
        <v>4.080108934549842E-2</v>
      </c>
      <c r="U427" t="str">
        <f t="shared" si="68"/>
        <v>按单位面积散热损失 qp</v>
      </c>
      <c r="V427" s="6">
        <f t="shared" si="69"/>
        <v>1.9677888786171753</v>
      </c>
    </row>
    <row r="428" spans="1:22" x14ac:dyDescent="0.15">
      <c r="A428">
        <v>423</v>
      </c>
      <c r="B428" s="6">
        <f>首页!$B$4+2*A428/1000</f>
        <v>0.96599999999999997</v>
      </c>
      <c r="C428" s="6">
        <f>首页!$B$7+273.15</f>
        <v>388.15</v>
      </c>
      <c r="D428" s="6">
        <f>首页!$B$6+273.15</f>
        <v>293.14999999999998</v>
      </c>
      <c r="E428" s="6">
        <f>首页!$B$5+273.15</f>
        <v>1373.15</v>
      </c>
      <c r="F428" s="6">
        <f t="shared" si="60"/>
        <v>95</v>
      </c>
      <c r="G428" s="6">
        <f t="shared" si="61"/>
        <v>340.65</v>
      </c>
      <c r="H428" s="6">
        <f t="shared" si="62"/>
        <v>1.9926207055139041E-5</v>
      </c>
      <c r="I428" s="7">
        <f t="shared" si="63"/>
        <v>1158916576932337.8</v>
      </c>
      <c r="J428" s="6">
        <f t="shared" si="64"/>
        <v>1.0226038455893147</v>
      </c>
      <c r="K428" s="7">
        <f>J428*H428*首页!$B$12/P428</f>
        <v>0.69532757496605813</v>
      </c>
      <c r="L428" s="6">
        <f>首页!$B$9*0.0000000567*((C428^4-D428^4)/(C428-D428))</f>
        <v>7.7687338005019564</v>
      </c>
      <c r="M428" s="6">
        <f>IF(首页!$B$13="自然对流",IF(首页!$B$14="立式圆筒",首页!$B$10,PI()*B428/2),PI()*B428/2)</f>
        <v>55.2</v>
      </c>
      <c r="N428" s="7">
        <f>IF(首页!$B$13="强制对流",首页!$B$11*M428/H428,0)</f>
        <v>0</v>
      </c>
      <c r="O428" s="7">
        <f>IF(首页!$B$13="自然对流",IF(首页!$B$14="立式圆筒",(0.825+0.3063*I428^(1/6))^2+0.87*(M428/B428),(0.752+0.303*I428^(1/6))^2),0.3+SQRT((0.592*N428^0.5)^2+(0.0262*N428^0.8/(1-0.5/N428^0.1))^2))</f>
        <v>10068.921788649186</v>
      </c>
      <c r="P428" s="6">
        <f t="shared" si="65"/>
        <v>2.9510194925512497E-2</v>
      </c>
      <c r="Q428" s="6">
        <f t="shared" si="66"/>
        <v>5.3828957368256773</v>
      </c>
      <c r="R428" s="6">
        <f t="shared" si="67"/>
        <v>13.151629537327633</v>
      </c>
      <c r="S428" s="6">
        <f>IF($Y$2="按单位面积散热损失 qp",B428*LN(B428/首页!$B$4),LN(B428/首页!$B$4))</f>
        <v>2.014759240321836</v>
      </c>
      <c r="T428" s="6">
        <f>IF($Y$2="按单位面积散热损失 qp",2*PI()*首页!$B$8*((E428-D428)/$Y$3-1/R428),2*PI()*首页!$B$8*((E428-D428)/$Y$4-1/(PI()*B428*R428)))</f>
        <v>4.0800999209433607E-2</v>
      </c>
      <c r="U428" t="str">
        <f t="shared" si="68"/>
        <v>按单位面积散热损失 qp</v>
      </c>
      <c r="V428" s="6">
        <f t="shared" si="69"/>
        <v>1.9739582411124024</v>
      </c>
    </row>
    <row r="429" spans="1:22" x14ac:dyDescent="0.15">
      <c r="A429">
        <v>424</v>
      </c>
      <c r="B429" s="6">
        <f>首页!$B$4+2*A429/1000</f>
        <v>0.96799999999999997</v>
      </c>
      <c r="C429" s="6">
        <f>首页!$B$7+273.15</f>
        <v>388.15</v>
      </c>
      <c r="D429" s="6">
        <f>首页!$B$6+273.15</f>
        <v>293.14999999999998</v>
      </c>
      <c r="E429" s="6">
        <f>首页!$B$5+273.15</f>
        <v>1373.15</v>
      </c>
      <c r="F429" s="6">
        <f t="shared" si="60"/>
        <v>95</v>
      </c>
      <c r="G429" s="6">
        <f t="shared" si="61"/>
        <v>340.65</v>
      </c>
      <c r="H429" s="6">
        <f t="shared" si="62"/>
        <v>1.9926207055139041E-5</v>
      </c>
      <c r="I429" s="7">
        <f t="shared" si="63"/>
        <v>1158916576932337.8</v>
      </c>
      <c r="J429" s="6">
        <f t="shared" si="64"/>
        <v>1.0226038455893147</v>
      </c>
      <c r="K429" s="7">
        <f>J429*H429*首页!$B$12/P429</f>
        <v>0.69532757496605813</v>
      </c>
      <c r="L429" s="6">
        <f>首页!$B$9*0.0000000567*((C429^4-D429^4)/(C429-D429))</f>
        <v>7.7687338005019564</v>
      </c>
      <c r="M429" s="6">
        <f>IF(首页!$B$13="自然对流",IF(首页!$B$14="立式圆筒",首页!$B$10,PI()*B429/2),PI()*B429/2)</f>
        <v>55.2</v>
      </c>
      <c r="N429" s="7">
        <f>IF(首页!$B$13="强制对流",首页!$B$11*M429/H429,0)</f>
        <v>0</v>
      </c>
      <c r="O429" s="7">
        <f>IF(首页!$B$13="自然对流",IF(首页!$B$14="立式圆筒",(0.825+0.3063*I429^(1/6))^2+0.87*(M429/B429),(0.752+0.303*I429^(1/6))^2),0.3+SQRT((0.592*N429^0.5)^2+(0.0262*N429^0.8/(1-0.5/N429^0.1))^2))</f>
        <v>10068.819073182834</v>
      </c>
      <c r="P429" s="6">
        <f t="shared" si="65"/>
        <v>2.9510194925512497E-2</v>
      </c>
      <c r="Q429" s="6">
        <f t="shared" si="66"/>
        <v>5.3828408246257879</v>
      </c>
      <c r="R429" s="6">
        <f t="shared" si="67"/>
        <v>13.151574625127743</v>
      </c>
      <c r="S429" s="6">
        <f>IF($Y$2="按单位面积散热损失 qp",B429*LN(B429/首页!$B$4),LN(B429/首页!$B$4))</f>
        <v>2.0209326534707057</v>
      </c>
      <c r="T429" s="6">
        <f>IF($Y$2="按单位面积散热损失 qp",2*PI()*首页!$B$8*((E429-D429)/$Y$3-1/R429),2*PI()*首页!$B$8*((E429-D429)/$Y$4-1/(PI()*B429*R429)))</f>
        <v>4.0800909445080726E-2</v>
      </c>
      <c r="U429" t="str">
        <f t="shared" si="68"/>
        <v>按单位面积散热损失 qp</v>
      </c>
      <c r="V429" s="6">
        <f t="shared" si="69"/>
        <v>1.980131744025625</v>
      </c>
    </row>
    <row r="430" spans="1:22" x14ac:dyDescent="0.15">
      <c r="A430">
        <v>425</v>
      </c>
      <c r="B430" s="6">
        <f>首页!$B$4+2*A430/1000</f>
        <v>0.97</v>
      </c>
      <c r="C430" s="6">
        <f>首页!$B$7+273.15</f>
        <v>388.15</v>
      </c>
      <c r="D430" s="6">
        <f>首页!$B$6+273.15</f>
        <v>293.14999999999998</v>
      </c>
      <c r="E430" s="6">
        <f>首页!$B$5+273.15</f>
        <v>1373.15</v>
      </c>
      <c r="F430" s="6">
        <f t="shared" si="60"/>
        <v>95</v>
      </c>
      <c r="G430" s="6">
        <f t="shared" si="61"/>
        <v>340.65</v>
      </c>
      <c r="H430" s="6">
        <f t="shared" si="62"/>
        <v>1.9926207055139041E-5</v>
      </c>
      <c r="I430" s="7">
        <f t="shared" si="63"/>
        <v>1158916576932337.8</v>
      </c>
      <c r="J430" s="6">
        <f t="shared" si="64"/>
        <v>1.0226038455893147</v>
      </c>
      <c r="K430" s="7">
        <f>J430*H430*首页!$B$12/P430</f>
        <v>0.69532757496605813</v>
      </c>
      <c r="L430" s="6">
        <f>首页!$B$9*0.0000000567*((C430^4-D430^4)/(C430-D430))</f>
        <v>7.7687338005019564</v>
      </c>
      <c r="M430" s="6">
        <f>IF(首页!$B$13="自然对流",IF(首页!$B$14="立式圆筒",首页!$B$10,PI()*B430/2),PI()*B430/2)</f>
        <v>55.2</v>
      </c>
      <c r="N430" s="7">
        <f>IF(首页!$B$13="强制对流",首页!$B$11*M430/H430,0)</f>
        <v>0</v>
      </c>
      <c r="O430" s="7">
        <f>IF(首页!$B$13="自然对流",IF(首页!$B$14="立式圆筒",(0.825+0.3063*I430^(1/6))^2+0.87*(M430/B430),(0.752+0.303*I430^(1/6))^2),0.3+SQRT((0.592*N430^0.5)^2+(0.0262*N430^0.8/(1-0.5/N430^0.1))^2))</f>
        <v>10068.716781285415</v>
      </c>
      <c r="P430" s="6">
        <f t="shared" si="65"/>
        <v>2.9510194925512497E-2</v>
      </c>
      <c r="Q430" s="6">
        <f t="shared" si="66"/>
        <v>5.3827861388679592</v>
      </c>
      <c r="R430" s="6">
        <f t="shared" si="67"/>
        <v>13.151519939369916</v>
      </c>
      <c r="S430" s="6">
        <f>IF($Y$2="按单位面积散热损失 qp",B430*LN(B430/首页!$B$4),LN(B430/首页!$B$4))</f>
        <v>2.0271101988539209</v>
      </c>
      <c r="T430" s="6">
        <f>IF($Y$2="按单位面积散热损失 qp",2*PI()*首页!$B$8*((E430-D430)/$Y$3-1/R430),2*PI()*首页!$B$8*((E430-D430)/$Y$4-1/(PI()*B430*R430)))</f>
        <v>4.080082005014516E-2</v>
      </c>
      <c r="U430" t="str">
        <f t="shared" si="68"/>
        <v>按单位面积散热损失 qp</v>
      </c>
      <c r="V430" s="6">
        <f t="shared" si="69"/>
        <v>1.9863093788037758</v>
      </c>
    </row>
    <row r="431" spans="1:22" x14ac:dyDescent="0.15">
      <c r="A431">
        <v>426</v>
      </c>
      <c r="B431" s="6">
        <f>首页!$B$4+2*A431/1000</f>
        <v>0.97199999999999998</v>
      </c>
      <c r="C431" s="6">
        <f>首页!$B$7+273.15</f>
        <v>388.15</v>
      </c>
      <c r="D431" s="6">
        <f>首页!$B$6+273.15</f>
        <v>293.14999999999998</v>
      </c>
      <c r="E431" s="6">
        <f>首页!$B$5+273.15</f>
        <v>1373.15</v>
      </c>
      <c r="F431" s="6">
        <f t="shared" si="60"/>
        <v>95</v>
      </c>
      <c r="G431" s="6">
        <f t="shared" si="61"/>
        <v>340.65</v>
      </c>
      <c r="H431" s="6">
        <f t="shared" si="62"/>
        <v>1.9926207055139041E-5</v>
      </c>
      <c r="I431" s="7">
        <f t="shared" si="63"/>
        <v>1158916576932337.8</v>
      </c>
      <c r="J431" s="6">
        <f t="shared" si="64"/>
        <v>1.0226038455893147</v>
      </c>
      <c r="K431" s="7">
        <f>J431*H431*首页!$B$12/P431</f>
        <v>0.69532757496605813</v>
      </c>
      <c r="L431" s="6">
        <f>首页!$B$9*0.0000000567*((C431^4-D431^4)/(C431-D431))</f>
        <v>7.7687338005019564</v>
      </c>
      <c r="M431" s="6">
        <f>IF(首页!$B$13="自然对流",IF(首页!$B$14="立式圆筒",首页!$B$10,PI()*B431/2),PI()*B431/2)</f>
        <v>55.2</v>
      </c>
      <c r="N431" s="7">
        <f>IF(首页!$B$13="强制对流",首页!$B$11*M431/H431,0)</f>
        <v>0</v>
      </c>
      <c r="O431" s="7">
        <f>IF(首页!$B$13="自然对流",IF(首页!$B$14="立式圆筒",(0.825+0.3063*I431^(1/6))^2+0.87*(M431/B431),(0.752+0.303*I431^(1/6))^2),0.3+SQRT((0.592*N431^0.5)^2+(0.0262*N431^0.8/(1-0.5/N431^0.1))^2))</f>
        <v>10068.614910342307</v>
      </c>
      <c r="P431" s="6">
        <f t="shared" si="65"/>
        <v>2.9510194925512497E-2</v>
      </c>
      <c r="Q431" s="6">
        <f t="shared" si="66"/>
        <v>5.3827316781544017</v>
      </c>
      <c r="R431" s="6">
        <f t="shared" si="67"/>
        <v>13.151465478656359</v>
      </c>
      <c r="S431" s="6">
        <f>IF($Y$2="按单位面积散热损失 qp",B431*LN(B431/首页!$B$4),LN(B431/首页!$B$4))</f>
        <v>2.033291867951398</v>
      </c>
      <c r="T431" s="6">
        <f>IF($Y$2="按单位面积散热损失 qp",2*PI()*首页!$B$8*((E431-D431)/$Y$3-1/R431),2*PI()*首页!$B$8*((E431-D431)/$Y$4-1/(PI()*B431*R431)))</f>
        <v>4.0800731022351128E-2</v>
      </c>
      <c r="U431" t="str">
        <f t="shared" si="68"/>
        <v>按单位面积散热损失 qp</v>
      </c>
      <c r="V431" s="6">
        <f t="shared" si="69"/>
        <v>1.992491136929047</v>
      </c>
    </row>
    <row r="432" spans="1:22" x14ac:dyDescent="0.15">
      <c r="A432">
        <v>427</v>
      </c>
      <c r="B432" s="6">
        <f>首页!$B$4+2*A432/1000</f>
        <v>0.97399999999999998</v>
      </c>
      <c r="C432" s="6">
        <f>首页!$B$7+273.15</f>
        <v>388.15</v>
      </c>
      <c r="D432" s="6">
        <f>首页!$B$6+273.15</f>
        <v>293.14999999999998</v>
      </c>
      <c r="E432" s="6">
        <f>首页!$B$5+273.15</f>
        <v>1373.15</v>
      </c>
      <c r="F432" s="6">
        <f t="shared" si="60"/>
        <v>95</v>
      </c>
      <c r="G432" s="6">
        <f t="shared" si="61"/>
        <v>340.65</v>
      </c>
      <c r="H432" s="6">
        <f t="shared" si="62"/>
        <v>1.9926207055139041E-5</v>
      </c>
      <c r="I432" s="7">
        <f t="shared" si="63"/>
        <v>1158916576932337.8</v>
      </c>
      <c r="J432" s="6">
        <f t="shared" si="64"/>
        <v>1.0226038455893147</v>
      </c>
      <c r="K432" s="7">
        <f>J432*H432*首页!$B$12/P432</f>
        <v>0.69532757496605813</v>
      </c>
      <c r="L432" s="6">
        <f>首页!$B$9*0.0000000567*((C432^4-D432^4)/(C432-D432))</f>
        <v>7.7687338005019564</v>
      </c>
      <c r="M432" s="6">
        <f>IF(首页!$B$13="自然对流",IF(首页!$B$14="立式圆筒",首页!$B$10,PI()*B432/2),PI()*B432/2)</f>
        <v>55.2</v>
      </c>
      <c r="N432" s="7">
        <f>IF(首页!$B$13="强制对流",首页!$B$11*M432/H432,0)</f>
        <v>0</v>
      </c>
      <c r="O432" s="7">
        <f>IF(首页!$B$13="自然对流",IF(首页!$B$14="立式圆筒",(0.825+0.3063*I432^(1/6))^2+0.87*(M432/B432),(0.752+0.303*I432^(1/6))^2),0.3+SQRT((0.592*N432^0.5)^2+(0.0262*N432^0.8/(1-0.5/N432^0.1))^2))</f>
        <v>10068.513457760362</v>
      </c>
      <c r="P432" s="6">
        <f t="shared" si="65"/>
        <v>2.9510194925512497E-2</v>
      </c>
      <c r="Q432" s="6">
        <f t="shared" si="66"/>
        <v>5.3826774410988065</v>
      </c>
      <c r="R432" s="6">
        <f t="shared" si="67"/>
        <v>13.151411241600762</v>
      </c>
      <c r="S432" s="6">
        <f>IF($Y$2="按单位面积散热损失 qp",B432*LN(B432/首页!$B$4),LN(B432/首页!$B$4))</f>
        <v>2.0394776522781166</v>
      </c>
      <c r="T432" s="6">
        <f>IF($Y$2="按单位面积散热损失 qp",2*PI()*首页!$B$8*((E432-D432)/$Y$3-1/R432),2*PI()*首页!$B$8*((E432-D432)/$Y$4-1/(PI()*B432*R432)))</f>
        <v>4.080064235944153E-2</v>
      </c>
      <c r="U432" t="str">
        <f t="shared" si="68"/>
        <v>按单位面积散热损失 qp</v>
      </c>
      <c r="V432" s="6">
        <f t="shared" si="69"/>
        <v>1.998677009918675</v>
      </c>
    </row>
    <row r="433" spans="1:22" x14ac:dyDescent="0.15">
      <c r="A433">
        <v>428</v>
      </c>
      <c r="B433" s="6">
        <f>首页!$B$4+2*A433/1000</f>
        <v>0.97599999999999998</v>
      </c>
      <c r="C433" s="6">
        <f>首页!$B$7+273.15</f>
        <v>388.15</v>
      </c>
      <c r="D433" s="6">
        <f>首页!$B$6+273.15</f>
        <v>293.14999999999998</v>
      </c>
      <c r="E433" s="6">
        <f>首页!$B$5+273.15</f>
        <v>1373.15</v>
      </c>
      <c r="F433" s="6">
        <f t="shared" si="60"/>
        <v>95</v>
      </c>
      <c r="G433" s="6">
        <f t="shared" si="61"/>
        <v>340.65</v>
      </c>
      <c r="H433" s="6">
        <f t="shared" si="62"/>
        <v>1.9926207055139041E-5</v>
      </c>
      <c r="I433" s="7">
        <f t="shared" si="63"/>
        <v>1158916576932337.8</v>
      </c>
      <c r="J433" s="6">
        <f t="shared" si="64"/>
        <v>1.0226038455893147</v>
      </c>
      <c r="K433" s="7">
        <f>J433*H433*首页!$B$12/P433</f>
        <v>0.69532757496605813</v>
      </c>
      <c r="L433" s="6">
        <f>首页!$B$9*0.0000000567*((C433^4-D433^4)/(C433-D433))</f>
        <v>7.7687338005019564</v>
      </c>
      <c r="M433" s="6">
        <f>IF(首页!$B$13="自然对流",IF(首页!$B$14="立式圆筒",首页!$B$10,PI()*B433/2),PI()*B433/2)</f>
        <v>55.2</v>
      </c>
      <c r="N433" s="7">
        <f>IF(首页!$B$13="强制对流",首页!$B$11*M433/H433,0)</f>
        <v>0</v>
      </c>
      <c r="O433" s="7">
        <f>IF(首页!$B$13="自然对流",IF(首页!$B$14="立式圆筒",(0.825+0.3063*I433^(1/6))^2+0.87*(M433/B433),(0.752+0.303*I433^(1/6))^2),0.3+SQRT((0.592*N433^0.5)^2+(0.0262*N433^0.8/(1-0.5/N433^0.1))^2))</f>
        <v>10068.412420967687</v>
      </c>
      <c r="P433" s="6">
        <f t="shared" si="65"/>
        <v>2.9510194925512497E-2</v>
      </c>
      <c r="Q433" s="6">
        <f t="shared" si="66"/>
        <v>5.3826234263262247</v>
      </c>
      <c r="R433" s="6">
        <f t="shared" si="67"/>
        <v>13.151357226828182</v>
      </c>
      <c r="S433" s="6">
        <f>IF($Y$2="按单位面积散热损失 qp",B433*LN(B433/首页!$B$4),LN(B433/首页!$B$4))</f>
        <v>2.0456675433839009</v>
      </c>
      <c r="T433" s="6">
        <f>IF($Y$2="按单位面积散热损失 qp",2*PI()*首页!$B$8*((E433-D433)/$Y$3-1/R433),2*PI()*首页!$B$8*((E433-D433)/$Y$4-1/(PI()*B433*R433)))</f>
        <v>4.0800554059177693E-2</v>
      </c>
      <c r="U433" t="str">
        <f t="shared" si="68"/>
        <v>按单位面积散热损失 qp</v>
      </c>
      <c r="V433" s="6">
        <f t="shared" si="69"/>
        <v>2.0048669893247233</v>
      </c>
    </row>
    <row r="434" spans="1:22" x14ac:dyDescent="0.15">
      <c r="A434">
        <v>429</v>
      </c>
      <c r="B434" s="6">
        <f>首页!$B$4+2*A434/1000</f>
        <v>0.97799999999999998</v>
      </c>
      <c r="C434" s="6">
        <f>首页!$B$7+273.15</f>
        <v>388.15</v>
      </c>
      <c r="D434" s="6">
        <f>首页!$B$6+273.15</f>
        <v>293.14999999999998</v>
      </c>
      <c r="E434" s="6">
        <f>首页!$B$5+273.15</f>
        <v>1373.15</v>
      </c>
      <c r="F434" s="6">
        <f t="shared" si="60"/>
        <v>95</v>
      </c>
      <c r="G434" s="6">
        <f t="shared" si="61"/>
        <v>340.65</v>
      </c>
      <c r="H434" s="6">
        <f t="shared" si="62"/>
        <v>1.9926207055139041E-5</v>
      </c>
      <c r="I434" s="7">
        <f t="shared" si="63"/>
        <v>1158916576932337.8</v>
      </c>
      <c r="J434" s="6">
        <f t="shared" si="64"/>
        <v>1.0226038455893147</v>
      </c>
      <c r="K434" s="7">
        <f>J434*H434*首页!$B$12/P434</f>
        <v>0.69532757496605813</v>
      </c>
      <c r="L434" s="6">
        <f>首页!$B$9*0.0000000567*((C434^4-D434^4)/(C434-D434))</f>
        <v>7.7687338005019564</v>
      </c>
      <c r="M434" s="6">
        <f>IF(首页!$B$13="自然对流",IF(首页!$B$14="立式圆筒",首页!$B$10,PI()*B434/2),PI()*B434/2)</f>
        <v>55.2</v>
      </c>
      <c r="N434" s="7">
        <f>IF(首页!$B$13="强制对流",首页!$B$11*M434/H434,0)</f>
        <v>0</v>
      </c>
      <c r="O434" s="7">
        <f>IF(首页!$B$13="自然对流",IF(首页!$B$14="立式圆筒",(0.825+0.3063*I434^(1/6))^2+0.87*(M434/B434),(0.752+0.303*I434^(1/6))^2),0.3+SQRT((0.592*N434^0.5)^2+(0.0262*N434^0.8/(1-0.5/N434^0.1))^2))</f>
        <v>10068.311797413427</v>
      </c>
      <c r="P434" s="6">
        <f t="shared" si="65"/>
        <v>2.9510194925512497E-2</v>
      </c>
      <c r="Q434" s="6">
        <f t="shared" si="66"/>
        <v>5.3825696324729586</v>
      </c>
      <c r="R434" s="6">
        <f t="shared" si="67"/>
        <v>13.151303432974915</v>
      </c>
      <c r="S434" s="6">
        <f>IF($Y$2="按单位面积散热损失 qp",B434*LN(B434/首页!$B$4),LN(B434/首页!$B$4))</f>
        <v>2.0518615328532106</v>
      </c>
      <c r="T434" s="6">
        <f>IF($Y$2="按单位面积散热损失 qp",2*PI()*首页!$B$8*((E434-D434)/$Y$3-1/R434),2*PI()*首页!$B$8*((E434-D434)/$Y$4-1/(PI()*B434*R434)))</f>
        <v>4.080046611933924E-2</v>
      </c>
      <c r="U434" t="str">
        <f t="shared" si="68"/>
        <v>按单位面积散热损失 qp</v>
      </c>
      <c r="V434" s="6">
        <f t="shared" si="69"/>
        <v>2.0110610667338715</v>
      </c>
    </row>
    <row r="435" spans="1:22" x14ac:dyDescent="0.15">
      <c r="A435">
        <v>430</v>
      </c>
      <c r="B435" s="6">
        <f>首页!$B$4+2*A435/1000</f>
        <v>0.98</v>
      </c>
      <c r="C435" s="6">
        <f>首页!$B$7+273.15</f>
        <v>388.15</v>
      </c>
      <c r="D435" s="6">
        <f>首页!$B$6+273.15</f>
        <v>293.14999999999998</v>
      </c>
      <c r="E435" s="6">
        <f>首页!$B$5+273.15</f>
        <v>1373.15</v>
      </c>
      <c r="F435" s="6">
        <f t="shared" si="60"/>
        <v>95</v>
      </c>
      <c r="G435" s="6">
        <f t="shared" si="61"/>
        <v>340.65</v>
      </c>
      <c r="H435" s="6">
        <f t="shared" si="62"/>
        <v>1.9926207055139041E-5</v>
      </c>
      <c r="I435" s="7">
        <f t="shared" si="63"/>
        <v>1158916576932337.8</v>
      </c>
      <c r="J435" s="6">
        <f t="shared" si="64"/>
        <v>1.0226038455893147</v>
      </c>
      <c r="K435" s="7">
        <f>J435*H435*首页!$B$12/P435</f>
        <v>0.69532757496605813</v>
      </c>
      <c r="L435" s="6">
        <f>首页!$B$9*0.0000000567*((C435^4-D435^4)/(C435-D435))</f>
        <v>7.7687338005019564</v>
      </c>
      <c r="M435" s="6">
        <f>IF(首页!$B$13="自然对流",IF(首页!$B$14="立式圆筒",首页!$B$10,PI()*B435/2),PI()*B435/2)</f>
        <v>55.2</v>
      </c>
      <c r="N435" s="7">
        <f>IF(首页!$B$13="强制对流",首页!$B$11*M435/H435,0)</f>
        <v>0</v>
      </c>
      <c r="O435" s="7">
        <f>IF(首页!$B$13="自然对流",IF(首页!$B$14="立式圆筒",(0.825+0.3063*I435^(1/6))^2+0.87*(M435/B435),(0.752+0.303*I435^(1/6))^2),0.3+SQRT((0.592*N435^0.5)^2+(0.0262*N435^0.8/(1-0.5/N435^0.1))^2))</f>
        <v>10068.211584567553</v>
      </c>
      <c r="P435" s="6">
        <f t="shared" si="65"/>
        <v>2.9510194925512497E-2</v>
      </c>
      <c r="Q435" s="6">
        <f t="shared" si="66"/>
        <v>5.3825160581864404</v>
      </c>
      <c r="R435" s="6">
        <f t="shared" si="67"/>
        <v>13.151249858688397</v>
      </c>
      <c r="S435" s="6">
        <f>IF($Y$2="按单位面积散热损失 qp",B435*LN(B435/首页!$B$4),LN(B435/首页!$B$4))</f>
        <v>2.0580596123049202</v>
      </c>
      <c r="T435" s="6">
        <f>IF($Y$2="按单位面积散热损失 qp",2*PI()*首页!$B$8*((E435-D435)/$Y$3-1/R435),2*PI()*首页!$B$8*((E435-D435)/$Y$4-1/(PI()*B435*R435)))</f>
        <v>4.0800378537723891E-2</v>
      </c>
      <c r="U435" t="str">
        <f t="shared" si="68"/>
        <v>按单位面积散热损失 qp</v>
      </c>
      <c r="V435" s="6">
        <f t="shared" si="69"/>
        <v>2.0172592337671964</v>
      </c>
    </row>
    <row r="436" spans="1:22" x14ac:dyDescent="0.15">
      <c r="A436">
        <v>431</v>
      </c>
      <c r="B436" s="6">
        <f>首页!$B$4+2*A436/1000</f>
        <v>0.98199999999999998</v>
      </c>
      <c r="C436" s="6">
        <f>首页!$B$7+273.15</f>
        <v>388.15</v>
      </c>
      <c r="D436" s="6">
        <f>首页!$B$6+273.15</f>
        <v>293.14999999999998</v>
      </c>
      <c r="E436" s="6">
        <f>首页!$B$5+273.15</f>
        <v>1373.15</v>
      </c>
      <c r="F436" s="6">
        <f t="shared" si="60"/>
        <v>95</v>
      </c>
      <c r="G436" s="6">
        <f t="shared" si="61"/>
        <v>340.65</v>
      </c>
      <c r="H436" s="6">
        <f t="shared" si="62"/>
        <v>1.9926207055139041E-5</v>
      </c>
      <c r="I436" s="7">
        <f t="shared" si="63"/>
        <v>1158916576932337.8</v>
      </c>
      <c r="J436" s="6">
        <f t="shared" si="64"/>
        <v>1.0226038455893147</v>
      </c>
      <c r="K436" s="7">
        <f>J436*H436*首页!$B$12/P436</f>
        <v>0.69532757496605813</v>
      </c>
      <c r="L436" s="6">
        <f>首页!$B$9*0.0000000567*((C436^4-D436^4)/(C436-D436))</f>
        <v>7.7687338005019564</v>
      </c>
      <c r="M436" s="6">
        <f>IF(首页!$B$13="自然对流",IF(首页!$B$14="立式圆筒",首页!$B$10,PI()*B436/2),PI()*B436/2)</f>
        <v>55.2</v>
      </c>
      <c r="N436" s="7">
        <f>IF(首页!$B$13="强制对流",首页!$B$11*M436/H436,0)</f>
        <v>0</v>
      </c>
      <c r="O436" s="7">
        <f>IF(首页!$B$13="自然对流",IF(首页!$B$14="立式圆筒",(0.825+0.3063*I436^(1/6))^2+0.87*(M436/B436),(0.752+0.303*I436^(1/6))^2),0.3+SQRT((0.592*N436^0.5)^2+(0.0262*N436^0.8/(1-0.5/N436^0.1))^2))</f>
        <v>10068.111779920644</v>
      </c>
      <c r="P436" s="6">
        <f t="shared" si="65"/>
        <v>2.9510194925512497E-2</v>
      </c>
      <c r="Q436" s="6">
        <f t="shared" si="66"/>
        <v>5.3824627021251228</v>
      </c>
      <c r="R436" s="6">
        <f t="shared" si="67"/>
        <v>13.15119650262708</v>
      </c>
      <c r="S436" s="6">
        <f>IF($Y$2="按单位面积散热损失 qp",B436*LN(B436/首页!$B$4),LN(B436/首页!$B$4))</f>
        <v>2.0642617733921163</v>
      </c>
      <c r="T436" s="6">
        <f>IF($Y$2="按单位面积散热损失 qp",2*PI()*首页!$B$8*((E436-D436)/$Y$3-1/R436),2*PI()*首页!$B$8*((E436-D436)/$Y$4-1/(PI()*B436*R436)))</f>
        <v>4.0800291312147248E-2</v>
      </c>
      <c r="U436" t="str">
        <f t="shared" si="68"/>
        <v>按单位面积散热损失 qp</v>
      </c>
      <c r="V436" s="6">
        <f t="shared" si="69"/>
        <v>2.023461482079969</v>
      </c>
    </row>
    <row r="437" spans="1:22" x14ac:dyDescent="0.15">
      <c r="A437">
        <v>432</v>
      </c>
      <c r="B437" s="6">
        <f>首页!$B$4+2*A437/1000</f>
        <v>0.98399999999999999</v>
      </c>
      <c r="C437" s="6">
        <f>首页!$B$7+273.15</f>
        <v>388.15</v>
      </c>
      <c r="D437" s="6">
        <f>首页!$B$6+273.15</f>
        <v>293.14999999999998</v>
      </c>
      <c r="E437" s="6">
        <f>首页!$B$5+273.15</f>
        <v>1373.15</v>
      </c>
      <c r="F437" s="6">
        <f t="shared" si="60"/>
        <v>95</v>
      </c>
      <c r="G437" s="6">
        <f t="shared" si="61"/>
        <v>340.65</v>
      </c>
      <c r="H437" s="6">
        <f t="shared" si="62"/>
        <v>1.9926207055139041E-5</v>
      </c>
      <c r="I437" s="7">
        <f t="shared" si="63"/>
        <v>1158916576932337.8</v>
      </c>
      <c r="J437" s="6">
        <f t="shared" si="64"/>
        <v>1.0226038455893147</v>
      </c>
      <c r="K437" s="7">
        <f>J437*H437*首页!$B$12/P437</f>
        <v>0.69532757496605813</v>
      </c>
      <c r="L437" s="6">
        <f>首页!$B$9*0.0000000567*((C437^4-D437^4)/(C437-D437))</f>
        <v>7.7687338005019564</v>
      </c>
      <c r="M437" s="6">
        <f>IF(首页!$B$13="自然对流",IF(首页!$B$14="立式圆筒",首页!$B$10,PI()*B437/2),PI()*B437/2)</f>
        <v>55.2</v>
      </c>
      <c r="N437" s="7">
        <f>IF(首页!$B$13="强制对流",首页!$B$11*M437/H437,0)</f>
        <v>0</v>
      </c>
      <c r="O437" s="7">
        <f>IF(首页!$B$13="自然对流",IF(首页!$B$14="立式圆筒",(0.825+0.3063*I437^(1/6))^2+0.87*(M437/B437),(0.752+0.303*I437^(1/6))^2),0.3+SQRT((0.592*N437^0.5)^2+(0.0262*N437^0.8/(1-0.5/N437^0.1))^2))</f>
        <v>10068.01238098368</v>
      </c>
      <c r="P437" s="6">
        <f t="shared" si="65"/>
        <v>2.9510194925512497E-2</v>
      </c>
      <c r="Q437" s="6">
        <f t="shared" si="66"/>
        <v>5.3824095629583617</v>
      </c>
      <c r="R437" s="6">
        <f t="shared" si="67"/>
        <v>13.151143363460317</v>
      </c>
      <c r="S437" s="6">
        <f>IF($Y$2="按单位面积散热损失 qp",B437*LN(B437/首页!$B$4),LN(B437/首页!$B$4))</f>
        <v>2.070468007801884</v>
      </c>
      <c r="T437" s="6">
        <f>IF($Y$2="按单位面积散热损失 qp",2*PI()*首页!$B$8*((E437-D437)/$Y$3-1/R437),2*PI()*首页!$B$8*((E437-D437)/$Y$4-1/(PI()*B437*R437)))</f>
        <v>4.0800204440442654E-2</v>
      </c>
      <c r="U437" t="str">
        <f t="shared" si="68"/>
        <v>按单位面积散热损失 qp</v>
      </c>
      <c r="V437" s="6">
        <f t="shared" si="69"/>
        <v>2.0296678033614413</v>
      </c>
    </row>
    <row r="438" spans="1:22" x14ac:dyDescent="0.15">
      <c r="A438">
        <v>433</v>
      </c>
      <c r="B438" s="6">
        <f>首页!$B$4+2*A438/1000</f>
        <v>0.98599999999999999</v>
      </c>
      <c r="C438" s="6">
        <f>首页!$B$7+273.15</f>
        <v>388.15</v>
      </c>
      <c r="D438" s="6">
        <f>首页!$B$6+273.15</f>
        <v>293.14999999999998</v>
      </c>
      <c r="E438" s="6">
        <f>首页!$B$5+273.15</f>
        <v>1373.15</v>
      </c>
      <c r="F438" s="6">
        <f t="shared" si="60"/>
        <v>95</v>
      </c>
      <c r="G438" s="6">
        <f t="shared" si="61"/>
        <v>340.65</v>
      </c>
      <c r="H438" s="6">
        <f t="shared" si="62"/>
        <v>1.9926207055139041E-5</v>
      </c>
      <c r="I438" s="7">
        <f t="shared" si="63"/>
        <v>1158916576932337.8</v>
      </c>
      <c r="J438" s="6">
        <f t="shared" si="64"/>
        <v>1.0226038455893147</v>
      </c>
      <c r="K438" s="7">
        <f>J438*H438*首页!$B$12/P438</f>
        <v>0.69532757496605813</v>
      </c>
      <c r="L438" s="6">
        <f>首页!$B$9*0.0000000567*((C438^4-D438^4)/(C438-D438))</f>
        <v>7.7687338005019564</v>
      </c>
      <c r="M438" s="6">
        <f>IF(首页!$B$13="自然对流",IF(首页!$B$14="立式圆筒",首页!$B$10,PI()*B438/2),PI()*B438/2)</f>
        <v>55.2</v>
      </c>
      <c r="N438" s="7">
        <f>IF(首页!$B$13="强制对流",首页!$B$11*M438/H438,0)</f>
        <v>0</v>
      </c>
      <c r="O438" s="7">
        <f>IF(首页!$B$13="自然对流",IF(首页!$B$14="立式圆筒",(0.825+0.3063*I438^(1/6))^2+0.87*(M438/B438),(0.752+0.303*I438^(1/6))^2),0.3+SQRT((0.592*N438^0.5)^2+(0.0262*N438^0.8/(1-0.5/N438^0.1))^2))</f>
        <v>10067.91338528784</v>
      </c>
      <c r="P438" s="6">
        <f t="shared" si="65"/>
        <v>2.9510194925512497E-2</v>
      </c>
      <c r="Q438" s="6">
        <f t="shared" si="66"/>
        <v>5.3823566393663143</v>
      </c>
      <c r="R438" s="6">
        <f t="shared" si="67"/>
        <v>13.15109043986827</v>
      </c>
      <c r="S438" s="6">
        <f>IF($Y$2="按单位面积散热损失 qp",B438*LN(B438/首页!$B$4),LN(B438/首页!$B$4))</f>
        <v>2.0766783072551012</v>
      </c>
      <c r="T438" s="6">
        <f>IF($Y$2="按单位面积散热损失 qp",2*PI()*首页!$B$8*((E438-D438)/$Y$3-1/R438),2*PI()*首页!$B$8*((E438-D438)/$Y$4-1/(PI()*B438*R438)))</f>
        <v>4.0800117920461003E-2</v>
      </c>
      <c r="U438" t="str">
        <f t="shared" si="68"/>
        <v>按单位面积散热损失 qp</v>
      </c>
      <c r="V438" s="6">
        <f t="shared" si="69"/>
        <v>2.0358781893346403</v>
      </c>
    </row>
    <row r="439" spans="1:22" x14ac:dyDescent="0.15">
      <c r="A439">
        <v>434</v>
      </c>
      <c r="B439" s="6">
        <f>首页!$B$4+2*A439/1000</f>
        <v>0.98799999999999999</v>
      </c>
      <c r="C439" s="6">
        <f>首页!$B$7+273.15</f>
        <v>388.15</v>
      </c>
      <c r="D439" s="6">
        <f>首页!$B$6+273.15</f>
        <v>293.14999999999998</v>
      </c>
      <c r="E439" s="6">
        <f>首页!$B$5+273.15</f>
        <v>1373.15</v>
      </c>
      <c r="F439" s="6">
        <f t="shared" si="60"/>
        <v>95</v>
      </c>
      <c r="G439" s="6">
        <f t="shared" si="61"/>
        <v>340.65</v>
      </c>
      <c r="H439" s="6">
        <f t="shared" si="62"/>
        <v>1.9926207055139041E-5</v>
      </c>
      <c r="I439" s="7">
        <f t="shared" si="63"/>
        <v>1158916576932337.8</v>
      </c>
      <c r="J439" s="6">
        <f t="shared" si="64"/>
        <v>1.0226038455893147</v>
      </c>
      <c r="K439" s="7">
        <f>J439*H439*首页!$B$12/P439</f>
        <v>0.69532757496605813</v>
      </c>
      <c r="L439" s="6">
        <f>首页!$B$9*0.0000000567*((C439^4-D439^4)/(C439-D439))</f>
        <v>7.7687338005019564</v>
      </c>
      <c r="M439" s="6">
        <f>IF(首页!$B$13="自然对流",IF(首页!$B$14="立式圆筒",首页!$B$10,PI()*B439/2),PI()*B439/2)</f>
        <v>55.2</v>
      </c>
      <c r="N439" s="7">
        <f>IF(首页!$B$13="强制对流",首页!$B$11*M439/H439,0)</f>
        <v>0</v>
      </c>
      <c r="O439" s="7">
        <f>IF(首页!$B$13="自然对流",IF(首页!$B$14="立式圆筒",(0.825+0.3063*I439^(1/6))^2+0.87*(M439/B439),(0.752+0.303*I439^(1/6))^2),0.3+SQRT((0.592*N439^0.5)^2+(0.0262*N439^0.8/(1-0.5/N439^0.1))^2))</f>
        <v>10067.814790384293</v>
      </c>
      <c r="P439" s="6">
        <f t="shared" si="65"/>
        <v>2.9510194925512497E-2</v>
      </c>
      <c r="Q439" s="6">
        <f t="shared" si="66"/>
        <v>5.3823039300398223</v>
      </c>
      <c r="R439" s="6">
        <f t="shared" si="67"/>
        <v>13.151037730541779</v>
      </c>
      <c r="S439" s="6">
        <f>IF($Y$2="按单位面积散热损失 qp",B439*LN(B439/首页!$B$4),LN(B439/首页!$B$4))</f>
        <v>2.0828926635062319</v>
      </c>
      <c r="T439" s="6">
        <f>IF($Y$2="按单位面积散热损失 qp",2*PI()*首页!$B$8*((E439-D439)/$Y$3-1/R439),2*PI()*首页!$B$8*((E439-D439)/$Y$4-1/(PI()*B439*R439)))</f>
        <v>4.0800031750070534E-2</v>
      </c>
      <c r="U439" t="str">
        <f t="shared" si="68"/>
        <v>按单位面积散热损失 qp</v>
      </c>
      <c r="V439" s="6">
        <f t="shared" si="69"/>
        <v>2.0420926317561614</v>
      </c>
    </row>
    <row r="440" spans="1:22" x14ac:dyDescent="0.15">
      <c r="A440">
        <v>435</v>
      </c>
      <c r="B440" s="6">
        <f>首页!$B$4+2*A440/1000</f>
        <v>0.99</v>
      </c>
      <c r="C440" s="6">
        <f>首页!$B$7+273.15</f>
        <v>388.15</v>
      </c>
      <c r="D440" s="6">
        <f>首页!$B$6+273.15</f>
        <v>293.14999999999998</v>
      </c>
      <c r="E440" s="6">
        <f>首页!$B$5+273.15</f>
        <v>1373.15</v>
      </c>
      <c r="F440" s="6">
        <f t="shared" si="60"/>
        <v>95</v>
      </c>
      <c r="G440" s="6">
        <f t="shared" si="61"/>
        <v>340.65</v>
      </c>
      <c r="H440" s="6">
        <f t="shared" si="62"/>
        <v>1.9926207055139041E-5</v>
      </c>
      <c r="I440" s="7">
        <f t="shared" si="63"/>
        <v>1158916576932337.8</v>
      </c>
      <c r="J440" s="6">
        <f t="shared" si="64"/>
        <v>1.0226038455893147</v>
      </c>
      <c r="K440" s="7">
        <f>J440*H440*首页!$B$12/P440</f>
        <v>0.69532757496605813</v>
      </c>
      <c r="L440" s="6">
        <f>首页!$B$9*0.0000000567*((C440^4-D440^4)/(C440-D440))</f>
        <v>7.7687338005019564</v>
      </c>
      <c r="M440" s="6">
        <f>IF(首页!$B$13="自然对流",IF(首页!$B$14="立式圆筒",首页!$B$10,PI()*B440/2),PI()*B440/2)</f>
        <v>55.2</v>
      </c>
      <c r="N440" s="7">
        <f>IF(首页!$B$13="强制对流",首页!$B$11*M440/H440,0)</f>
        <v>0</v>
      </c>
      <c r="O440" s="7">
        <f>IF(首页!$B$13="自然对流",IF(首页!$B$14="立式圆筒",(0.825+0.3063*I440^(1/6))^2+0.87*(M440/B440),(0.752+0.303*I440^(1/6))^2),0.3+SQRT((0.592*N440^0.5)^2+(0.0262*N440^0.8/(1-0.5/N440^0.1))^2))</f>
        <v>10067.71659384399</v>
      </c>
      <c r="P440" s="6">
        <f t="shared" si="65"/>
        <v>2.9510194925512497E-2</v>
      </c>
      <c r="Q440" s="6">
        <f t="shared" si="66"/>
        <v>5.3822514336803051</v>
      </c>
      <c r="R440" s="6">
        <f t="shared" si="67"/>
        <v>13.150985234182262</v>
      </c>
      <c r="S440" s="6">
        <f>IF($Y$2="按单位面积散热损失 qp",B440*LN(B440/首页!$B$4),LN(B440/首页!$B$4))</f>
        <v>2.0891110683431235</v>
      </c>
      <c r="T440" s="6">
        <f>IF($Y$2="按单位面积散热损失 qp",2*PI()*首页!$B$8*((E440-D440)/$Y$3-1/R440),2*PI()*首页!$B$8*((E440-D440)/$Y$4-1/(PI()*B440*R440)))</f>
        <v>4.0799945927156696E-2</v>
      </c>
      <c r="U440" t="str">
        <f t="shared" si="68"/>
        <v>按单位面积散热损失 qp</v>
      </c>
      <c r="V440" s="6">
        <f t="shared" si="69"/>
        <v>2.0483111224159667</v>
      </c>
    </row>
    <row r="441" spans="1:22" x14ac:dyDescent="0.15">
      <c r="A441">
        <v>436</v>
      </c>
      <c r="B441" s="6">
        <f>首页!$B$4+2*A441/1000</f>
        <v>0.99199999999999999</v>
      </c>
      <c r="C441" s="6">
        <f>首页!$B$7+273.15</f>
        <v>388.15</v>
      </c>
      <c r="D441" s="6">
        <f>首页!$B$6+273.15</f>
        <v>293.14999999999998</v>
      </c>
      <c r="E441" s="6">
        <f>首页!$B$5+273.15</f>
        <v>1373.15</v>
      </c>
      <c r="F441" s="6">
        <f t="shared" si="60"/>
        <v>95</v>
      </c>
      <c r="G441" s="6">
        <f t="shared" si="61"/>
        <v>340.65</v>
      </c>
      <c r="H441" s="6">
        <f t="shared" si="62"/>
        <v>1.9926207055139041E-5</v>
      </c>
      <c r="I441" s="7">
        <f t="shared" si="63"/>
        <v>1158916576932337.8</v>
      </c>
      <c r="J441" s="6">
        <f t="shared" si="64"/>
        <v>1.0226038455893147</v>
      </c>
      <c r="K441" s="7">
        <f>J441*H441*首页!$B$12/P441</f>
        <v>0.69532757496605813</v>
      </c>
      <c r="L441" s="6">
        <f>首页!$B$9*0.0000000567*((C441^4-D441^4)/(C441-D441))</f>
        <v>7.7687338005019564</v>
      </c>
      <c r="M441" s="6">
        <f>IF(首页!$B$13="自然对流",IF(首页!$B$14="立式圆筒",首页!$B$10,PI()*B441/2),PI()*B441/2)</f>
        <v>55.2</v>
      </c>
      <c r="N441" s="7">
        <f>IF(首页!$B$13="强制对流",首页!$B$11*M441/H441,0)</f>
        <v>0</v>
      </c>
      <c r="O441" s="7">
        <f>IF(首页!$B$13="自然对流",IF(首页!$B$14="立式圆筒",(0.825+0.3063*I441^(1/6))^2+0.87*(M441/B441),(0.752+0.303*I441^(1/6))^2),0.3+SQRT((0.592*N441^0.5)^2+(0.0262*N441^0.8/(1-0.5/N441^0.1))^2))</f>
        <v>10067.618793257481</v>
      </c>
      <c r="P441" s="6">
        <f t="shared" si="65"/>
        <v>2.9510194925512497E-2</v>
      </c>
      <c r="Q441" s="6">
        <f t="shared" si="66"/>
        <v>5.3821991489996588</v>
      </c>
      <c r="R441" s="6">
        <f t="shared" si="67"/>
        <v>13.150932949501616</v>
      </c>
      <c r="S441" s="6">
        <f>IF($Y$2="按单位面积散热损失 qp",B441*LN(B441/首页!$B$4),LN(B441/首页!$B$4))</f>
        <v>2.0953335135868043</v>
      </c>
      <c r="T441" s="6">
        <f>IF($Y$2="按单位面积散热损失 qp",2*PI()*首页!$B$8*((E441-D441)/$Y$3-1/R441),2*PI()*首页!$B$8*((E441-D441)/$Y$4-1/(PI()*B441*R441)))</f>
        <v>4.0799860449621951E-2</v>
      </c>
      <c r="U441" t="str">
        <f t="shared" si="68"/>
        <v>按单位面积散热损失 qp</v>
      </c>
      <c r="V441" s="6">
        <f t="shared" si="69"/>
        <v>2.0545336531371823</v>
      </c>
    </row>
    <row r="442" spans="1:22" x14ac:dyDescent="0.15">
      <c r="A442">
        <v>437</v>
      </c>
      <c r="B442" s="6">
        <f>首页!$B$4+2*A442/1000</f>
        <v>0.99399999999999999</v>
      </c>
      <c r="C442" s="6">
        <f>首页!$B$7+273.15</f>
        <v>388.15</v>
      </c>
      <c r="D442" s="6">
        <f>首页!$B$6+273.15</f>
        <v>293.14999999999998</v>
      </c>
      <c r="E442" s="6">
        <f>首页!$B$5+273.15</f>
        <v>1373.15</v>
      </c>
      <c r="F442" s="6">
        <f t="shared" si="60"/>
        <v>95</v>
      </c>
      <c r="G442" s="6">
        <f t="shared" si="61"/>
        <v>340.65</v>
      </c>
      <c r="H442" s="6">
        <f t="shared" si="62"/>
        <v>1.9926207055139041E-5</v>
      </c>
      <c r="I442" s="7">
        <f t="shared" si="63"/>
        <v>1158916576932337.8</v>
      </c>
      <c r="J442" s="6">
        <f t="shared" si="64"/>
        <v>1.0226038455893147</v>
      </c>
      <c r="K442" s="7">
        <f>J442*H442*首页!$B$12/P442</f>
        <v>0.69532757496605813</v>
      </c>
      <c r="L442" s="6">
        <f>首页!$B$9*0.0000000567*((C442^4-D442^4)/(C442-D442))</f>
        <v>7.7687338005019564</v>
      </c>
      <c r="M442" s="6">
        <f>IF(首页!$B$13="自然对流",IF(首页!$B$14="立式圆筒",首页!$B$10,PI()*B442/2),PI()*B442/2)</f>
        <v>55.2</v>
      </c>
      <c r="N442" s="7">
        <f>IF(首页!$B$13="强制对流",首页!$B$11*M442/H442,0)</f>
        <v>0</v>
      </c>
      <c r="O442" s="7">
        <f>IF(首页!$B$13="自然对流",IF(首页!$B$14="立式圆筒",(0.825+0.3063*I442^(1/6))^2+0.87*(M442/B442),(0.752+0.303*I442^(1/6))^2),0.3+SQRT((0.592*N442^0.5)^2+(0.0262*N442^0.8/(1-0.5/N442^0.1))^2))</f>
        <v>10067.521386234699</v>
      </c>
      <c r="P442" s="6">
        <f t="shared" si="65"/>
        <v>2.9510194925512497E-2</v>
      </c>
      <c r="Q442" s="6">
        <f t="shared" si="66"/>
        <v>5.3821470747201401</v>
      </c>
      <c r="R442" s="6">
        <f t="shared" si="67"/>
        <v>13.150880875222096</v>
      </c>
      <c r="S442" s="6">
        <f>IF($Y$2="按单位面积散热损失 qp",B442*LN(B442/首页!$B$4),LN(B442/首页!$B$4))</f>
        <v>2.101559991091281</v>
      </c>
      <c r="T442" s="6">
        <f>IF($Y$2="按单位面积散热损失 qp",2*PI()*首页!$B$8*((E442-D442)/$Y$3-1/R442),2*PI()*首页!$B$8*((E442-D442)/$Y$4-1/(PI()*B442*R442)))</f>
        <v>4.079977531538561E-2</v>
      </c>
      <c r="U442" t="str">
        <f t="shared" si="68"/>
        <v>按单位面积散热损失 qp</v>
      </c>
      <c r="V442" s="6">
        <f t="shared" si="69"/>
        <v>2.0607602157758955</v>
      </c>
    </row>
    <row r="443" spans="1:22" x14ac:dyDescent="0.15">
      <c r="A443">
        <v>438</v>
      </c>
      <c r="B443" s="6">
        <f>首页!$B$4+2*A443/1000</f>
        <v>0.996</v>
      </c>
      <c r="C443" s="6">
        <f>首页!$B$7+273.15</f>
        <v>388.15</v>
      </c>
      <c r="D443" s="6">
        <f>首页!$B$6+273.15</f>
        <v>293.14999999999998</v>
      </c>
      <c r="E443" s="6">
        <f>首页!$B$5+273.15</f>
        <v>1373.15</v>
      </c>
      <c r="F443" s="6">
        <f t="shared" si="60"/>
        <v>95</v>
      </c>
      <c r="G443" s="6">
        <f t="shared" si="61"/>
        <v>340.65</v>
      </c>
      <c r="H443" s="6">
        <f t="shared" si="62"/>
        <v>1.9926207055139041E-5</v>
      </c>
      <c r="I443" s="7">
        <f t="shared" si="63"/>
        <v>1158916576932337.8</v>
      </c>
      <c r="J443" s="6">
        <f t="shared" si="64"/>
        <v>1.0226038455893147</v>
      </c>
      <c r="K443" s="7">
        <f>J443*H443*首页!$B$12/P443</f>
        <v>0.69532757496605813</v>
      </c>
      <c r="L443" s="6">
        <f>首页!$B$9*0.0000000567*((C443^4-D443^4)/(C443-D443))</f>
        <v>7.7687338005019564</v>
      </c>
      <c r="M443" s="6">
        <f>IF(首页!$B$13="自然对流",IF(首页!$B$14="立式圆筒",首页!$B$10,PI()*B443/2),PI()*B443/2)</f>
        <v>55.2</v>
      </c>
      <c r="N443" s="7">
        <f>IF(首页!$B$13="强制对流",首页!$B$11*M443/H443,0)</f>
        <v>0</v>
      </c>
      <c r="O443" s="7">
        <f>IF(首页!$B$13="自然对流",IF(首页!$B$14="立式圆筒",(0.825+0.3063*I443^(1/6))^2+0.87*(M443/B443),(0.752+0.303*I443^(1/6))^2),0.3+SQRT((0.592*N443^0.5)^2+(0.0262*N443^0.8/(1-0.5/N443^0.1))^2))</f>
        <v>10067.424370404779</v>
      </c>
      <c r="P443" s="6">
        <f t="shared" si="65"/>
        <v>2.9510194925512497E-2</v>
      </c>
      <c r="Q443" s="6">
        <f t="shared" si="66"/>
        <v>5.382095209574274</v>
      </c>
      <c r="R443" s="6">
        <f t="shared" si="67"/>
        <v>13.15082901007623</v>
      </c>
      <c r="S443" s="6">
        <f>IF($Y$2="按单位面积散热损失 qp",B443*LN(B443/首页!$B$4),LN(B443/首页!$B$4))</f>
        <v>2.1077904927433422</v>
      </c>
      <c r="T443" s="6">
        <f>IF($Y$2="按单位面积散热损失 qp",2*PI()*首页!$B$8*((E443-D443)/$Y$3-1/R443),2*PI()*首页!$B$8*((E443-D443)/$Y$4-1/(PI()*B443*R443)))</f>
        <v>4.0799690522383657E-2</v>
      </c>
      <c r="U443" t="str">
        <f t="shared" si="68"/>
        <v>按单位面积散热损失 qp</v>
      </c>
      <c r="V443" s="6">
        <f t="shared" si="69"/>
        <v>2.0669908022209587</v>
      </c>
    </row>
    <row r="444" spans="1:22" x14ac:dyDescent="0.15">
      <c r="A444">
        <v>439</v>
      </c>
      <c r="B444" s="6">
        <f>首页!$B$4+2*A444/1000</f>
        <v>0.998</v>
      </c>
      <c r="C444" s="6">
        <f>首页!$B$7+273.15</f>
        <v>388.15</v>
      </c>
      <c r="D444" s="6">
        <f>首页!$B$6+273.15</f>
        <v>293.14999999999998</v>
      </c>
      <c r="E444" s="6">
        <f>首页!$B$5+273.15</f>
        <v>1373.15</v>
      </c>
      <c r="F444" s="6">
        <f t="shared" si="60"/>
        <v>95</v>
      </c>
      <c r="G444" s="6">
        <f t="shared" si="61"/>
        <v>340.65</v>
      </c>
      <c r="H444" s="6">
        <f t="shared" si="62"/>
        <v>1.9926207055139041E-5</v>
      </c>
      <c r="I444" s="7">
        <f t="shared" si="63"/>
        <v>1158916576932337.8</v>
      </c>
      <c r="J444" s="6">
        <f t="shared" si="64"/>
        <v>1.0226038455893147</v>
      </c>
      <c r="K444" s="7">
        <f>J444*H444*首页!$B$12/P444</f>
        <v>0.69532757496605813</v>
      </c>
      <c r="L444" s="6">
        <f>首页!$B$9*0.0000000567*((C444^4-D444^4)/(C444-D444))</f>
        <v>7.7687338005019564</v>
      </c>
      <c r="M444" s="6">
        <f>IF(首页!$B$13="自然对流",IF(首页!$B$14="立式圆筒",首页!$B$10,PI()*B444/2),PI()*B444/2)</f>
        <v>55.2</v>
      </c>
      <c r="N444" s="7">
        <f>IF(首页!$B$13="强制对流",首页!$B$11*M444/H444,0)</f>
        <v>0</v>
      </c>
      <c r="O444" s="7">
        <f>IF(首页!$B$13="自然对流",IF(首页!$B$14="立式圆筒",(0.825+0.3063*I444^(1/6))^2+0.87*(M444/B444),(0.752+0.303*I444^(1/6))^2),0.3+SQRT((0.592*N444^0.5)^2+(0.0262*N444^0.8/(1-0.5/N444^0.1))^2))</f>
        <v>10067.327743415863</v>
      </c>
      <c r="P444" s="6">
        <f t="shared" si="65"/>
        <v>2.9510194925512497E-2</v>
      </c>
      <c r="Q444" s="6">
        <f t="shared" si="66"/>
        <v>5.3820435523047454</v>
      </c>
      <c r="R444" s="6">
        <f t="shared" si="67"/>
        <v>13.150777352806703</v>
      </c>
      <c r="S444" s="6">
        <f>IF($Y$2="按单位面积散热损失 qp",B444*LN(B444/首页!$B$4),LN(B444/首页!$B$4))</f>
        <v>2.1140250104623592</v>
      </c>
      <c r="T444" s="6">
        <f>IF($Y$2="按单位面积散热损失 qp",2*PI()*首页!$B$8*((E444-D444)/$Y$3-1/R444),2*PI()*首页!$B$8*((E444-D444)/$Y$4-1/(PI()*B444*R444)))</f>
        <v>4.0799606068568625E-2</v>
      </c>
      <c r="U444" t="str">
        <f t="shared" si="68"/>
        <v>按单位面积散热损失 qp</v>
      </c>
      <c r="V444" s="6">
        <f t="shared" si="69"/>
        <v>2.0732254043937908</v>
      </c>
    </row>
    <row r="445" spans="1:22" x14ac:dyDescent="0.15">
      <c r="A445">
        <v>440</v>
      </c>
      <c r="B445" s="6">
        <f>首页!$B$4+2*A445/1000</f>
        <v>1</v>
      </c>
      <c r="C445" s="6">
        <f>首页!$B$7+273.15</f>
        <v>388.15</v>
      </c>
      <c r="D445" s="6">
        <f>首页!$B$6+273.15</f>
        <v>293.14999999999998</v>
      </c>
      <c r="E445" s="6">
        <f>首页!$B$5+273.15</f>
        <v>1373.15</v>
      </c>
      <c r="F445" s="6">
        <f t="shared" si="60"/>
        <v>95</v>
      </c>
      <c r="G445" s="6">
        <f t="shared" si="61"/>
        <v>340.65</v>
      </c>
      <c r="H445" s="6">
        <f t="shared" si="62"/>
        <v>1.9926207055139041E-5</v>
      </c>
      <c r="I445" s="7">
        <f t="shared" si="63"/>
        <v>1158916576932337.8</v>
      </c>
      <c r="J445" s="6">
        <f t="shared" si="64"/>
        <v>1.0226038455893147</v>
      </c>
      <c r="K445" s="7">
        <f>J445*H445*首页!$B$12/P445</f>
        <v>0.69532757496605813</v>
      </c>
      <c r="L445" s="6">
        <f>首页!$B$9*0.0000000567*((C445^4-D445^4)/(C445-D445))</f>
        <v>7.7687338005019564</v>
      </c>
      <c r="M445" s="6">
        <f>IF(首页!$B$13="自然对流",IF(首页!$B$14="立式圆筒",首页!$B$10,PI()*B445/2),PI()*B445/2)</f>
        <v>55.2</v>
      </c>
      <c r="N445" s="7">
        <f>IF(首页!$B$13="强制对流",首页!$B$11*M445/H445,0)</f>
        <v>0</v>
      </c>
      <c r="O445" s="7">
        <f>IF(首页!$B$13="自然对流",IF(首页!$B$14="立式圆筒",(0.825+0.3063*I445^(1/6))^2+0.87*(M445/B445),(0.752+0.303*I445^(1/6))^2),0.3+SQRT((0.592*N445^0.5)^2+(0.0262*N445^0.8/(1-0.5/N445^0.1))^2))</f>
        <v>10067.231502934899</v>
      </c>
      <c r="P445" s="6">
        <f t="shared" si="65"/>
        <v>2.9510194925512497E-2</v>
      </c>
      <c r="Q445" s="6">
        <f t="shared" si="66"/>
        <v>5.3819921016642933</v>
      </c>
      <c r="R445" s="6">
        <f t="shared" si="67"/>
        <v>13.150725902166251</v>
      </c>
      <c r="S445" s="6">
        <f>IF($Y$2="按单位面积散热损失 qp",B445*LN(B445/首页!$B$4),LN(B445/首页!$B$4))</f>
        <v>2.120263536200091</v>
      </c>
      <c r="T445" s="6">
        <f>IF($Y$2="按单位面积散热损失 qp",2*PI()*首页!$B$8*((E445-D445)/$Y$3-1/R445),2*PI()*首页!$B$8*((E445-D445)/$Y$4-1/(PI()*B445*R445)))</f>
        <v>4.0799521951909327E-2</v>
      </c>
      <c r="U445" t="str">
        <f t="shared" si="68"/>
        <v>按单位面积散热损失 qp</v>
      </c>
      <c r="V445" s="6">
        <f t="shared" si="69"/>
        <v>2.0794640142481815</v>
      </c>
    </row>
    <row r="446" spans="1:22" x14ac:dyDescent="0.15">
      <c r="A446">
        <v>441</v>
      </c>
      <c r="B446" s="6">
        <f>首页!$B$4+2*A446/1000</f>
        <v>1.002</v>
      </c>
      <c r="C446" s="6">
        <f>首页!$B$7+273.15</f>
        <v>388.15</v>
      </c>
      <c r="D446" s="6">
        <f>首页!$B$6+273.15</f>
        <v>293.14999999999998</v>
      </c>
      <c r="E446" s="6">
        <f>首页!$B$5+273.15</f>
        <v>1373.15</v>
      </c>
      <c r="F446" s="6">
        <f t="shared" si="60"/>
        <v>95</v>
      </c>
      <c r="G446" s="6">
        <f t="shared" si="61"/>
        <v>340.65</v>
      </c>
      <c r="H446" s="6">
        <f t="shared" si="62"/>
        <v>1.9926207055139041E-5</v>
      </c>
      <c r="I446" s="7">
        <f t="shared" si="63"/>
        <v>1158916576932337.8</v>
      </c>
      <c r="J446" s="6">
        <f t="shared" si="64"/>
        <v>1.0226038455893147</v>
      </c>
      <c r="K446" s="7">
        <f>J446*H446*首页!$B$12/P446</f>
        <v>0.69532757496605813</v>
      </c>
      <c r="L446" s="6">
        <f>首页!$B$9*0.0000000567*((C446^4-D446^4)/(C446-D446))</f>
        <v>7.7687338005019564</v>
      </c>
      <c r="M446" s="6">
        <f>IF(首页!$B$13="自然对流",IF(首页!$B$14="立式圆筒",首页!$B$10,PI()*B446/2),PI()*B446/2)</f>
        <v>55.2</v>
      </c>
      <c r="N446" s="7">
        <f>IF(首页!$B$13="强制对流",首页!$B$11*M446/H446,0)</f>
        <v>0</v>
      </c>
      <c r="O446" s="7">
        <f>IF(首页!$B$13="自然对流",IF(首页!$B$14="立式圆筒",(0.825+0.3063*I446^(1/6))^2+0.87*(M446/B446),(0.752+0.303*I446^(1/6))^2),0.3+SQRT((0.592*N446^0.5)^2+(0.0262*N446^0.8/(1-0.5/N446^0.1))^2))</f>
        <v>10067.135646647475</v>
      </c>
      <c r="P446" s="6">
        <f t="shared" si="65"/>
        <v>2.9510194925512497E-2</v>
      </c>
      <c r="Q446" s="6">
        <f t="shared" si="66"/>
        <v>5.3819408564156213</v>
      </c>
      <c r="R446" s="6">
        <f t="shared" si="67"/>
        <v>13.150674656917577</v>
      </c>
      <c r="S446" s="6">
        <f>IF($Y$2="按单位面积散热损失 qp",B446*LN(B446/首页!$B$4),LN(B446/首页!$B$4))</f>
        <v>2.1265060619404896</v>
      </c>
      <c r="T446" s="6">
        <f>IF($Y$2="按单位面积散热损失 qp",2*PI()*首页!$B$8*((E446-D446)/$Y$3-1/R446),2*PI()*首页!$B$8*((E446-D446)/$Y$4-1/(PI()*B446*R446)))</f>
        <v>4.079943817039082E-2</v>
      </c>
      <c r="U446" t="str">
        <f t="shared" si="68"/>
        <v>按单位面积散热损失 qp</v>
      </c>
      <c r="V446" s="6">
        <f t="shared" si="69"/>
        <v>2.0857066237700987</v>
      </c>
    </row>
    <row r="447" spans="1:22" x14ac:dyDescent="0.15">
      <c r="A447">
        <v>442</v>
      </c>
      <c r="B447" s="6">
        <f>首页!$B$4+2*A447/1000</f>
        <v>1.004</v>
      </c>
      <c r="C447" s="6">
        <f>首页!$B$7+273.15</f>
        <v>388.15</v>
      </c>
      <c r="D447" s="6">
        <f>首页!$B$6+273.15</f>
        <v>293.14999999999998</v>
      </c>
      <c r="E447" s="6">
        <f>首页!$B$5+273.15</f>
        <v>1373.15</v>
      </c>
      <c r="F447" s="6">
        <f t="shared" si="60"/>
        <v>95</v>
      </c>
      <c r="G447" s="6">
        <f t="shared" si="61"/>
        <v>340.65</v>
      </c>
      <c r="H447" s="6">
        <f t="shared" si="62"/>
        <v>1.9926207055139041E-5</v>
      </c>
      <c r="I447" s="7">
        <f t="shared" si="63"/>
        <v>1158916576932337.8</v>
      </c>
      <c r="J447" s="6">
        <f t="shared" si="64"/>
        <v>1.0226038455893147</v>
      </c>
      <c r="K447" s="7">
        <f>J447*H447*首页!$B$12/P447</f>
        <v>0.69532757496605813</v>
      </c>
      <c r="L447" s="6">
        <f>首页!$B$9*0.0000000567*((C447^4-D447^4)/(C447-D447))</f>
        <v>7.7687338005019564</v>
      </c>
      <c r="M447" s="6">
        <f>IF(首页!$B$13="自然对流",IF(首页!$B$14="立式圆筒",首页!$B$10,PI()*B447/2),PI()*B447/2)</f>
        <v>55.2</v>
      </c>
      <c r="N447" s="7">
        <f>IF(首页!$B$13="强制对流",首页!$B$11*M447/H447,0)</f>
        <v>0</v>
      </c>
      <c r="O447" s="7">
        <f>IF(首页!$B$13="自然对流",IF(首页!$B$14="立式圆筒",(0.825+0.3063*I447^(1/6))^2+0.87*(M447/B447),(0.752+0.303*I447^(1/6))^2),0.3+SQRT((0.592*N447^0.5)^2+(0.0262*N447^0.8/(1-0.5/N447^0.1))^2))</f>
        <v>10067.04017225761</v>
      </c>
      <c r="P447" s="6">
        <f t="shared" si="65"/>
        <v>2.9510194925512497E-2</v>
      </c>
      <c r="Q447" s="6">
        <f t="shared" si="66"/>
        <v>5.3818898153312853</v>
      </c>
      <c r="R447" s="6">
        <f t="shared" si="67"/>
        <v>13.150623615833242</v>
      </c>
      <c r="S447" s="6">
        <f>IF($Y$2="按单位面积散热损失 qp",B447*LN(B447/首页!$B$4),LN(B447/首页!$B$4))</f>
        <v>2.132752579699507</v>
      </c>
      <c r="T447" s="6">
        <f>IF($Y$2="按单位面积散热损失 qp",2*PI()*首页!$B$8*((E447-D447)/$Y$3-1/R447),2*PI()*首页!$B$8*((E447-D447)/$Y$4-1/(PI()*B447*R447)))</f>
        <v>4.0799354722014167E-2</v>
      </c>
      <c r="U447" t="str">
        <f t="shared" si="68"/>
        <v>按单位面积散热损失 qp</v>
      </c>
      <c r="V447" s="6">
        <f t="shared" si="69"/>
        <v>2.0919532249774928</v>
      </c>
    </row>
    <row r="448" spans="1:22" x14ac:dyDescent="0.15">
      <c r="A448">
        <v>443</v>
      </c>
      <c r="B448" s="6">
        <f>首页!$B$4+2*A448/1000</f>
        <v>1.006</v>
      </c>
      <c r="C448" s="6">
        <f>首页!$B$7+273.15</f>
        <v>388.15</v>
      </c>
      <c r="D448" s="6">
        <f>首页!$B$6+273.15</f>
        <v>293.14999999999998</v>
      </c>
      <c r="E448" s="6">
        <f>首页!$B$5+273.15</f>
        <v>1373.15</v>
      </c>
      <c r="F448" s="6">
        <f t="shared" si="60"/>
        <v>95</v>
      </c>
      <c r="G448" s="6">
        <f t="shared" si="61"/>
        <v>340.65</v>
      </c>
      <c r="H448" s="6">
        <f t="shared" si="62"/>
        <v>1.9926207055139041E-5</v>
      </c>
      <c r="I448" s="7">
        <f t="shared" si="63"/>
        <v>1158916576932337.8</v>
      </c>
      <c r="J448" s="6">
        <f t="shared" si="64"/>
        <v>1.0226038455893147</v>
      </c>
      <c r="K448" s="7">
        <f>J448*H448*首页!$B$12/P448</f>
        <v>0.69532757496605813</v>
      </c>
      <c r="L448" s="6">
        <f>首页!$B$9*0.0000000567*((C448^4-D448^4)/(C448-D448))</f>
        <v>7.7687338005019564</v>
      </c>
      <c r="M448" s="6">
        <f>IF(首页!$B$13="自然对流",IF(首页!$B$14="立式圆筒",首页!$B$10,PI()*B448/2),PI()*B448/2)</f>
        <v>55.2</v>
      </c>
      <c r="N448" s="7">
        <f>IF(首页!$B$13="强制对流",首页!$B$11*M448/H448,0)</f>
        <v>0</v>
      </c>
      <c r="O448" s="7">
        <f>IF(首页!$B$13="自然对流",IF(首页!$B$14="立式圆筒",(0.825+0.3063*I448^(1/6))^2+0.87*(M448/B448),(0.752+0.303*I448^(1/6))^2),0.3+SQRT((0.592*N448^0.5)^2+(0.0262*N448^0.8/(1-0.5/N448^0.1))^2))</f>
        <v>10066.945077487584</v>
      </c>
      <c r="P448" s="6">
        <f t="shared" si="65"/>
        <v>2.9510194925512497E-2</v>
      </c>
      <c r="Q448" s="6">
        <f t="shared" si="66"/>
        <v>5.381838977193607</v>
      </c>
      <c r="R448" s="6">
        <f t="shared" si="67"/>
        <v>13.150572777695563</v>
      </c>
      <c r="S448" s="6">
        <f>IF($Y$2="按单位面积散热损失 qp",B448*LN(B448/首页!$B$4),LN(B448/首页!$B$4))</f>
        <v>2.1390030815249044</v>
      </c>
      <c r="T448" s="6">
        <f>IF($Y$2="按单位面积散热损失 qp",2*PI()*首页!$B$8*((E448-D448)/$Y$3-1/R448),2*PI()*首页!$B$8*((E448-D448)/$Y$4-1/(PI()*B448*R448)))</f>
        <v>4.0799271604796281E-2</v>
      </c>
      <c r="U448" t="str">
        <f t="shared" si="68"/>
        <v>按单位面积散热损失 qp</v>
      </c>
      <c r="V448" s="6">
        <f t="shared" si="69"/>
        <v>2.0982038099201081</v>
      </c>
    </row>
    <row r="449" spans="1:22" x14ac:dyDescent="0.15">
      <c r="A449">
        <v>444</v>
      </c>
      <c r="B449" s="6">
        <f>首页!$B$4+2*A449/1000</f>
        <v>1.008</v>
      </c>
      <c r="C449" s="6">
        <f>首页!$B$7+273.15</f>
        <v>388.15</v>
      </c>
      <c r="D449" s="6">
        <f>首页!$B$6+273.15</f>
        <v>293.14999999999998</v>
      </c>
      <c r="E449" s="6">
        <f>首页!$B$5+273.15</f>
        <v>1373.15</v>
      </c>
      <c r="F449" s="6">
        <f t="shared" si="60"/>
        <v>95</v>
      </c>
      <c r="G449" s="6">
        <f t="shared" si="61"/>
        <v>340.65</v>
      </c>
      <c r="H449" s="6">
        <f t="shared" si="62"/>
        <v>1.9926207055139041E-5</v>
      </c>
      <c r="I449" s="7">
        <f t="shared" si="63"/>
        <v>1158916576932337.8</v>
      </c>
      <c r="J449" s="6">
        <f t="shared" si="64"/>
        <v>1.0226038455893147</v>
      </c>
      <c r="K449" s="7">
        <f>J449*H449*首页!$B$12/P449</f>
        <v>0.69532757496605813</v>
      </c>
      <c r="L449" s="6">
        <f>首页!$B$9*0.0000000567*((C449^4-D449^4)/(C449-D449))</f>
        <v>7.7687338005019564</v>
      </c>
      <c r="M449" s="6">
        <f>IF(首页!$B$13="自然对流",IF(首页!$B$14="立式圆筒",首页!$B$10,PI()*B449/2),PI()*B449/2)</f>
        <v>55.2</v>
      </c>
      <c r="N449" s="7">
        <f>IF(首页!$B$13="强制对流",首页!$B$11*M449/H449,0)</f>
        <v>0</v>
      </c>
      <c r="O449" s="7">
        <f>IF(首页!$B$13="自然对流",IF(首页!$B$14="立式圆筒",(0.825+0.3063*I449^(1/6))^2+0.87*(M449/B449),(0.752+0.303*I449^(1/6))^2),0.3+SQRT((0.592*N449^0.5)^2+(0.0262*N449^0.8/(1-0.5/N449^0.1))^2))</f>
        <v>10066.850360077757</v>
      </c>
      <c r="P449" s="6">
        <f t="shared" si="65"/>
        <v>2.9510194925512497E-2</v>
      </c>
      <c r="Q449" s="6">
        <f t="shared" si="66"/>
        <v>5.3817883407945697</v>
      </c>
      <c r="R449" s="6">
        <f t="shared" si="67"/>
        <v>13.150522141296527</v>
      </c>
      <c r="S449" s="6">
        <f>IF($Y$2="按单位面积散热损失 qp",B449*LN(B449/首页!$B$4),LN(B449/首页!$B$4))</f>
        <v>2.1452575594960619</v>
      </c>
      <c r="T449" s="6">
        <f>IF($Y$2="按单位面积散热损失 qp",2*PI()*首页!$B$8*((E449-D449)/$Y$3-1/R449),2*PI()*首页!$B$8*((E449-D449)/$Y$4-1/(PI()*B449*R449)))</f>
        <v>4.0799188816769812E-2</v>
      </c>
      <c r="U449" t="str">
        <f t="shared" si="68"/>
        <v>按单位面积散热损失 qp</v>
      </c>
      <c r="V449" s="6">
        <f t="shared" si="69"/>
        <v>2.1044583706792919</v>
      </c>
    </row>
    <row r="450" spans="1:22" x14ac:dyDescent="0.15">
      <c r="A450">
        <v>445</v>
      </c>
      <c r="B450" s="6">
        <f>首页!$B$4+2*A450/1000</f>
        <v>1.01</v>
      </c>
      <c r="C450" s="6">
        <f>首页!$B$7+273.15</f>
        <v>388.15</v>
      </c>
      <c r="D450" s="6">
        <f>首页!$B$6+273.15</f>
        <v>293.14999999999998</v>
      </c>
      <c r="E450" s="6">
        <f>首页!$B$5+273.15</f>
        <v>1373.15</v>
      </c>
      <c r="F450" s="6">
        <f t="shared" si="60"/>
        <v>95</v>
      </c>
      <c r="G450" s="6">
        <f t="shared" si="61"/>
        <v>340.65</v>
      </c>
      <c r="H450" s="6">
        <f t="shared" si="62"/>
        <v>1.9926207055139041E-5</v>
      </c>
      <c r="I450" s="7">
        <f t="shared" si="63"/>
        <v>1158916576932337.8</v>
      </c>
      <c r="J450" s="6">
        <f t="shared" si="64"/>
        <v>1.0226038455893147</v>
      </c>
      <c r="K450" s="7">
        <f>J450*H450*首页!$B$12/P450</f>
        <v>0.69532757496605813</v>
      </c>
      <c r="L450" s="6">
        <f>首页!$B$9*0.0000000567*((C450^4-D450^4)/(C450-D450))</f>
        <v>7.7687338005019564</v>
      </c>
      <c r="M450" s="6">
        <f>IF(首页!$B$13="自然对流",IF(首页!$B$14="立式圆筒",首页!$B$10,PI()*B450/2),PI()*B450/2)</f>
        <v>55.2</v>
      </c>
      <c r="N450" s="7">
        <f>IF(首页!$B$13="强制对流",首页!$B$11*M450/H450,0)</f>
        <v>0</v>
      </c>
      <c r="O450" s="7">
        <f>IF(首页!$B$13="自然对流",IF(首页!$B$14="立式圆筒",(0.825+0.3063*I450^(1/6))^2+0.87*(M450/B450),(0.752+0.303*I450^(1/6))^2),0.3+SQRT((0.592*N450^0.5)^2+(0.0262*N450^0.8/(1-0.5/N450^0.1))^2))</f>
        <v>10066.756017786385</v>
      </c>
      <c r="P450" s="6">
        <f t="shared" si="65"/>
        <v>2.9510194925512497E-2</v>
      </c>
      <c r="Q450" s="6">
        <f t="shared" si="66"/>
        <v>5.3817379049357275</v>
      </c>
      <c r="R450" s="6">
        <f t="shared" si="67"/>
        <v>13.150471705437685</v>
      </c>
      <c r="S450" s="6">
        <f>IF($Y$2="按单位面积散热损失 qp",B450*LN(B450/首页!$B$4),LN(B450/首页!$B$4))</f>
        <v>2.1515160057237921</v>
      </c>
      <c r="T450" s="6">
        <f>IF($Y$2="按单位面积散热损失 qp",2*PI()*首页!$B$8*((E450-D450)/$Y$3-1/R450),2*PI()*首页!$B$8*((E450-D450)/$Y$4-1/(PI()*B450*R450)))</f>
        <v>4.0799106355982939E-2</v>
      </c>
      <c r="U450" t="str">
        <f t="shared" si="68"/>
        <v>按单位面积散热损失 qp</v>
      </c>
      <c r="V450" s="6">
        <f t="shared" si="69"/>
        <v>2.1107168993678092</v>
      </c>
    </row>
    <row r="451" spans="1:22" x14ac:dyDescent="0.15">
      <c r="A451">
        <v>446</v>
      </c>
      <c r="B451" s="6">
        <f>首页!$B$4+2*A451/1000</f>
        <v>1.012</v>
      </c>
      <c r="C451" s="6">
        <f>首页!$B$7+273.15</f>
        <v>388.15</v>
      </c>
      <c r="D451" s="6">
        <f>首页!$B$6+273.15</f>
        <v>293.14999999999998</v>
      </c>
      <c r="E451" s="6">
        <f>首页!$B$5+273.15</f>
        <v>1373.15</v>
      </c>
      <c r="F451" s="6">
        <f t="shared" si="60"/>
        <v>95</v>
      </c>
      <c r="G451" s="6">
        <f t="shared" si="61"/>
        <v>340.65</v>
      </c>
      <c r="H451" s="6">
        <f t="shared" si="62"/>
        <v>1.9926207055139041E-5</v>
      </c>
      <c r="I451" s="7">
        <f t="shared" si="63"/>
        <v>1158916576932337.8</v>
      </c>
      <c r="J451" s="6">
        <f t="shared" si="64"/>
        <v>1.0226038455893147</v>
      </c>
      <c r="K451" s="7">
        <f>J451*H451*首页!$B$12/P451</f>
        <v>0.69532757496605813</v>
      </c>
      <c r="L451" s="6">
        <f>首页!$B$9*0.0000000567*((C451^4-D451^4)/(C451-D451))</f>
        <v>7.7687338005019564</v>
      </c>
      <c r="M451" s="6">
        <f>IF(首页!$B$13="自然对流",IF(首页!$B$14="立式圆筒",首页!$B$10,PI()*B451/2),PI()*B451/2)</f>
        <v>55.2</v>
      </c>
      <c r="N451" s="7">
        <f>IF(首页!$B$13="强制对流",首页!$B$11*M451/H451,0)</f>
        <v>0</v>
      </c>
      <c r="O451" s="7">
        <f>IF(首页!$B$13="自然对流",IF(首页!$B$14="立式圆筒",(0.825+0.3063*I451^(1/6))^2+0.87*(M451/B451),(0.752+0.303*I451^(1/6))^2),0.3+SQRT((0.592*N451^0.5)^2+(0.0262*N451^0.8/(1-0.5/N451^0.1))^2))</f>
        <v>10066.662048389446</v>
      </c>
      <c r="P451" s="6">
        <f t="shared" si="65"/>
        <v>2.9510194925512497E-2</v>
      </c>
      <c r="Q451" s="6">
        <f t="shared" si="66"/>
        <v>5.3816876684281061</v>
      </c>
      <c r="R451" s="6">
        <f t="shared" si="67"/>
        <v>13.150421468930062</v>
      </c>
      <c r="S451" s="6">
        <f>IF($Y$2="按单位面积散热损失 qp",B451*LN(B451/首页!$B$4),LN(B451/首页!$B$4))</f>
        <v>2.1577784123501491</v>
      </c>
      <c r="T451" s="6">
        <f>IF($Y$2="按单位面积散热损失 qp",2*PI()*首页!$B$8*((E451-D451)/$Y$3-1/R451),2*PI()*首页!$B$8*((E451-D451)/$Y$4-1/(PI()*B451*R451)))</f>
        <v>4.0799024220499247E-2</v>
      </c>
      <c r="U451" t="str">
        <f t="shared" si="68"/>
        <v>按单位面积散热损失 qp</v>
      </c>
      <c r="V451" s="6">
        <f t="shared" si="69"/>
        <v>2.1169793881296499</v>
      </c>
    </row>
    <row r="452" spans="1:22" x14ac:dyDescent="0.15">
      <c r="A452">
        <v>447</v>
      </c>
      <c r="B452" s="6">
        <f>首页!$B$4+2*A452/1000</f>
        <v>1.014</v>
      </c>
      <c r="C452" s="6">
        <f>首页!$B$7+273.15</f>
        <v>388.15</v>
      </c>
      <c r="D452" s="6">
        <f>首页!$B$6+273.15</f>
        <v>293.14999999999998</v>
      </c>
      <c r="E452" s="6">
        <f>首页!$B$5+273.15</f>
        <v>1373.15</v>
      </c>
      <c r="F452" s="6">
        <f t="shared" si="60"/>
        <v>95</v>
      </c>
      <c r="G452" s="6">
        <f t="shared" si="61"/>
        <v>340.65</v>
      </c>
      <c r="H452" s="6">
        <f t="shared" si="62"/>
        <v>1.9926207055139041E-5</v>
      </c>
      <c r="I452" s="7">
        <f t="shared" si="63"/>
        <v>1158916576932337.8</v>
      </c>
      <c r="J452" s="6">
        <f t="shared" si="64"/>
        <v>1.0226038455893147</v>
      </c>
      <c r="K452" s="7">
        <f>J452*H452*首页!$B$12/P452</f>
        <v>0.69532757496605813</v>
      </c>
      <c r="L452" s="6">
        <f>首页!$B$9*0.0000000567*((C452^4-D452^4)/(C452-D452))</f>
        <v>7.7687338005019564</v>
      </c>
      <c r="M452" s="6">
        <f>IF(首页!$B$13="自然对流",IF(首页!$B$14="立式圆筒",首页!$B$10,PI()*B452/2),PI()*B452/2)</f>
        <v>55.2</v>
      </c>
      <c r="N452" s="7">
        <f>IF(首页!$B$13="强制对流",首页!$B$11*M452/H452,0)</f>
        <v>0</v>
      </c>
      <c r="O452" s="7">
        <f>IF(首页!$B$13="自然对流",IF(首页!$B$14="立式圆筒",(0.825+0.3063*I452^(1/6))^2+0.87*(M452/B452),(0.752+0.303*I452^(1/6))^2),0.3+SQRT((0.592*N452^0.5)^2+(0.0262*N452^0.8/(1-0.5/N452^0.1))^2))</f>
        <v>10066.568449680462</v>
      </c>
      <c r="P452" s="6">
        <f t="shared" si="65"/>
        <v>2.9510194925512497E-2</v>
      </c>
      <c r="Q452" s="6">
        <f t="shared" si="66"/>
        <v>5.3816376300921123</v>
      </c>
      <c r="R452" s="6">
        <f t="shared" si="67"/>
        <v>13.150371430594069</v>
      </c>
      <c r="S452" s="6">
        <f>IF($Y$2="按单位面积散热损失 qp",B452*LN(B452/首页!$B$4),LN(B452/首页!$B$4))</f>
        <v>2.1640447715482498</v>
      </c>
      <c r="T452" s="6">
        <f>IF($Y$2="按单位面积散热损失 qp",2*PI()*首页!$B$8*((E452-D452)/$Y$3-1/R452),2*PI()*首页!$B$8*((E452-D452)/$Y$4-1/(PI()*B452*R452)))</f>
        <v>4.0798942408397577E-2</v>
      </c>
      <c r="U452" t="str">
        <f t="shared" si="68"/>
        <v>按单位面积散热损失 qp</v>
      </c>
      <c r="V452" s="6">
        <f t="shared" si="69"/>
        <v>2.1232458291398522</v>
      </c>
    </row>
    <row r="453" spans="1:22" x14ac:dyDescent="0.15">
      <c r="A453">
        <v>448</v>
      </c>
      <c r="B453" s="6">
        <f>首页!$B$4+2*A453/1000</f>
        <v>1.016</v>
      </c>
      <c r="C453" s="6">
        <f>首页!$B$7+273.15</f>
        <v>388.15</v>
      </c>
      <c r="D453" s="6">
        <f>首页!$B$6+273.15</f>
        <v>293.14999999999998</v>
      </c>
      <c r="E453" s="6">
        <f>首页!$B$5+273.15</f>
        <v>1373.15</v>
      </c>
      <c r="F453" s="6">
        <f t="shared" ref="F453:F516" si="70">C453-D453</f>
        <v>95</v>
      </c>
      <c r="G453" s="6">
        <f t="shared" ref="G453:G516" si="71">(C453+D453)/2</f>
        <v>340.65</v>
      </c>
      <c r="H453" s="6">
        <f t="shared" ref="H453:H516" si="72">0.0000000042113*G453^2.5/(112+G453)</f>
        <v>1.9926207055139041E-5</v>
      </c>
      <c r="I453" s="7">
        <f t="shared" ref="I453:I516" si="73">9.81*M453^3*F453/(H453^2*G453)</f>
        <v>1158916576932337.8</v>
      </c>
      <c r="J453" s="6">
        <f t="shared" ref="J453:J516" si="74">348.35/G453</f>
        <v>1.0226038455893147</v>
      </c>
      <c r="K453" s="7">
        <f>J453*H453*首页!$B$12/P453</f>
        <v>0.69532757496605813</v>
      </c>
      <c r="L453" s="6">
        <f>首页!$B$9*0.0000000567*((C453^4-D453^4)/(C453-D453))</f>
        <v>7.7687338005019564</v>
      </c>
      <c r="M453" s="6">
        <f>IF(首页!$B$13="自然对流",IF(首页!$B$14="立式圆筒",首页!$B$10,PI()*B453/2),PI()*B453/2)</f>
        <v>55.2</v>
      </c>
      <c r="N453" s="7">
        <f>IF(首页!$B$13="强制对流",首页!$B$11*M453/H453,0)</f>
        <v>0</v>
      </c>
      <c r="O453" s="7">
        <f>IF(首页!$B$13="自然对流",IF(首页!$B$14="立式圆筒",(0.825+0.3063*I453^(1/6))^2+0.87*(M453/B453),(0.752+0.303*I453^(1/6))^2),0.3+SQRT((0.592*N453^0.5)^2+(0.0262*N453^0.8/(1-0.5/N453^0.1))^2))</f>
        <v>10066.475219470332</v>
      </c>
      <c r="P453" s="6">
        <f t="shared" ref="P453:P516" si="75">0.0243+0.000078421*(G453-273)-0.000000020755*(G453-273)^2</f>
        <v>2.9510194925512497E-2</v>
      </c>
      <c r="Q453" s="6">
        <f t="shared" ref="Q453:Q516" si="76">O453*P453/M453</f>
        <v>5.3815877887574404</v>
      </c>
      <c r="R453" s="6">
        <f t="shared" ref="R453:R516" si="77">L453+Q453</f>
        <v>13.150321589259397</v>
      </c>
      <c r="S453" s="6">
        <f>IF($Y$2="按单位面积散热损失 qp",B453*LN(B453/首页!$B$4),LN(B453/首页!$B$4))</f>
        <v>2.1703150755220832</v>
      </c>
      <c r="T453" s="6">
        <f>IF($Y$2="按单位面积散热损失 qp",2*PI()*首页!$B$8*((E453-D453)/$Y$3-1/R453),2*PI()*首页!$B$8*((E453-D453)/$Y$4-1/(PI()*B453*R453)))</f>
        <v>4.0798860917771865E-2</v>
      </c>
      <c r="U453" t="str">
        <f t="shared" ref="U453:U516" si="78">IF($Y$2="按单位面积散热损失 qp","按单位面积散热损失 qp","按单位长度散热损失 ql")</f>
        <v>按单位面积散热损失 qp</v>
      </c>
      <c r="V453" s="6">
        <f t="shared" ref="V453:V516" si="79">ABS(S453-T453)</f>
        <v>2.1295162146043114</v>
      </c>
    </row>
    <row r="454" spans="1:22" x14ac:dyDescent="0.15">
      <c r="A454">
        <v>449</v>
      </c>
      <c r="B454" s="6">
        <f>首页!$B$4+2*A454/1000</f>
        <v>1.018</v>
      </c>
      <c r="C454" s="6">
        <f>首页!$B$7+273.15</f>
        <v>388.15</v>
      </c>
      <c r="D454" s="6">
        <f>首页!$B$6+273.15</f>
        <v>293.14999999999998</v>
      </c>
      <c r="E454" s="6">
        <f>首页!$B$5+273.15</f>
        <v>1373.15</v>
      </c>
      <c r="F454" s="6">
        <f t="shared" si="70"/>
        <v>95</v>
      </c>
      <c r="G454" s="6">
        <f t="shared" si="71"/>
        <v>340.65</v>
      </c>
      <c r="H454" s="6">
        <f t="shared" si="72"/>
        <v>1.9926207055139041E-5</v>
      </c>
      <c r="I454" s="7">
        <f t="shared" si="73"/>
        <v>1158916576932337.8</v>
      </c>
      <c r="J454" s="6">
        <f t="shared" si="74"/>
        <v>1.0226038455893147</v>
      </c>
      <c r="K454" s="7">
        <f>J454*H454*首页!$B$12/P454</f>
        <v>0.69532757496605813</v>
      </c>
      <c r="L454" s="6">
        <f>首页!$B$9*0.0000000567*((C454^4-D454^4)/(C454-D454))</f>
        <v>7.7687338005019564</v>
      </c>
      <c r="M454" s="6">
        <f>IF(首页!$B$13="自然对流",IF(首页!$B$14="立式圆筒",首页!$B$10,PI()*B454/2),PI()*B454/2)</f>
        <v>55.2</v>
      </c>
      <c r="N454" s="7">
        <f>IF(首页!$B$13="强制对流",首页!$B$11*M454/H454,0)</f>
        <v>0</v>
      </c>
      <c r="O454" s="7">
        <f>IF(首页!$B$13="自然对流",IF(首页!$B$14="立式圆筒",(0.825+0.3063*I454^(1/6))^2+0.87*(M454/B454),(0.752+0.303*I454^(1/6))^2),0.3+SQRT((0.592*N454^0.5)^2+(0.0262*N454^0.8/(1-0.5/N454^0.1))^2))</f>
        <v>10066.382355587159</v>
      </c>
      <c r="P454" s="6">
        <f t="shared" si="75"/>
        <v>2.9510194925512497E-2</v>
      </c>
      <c r="Q454" s="6">
        <f t="shared" si="76"/>
        <v>5.3815381432629836</v>
      </c>
      <c r="R454" s="6">
        <f t="shared" si="77"/>
        <v>13.15027194376494</v>
      </c>
      <c r="S454" s="6">
        <f>IF($Y$2="按单位面积散热损失 qp",B454*LN(B454/首页!$B$4),LN(B454/首页!$B$4))</f>
        <v>2.1765893165063339</v>
      </c>
      <c r="T454" s="6">
        <f>IF($Y$2="按单位面积散热损失 qp",2*PI()*首页!$B$8*((E454-D454)/$Y$3-1/R454),2*PI()*首页!$B$8*((E454-D454)/$Y$4-1/(PI()*B454*R454)))</f>
        <v>4.079877974673099E-2</v>
      </c>
      <c r="U454" t="str">
        <f t="shared" si="78"/>
        <v>按单位面积散热损失 qp</v>
      </c>
      <c r="V454" s="6">
        <f t="shared" si="79"/>
        <v>2.1357905367596031</v>
      </c>
    </row>
    <row r="455" spans="1:22" x14ac:dyDescent="0.15">
      <c r="A455">
        <v>450</v>
      </c>
      <c r="B455" s="6">
        <f>首页!$B$4+2*A455/1000</f>
        <v>1.02</v>
      </c>
      <c r="C455" s="6">
        <f>首页!$B$7+273.15</f>
        <v>388.15</v>
      </c>
      <c r="D455" s="6">
        <f>首页!$B$6+273.15</f>
        <v>293.14999999999998</v>
      </c>
      <c r="E455" s="6">
        <f>首页!$B$5+273.15</f>
        <v>1373.15</v>
      </c>
      <c r="F455" s="6">
        <f t="shared" si="70"/>
        <v>95</v>
      </c>
      <c r="G455" s="6">
        <f t="shared" si="71"/>
        <v>340.65</v>
      </c>
      <c r="H455" s="6">
        <f t="shared" si="72"/>
        <v>1.9926207055139041E-5</v>
      </c>
      <c r="I455" s="7">
        <f t="shared" si="73"/>
        <v>1158916576932337.8</v>
      </c>
      <c r="J455" s="6">
        <f t="shared" si="74"/>
        <v>1.0226038455893147</v>
      </c>
      <c r="K455" s="7">
        <f>J455*H455*首页!$B$12/P455</f>
        <v>0.69532757496605813</v>
      </c>
      <c r="L455" s="6">
        <f>首页!$B$9*0.0000000567*((C455^4-D455^4)/(C455-D455))</f>
        <v>7.7687338005019564</v>
      </c>
      <c r="M455" s="6">
        <f>IF(首页!$B$13="自然对流",IF(首页!$B$14="立式圆筒",首页!$B$10,PI()*B455/2),PI()*B455/2)</f>
        <v>55.2</v>
      </c>
      <c r="N455" s="7">
        <f>IF(首页!$B$13="强制对流",首页!$B$11*M455/H455,0)</f>
        <v>0</v>
      </c>
      <c r="O455" s="7">
        <f>IF(首页!$B$13="自然对流",IF(首页!$B$14="立式圆筒",(0.825+0.3063*I455^(1/6))^2+0.87*(M455/B455),(0.752+0.303*I455^(1/6))^2),0.3+SQRT((0.592*N455^0.5)^2+(0.0262*N455^0.8/(1-0.5/N455^0.1))^2))</f>
        <v>10066.289855876077</v>
      </c>
      <c r="P455" s="6">
        <f t="shared" si="75"/>
        <v>2.9510194925512497E-2</v>
      </c>
      <c r="Q455" s="6">
        <f t="shared" si="76"/>
        <v>5.3814886924567418</v>
      </c>
      <c r="R455" s="6">
        <f t="shared" si="77"/>
        <v>13.150222492958697</v>
      </c>
      <c r="S455" s="6">
        <f>IF($Y$2="按单位面积散热损失 qp",B455*LN(B455/首页!$B$4),LN(B455/首页!$B$4))</f>
        <v>2.1828674867661961</v>
      </c>
      <c r="T455" s="6">
        <f>IF($Y$2="按单位面积散热损失 qp",2*PI()*首页!$B$8*((E455-D455)/$Y$3-1/R455),2*PI()*首页!$B$8*((E455-D455)/$Y$4-1/(PI()*B455*R455)))</f>
        <v>4.0798698893398634E-2</v>
      </c>
      <c r="U455" t="str">
        <f t="shared" si="78"/>
        <v>按单位面积散热损失 qp</v>
      </c>
      <c r="V455" s="6">
        <f t="shared" si="79"/>
        <v>2.1420687878727973</v>
      </c>
    </row>
    <row r="456" spans="1:22" x14ac:dyDescent="0.15">
      <c r="A456">
        <v>451</v>
      </c>
      <c r="B456" s="6">
        <f>首页!$B$4+2*A456/1000</f>
        <v>1.022</v>
      </c>
      <c r="C456" s="6">
        <f>首页!$B$7+273.15</f>
        <v>388.15</v>
      </c>
      <c r="D456" s="6">
        <f>首页!$B$6+273.15</f>
        <v>293.14999999999998</v>
      </c>
      <c r="E456" s="6">
        <f>首页!$B$5+273.15</f>
        <v>1373.15</v>
      </c>
      <c r="F456" s="6">
        <f t="shared" si="70"/>
        <v>95</v>
      </c>
      <c r="G456" s="6">
        <f t="shared" si="71"/>
        <v>340.65</v>
      </c>
      <c r="H456" s="6">
        <f t="shared" si="72"/>
        <v>1.9926207055139041E-5</v>
      </c>
      <c r="I456" s="7">
        <f t="shared" si="73"/>
        <v>1158916576932337.8</v>
      </c>
      <c r="J456" s="6">
        <f t="shared" si="74"/>
        <v>1.0226038455893147</v>
      </c>
      <c r="K456" s="7">
        <f>J456*H456*首页!$B$12/P456</f>
        <v>0.69532757496605813</v>
      </c>
      <c r="L456" s="6">
        <f>首页!$B$9*0.0000000567*((C456^4-D456^4)/(C456-D456))</f>
        <v>7.7687338005019564</v>
      </c>
      <c r="M456" s="6">
        <f>IF(首页!$B$13="自然对流",IF(首页!$B$14="立式圆筒",首页!$B$10,PI()*B456/2),PI()*B456/2)</f>
        <v>55.2</v>
      </c>
      <c r="N456" s="7">
        <f>IF(首页!$B$13="强制对流",首页!$B$11*M456/H456,0)</f>
        <v>0</v>
      </c>
      <c r="O456" s="7">
        <f>IF(首页!$B$13="自然对流",IF(首页!$B$14="立式圆筒",(0.825+0.3063*I456^(1/6))^2+0.87*(M456/B456),(0.752+0.303*I456^(1/6))^2),0.3+SQRT((0.592*N456^0.5)^2+(0.0262*N456^0.8/(1-0.5/N456^0.1))^2))</f>
        <v>10066.197718199088</v>
      </c>
      <c r="P456" s="6">
        <f t="shared" si="75"/>
        <v>2.9510194925512497E-2</v>
      </c>
      <c r="Q456" s="6">
        <f t="shared" si="76"/>
        <v>5.3814394351957286</v>
      </c>
      <c r="R456" s="6">
        <f t="shared" si="77"/>
        <v>13.150173235697686</v>
      </c>
      <c r="S456" s="6">
        <f>IF($Y$2="按单位面积散热损失 qp",B456*LN(B456/首页!$B$4),LN(B456/首页!$B$4))</f>
        <v>2.1891495785971995</v>
      </c>
      <c r="T456" s="6">
        <f>IF($Y$2="按单位面积散热损失 qp",2*PI()*首页!$B$8*((E456-D456)/$Y$3-1/R456),2*PI()*首页!$B$8*((E456-D456)/$Y$4-1/(PI()*B456*R456)))</f>
        <v>4.0798618355913148E-2</v>
      </c>
      <c r="U456" t="str">
        <f t="shared" si="78"/>
        <v>按单位面积散热损失 qp</v>
      </c>
      <c r="V456" s="6">
        <f t="shared" si="79"/>
        <v>2.1483509602412862</v>
      </c>
    </row>
    <row r="457" spans="1:22" x14ac:dyDescent="0.15">
      <c r="A457">
        <v>452</v>
      </c>
      <c r="B457" s="6">
        <f>首页!$B$4+2*A457/1000</f>
        <v>1.024</v>
      </c>
      <c r="C457" s="6">
        <f>首页!$B$7+273.15</f>
        <v>388.15</v>
      </c>
      <c r="D457" s="6">
        <f>首页!$B$6+273.15</f>
        <v>293.14999999999998</v>
      </c>
      <c r="E457" s="6">
        <f>首页!$B$5+273.15</f>
        <v>1373.15</v>
      </c>
      <c r="F457" s="6">
        <f t="shared" si="70"/>
        <v>95</v>
      </c>
      <c r="G457" s="6">
        <f t="shared" si="71"/>
        <v>340.65</v>
      </c>
      <c r="H457" s="6">
        <f t="shared" si="72"/>
        <v>1.9926207055139041E-5</v>
      </c>
      <c r="I457" s="7">
        <f t="shared" si="73"/>
        <v>1158916576932337.8</v>
      </c>
      <c r="J457" s="6">
        <f t="shared" si="74"/>
        <v>1.0226038455893147</v>
      </c>
      <c r="K457" s="7">
        <f>J457*H457*首页!$B$12/P457</f>
        <v>0.69532757496605813</v>
      </c>
      <c r="L457" s="6">
        <f>首页!$B$9*0.0000000567*((C457^4-D457^4)/(C457-D457))</f>
        <v>7.7687338005019564</v>
      </c>
      <c r="M457" s="6">
        <f>IF(首页!$B$13="自然对流",IF(首页!$B$14="立式圆筒",首页!$B$10,PI()*B457/2),PI()*B457/2)</f>
        <v>55.2</v>
      </c>
      <c r="N457" s="7">
        <f>IF(首页!$B$13="强制对流",首页!$B$11*M457/H457,0)</f>
        <v>0</v>
      </c>
      <c r="O457" s="7">
        <f>IF(首页!$B$13="自然对流",IF(首页!$B$14="立式圆筒",(0.825+0.3063*I457^(1/6))^2+0.87*(M457/B457),(0.752+0.303*I457^(1/6))^2),0.3+SQRT((0.592*N457^0.5)^2+(0.0262*N457^0.8/(1-0.5/N457^0.1))^2))</f>
        <v>10066.1059404349</v>
      </c>
      <c r="P457" s="6">
        <f t="shared" si="75"/>
        <v>2.9510194925512497E-2</v>
      </c>
      <c r="Q457" s="6">
        <f t="shared" si="76"/>
        <v>5.3813903703458905</v>
      </c>
      <c r="R457" s="6">
        <f t="shared" si="77"/>
        <v>13.150124170847846</v>
      </c>
      <c r="S457" s="6">
        <f>IF($Y$2="按单位面积散热损失 qp",B457*LN(B457/首页!$B$4),LN(B457/首页!$B$4))</f>
        <v>2.1954355843250251</v>
      </c>
      <c r="T457" s="6">
        <f>IF($Y$2="按单位面积散热损失 qp",2*PI()*首页!$B$8*((E457-D457)/$Y$3-1/R457),2*PI()*首页!$B$8*((E457-D457)/$Y$4-1/(PI()*B457*R457)))</f>
        <v>4.0798538132427398E-2</v>
      </c>
      <c r="U457" t="str">
        <f t="shared" si="78"/>
        <v>按单位面积散热损失 qp</v>
      </c>
      <c r="V457" s="6">
        <f t="shared" si="79"/>
        <v>2.1546370461925974</v>
      </c>
    </row>
    <row r="458" spans="1:22" x14ac:dyDescent="0.15">
      <c r="A458">
        <v>453</v>
      </c>
      <c r="B458" s="6">
        <f>首页!$B$4+2*A458/1000</f>
        <v>1.026</v>
      </c>
      <c r="C458" s="6">
        <f>首页!$B$7+273.15</f>
        <v>388.15</v>
      </c>
      <c r="D458" s="6">
        <f>首页!$B$6+273.15</f>
        <v>293.14999999999998</v>
      </c>
      <c r="E458" s="6">
        <f>首页!$B$5+273.15</f>
        <v>1373.15</v>
      </c>
      <c r="F458" s="6">
        <f t="shared" si="70"/>
        <v>95</v>
      </c>
      <c r="G458" s="6">
        <f t="shared" si="71"/>
        <v>340.65</v>
      </c>
      <c r="H458" s="6">
        <f t="shared" si="72"/>
        <v>1.9926207055139041E-5</v>
      </c>
      <c r="I458" s="7">
        <f t="shared" si="73"/>
        <v>1158916576932337.8</v>
      </c>
      <c r="J458" s="6">
        <f t="shared" si="74"/>
        <v>1.0226038455893147</v>
      </c>
      <c r="K458" s="7">
        <f>J458*H458*首页!$B$12/P458</f>
        <v>0.69532757496605813</v>
      </c>
      <c r="L458" s="6">
        <f>首页!$B$9*0.0000000567*((C458^4-D458^4)/(C458-D458))</f>
        <v>7.7687338005019564</v>
      </c>
      <c r="M458" s="6">
        <f>IF(首页!$B$13="自然对流",IF(首页!$B$14="立式圆筒",首页!$B$10,PI()*B458/2),PI()*B458/2)</f>
        <v>55.2</v>
      </c>
      <c r="N458" s="7">
        <f>IF(首页!$B$13="强制对流",首页!$B$11*M458/H458,0)</f>
        <v>0</v>
      </c>
      <c r="O458" s="7">
        <f>IF(首页!$B$13="自然对流",IF(首页!$B$14="立式圆筒",(0.825+0.3063*I458^(1/6))^2+0.87*(M458/B458),(0.752+0.303*I458^(1/6))^2),0.3+SQRT((0.592*N458^0.5)^2+(0.0262*N458^0.8/(1-0.5/N458^0.1))^2))</f>
        <v>10066.014520478759</v>
      </c>
      <c r="P458" s="6">
        <f t="shared" si="75"/>
        <v>2.9510194925512497E-2</v>
      </c>
      <c r="Q458" s="6">
        <f t="shared" si="76"/>
        <v>5.3813414967820181</v>
      </c>
      <c r="R458" s="6">
        <f t="shared" si="77"/>
        <v>13.150075297283975</v>
      </c>
      <c r="S458" s="6">
        <f>IF($Y$2="按单位面积散热损失 qp",B458*LN(B458/首页!$B$4),LN(B458/首页!$B$4))</f>
        <v>2.2017254963053343</v>
      </c>
      <c r="T458" s="6">
        <f>IF($Y$2="按单位面积散热损失 qp",2*PI()*首页!$B$8*((E458-D458)/$Y$3-1/R458),2*PI()*首页!$B$8*((E458-D458)/$Y$4-1/(PI()*B458*R458)))</f>
        <v>4.079845822110862E-2</v>
      </c>
      <c r="U458" t="str">
        <f t="shared" si="78"/>
        <v>按单位面积散热损失 qp</v>
      </c>
      <c r="V458" s="6">
        <f t="shared" si="79"/>
        <v>2.1609270380842256</v>
      </c>
    </row>
    <row r="459" spans="1:22" x14ac:dyDescent="0.15">
      <c r="A459">
        <v>454</v>
      </c>
      <c r="B459" s="6">
        <f>首页!$B$4+2*A459/1000</f>
        <v>1.028</v>
      </c>
      <c r="C459" s="6">
        <f>首页!$B$7+273.15</f>
        <v>388.15</v>
      </c>
      <c r="D459" s="6">
        <f>首页!$B$6+273.15</f>
        <v>293.14999999999998</v>
      </c>
      <c r="E459" s="6">
        <f>首页!$B$5+273.15</f>
        <v>1373.15</v>
      </c>
      <c r="F459" s="6">
        <f t="shared" si="70"/>
        <v>95</v>
      </c>
      <c r="G459" s="6">
        <f t="shared" si="71"/>
        <v>340.65</v>
      </c>
      <c r="H459" s="6">
        <f t="shared" si="72"/>
        <v>1.9926207055139041E-5</v>
      </c>
      <c r="I459" s="7">
        <f t="shared" si="73"/>
        <v>1158916576932337.8</v>
      </c>
      <c r="J459" s="6">
        <f t="shared" si="74"/>
        <v>1.0226038455893147</v>
      </c>
      <c r="K459" s="7">
        <f>J459*H459*首页!$B$12/P459</f>
        <v>0.69532757496605813</v>
      </c>
      <c r="L459" s="6">
        <f>首页!$B$9*0.0000000567*((C459^4-D459^4)/(C459-D459))</f>
        <v>7.7687338005019564</v>
      </c>
      <c r="M459" s="6">
        <f>IF(首页!$B$13="自然对流",IF(首页!$B$14="立式圆筒",首页!$B$10,PI()*B459/2),PI()*B459/2)</f>
        <v>55.2</v>
      </c>
      <c r="N459" s="7">
        <f>IF(首页!$B$13="强制对流",首页!$B$11*M459/H459,0)</f>
        <v>0</v>
      </c>
      <c r="O459" s="7">
        <f>IF(首页!$B$13="自然对流",IF(首页!$B$14="立式圆筒",(0.825+0.3063*I459^(1/6))^2+0.87*(M459/B459),(0.752+0.303*I459^(1/6))^2),0.3+SQRT((0.592*N459^0.5)^2+(0.0262*N459^0.8/(1-0.5/N459^0.1))^2))</f>
        <v>10065.923456242293</v>
      </c>
      <c r="P459" s="6">
        <f t="shared" si="75"/>
        <v>2.9510194925512497E-2</v>
      </c>
      <c r="Q459" s="6">
        <f t="shared" si="76"/>
        <v>5.3812928133876552</v>
      </c>
      <c r="R459" s="6">
        <f t="shared" si="77"/>
        <v>13.150026613889612</v>
      </c>
      <c r="S459" s="6">
        <f>IF($Y$2="按单位面积散热损失 qp",B459*LN(B459/首页!$B$4),LN(B459/首页!$B$4))</f>
        <v>2.2080193069235898</v>
      </c>
      <c r="T459" s="6">
        <f>IF($Y$2="按单位面积散热损失 qp",2*PI()*首页!$B$8*((E459-D459)/$Y$3-1/R459),2*PI()*首页!$B$8*((E459-D459)/$Y$4-1/(PI()*B459*R459)))</f>
        <v>4.0798378620138298E-2</v>
      </c>
      <c r="U459" t="str">
        <f t="shared" si="78"/>
        <v>按单位面积散热损失 qp</v>
      </c>
      <c r="V459" s="6">
        <f t="shared" si="79"/>
        <v>2.1672209283034514</v>
      </c>
    </row>
    <row r="460" spans="1:22" x14ac:dyDescent="0.15">
      <c r="A460">
        <v>455</v>
      </c>
      <c r="B460" s="6">
        <f>首页!$B$4+2*A460/1000</f>
        <v>1.03</v>
      </c>
      <c r="C460" s="6">
        <f>首页!$B$7+273.15</f>
        <v>388.15</v>
      </c>
      <c r="D460" s="6">
        <f>首页!$B$6+273.15</f>
        <v>293.14999999999998</v>
      </c>
      <c r="E460" s="6">
        <f>首页!$B$5+273.15</f>
        <v>1373.15</v>
      </c>
      <c r="F460" s="6">
        <f t="shared" si="70"/>
        <v>95</v>
      </c>
      <c r="G460" s="6">
        <f t="shared" si="71"/>
        <v>340.65</v>
      </c>
      <c r="H460" s="6">
        <f t="shared" si="72"/>
        <v>1.9926207055139041E-5</v>
      </c>
      <c r="I460" s="7">
        <f t="shared" si="73"/>
        <v>1158916576932337.8</v>
      </c>
      <c r="J460" s="6">
        <f t="shared" si="74"/>
        <v>1.0226038455893147</v>
      </c>
      <c r="K460" s="7">
        <f>J460*H460*首页!$B$12/P460</f>
        <v>0.69532757496605813</v>
      </c>
      <c r="L460" s="6">
        <f>首页!$B$9*0.0000000567*((C460^4-D460^4)/(C460-D460))</f>
        <v>7.7687338005019564</v>
      </c>
      <c r="M460" s="6">
        <f>IF(首页!$B$13="自然对流",IF(首页!$B$14="立式圆筒",首页!$B$10,PI()*B460/2),PI()*B460/2)</f>
        <v>55.2</v>
      </c>
      <c r="N460" s="7">
        <f>IF(首页!$B$13="强制对流",首页!$B$11*M460/H460,0)</f>
        <v>0</v>
      </c>
      <c r="O460" s="7">
        <f>IF(首页!$B$13="自然对流",IF(首页!$B$14="立式圆筒",(0.825+0.3063*I460^(1/6))^2+0.87*(M460/B460),(0.752+0.303*I460^(1/6))^2),0.3+SQRT((0.592*N460^0.5)^2+(0.0262*N460^0.8/(1-0.5/N460^0.1))^2))</f>
        <v>10065.832745653346</v>
      </c>
      <c r="P460" s="6">
        <f t="shared" si="75"/>
        <v>2.9510194925512497E-2</v>
      </c>
      <c r="Q460" s="6">
        <f t="shared" si="76"/>
        <v>5.3812443190550159</v>
      </c>
      <c r="R460" s="6">
        <f t="shared" si="77"/>
        <v>13.149978119556973</v>
      </c>
      <c r="S460" s="6">
        <f>IF($Y$2="按单位面积散热损失 qp",B460*LN(B460/首页!$B$4),LN(B460/首页!$B$4))</f>
        <v>2.2143170085948847</v>
      </c>
      <c r="T460" s="6">
        <f>IF($Y$2="按单位面积散热损失 qp",2*PI()*首页!$B$8*((E460-D460)/$Y$3-1/R460),2*PI()*首页!$B$8*((E460-D460)/$Y$4-1/(PI()*B460*R460)))</f>
        <v>4.0798299327711986E-2</v>
      </c>
      <c r="U460" t="str">
        <f t="shared" si="78"/>
        <v>按单位面积散热损失 qp</v>
      </c>
      <c r="V460" s="6">
        <f t="shared" si="79"/>
        <v>2.1735187092671726</v>
      </c>
    </row>
    <row r="461" spans="1:22" x14ac:dyDescent="0.15">
      <c r="A461">
        <v>456</v>
      </c>
      <c r="B461" s="6">
        <f>首页!$B$4+2*A461/1000</f>
        <v>1.032</v>
      </c>
      <c r="C461" s="6">
        <f>首页!$B$7+273.15</f>
        <v>388.15</v>
      </c>
      <c r="D461" s="6">
        <f>首页!$B$6+273.15</f>
        <v>293.14999999999998</v>
      </c>
      <c r="E461" s="6">
        <f>首页!$B$5+273.15</f>
        <v>1373.15</v>
      </c>
      <c r="F461" s="6">
        <f t="shared" si="70"/>
        <v>95</v>
      </c>
      <c r="G461" s="6">
        <f t="shared" si="71"/>
        <v>340.65</v>
      </c>
      <c r="H461" s="6">
        <f t="shared" si="72"/>
        <v>1.9926207055139041E-5</v>
      </c>
      <c r="I461" s="7">
        <f t="shared" si="73"/>
        <v>1158916576932337.8</v>
      </c>
      <c r="J461" s="6">
        <f t="shared" si="74"/>
        <v>1.0226038455893147</v>
      </c>
      <c r="K461" s="7">
        <f>J461*H461*首页!$B$12/P461</f>
        <v>0.69532757496605813</v>
      </c>
      <c r="L461" s="6">
        <f>首页!$B$9*0.0000000567*((C461^4-D461^4)/(C461-D461))</f>
        <v>7.7687338005019564</v>
      </c>
      <c r="M461" s="6">
        <f>IF(首页!$B$13="自然对流",IF(首页!$B$14="立式圆筒",首页!$B$10,PI()*B461/2),PI()*B461/2)</f>
        <v>55.2</v>
      </c>
      <c r="N461" s="7">
        <f>IF(首页!$B$13="强制对流",首页!$B$11*M461/H461,0)</f>
        <v>0</v>
      </c>
      <c r="O461" s="7">
        <f>IF(首页!$B$13="自然对流",IF(首页!$B$14="立式圆筒",(0.825+0.3063*I461^(1/6))^2+0.87*(M461/B461),(0.752+0.303*I461^(1/6))^2),0.3+SQRT((0.592*N461^0.5)^2+(0.0262*N461^0.8/(1-0.5/N461^0.1))^2))</f>
        <v>10065.742386655829</v>
      </c>
      <c r="P461" s="6">
        <f t="shared" si="75"/>
        <v>2.9510194925512497E-2</v>
      </c>
      <c r="Q461" s="6">
        <f t="shared" si="76"/>
        <v>5.3811960126849074</v>
      </c>
      <c r="R461" s="6">
        <f t="shared" si="77"/>
        <v>13.149929813186864</v>
      </c>
      <c r="S461" s="6">
        <f>IF($Y$2="按单位面积散热损失 qp",B461*LN(B461/首页!$B$4),LN(B461/首页!$B$4))</f>
        <v>2.2206185937637652</v>
      </c>
      <c r="T461" s="6">
        <f>IF($Y$2="按单位面积散热损失 qp",2*PI()*首页!$B$8*((E461-D461)/$Y$3-1/R461),2*PI()*首页!$B$8*((E461-D461)/$Y$4-1/(PI()*B461*R461)))</f>
        <v>4.0798220342039226E-2</v>
      </c>
      <c r="U461" t="str">
        <f t="shared" si="78"/>
        <v>按单位面积散热损失 qp</v>
      </c>
      <c r="V461" s="6">
        <f t="shared" si="79"/>
        <v>2.1798203734217259</v>
      </c>
    </row>
    <row r="462" spans="1:22" x14ac:dyDescent="0.15">
      <c r="A462">
        <v>457</v>
      </c>
      <c r="B462" s="6">
        <f>首页!$B$4+2*A462/1000</f>
        <v>1.034</v>
      </c>
      <c r="C462" s="6">
        <f>首页!$B$7+273.15</f>
        <v>388.15</v>
      </c>
      <c r="D462" s="6">
        <f>首页!$B$6+273.15</f>
        <v>293.14999999999998</v>
      </c>
      <c r="E462" s="6">
        <f>首页!$B$5+273.15</f>
        <v>1373.15</v>
      </c>
      <c r="F462" s="6">
        <f t="shared" si="70"/>
        <v>95</v>
      </c>
      <c r="G462" s="6">
        <f t="shared" si="71"/>
        <v>340.65</v>
      </c>
      <c r="H462" s="6">
        <f t="shared" si="72"/>
        <v>1.9926207055139041E-5</v>
      </c>
      <c r="I462" s="7">
        <f t="shared" si="73"/>
        <v>1158916576932337.8</v>
      </c>
      <c r="J462" s="6">
        <f t="shared" si="74"/>
        <v>1.0226038455893147</v>
      </c>
      <c r="K462" s="7">
        <f>J462*H462*首页!$B$12/P462</f>
        <v>0.69532757496605813</v>
      </c>
      <c r="L462" s="6">
        <f>首页!$B$9*0.0000000567*((C462^4-D462^4)/(C462-D462))</f>
        <v>7.7687338005019564</v>
      </c>
      <c r="M462" s="6">
        <f>IF(首页!$B$13="自然对流",IF(首页!$B$14="立式圆筒",首页!$B$10,PI()*B462/2),PI()*B462/2)</f>
        <v>55.2</v>
      </c>
      <c r="N462" s="7">
        <f>IF(首页!$B$13="强制对流",首页!$B$11*M462/H462,0)</f>
        <v>0</v>
      </c>
      <c r="O462" s="7">
        <f>IF(首页!$B$13="自然对流",IF(首页!$B$14="立式圆筒",(0.825+0.3063*I462^(1/6))^2+0.87*(M462/B462),(0.752+0.303*I462^(1/6))^2),0.3+SQRT((0.592*N462^0.5)^2+(0.0262*N462^0.8/(1-0.5/N462^0.1))^2))</f>
        <v>10065.652377209561</v>
      </c>
      <c r="P462" s="6">
        <f t="shared" si="75"/>
        <v>2.9510194925512497E-2</v>
      </c>
      <c r="Q462" s="6">
        <f t="shared" si="76"/>
        <v>5.381147893186637</v>
      </c>
      <c r="R462" s="6">
        <f t="shared" si="77"/>
        <v>13.149881693688593</v>
      </c>
      <c r="S462" s="6">
        <f>IF($Y$2="按单位面积散热损失 qp",B462*LN(B462/首页!$B$4),LN(B462/首页!$B$4))</f>
        <v>2.2269240549040639</v>
      </c>
      <c r="T462" s="6">
        <f>IF($Y$2="按单位面积散热损失 qp",2*PI()*首页!$B$8*((E462-D462)/$Y$3-1/R462),2*PI()*首页!$B$8*((E462-D462)/$Y$4-1/(PI()*B462*R462)))</f>
        <v>4.0798141661343379E-2</v>
      </c>
      <c r="U462" t="str">
        <f t="shared" si="78"/>
        <v>按单位面积散热损失 qp</v>
      </c>
      <c r="V462" s="6">
        <f t="shared" si="79"/>
        <v>2.1861259132427207</v>
      </c>
    </row>
    <row r="463" spans="1:22" x14ac:dyDescent="0.15">
      <c r="A463">
        <v>458</v>
      </c>
      <c r="B463" s="6">
        <f>首页!$B$4+2*A463/1000</f>
        <v>1.036</v>
      </c>
      <c r="C463" s="6">
        <f>首页!$B$7+273.15</f>
        <v>388.15</v>
      </c>
      <c r="D463" s="6">
        <f>首页!$B$6+273.15</f>
        <v>293.14999999999998</v>
      </c>
      <c r="E463" s="6">
        <f>首页!$B$5+273.15</f>
        <v>1373.15</v>
      </c>
      <c r="F463" s="6">
        <f t="shared" si="70"/>
        <v>95</v>
      </c>
      <c r="G463" s="6">
        <f t="shared" si="71"/>
        <v>340.65</v>
      </c>
      <c r="H463" s="6">
        <f t="shared" si="72"/>
        <v>1.9926207055139041E-5</v>
      </c>
      <c r="I463" s="7">
        <f t="shared" si="73"/>
        <v>1158916576932337.8</v>
      </c>
      <c r="J463" s="6">
        <f t="shared" si="74"/>
        <v>1.0226038455893147</v>
      </c>
      <c r="K463" s="7">
        <f>J463*H463*首页!$B$12/P463</f>
        <v>0.69532757496605813</v>
      </c>
      <c r="L463" s="6">
        <f>首页!$B$9*0.0000000567*((C463^4-D463^4)/(C463-D463))</f>
        <v>7.7687338005019564</v>
      </c>
      <c r="M463" s="6">
        <f>IF(首页!$B$13="自然对流",IF(首页!$B$14="立式圆筒",首页!$B$10,PI()*B463/2),PI()*B463/2)</f>
        <v>55.2</v>
      </c>
      <c r="N463" s="7">
        <f>IF(首页!$B$13="强制对流",首页!$B$11*M463/H463,0)</f>
        <v>0</v>
      </c>
      <c r="O463" s="7">
        <f>IF(首页!$B$13="自然对流",IF(首页!$B$14="立式圆筒",(0.825+0.3063*I463^(1/6))^2+0.87*(M463/B463),(0.752+0.303*I463^(1/6))^2),0.3+SQRT((0.592*N463^0.5)^2+(0.0262*N463^0.8/(1-0.5/N463^0.1))^2))</f>
        <v>10065.562715290112</v>
      </c>
      <c r="P463" s="6">
        <f t="shared" si="75"/>
        <v>2.9510194925512497E-2</v>
      </c>
      <c r="Q463" s="6">
        <f t="shared" si="76"/>
        <v>5.3810999594779361</v>
      </c>
      <c r="R463" s="6">
        <f t="shared" si="77"/>
        <v>13.149833759979892</v>
      </c>
      <c r="S463" s="6">
        <f>IF($Y$2="按单位面积散热损失 qp",B463*LN(B463/首页!$B$4),LN(B463/首页!$B$4))</f>
        <v>2.2332333845187282</v>
      </c>
      <c r="T463" s="6">
        <f>IF($Y$2="按单位面积散热损失 qp",2*PI()*首页!$B$8*((E463-D463)/$Y$3-1/R463),2*PI()*首页!$B$8*((E463-D463)/$Y$4-1/(PI()*B463*R463)))</f>
        <v>4.0798063283861492E-2</v>
      </c>
      <c r="U463" t="str">
        <f t="shared" si="78"/>
        <v>按单位面积散热损失 qp</v>
      </c>
      <c r="V463" s="6">
        <f t="shared" si="79"/>
        <v>2.1924353212348668</v>
      </c>
    </row>
    <row r="464" spans="1:22" x14ac:dyDescent="0.15">
      <c r="A464">
        <v>459</v>
      </c>
      <c r="B464" s="6">
        <f>首页!$B$4+2*A464/1000</f>
        <v>1.038</v>
      </c>
      <c r="C464" s="6">
        <f>首页!$B$7+273.15</f>
        <v>388.15</v>
      </c>
      <c r="D464" s="6">
        <f>首页!$B$6+273.15</f>
        <v>293.14999999999998</v>
      </c>
      <c r="E464" s="6">
        <f>首页!$B$5+273.15</f>
        <v>1373.15</v>
      </c>
      <c r="F464" s="6">
        <f t="shared" si="70"/>
        <v>95</v>
      </c>
      <c r="G464" s="6">
        <f t="shared" si="71"/>
        <v>340.65</v>
      </c>
      <c r="H464" s="6">
        <f t="shared" si="72"/>
        <v>1.9926207055139041E-5</v>
      </c>
      <c r="I464" s="7">
        <f t="shared" si="73"/>
        <v>1158916576932337.8</v>
      </c>
      <c r="J464" s="6">
        <f t="shared" si="74"/>
        <v>1.0226038455893147</v>
      </c>
      <c r="K464" s="7">
        <f>J464*H464*首页!$B$12/P464</f>
        <v>0.69532757496605813</v>
      </c>
      <c r="L464" s="6">
        <f>首页!$B$9*0.0000000567*((C464^4-D464^4)/(C464-D464))</f>
        <v>7.7687338005019564</v>
      </c>
      <c r="M464" s="6">
        <f>IF(首页!$B$13="自然对流",IF(首页!$B$14="立式圆筒",首页!$B$10,PI()*B464/2),PI()*B464/2)</f>
        <v>55.2</v>
      </c>
      <c r="N464" s="7">
        <f>IF(首页!$B$13="强制对流",首页!$B$11*M464/H464,0)</f>
        <v>0</v>
      </c>
      <c r="O464" s="7">
        <f>IF(首页!$B$13="自然对流",IF(首页!$B$14="立式圆筒",(0.825+0.3063*I464^(1/6))^2+0.87*(M464/B464),(0.752+0.303*I464^(1/6))^2),0.3+SQRT((0.592*N464^0.5)^2+(0.0262*N464^0.8/(1-0.5/N464^0.1))^2))</f>
        <v>10065.473398888656</v>
      </c>
      <c r="P464" s="6">
        <f t="shared" si="75"/>
        <v>2.9510194925512497E-2</v>
      </c>
      <c r="Q464" s="6">
        <f t="shared" si="76"/>
        <v>5.3810522104848735</v>
      </c>
      <c r="R464" s="6">
        <f t="shared" si="77"/>
        <v>13.14978601098683</v>
      </c>
      <c r="S464" s="6">
        <f>IF($Y$2="按单位面积散热损失 qp",B464*LN(B464/首页!$B$4),LN(B464/首页!$B$4))</f>
        <v>2.2395465751396522</v>
      </c>
      <c r="T464" s="6">
        <f>IF($Y$2="按单位面积散热损失 qp",2*PI()*首页!$B$8*((E464-D464)/$Y$3-1/R464),2*PI()*首页!$B$8*((E464-D464)/$Y$4-1/(PI()*B464*R464)))</f>
        <v>4.0797985207844195E-2</v>
      </c>
      <c r="U464" t="str">
        <f t="shared" si="78"/>
        <v>按单位面积散热损失 qp</v>
      </c>
      <c r="V464" s="6">
        <f t="shared" si="79"/>
        <v>2.198748589931808</v>
      </c>
    </row>
    <row r="465" spans="1:22" x14ac:dyDescent="0.15">
      <c r="A465">
        <v>460</v>
      </c>
      <c r="B465" s="6">
        <f>首页!$B$4+2*A465/1000</f>
        <v>1.04</v>
      </c>
      <c r="C465" s="6">
        <f>首页!$B$7+273.15</f>
        <v>388.15</v>
      </c>
      <c r="D465" s="6">
        <f>首页!$B$6+273.15</f>
        <v>293.14999999999998</v>
      </c>
      <c r="E465" s="6">
        <f>首页!$B$5+273.15</f>
        <v>1373.15</v>
      </c>
      <c r="F465" s="6">
        <f t="shared" si="70"/>
        <v>95</v>
      </c>
      <c r="G465" s="6">
        <f t="shared" si="71"/>
        <v>340.65</v>
      </c>
      <c r="H465" s="6">
        <f t="shared" si="72"/>
        <v>1.9926207055139041E-5</v>
      </c>
      <c r="I465" s="7">
        <f t="shared" si="73"/>
        <v>1158916576932337.8</v>
      </c>
      <c r="J465" s="6">
        <f t="shared" si="74"/>
        <v>1.0226038455893147</v>
      </c>
      <c r="K465" s="7">
        <f>J465*H465*首页!$B$12/P465</f>
        <v>0.69532757496605813</v>
      </c>
      <c r="L465" s="6">
        <f>首页!$B$9*0.0000000567*((C465^4-D465^4)/(C465-D465))</f>
        <v>7.7687338005019564</v>
      </c>
      <c r="M465" s="6">
        <f>IF(首页!$B$13="自然对流",IF(首页!$B$14="立式圆筒",首页!$B$10,PI()*B465/2),PI()*B465/2)</f>
        <v>55.2</v>
      </c>
      <c r="N465" s="7">
        <f>IF(首页!$B$13="强制对流",首页!$B$11*M465/H465,0)</f>
        <v>0</v>
      </c>
      <c r="O465" s="7">
        <f>IF(首页!$B$13="自然对流",IF(首页!$B$14="立式圆筒",(0.825+0.3063*I465^(1/6))^2+0.87*(M465/B465),(0.752+0.303*I465^(1/6))^2),0.3+SQRT((0.592*N465^0.5)^2+(0.0262*N465^0.8/(1-0.5/N465^0.1))^2))</f>
        <v>10065.384426011822</v>
      </c>
      <c r="P465" s="6">
        <f t="shared" si="75"/>
        <v>2.9510194925512497E-2</v>
      </c>
      <c r="Q465" s="6">
        <f t="shared" si="76"/>
        <v>5.3810046451417852</v>
      </c>
      <c r="R465" s="6">
        <f t="shared" si="77"/>
        <v>13.149738445643742</v>
      </c>
      <c r="S465" s="6">
        <f>IF($Y$2="按单位面积散热损失 qp",B465*LN(B465/首页!$B$4),LN(B465/首页!$B$4))</f>
        <v>2.2458636193275074</v>
      </c>
      <c r="T465" s="6">
        <f>IF($Y$2="按单位面积散热损失 qp",2*PI()*首页!$B$8*((E465-D465)/$Y$3-1/R465),2*PI()*首页!$B$8*((E465-D465)/$Y$4-1/(PI()*B465*R465)))</f>
        <v>4.0797907431555522E-2</v>
      </c>
      <c r="U465" t="str">
        <f t="shared" si="78"/>
        <v>按单位面积散热损失 qp</v>
      </c>
      <c r="V465" s="6">
        <f t="shared" si="79"/>
        <v>2.2050657118959518</v>
      </c>
    </row>
    <row r="466" spans="1:22" x14ac:dyDescent="0.15">
      <c r="A466">
        <v>461</v>
      </c>
      <c r="B466" s="6">
        <f>首页!$B$4+2*A466/1000</f>
        <v>1.042</v>
      </c>
      <c r="C466" s="6">
        <f>首页!$B$7+273.15</f>
        <v>388.15</v>
      </c>
      <c r="D466" s="6">
        <f>首页!$B$6+273.15</f>
        <v>293.14999999999998</v>
      </c>
      <c r="E466" s="6">
        <f>首页!$B$5+273.15</f>
        <v>1373.15</v>
      </c>
      <c r="F466" s="6">
        <f t="shared" si="70"/>
        <v>95</v>
      </c>
      <c r="G466" s="6">
        <f t="shared" si="71"/>
        <v>340.65</v>
      </c>
      <c r="H466" s="6">
        <f t="shared" si="72"/>
        <v>1.9926207055139041E-5</v>
      </c>
      <c r="I466" s="7">
        <f t="shared" si="73"/>
        <v>1158916576932337.8</v>
      </c>
      <c r="J466" s="6">
        <f t="shared" si="74"/>
        <v>1.0226038455893147</v>
      </c>
      <c r="K466" s="7">
        <f>J466*H466*首页!$B$12/P466</f>
        <v>0.69532757496605813</v>
      </c>
      <c r="L466" s="6">
        <f>首页!$B$9*0.0000000567*((C466^4-D466^4)/(C466-D466))</f>
        <v>7.7687338005019564</v>
      </c>
      <c r="M466" s="6">
        <f>IF(首页!$B$13="自然对流",IF(首页!$B$14="立式圆筒",首页!$B$10,PI()*B466/2),PI()*B466/2)</f>
        <v>55.2</v>
      </c>
      <c r="N466" s="7">
        <f>IF(首页!$B$13="强制对流",首页!$B$11*M466/H466,0)</f>
        <v>0</v>
      </c>
      <c r="O466" s="7">
        <f>IF(首页!$B$13="自然对流",IF(首页!$B$14="立式圆筒",(0.825+0.3063*I466^(1/6))^2+0.87*(M466/B466),(0.752+0.303*I466^(1/6))^2),0.3+SQRT((0.592*N466^0.5)^2+(0.0262*N466^0.8/(1-0.5/N466^0.1))^2))</f>
        <v>10065.29579468154</v>
      </c>
      <c r="P466" s="6">
        <f t="shared" si="75"/>
        <v>2.9510194925512497E-2</v>
      </c>
      <c r="Q466" s="6">
        <f t="shared" si="76"/>
        <v>5.3809572623911848</v>
      </c>
      <c r="R466" s="6">
        <f t="shared" si="77"/>
        <v>13.14969106289314</v>
      </c>
      <c r="S466" s="6">
        <f>IF($Y$2="按单位面积散热损失 qp",B466*LN(B466/首页!$B$4),LN(B466/首页!$B$4))</f>
        <v>2.2521845096715793</v>
      </c>
      <c r="T466" s="6">
        <f>IF($Y$2="按单位面积散热损失 qp",2*PI()*首页!$B$8*((E466-D466)/$Y$3-1/R466),2*PI()*首页!$B$8*((E466-D466)/$Y$4-1/(PI()*B466*R466)))</f>
        <v>4.0797829953272823E-2</v>
      </c>
      <c r="U466" t="str">
        <f t="shared" si="78"/>
        <v>按单位面积散热损失 qp</v>
      </c>
      <c r="V466" s="6">
        <f t="shared" si="79"/>
        <v>2.2113866797183066</v>
      </c>
    </row>
    <row r="467" spans="1:22" x14ac:dyDescent="0.15">
      <c r="A467">
        <v>462</v>
      </c>
      <c r="B467" s="6">
        <f>首页!$B$4+2*A467/1000</f>
        <v>1.044</v>
      </c>
      <c r="C467" s="6">
        <f>首页!$B$7+273.15</f>
        <v>388.15</v>
      </c>
      <c r="D467" s="6">
        <f>首页!$B$6+273.15</f>
        <v>293.14999999999998</v>
      </c>
      <c r="E467" s="6">
        <f>首页!$B$5+273.15</f>
        <v>1373.15</v>
      </c>
      <c r="F467" s="6">
        <f t="shared" si="70"/>
        <v>95</v>
      </c>
      <c r="G467" s="6">
        <f t="shared" si="71"/>
        <v>340.65</v>
      </c>
      <c r="H467" s="6">
        <f t="shared" si="72"/>
        <v>1.9926207055139041E-5</v>
      </c>
      <c r="I467" s="7">
        <f t="shared" si="73"/>
        <v>1158916576932337.8</v>
      </c>
      <c r="J467" s="6">
        <f t="shared" si="74"/>
        <v>1.0226038455893147</v>
      </c>
      <c r="K467" s="7">
        <f>J467*H467*首页!$B$12/P467</f>
        <v>0.69532757496605813</v>
      </c>
      <c r="L467" s="6">
        <f>首页!$B$9*0.0000000567*((C467^4-D467^4)/(C467-D467))</f>
        <v>7.7687338005019564</v>
      </c>
      <c r="M467" s="6">
        <f>IF(首页!$B$13="自然对流",IF(首页!$B$14="立式圆筒",首页!$B$10,PI()*B467/2),PI()*B467/2)</f>
        <v>55.2</v>
      </c>
      <c r="N467" s="7">
        <f>IF(首页!$B$13="强制对流",首页!$B$11*M467/H467,0)</f>
        <v>0</v>
      </c>
      <c r="O467" s="7">
        <f>IF(首页!$B$13="自然对流",IF(首页!$B$14="立式圆筒",(0.825+0.3063*I467^(1/6))^2+0.87*(M467/B467),(0.752+0.303*I467^(1/6))^2),0.3+SQRT((0.592*N467^0.5)^2+(0.0262*N467^0.8/(1-0.5/N467^0.1))^2))</f>
        <v>10065.2075029349</v>
      </c>
      <c r="P467" s="6">
        <f t="shared" si="75"/>
        <v>2.9510194925512497E-2</v>
      </c>
      <c r="Q467" s="6">
        <f t="shared" si="76"/>
        <v>5.3809100611836911</v>
      </c>
      <c r="R467" s="6">
        <f t="shared" si="77"/>
        <v>13.149643861685647</v>
      </c>
      <c r="S467" s="6">
        <f>IF($Y$2="按单位面积散热损失 qp",B467*LN(B467/首页!$B$4),LN(B467/首页!$B$4))</f>
        <v>2.258509238789602</v>
      </c>
      <c r="T467" s="6">
        <f>IF($Y$2="按单位面积散热损失 qp",2*PI()*首页!$B$8*((E467-D467)/$Y$3-1/R467),2*PI()*首页!$B$8*((E467-D467)/$Y$4-1/(PI()*B467*R467)))</f>
        <v>4.0797752771286624E-2</v>
      </c>
      <c r="U467" t="str">
        <f t="shared" si="78"/>
        <v>按单位面积散热损失 qp</v>
      </c>
      <c r="V467" s="6">
        <f t="shared" si="79"/>
        <v>2.2177114860183154</v>
      </c>
    </row>
    <row r="468" spans="1:22" x14ac:dyDescent="0.15">
      <c r="A468">
        <v>463</v>
      </c>
      <c r="B468" s="6">
        <f>首页!$B$4+2*A468/1000</f>
        <v>1.046</v>
      </c>
      <c r="C468" s="6">
        <f>首页!$B$7+273.15</f>
        <v>388.15</v>
      </c>
      <c r="D468" s="6">
        <f>首页!$B$6+273.15</f>
        <v>293.14999999999998</v>
      </c>
      <c r="E468" s="6">
        <f>首页!$B$5+273.15</f>
        <v>1373.15</v>
      </c>
      <c r="F468" s="6">
        <f t="shared" si="70"/>
        <v>95</v>
      </c>
      <c r="G468" s="6">
        <f t="shared" si="71"/>
        <v>340.65</v>
      </c>
      <c r="H468" s="6">
        <f t="shared" si="72"/>
        <v>1.9926207055139041E-5</v>
      </c>
      <c r="I468" s="7">
        <f t="shared" si="73"/>
        <v>1158916576932337.8</v>
      </c>
      <c r="J468" s="6">
        <f t="shared" si="74"/>
        <v>1.0226038455893147</v>
      </c>
      <c r="K468" s="7">
        <f>J468*H468*首页!$B$12/P468</f>
        <v>0.69532757496605813</v>
      </c>
      <c r="L468" s="6">
        <f>首页!$B$9*0.0000000567*((C468^4-D468^4)/(C468-D468))</f>
        <v>7.7687338005019564</v>
      </c>
      <c r="M468" s="6">
        <f>IF(首页!$B$13="自然对流",IF(首页!$B$14="立式圆筒",首页!$B$10,PI()*B468/2),PI()*B468/2)</f>
        <v>55.2</v>
      </c>
      <c r="N468" s="7">
        <f>IF(首页!$B$13="强制对流",首页!$B$11*M468/H468,0)</f>
        <v>0</v>
      </c>
      <c r="O468" s="7">
        <f>IF(首页!$B$13="自然对流",IF(首页!$B$14="立式圆筒",(0.825+0.3063*I468^(1/6))^2+0.87*(M468/B468),(0.752+0.303*I468^(1/6))^2),0.3+SQRT((0.592*N468^0.5)^2+(0.0262*N468^0.8/(1-0.5/N468^0.1))^2))</f>
        <v>10065.119548824001</v>
      </c>
      <c r="P468" s="6">
        <f t="shared" si="75"/>
        <v>2.9510194925512497E-2</v>
      </c>
      <c r="Q468" s="6">
        <f t="shared" si="76"/>
        <v>5.3808630404779469</v>
      </c>
      <c r="R468" s="6">
        <f t="shared" si="77"/>
        <v>13.149596840979903</v>
      </c>
      <c r="S468" s="6">
        <f>IF($Y$2="按单位面积散热损失 qp",B468*LN(B468/首页!$B$4),LN(B468/首页!$B$4))</f>
        <v>2.2648377993275921</v>
      </c>
      <c r="T468" s="6">
        <f>IF($Y$2="按单位面积散热损失 qp",2*PI()*首页!$B$8*((E468-D468)/$Y$3-1/R468),2*PI()*首页!$B$8*((E468-D468)/$Y$4-1/(PI()*B468*R468)))</f>
        <v>4.0797675883900493E-2</v>
      </c>
      <c r="U468" t="str">
        <f t="shared" si="78"/>
        <v>按单位面积散热损失 qp</v>
      </c>
      <c r="V468" s="6">
        <f t="shared" si="79"/>
        <v>2.2240401234436917</v>
      </c>
    </row>
    <row r="469" spans="1:22" x14ac:dyDescent="0.15">
      <c r="A469">
        <v>464</v>
      </c>
      <c r="B469" s="6">
        <f>首页!$B$4+2*A469/1000</f>
        <v>1.048</v>
      </c>
      <c r="C469" s="6">
        <f>首页!$B$7+273.15</f>
        <v>388.15</v>
      </c>
      <c r="D469" s="6">
        <f>首页!$B$6+273.15</f>
        <v>293.14999999999998</v>
      </c>
      <c r="E469" s="6">
        <f>首页!$B$5+273.15</f>
        <v>1373.15</v>
      </c>
      <c r="F469" s="6">
        <f t="shared" si="70"/>
        <v>95</v>
      </c>
      <c r="G469" s="6">
        <f t="shared" si="71"/>
        <v>340.65</v>
      </c>
      <c r="H469" s="6">
        <f t="shared" si="72"/>
        <v>1.9926207055139041E-5</v>
      </c>
      <c r="I469" s="7">
        <f t="shared" si="73"/>
        <v>1158916576932337.8</v>
      </c>
      <c r="J469" s="6">
        <f t="shared" si="74"/>
        <v>1.0226038455893147</v>
      </c>
      <c r="K469" s="7">
        <f>J469*H469*首页!$B$12/P469</f>
        <v>0.69532757496605813</v>
      </c>
      <c r="L469" s="6">
        <f>首页!$B$9*0.0000000567*((C469^4-D469^4)/(C469-D469))</f>
        <v>7.7687338005019564</v>
      </c>
      <c r="M469" s="6">
        <f>IF(首页!$B$13="自然对流",IF(首页!$B$14="立式圆筒",首页!$B$10,PI()*B469/2),PI()*B469/2)</f>
        <v>55.2</v>
      </c>
      <c r="N469" s="7">
        <f>IF(首页!$B$13="强制对流",首页!$B$11*M469/H469,0)</f>
        <v>0</v>
      </c>
      <c r="O469" s="7">
        <f>IF(首页!$B$13="自然对流",IF(首页!$B$14="立式圆筒",(0.825+0.3063*I469^(1/6))^2+0.87*(M469/B469),(0.752+0.303*I469^(1/6))^2),0.3+SQRT((0.592*N469^0.5)^2+(0.0262*N469^0.8/(1-0.5/N469^0.1))^2))</f>
        <v>10065.031930415817</v>
      </c>
      <c r="P469" s="6">
        <f t="shared" si="75"/>
        <v>2.9510194925512497E-2</v>
      </c>
      <c r="Q469" s="6">
        <f t="shared" si="76"/>
        <v>5.3808161992405443</v>
      </c>
      <c r="R469" s="6">
        <f t="shared" si="77"/>
        <v>13.149549999742501</v>
      </c>
      <c r="S469" s="6">
        <f>IF($Y$2="按单位面积散热损失 qp",B469*LN(B469/首页!$B$4),LN(B469/首页!$B$4))</f>
        <v>2.2711701839596907</v>
      </c>
      <c r="T469" s="6">
        <f>IF($Y$2="按单位面积散热损失 qp",2*PI()*首页!$B$8*((E469-D469)/$Y$3-1/R469),2*PI()*首页!$B$8*((E469-D469)/$Y$4-1/(PI()*B469*R469)))</f>
        <v>4.0797599289430941E-2</v>
      </c>
      <c r="U469" t="str">
        <f t="shared" si="78"/>
        <v>按单位面积散热损失 qp</v>
      </c>
      <c r="V469" s="6">
        <f t="shared" si="79"/>
        <v>2.2303725846702598</v>
      </c>
    </row>
    <row r="470" spans="1:22" x14ac:dyDescent="0.15">
      <c r="A470">
        <v>465</v>
      </c>
      <c r="B470" s="6">
        <f>首页!$B$4+2*A470/1000</f>
        <v>1.05</v>
      </c>
      <c r="C470" s="6">
        <f>首页!$B$7+273.15</f>
        <v>388.15</v>
      </c>
      <c r="D470" s="6">
        <f>首页!$B$6+273.15</f>
        <v>293.14999999999998</v>
      </c>
      <c r="E470" s="6">
        <f>首页!$B$5+273.15</f>
        <v>1373.15</v>
      </c>
      <c r="F470" s="6">
        <f t="shared" si="70"/>
        <v>95</v>
      </c>
      <c r="G470" s="6">
        <f t="shared" si="71"/>
        <v>340.65</v>
      </c>
      <c r="H470" s="6">
        <f t="shared" si="72"/>
        <v>1.9926207055139041E-5</v>
      </c>
      <c r="I470" s="7">
        <f t="shared" si="73"/>
        <v>1158916576932337.8</v>
      </c>
      <c r="J470" s="6">
        <f t="shared" si="74"/>
        <v>1.0226038455893147</v>
      </c>
      <c r="K470" s="7">
        <f>J470*H470*首页!$B$12/P470</f>
        <v>0.69532757496605813</v>
      </c>
      <c r="L470" s="6">
        <f>首页!$B$9*0.0000000567*((C470^4-D470^4)/(C470-D470))</f>
        <v>7.7687338005019564</v>
      </c>
      <c r="M470" s="6">
        <f>IF(首页!$B$13="自然对流",IF(首页!$B$14="立式圆筒",首页!$B$10,PI()*B470/2),PI()*B470/2)</f>
        <v>55.2</v>
      </c>
      <c r="N470" s="7">
        <f>IF(首页!$B$13="强制对流",首页!$B$11*M470/H470,0)</f>
        <v>0</v>
      </c>
      <c r="O470" s="7">
        <f>IF(首页!$B$13="自然对流",IF(首页!$B$14="立式圆筒",(0.825+0.3063*I470^(1/6))^2+0.87*(M470/B470),(0.752+0.303*I470^(1/6))^2),0.3+SQRT((0.592*N470^0.5)^2+(0.0262*N470^0.8/(1-0.5/N470^0.1))^2))</f>
        <v>10064.944645792042</v>
      </c>
      <c r="P470" s="6">
        <f t="shared" si="75"/>
        <v>2.9510194925512497E-2</v>
      </c>
      <c r="Q470" s="6">
        <f t="shared" si="76"/>
        <v>5.3807695364459507</v>
      </c>
      <c r="R470" s="6">
        <f t="shared" si="77"/>
        <v>13.149503336947907</v>
      </c>
      <c r="S470" s="6">
        <f>IF($Y$2="按单位面积散热损失 qp",B470*LN(B470/首页!$B$4),LN(B470/首页!$B$4))</f>
        <v>2.2775063853879995</v>
      </c>
      <c r="T470" s="6">
        <f>IF($Y$2="按单位面积散热损失 qp",2*PI()*首页!$B$8*((E470-D470)/$Y$3-1/R470),2*PI()*首页!$B$8*((E470-D470)/$Y$4-1/(PI()*B470*R470)))</f>
        <v>4.0797522986207278E-2</v>
      </c>
      <c r="U470" t="str">
        <f t="shared" si="78"/>
        <v>按单位面积散热损失 qp</v>
      </c>
      <c r="V470" s="6">
        <f t="shared" si="79"/>
        <v>2.2367088624017923</v>
      </c>
    </row>
    <row r="471" spans="1:22" x14ac:dyDescent="0.15">
      <c r="A471">
        <v>466</v>
      </c>
      <c r="B471" s="6">
        <f>首页!$B$4+2*A471/1000</f>
        <v>1.052</v>
      </c>
      <c r="C471" s="6">
        <f>首页!$B$7+273.15</f>
        <v>388.15</v>
      </c>
      <c r="D471" s="6">
        <f>首页!$B$6+273.15</f>
        <v>293.14999999999998</v>
      </c>
      <c r="E471" s="6">
        <f>首页!$B$5+273.15</f>
        <v>1373.15</v>
      </c>
      <c r="F471" s="6">
        <f t="shared" si="70"/>
        <v>95</v>
      </c>
      <c r="G471" s="6">
        <f t="shared" si="71"/>
        <v>340.65</v>
      </c>
      <c r="H471" s="6">
        <f t="shared" si="72"/>
        <v>1.9926207055139041E-5</v>
      </c>
      <c r="I471" s="7">
        <f t="shared" si="73"/>
        <v>1158916576932337.8</v>
      </c>
      <c r="J471" s="6">
        <f t="shared" si="74"/>
        <v>1.0226038455893147</v>
      </c>
      <c r="K471" s="7">
        <f>J471*H471*首页!$B$12/P471</f>
        <v>0.69532757496605813</v>
      </c>
      <c r="L471" s="6">
        <f>首页!$B$9*0.0000000567*((C471^4-D471^4)/(C471-D471))</f>
        <v>7.7687338005019564</v>
      </c>
      <c r="M471" s="6">
        <f>IF(首页!$B$13="自然对流",IF(首页!$B$14="立式圆筒",首页!$B$10,PI()*B471/2),PI()*B471/2)</f>
        <v>55.2</v>
      </c>
      <c r="N471" s="7">
        <f>IF(首页!$B$13="强制对流",首页!$B$11*M471/H471,0)</f>
        <v>0</v>
      </c>
      <c r="O471" s="7">
        <f>IF(首页!$B$13="自然对流",IF(首页!$B$14="立式圆筒",(0.825+0.3063*I471^(1/6))^2+0.87*(M471/B471),(0.752+0.303*I471^(1/6))^2),0.3+SQRT((0.592*N471^0.5)^2+(0.0262*N471^0.8/(1-0.5/N471^0.1))^2))</f>
        <v>10064.857693048969</v>
      </c>
      <c r="P471" s="6">
        <f t="shared" si="75"/>
        <v>2.9510194925512497E-2</v>
      </c>
      <c r="Q471" s="6">
        <f t="shared" si="76"/>
        <v>5.3807230510764334</v>
      </c>
      <c r="R471" s="6">
        <f t="shared" si="77"/>
        <v>13.149456851578389</v>
      </c>
      <c r="S471" s="6">
        <f>IF($Y$2="按单位面积散热损失 qp",B471*LN(B471/首页!$B$4),LN(B471/首页!$B$4))</f>
        <v>2.2838463963424211</v>
      </c>
      <c r="T471" s="6">
        <f>IF($Y$2="按单位面积散热损失 qp",2*PI()*首页!$B$8*((E471-D471)/$Y$3-1/R471),2*PI()*首页!$B$8*((E471-D471)/$Y$4-1/(PI()*B471*R471)))</f>
        <v>4.0797446972571469E-2</v>
      </c>
      <c r="U471" t="str">
        <f t="shared" si="78"/>
        <v>按单位面积散热损失 qp</v>
      </c>
      <c r="V471" s="6">
        <f t="shared" si="79"/>
        <v>2.2430489493698498</v>
      </c>
    </row>
    <row r="472" spans="1:22" x14ac:dyDescent="0.15">
      <c r="A472">
        <v>467</v>
      </c>
      <c r="B472" s="6">
        <f>首页!$B$4+2*A472/1000</f>
        <v>1.054</v>
      </c>
      <c r="C472" s="6">
        <f>首页!$B$7+273.15</f>
        <v>388.15</v>
      </c>
      <c r="D472" s="6">
        <f>首页!$B$6+273.15</f>
        <v>293.14999999999998</v>
      </c>
      <c r="E472" s="6">
        <f>首页!$B$5+273.15</f>
        <v>1373.15</v>
      </c>
      <c r="F472" s="6">
        <f t="shared" si="70"/>
        <v>95</v>
      </c>
      <c r="G472" s="6">
        <f t="shared" si="71"/>
        <v>340.65</v>
      </c>
      <c r="H472" s="6">
        <f t="shared" si="72"/>
        <v>1.9926207055139041E-5</v>
      </c>
      <c r="I472" s="7">
        <f t="shared" si="73"/>
        <v>1158916576932337.8</v>
      </c>
      <c r="J472" s="6">
        <f t="shared" si="74"/>
        <v>1.0226038455893147</v>
      </c>
      <c r="K472" s="7">
        <f>J472*H472*首页!$B$12/P472</f>
        <v>0.69532757496605813</v>
      </c>
      <c r="L472" s="6">
        <f>首页!$B$9*0.0000000567*((C472^4-D472^4)/(C472-D472))</f>
        <v>7.7687338005019564</v>
      </c>
      <c r="M472" s="6">
        <f>IF(首页!$B$13="自然对流",IF(首页!$B$14="立式圆筒",首页!$B$10,PI()*B472/2),PI()*B472/2)</f>
        <v>55.2</v>
      </c>
      <c r="N472" s="7">
        <f>IF(首页!$B$13="强制对流",首页!$B$11*M472/H472,0)</f>
        <v>0</v>
      </c>
      <c r="O472" s="7">
        <f>IF(首页!$B$13="自然对流",IF(首页!$B$14="立式圆筒",(0.825+0.3063*I472^(1/6))^2+0.87*(M472/B472),(0.752+0.303*I472^(1/6))^2),0.3+SQRT((0.592*N472^0.5)^2+(0.0262*N472^0.8/(1-0.5/N472^0.1))^2))</f>
        <v>10064.771070297329</v>
      </c>
      <c r="P472" s="6">
        <f t="shared" si="75"/>
        <v>2.9510194925512497E-2</v>
      </c>
      <c r="Q472" s="6">
        <f t="shared" si="76"/>
        <v>5.3806767421219792</v>
      </c>
      <c r="R472" s="6">
        <f t="shared" si="77"/>
        <v>13.149410542623936</v>
      </c>
      <c r="S472" s="6">
        <f>IF($Y$2="按单位面积散热损失 qp",B472*LN(B472/首页!$B$4),LN(B472/首页!$B$4))</f>
        <v>2.2901902095805018</v>
      </c>
      <c r="T472" s="6">
        <f>IF($Y$2="按单位面积散热损失 qp",2*PI()*首页!$B$8*((E472-D472)/$Y$3-1/R472),2*PI()*首页!$B$8*((E472-D472)/$Y$4-1/(PI()*B472*R472)))</f>
        <v>4.0797371246878079E-2</v>
      </c>
      <c r="U472" t="str">
        <f t="shared" si="78"/>
        <v>按单位面积散热损失 qp</v>
      </c>
      <c r="V472" s="6">
        <f t="shared" si="79"/>
        <v>2.2493928383336237</v>
      </c>
    </row>
    <row r="473" spans="1:22" x14ac:dyDescent="0.15">
      <c r="A473">
        <v>468</v>
      </c>
      <c r="B473" s="6">
        <f>首页!$B$4+2*A473/1000</f>
        <v>1.056</v>
      </c>
      <c r="C473" s="6">
        <f>首页!$B$7+273.15</f>
        <v>388.15</v>
      </c>
      <c r="D473" s="6">
        <f>首页!$B$6+273.15</f>
        <v>293.14999999999998</v>
      </c>
      <c r="E473" s="6">
        <f>首页!$B$5+273.15</f>
        <v>1373.15</v>
      </c>
      <c r="F473" s="6">
        <f t="shared" si="70"/>
        <v>95</v>
      </c>
      <c r="G473" s="6">
        <f t="shared" si="71"/>
        <v>340.65</v>
      </c>
      <c r="H473" s="6">
        <f t="shared" si="72"/>
        <v>1.9926207055139041E-5</v>
      </c>
      <c r="I473" s="7">
        <f t="shared" si="73"/>
        <v>1158916576932337.8</v>
      </c>
      <c r="J473" s="6">
        <f t="shared" si="74"/>
        <v>1.0226038455893147</v>
      </c>
      <c r="K473" s="7">
        <f>J473*H473*首页!$B$12/P473</f>
        <v>0.69532757496605813</v>
      </c>
      <c r="L473" s="6">
        <f>首页!$B$9*0.0000000567*((C473^4-D473^4)/(C473-D473))</f>
        <v>7.7687338005019564</v>
      </c>
      <c r="M473" s="6">
        <f>IF(首页!$B$13="自然对流",IF(首页!$B$14="立式圆筒",首页!$B$10,PI()*B473/2),PI()*B473/2)</f>
        <v>55.2</v>
      </c>
      <c r="N473" s="7">
        <f>IF(首页!$B$13="强制对流",首页!$B$11*M473/H473,0)</f>
        <v>0</v>
      </c>
      <c r="O473" s="7">
        <f>IF(首页!$B$13="自然对流",IF(首页!$B$14="立式圆筒",(0.825+0.3063*I473^(1/6))^2+0.87*(M473/B473),(0.752+0.303*I473^(1/6))^2),0.3+SQRT((0.592*N473^0.5)^2+(0.0262*N473^0.8/(1-0.5/N473^0.1))^2))</f>
        <v>10064.684775662172</v>
      </c>
      <c r="P473" s="6">
        <f t="shared" si="75"/>
        <v>2.9510194925512497E-2</v>
      </c>
      <c r="Q473" s="6">
        <f t="shared" si="76"/>
        <v>5.3806306085802298</v>
      </c>
      <c r="R473" s="6">
        <f t="shared" si="77"/>
        <v>13.149364409082185</v>
      </c>
      <c r="S473" s="6">
        <f>IF($Y$2="按单位面积散热损失 qp",B473*LN(B473/首页!$B$4),LN(B473/首页!$B$4))</f>
        <v>2.2965378178872742</v>
      </c>
      <c r="T473" s="6">
        <f>IF($Y$2="按单位面积散热损失 qp",2*PI()*首页!$B$8*((E473-D473)/$Y$3-1/R473),2*PI()*首页!$B$8*((E473-D473)/$Y$4-1/(PI()*B473*R473)))</f>
        <v>4.0797295807494076E-2</v>
      </c>
      <c r="U473" t="str">
        <f t="shared" si="78"/>
        <v>按单位面积散热损失 qp</v>
      </c>
      <c r="V473" s="6">
        <f t="shared" si="79"/>
        <v>2.2557405220797802</v>
      </c>
    </row>
    <row r="474" spans="1:22" x14ac:dyDescent="0.15">
      <c r="A474">
        <v>469</v>
      </c>
      <c r="B474" s="6">
        <f>首页!$B$4+2*A474/1000</f>
        <v>1.0579999999999998</v>
      </c>
      <c r="C474" s="6">
        <f>首页!$B$7+273.15</f>
        <v>388.15</v>
      </c>
      <c r="D474" s="6">
        <f>首页!$B$6+273.15</f>
        <v>293.14999999999998</v>
      </c>
      <c r="E474" s="6">
        <f>首页!$B$5+273.15</f>
        <v>1373.15</v>
      </c>
      <c r="F474" s="6">
        <f t="shared" si="70"/>
        <v>95</v>
      </c>
      <c r="G474" s="6">
        <f t="shared" si="71"/>
        <v>340.65</v>
      </c>
      <c r="H474" s="6">
        <f t="shared" si="72"/>
        <v>1.9926207055139041E-5</v>
      </c>
      <c r="I474" s="7">
        <f t="shared" si="73"/>
        <v>1158916576932337.8</v>
      </c>
      <c r="J474" s="6">
        <f t="shared" si="74"/>
        <v>1.0226038455893147</v>
      </c>
      <c r="K474" s="7">
        <f>J474*H474*首页!$B$12/P474</f>
        <v>0.69532757496605813</v>
      </c>
      <c r="L474" s="6">
        <f>首页!$B$9*0.0000000567*((C474^4-D474^4)/(C474-D474))</f>
        <v>7.7687338005019564</v>
      </c>
      <c r="M474" s="6">
        <f>IF(首页!$B$13="自然对流",IF(首页!$B$14="立式圆筒",首页!$B$10,PI()*B474/2),PI()*B474/2)</f>
        <v>55.2</v>
      </c>
      <c r="N474" s="7">
        <f>IF(首页!$B$13="强制对流",首页!$B$11*M474/H474,0)</f>
        <v>0</v>
      </c>
      <c r="O474" s="7">
        <f>IF(首页!$B$13="自然对流",IF(首页!$B$14="立式圆筒",(0.825+0.3063*I474^(1/6))^2+0.87*(M474/B474),(0.752+0.303*I474^(1/6))^2),0.3+SQRT((0.592*N474^0.5)^2+(0.0262*N474^0.8/(1-0.5/N474^0.1))^2))</f>
        <v>10064.598807282726</v>
      </c>
      <c r="P474" s="6">
        <f t="shared" si="75"/>
        <v>2.9510194925512497E-2</v>
      </c>
      <c r="Q474" s="6">
        <f t="shared" si="76"/>
        <v>5.3805846494564102</v>
      </c>
      <c r="R474" s="6">
        <f t="shared" si="77"/>
        <v>13.149318449958367</v>
      </c>
      <c r="S474" s="6">
        <f>IF($Y$2="按单位面积散热损失 qp",B474*LN(B474/首页!$B$4),LN(B474/首页!$B$4))</f>
        <v>2.3028892140750976</v>
      </c>
      <c r="T474" s="6">
        <f>IF($Y$2="按单位面积散热损失 qp",2*PI()*首页!$B$8*((E474-D474)/$Y$3-1/R474),2*PI()*首页!$B$8*((E474-D474)/$Y$4-1/(PI()*B474*R474)))</f>
        <v>4.0797220652798789E-2</v>
      </c>
      <c r="U474" t="str">
        <f t="shared" si="78"/>
        <v>按单位面积散热损失 qp</v>
      </c>
      <c r="V474" s="6">
        <f t="shared" si="79"/>
        <v>2.2620919934222989</v>
      </c>
    </row>
    <row r="475" spans="1:22" x14ac:dyDescent="0.15">
      <c r="A475">
        <v>470</v>
      </c>
      <c r="B475" s="6">
        <f>首页!$B$4+2*A475/1000</f>
        <v>1.06</v>
      </c>
      <c r="C475" s="6">
        <f>首页!$B$7+273.15</f>
        <v>388.15</v>
      </c>
      <c r="D475" s="6">
        <f>首页!$B$6+273.15</f>
        <v>293.14999999999998</v>
      </c>
      <c r="E475" s="6">
        <f>首页!$B$5+273.15</f>
        <v>1373.15</v>
      </c>
      <c r="F475" s="6">
        <f t="shared" si="70"/>
        <v>95</v>
      </c>
      <c r="G475" s="6">
        <f t="shared" si="71"/>
        <v>340.65</v>
      </c>
      <c r="H475" s="6">
        <f t="shared" si="72"/>
        <v>1.9926207055139041E-5</v>
      </c>
      <c r="I475" s="7">
        <f t="shared" si="73"/>
        <v>1158916576932337.8</v>
      </c>
      <c r="J475" s="6">
        <f t="shared" si="74"/>
        <v>1.0226038455893147</v>
      </c>
      <c r="K475" s="7">
        <f>J475*H475*首页!$B$12/P475</f>
        <v>0.69532757496605813</v>
      </c>
      <c r="L475" s="6">
        <f>首页!$B$9*0.0000000567*((C475^4-D475^4)/(C475-D475))</f>
        <v>7.7687338005019564</v>
      </c>
      <c r="M475" s="6">
        <f>IF(首页!$B$13="自然对流",IF(首页!$B$14="立式圆筒",首页!$B$10,PI()*B475/2),PI()*B475/2)</f>
        <v>55.2</v>
      </c>
      <c r="N475" s="7">
        <f>IF(首页!$B$13="强制对流",首页!$B$11*M475/H475,0)</f>
        <v>0</v>
      </c>
      <c r="O475" s="7">
        <f>IF(首页!$B$13="自然对流",IF(首页!$B$14="立式圆筒",(0.825+0.3063*I475^(1/6))^2+0.87*(M475/B475),(0.752+0.303*I475^(1/6))^2),0.3+SQRT((0.592*N475^0.5)^2+(0.0262*N475^0.8/(1-0.5/N475^0.1))^2))</f>
        <v>10064.513163312258</v>
      </c>
      <c r="P475" s="6">
        <f t="shared" si="75"/>
        <v>2.9510194925512497E-2</v>
      </c>
      <c r="Q475" s="6">
        <f t="shared" si="76"/>
        <v>5.3805388637632445</v>
      </c>
      <c r="R475" s="6">
        <f t="shared" si="77"/>
        <v>13.149272664265201</v>
      </c>
      <c r="S475" s="6">
        <f>IF($Y$2="按单位面积散热损失 qp",B475*LN(B475/首页!$B$4),LN(B475/首页!$B$4))</f>
        <v>2.309244390983511</v>
      </c>
      <c r="T475" s="6">
        <f>IF($Y$2="按单位面积散热损失 qp",2*PI()*首页!$B$8*((E475-D475)/$Y$3-1/R475),2*PI()*首页!$B$8*((E475-D475)/$Y$4-1/(PI()*B475*R475)))</f>
        <v>4.0797145781183736E-2</v>
      </c>
      <c r="U475" t="str">
        <f t="shared" si="78"/>
        <v>按单位面积散热损失 qp</v>
      </c>
      <c r="V475" s="6">
        <f t="shared" si="79"/>
        <v>2.2684472452023274</v>
      </c>
    </row>
    <row r="476" spans="1:22" x14ac:dyDescent="0.15">
      <c r="A476">
        <v>471</v>
      </c>
      <c r="B476" s="6">
        <f>首页!$B$4+2*A476/1000</f>
        <v>1.0619999999999998</v>
      </c>
      <c r="C476" s="6">
        <f>首页!$B$7+273.15</f>
        <v>388.15</v>
      </c>
      <c r="D476" s="6">
        <f>首页!$B$6+273.15</f>
        <v>293.14999999999998</v>
      </c>
      <c r="E476" s="6">
        <f>首页!$B$5+273.15</f>
        <v>1373.15</v>
      </c>
      <c r="F476" s="6">
        <f t="shared" si="70"/>
        <v>95</v>
      </c>
      <c r="G476" s="6">
        <f t="shared" si="71"/>
        <v>340.65</v>
      </c>
      <c r="H476" s="6">
        <f t="shared" si="72"/>
        <v>1.9926207055139041E-5</v>
      </c>
      <c r="I476" s="7">
        <f t="shared" si="73"/>
        <v>1158916576932337.8</v>
      </c>
      <c r="J476" s="6">
        <f t="shared" si="74"/>
        <v>1.0226038455893147</v>
      </c>
      <c r="K476" s="7">
        <f>J476*H476*首页!$B$12/P476</f>
        <v>0.69532757496605813</v>
      </c>
      <c r="L476" s="6">
        <f>首页!$B$9*0.0000000567*((C476^4-D476^4)/(C476-D476))</f>
        <v>7.7687338005019564</v>
      </c>
      <c r="M476" s="6">
        <f>IF(首页!$B$13="自然对流",IF(首页!$B$14="立式圆筒",首页!$B$10,PI()*B476/2),PI()*B476/2)</f>
        <v>55.2</v>
      </c>
      <c r="N476" s="7">
        <f>IF(首页!$B$13="强制对流",首页!$B$11*M476/H476,0)</f>
        <v>0</v>
      </c>
      <c r="O476" s="7">
        <f>IF(首页!$B$13="自然对流",IF(首页!$B$14="立式圆筒",(0.825+0.3063*I476^(1/6))^2+0.87*(M476/B476),(0.752+0.303*I476^(1/6))^2),0.3+SQRT((0.592*N476^0.5)^2+(0.0262*N476^0.8/(1-0.5/N476^0.1))^2))</f>
        <v>10064.42784191795</v>
      </c>
      <c r="P476" s="6">
        <f t="shared" si="75"/>
        <v>2.9510194925512497E-2</v>
      </c>
      <c r="Q476" s="6">
        <f t="shared" si="76"/>
        <v>5.3804932505209013</v>
      </c>
      <c r="R476" s="6">
        <f t="shared" si="77"/>
        <v>13.149227051022859</v>
      </c>
      <c r="S476" s="6">
        <f>IF($Y$2="按单位面积散热损失 qp",B476*LN(B476/首页!$B$4),LN(B476/首页!$B$4))</f>
        <v>2.3156033414790675</v>
      </c>
      <c r="T476" s="6">
        <f>IF($Y$2="按单位面积散热损失 qp",2*PI()*首页!$B$8*((E476-D476)/$Y$3-1/R476),2*PI()*首页!$B$8*((E476-D476)/$Y$4-1/(PI()*B476*R476)))</f>
        <v>4.0797071191052546E-2</v>
      </c>
      <c r="U476" t="str">
        <f t="shared" si="78"/>
        <v>按单位面积散热损失 qp</v>
      </c>
      <c r="V476" s="6">
        <f t="shared" si="79"/>
        <v>2.274806270288015</v>
      </c>
    </row>
    <row r="477" spans="1:22" x14ac:dyDescent="0.15">
      <c r="A477">
        <v>472</v>
      </c>
      <c r="B477" s="6">
        <f>首页!$B$4+2*A477/1000</f>
        <v>1.0640000000000001</v>
      </c>
      <c r="C477" s="6">
        <f>首页!$B$7+273.15</f>
        <v>388.15</v>
      </c>
      <c r="D477" s="6">
        <f>首页!$B$6+273.15</f>
        <v>293.14999999999998</v>
      </c>
      <c r="E477" s="6">
        <f>首页!$B$5+273.15</f>
        <v>1373.15</v>
      </c>
      <c r="F477" s="6">
        <f t="shared" si="70"/>
        <v>95</v>
      </c>
      <c r="G477" s="6">
        <f t="shared" si="71"/>
        <v>340.65</v>
      </c>
      <c r="H477" s="6">
        <f t="shared" si="72"/>
        <v>1.9926207055139041E-5</v>
      </c>
      <c r="I477" s="7">
        <f t="shared" si="73"/>
        <v>1158916576932337.8</v>
      </c>
      <c r="J477" s="6">
        <f t="shared" si="74"/>
        <v>1.0226038455893147</v>
      </c>
      <c r="K477" s="7">
        <f>J477*H477*首页!$B$12/P477</f>
        <v>0.69532757496605813</v>
      </c>
      <c r="L477" s="6">
        <f>首页!$B$9*0.0000000567*((C477^4-D477^4)/(C477-D477))</f>
        <v>7.7687338005019564</v>
      </c>
      <c r="M477" s="6">
        <f>IF(首页!$B$13="自然对流",IF(首页!$B$14="立式圆筒",首页!$B$10,PI()*B477/2),PI()*B477/2)</f>
        <v>55.2</v>
      </c>
      <c r="N477" s="7">
        <f>IF(首页!$B$13="强制对流",首页!$B$11*M477/H477,0)</f>
        <v>0</v>
      </c>
      <c r="O477" s="7">
        <f>IF(首页!$B$13="自然对流",IF(首页!$B$14="立式圆筒",(0.825+0.3063*I477^(1/6))^2+0.87*(M477/B477),(0.752+0.303*I477^(1/6))^2),0.3+SQRT((0.592*N477^0.5)^2+(0.0262*N477^0.8/(1-0.5/N477^0.1))^2))</f>
        <v>10064.342841280764</v>
      </c>
      <c r="P477" s="6">
        <f t="shared" si="75"/>
        <v>2.9510194925512497E-2</v>
      </c>
      <c r="Q477" s="6">
        <f t="shared" si="76"/>
        <v>5.3804478087569141</v>
      </c>
      <c r="R477" s="6">
        <f t="shared" si="77"/>
        <v>13.149181609258871</v>
      </c>
      <c r="S477" s="6">
        <f>IF($Y$2="按单位面积散热损失 qp",B477*LN(B477/首页!$B$4),LN(B477/首页!$B$4))</f>
        <v>2.3219660584551947</v>
      </c>
      <c r="T477" s="6">
        <f>IF($Y$2="按单位面积散热损失 qp",2*PI()*首页!$B$8*((E477-D477)/$Y$3-1/R477),2*PI()*首页!$B$8*((E477-D477)/$Y$4-1/(PI()*B477*R477)))</f>
        <v>4.0796996880820793E-2</v>
      </c>
      <c r="U477" t="str">
        <f t="shared" si="78"/>
        <v>按单位面积散热损失 qp</v>
      </c>
      <c r="V477" s="6">
        <f t="shared" si="79"/>
        <v>2.2811690615743738</v>
      </c>
    </row>
    <row r="478" spans="1:22" x14ac:dyDescent="0.15">
      <c r="A478">
        <v>473</v>
      </c>
      <c r="B478" s="6">
        <f>首页!$B$4+2*A478/1000</f>
        <v>1.0659999999999998</v>
      </c>
      <c r="C478" s="6">
        <f>首页!$B$7+273.15</f>
        <v>388.15</v>
      </c>
      <c r="D478" s="6">
        <f>首页!$B$6+273.15</f>
        <v>293.14999999999998</v>
      </c>
      <c r="E478" s="6">
        <f>首页!$B$5+273.15</f>
        <v>1373.15</v>
      </c>
      <c r="F478" s="6">
        <f t="shared" si="70"/>
        <v>95</v>
      </c>
      <c r="G478" s="6">
        <f t="shared" si="71"/>
        <v>340.65</v>
      </c>
      <c r="H478" s="6">
        <f t="shared" si="72"/>
        <v>1.9926207055139041E-5</v>
      </c>
      <c r="I478" s="7">
        <f t="shared" si="73"/>
        <v>1158916576932337.8</v>
      </c>
      <c r="J478" s="6">
        <f t="shared" si="74"/>
        <v>1.0226038455893147</v>
      </c>
      <c r="K478" s="7">
        <f>J478*H478*首页!$B$12/P478</f>
        <v>0.69532757496605813</v>
      </c>
      <c r="L478" s="6">
        <f>首页!$B$9*0.0000000567*((C478^4-D478^4)/(C478-D478))</f>
        <v>7.7687338005019564</v>
      </c>
      <c r="M478" s="6">
        <f>IF(首页!$B$13="自然对流",IF(首页!$B$14="立式圆筒",首页!$B$10,PI()*B478/2),PI()*B478/2)</f>
        <v>55.2</v>
      </c>
      <c r="N478" s="7">
        <f>IF(首页!$B$13="强制对流",首页!$B$11*M478/H478,0)</f>
        <v>0</v>
      </c>
      <c r="O478" s="7">
        <f>IF(首页!$B$13="自然对流",IF(首页!$B$14="立式圆筒",(0.825+0.3063*I478^(1/6))^2+0.87*(M478/B478),(0.752+0.303*I478^(1/6))^2),0.3+SQRT((0.592*N478^0.5)^2+(0.0262*N478^0.8/(1-0.5/N478^0.1))^2))</f>
        <v>10064.258159595312</v>
      </c>
      <c r="P478" s="6">
        <f t="shared" si="75"/>
        <v>2.9510194925512497E-2</v>
      </c>
      <c r="Q478" s="6">
        <f t="shared" si="76"/>
        <v>5.3804025375061109</v>
      </c>
      <c r="R478" s="6">
        <f t="shared" si="77"/>
        <v>13.149136338008066</v>
      </c>
      <c r="S478" s="6">
        <f>IF($Y$2="按单位面积散热损失 qp",B478*LN(B478/首页!$B$4),LN(B478/首页!$B$4))</f>
        <v>2.3283325348320307</v>
      </c>
      <c r="T478" s="6">
        <f>IF($Y$2="按单位面积散热损失 qp",2*PI()*首页!$B$8*((E478-D478)/$Y$3-1/R478),2*PI()*首页!$B$8*((E478-D478)/$Y$4-1/(PI()*B478*R478)))</f>
        <v>4.0796922848915951E-2</v>
      </c>
      <c r="U478" t="str">
        <f t="shared" si="78"/>
        <v>按单位面积散热损失 qp</v>
      </c>
      <c r="V478" s="6">
        <f t="shared" si="79"/>
        <v>2.2875356119831149</v>
      </c>
    </row>
    <row r="479" spans="1:22" x14ac:dyDescent="0.15">
      <c r="A479">
        <v>474</v>
      </c>
      <c r="B479" s="6">
        <f>首页!$B$4+2*A479/1000</f>
        <v>1.0680000000000001</v>
      </c>
      <c r="C479" s="6">
        <f>首页!$B$7+273.15</f>
        <v>388.15</v>
      </c>
      <c r="D479" s="6">
        <f>首页!$B$6+273.15</f>
        <v>293.14999999999998</v>
      </c>
      <c r="E479" s="6">
        <f>首页!$B$5+273.15</f>
        <v>1373.15</v>
      </c>
      <c r="F479" s="6">
        <f t="shared" si="70"/>
        <v>95</v>
      </c>
      <c r="G479" s="6">
        <f t="shared" si="71"/>
        <v>340.65</v>
      </c>
      <c r="H479" s="6">
        <f t="shared" si="72"/>
        <v>1.9926207055139041E-5</v>
      </c>
      <c r="I479" s="7">
        <f t="shared" si="73"/>
        <v>1158916576932337.8</v>
      </c>
      <c r="J479" s="6">
        <f t="shared" si="74"/>
        <v>1.0226038455893147</v>
      </c>
      <c r="K479" s="7">
        <f>J479*H479*首页!$B$12/P479</f>
        <v>0.69532757496605813</v>
      </c>
      <c r="L479" s="6">
        <f>首页!$B$9*0.0000000567*((C479^4-D479^4)/(C479-D479))</f>
        <v>7.7687338005019564</v>
      </c>
      <c r="M479" s="6">
        <f>IF(首页!$B$13="自然对流",IF(首页!$B$14="立式圆筒",首页!$B$10,PI()*B479/2),PI()*B479/2)</f>
        <v>55.2</v>
      </c>
      <c r="N479" s="7">
        <f>IF(首页!$B$13="强制对流",首页!$B$11*M479/H479,0)</f>
        <v>0</v>
      </c>
      <c r="O479" s="7">
        <f>IF(首页!$B$13="自然对流",IF(首页!$B$14="立式圆筒",(0.825+0.3063*I479^(1/6))^2+0.87*(M479/B479),(0.752+0.303*I479^(1/6))^2),0.3+SQRT((0.592*N479^0.5)^2+(0.0262*N479^0.8/(1-0.5/N479^0.1))^2))</f>
        <v>10064.173795069732</v>
      </c>
      <c r="P479" s="6">
        <f t="shared" si="75"/>
        <v>2.9510194925512497E-2</v>
      </c>
      <c r="Q479" s="6">
        <f t="shared" si="76"/>
        <v>5.3803574358105548</v>
      </c>
      <c r="R479" s="6">
        <f t="shared" si="77"/>
        <v>13.149091236312511</v>
      </c>
      <c r="S479" s="6">
        <f>IF($Y$2="按单位面积散热损失 qp",B479*LN(B479/首页!$B$4),LN(B479/首页!$B$4))</f>
        <v>2.3347027635562849</v>
      </c>
      <c r="T479" s="6">
        <f>IF($Y$2="按单位面积散热损失 qp",2*PI()*首页!$B$8*((E479-D479)/$Y$3-1/R479),2*PI()*首页!$B$8*((E479-D479)/$Y$4-1/(PI()*B479*R479)))</f>
        <v>4.079684909377726E-2</v>
      </c>
      <c r="U479" t="str">
        <f t="shared" si="78"/>
        <v>按单位面积散热损失 qp</v>
      </c>
      <c r="V479" s="6">
        <f t="shared" si="79"/>
        <v>2.2939059144625076</v>
      </c>
    </row>
    <row r="480" spans="1:22" x14ac:dyDescent="0.15">
      <c r="A480">
        <v>475</v>
      </c>
      <c r="B480" s="6">
        <f>首页!$B$4+2*A480/1000</f>
        <v>1.0699999999999998</v>
      </c>
      <c r="C480" s="6">
        <f>首页!$B$7+273.15</f>
        <v>388.15</v>
      </c>
      <c r="D480" s="6">
        <f>首页!$B$6+273.15</f>
        <v>293.14999999999998</v>
      </c>
      <c r="E480" s="6">
        <f>首页!$B$5+273.15</f>
        <v>1373.15</v>
      </c>
      <c r="F480" s="6">
        <f t="shared" si="70"/>
        <v>95</v>
      </c>
      <c r="G480" s="6">
        <f t="shared" si="71"/>
        <v>340.65</v>
      </c>
      <c r="H480" s="6">
        <f t="shared" si="72"/>
        <v>1.9926207055139041E-5</v>
      </c>
      <c r="I480" s="7">
        <f t="shared" si="73"/>
        <v>1158916576932337.8</v>
      </c>
      <c r="J480" s="6">
        <f t="shared" si="74"/>
        <v>1.0226038455893147</v>
      </c>
      <c r="K480" s="7">
        <f>J480*H480*首页!$B$12/P480</f>
        <v>0.69532757496605813</v>
      </c>
      <c r="L480" s="6">
        <f>首页!$B$9*0.0000000567*((C480^4-D480^4)/(C480-D480))</f>
        <v>7.7687338005019564</v>
      </c>
      <c r="M480" s="6">
        <f>IF(首页!$B$13="自然对流",IF(首页!$B$14="立式圆筒",首页!$B$10,PI()*B480/2),PI()*B480/2)</f>
        <v>55.2</v>
      </c>
      <c r="N480" s="7">
        <f>IF(首页!$B$13="强制对流",首页!$B$11*M480/H480,0)</f>
        <v>0</v>
      </c>
      <c r="O480" s="7">
        <f>IF(首页!$B$13="自然对流",IF(首页!$B$14="立式圆筒",(0.825+0.3063*I480^(1/6))^2+0.87*(M480/B480),(0.752+0.303*I480^(1/6))^2),0.3+SQRT((0.592*N480^0.5)^2+(0.0262*N480^0.8/(1-0.5/N480^0.1))^2))</f>
        <v>10064.089745925554</v>
      </c>
      <c r="P480" s="6">
        <f t="shared" si="75"/>
        <v>2.9510194925512497E-2</v>
      </c>
      <c r="Q480" s="6">
        <f t="shared" si="76"/>
        <v>5.3803125027194678</v>
      </c>
      <c r="R480" s="6">
        <f t="shared" si="77"/>
        <v>13.149046303221425</v>
      </c>
      <c r="S480" s="6">
        <f>IF($Y$2="按单位面积散热损失 qp",B480*LN(B480/首页!$B$4),LN(B480/首页!$B$4))</f>
        <v>2.341076737601079</v>
      </c>
      <c r="T480" s="6">
        <f>IF($Y$2="按单位面积散热损失 qp",2*PI()*首页!$B$8*((E480-D480)/$Y$3-1/R480),2*PI()*首页!$B$8*((E480-D480)/$Y$4-1/(PI()*B480*R480)))</f>
        <v>4.0796775613855592E-2</v>
      </c>
      <c r="U480" t="str">
        <f t="shared" si="78"/>
        <v>按单位面积散热损失 qp</v>
      </c>
      <c r="V480" s="6">
        <f t="shared" si="79"/>
        <v>2.3002799619872234</v>
      </c>
    </row>
    <row r="481" spans="1:22" x14ac:dyDescent="0.15">
      <c r="A481">
        <v>476</v>
      </c>
      <c r="B481" s="6">
        <f>首页!$B$4+2*A481/1000</f>
        <v>1.0720000000000001</v>
      </c>
      <c r="C481" s="6">
        <f>首页!$B$7+273.15</f>
        <v>388.15</v>
      </c>
      <c r="D481" s="6">
        <f>首页!$B$6+273.15</f>
        <v>293.14999999999998</v>
      </c>
      <c r="E481" s="6">
        <f>首页!$B$5+273.15</f>
        <v>1373.15</v>
      </c>
      <c r="F481" s="6">
        <f t="shared" si="70"/>
        <v>95</v>
      </c>
      <c r="G481" s="6">
        <f t="shared" si="71"/>
        <v>340.65</v>
      </c>
      <c r="H481" s="6">
        <f t="shared" si="72"/>
        <v>1.9926207055139041E-5</v>
      </c>
      <c r="I481" s="7">
        <f t="shared" si="73"/>
        <v>1158916576932337.8</v>
      </c>
      <c r="J481" s="6">
        <f t="shared" si="74"/>
        <v>1.0226038455893147</v>
      </c>
      <c r="K481" s="7">
        <f>J481*H481*首页!$B$12/P481</f>
        <v>0.69532757496605813</v>
      </c>
      <c r="L481" s="6">
        <f>首页!$B$9*0.0000000567*((C481^4-D481^4)/(C481-D481))</f>
        <v>7.7687338005019564</v>
      </c>
      <c r="M481" s="6">
        <f>IF(首页!$B$13="自然对流",IF(首页!$B$14="立式圆筒",首页!$B$10,PI()*B481/2),PI()*B481/2)</f>
        <v>55.2</v>
      </c>
      <c r="N481" s="7">
        <f>IF(首页!$B$13="强制对流",首页!$B$11*M481/H481,0)</f>
        <v>0</v>
      </c>
      <c r="O481" s="7">
        <f>IF(首页!$B$13="自然对流",IF(首页!$B$14="立式圆筒",(0.825+0.3063*I481^(1/6))^2+0.87*(M481/B481),(0.752+0.303*I481^(1/6))^2),0.3+SQRT((0.592*N481^0.5)^2+(0.0262*N481^0.8/(1-0.5/N481^0.1))^2))</f>
        <v>10064.006010397587</v>
      </c>
      <c r="P481" s="6">
        <f t="shared" si="75"/>
        <v>2.9510194925512497E-2</v>
      </c>
      <c r="Q481" s="6">
        <f t="shared" si="76"/>
        <v>5.3802677372891683</v>
      </c>
      <c r="R481" s="6">
        <f t="shared" si="77"/>
        <v>13.149001537791126</v>
      </c>
      <c r="S481" s="6">
        <f>IF($Y$2="按单位面积散热损失 qp",B481*LN(B481/首页!$B$4),LN(B481/首页!$B$4))</f>
        <v>2.3474544499658081</v>
      </c>
      <c r="T481" s="6">
        <f>IF($Y$2="按单位面积散热损失 qp",2*PI()*首页!$B$8*((E481-D481)/$Y$3-1/R481),2*PI()*首页!$B$8*((E481-D481)/$Y$4-1/(PI()*B481*R481)))</f>
        <v>4.0796702407613329E-2</v>
      </c>
      <c r="U481" t="str">
        <f t="shared" si="78"/>
        <v>按单位面积散热损失 qp</v>
      </c>
      <c r="V481" s="6">
        <f t="shared" si="79"/>
        <v>2.3066577475581949</v>
      </c>
    </row>
    <row r="482" spans="1:22" x14ac:dyDescent="0.15">
      <c r="A482">
        <v>477</v>
      </c>
      <c r="B482" s="6">
        <f>首页!$B$4+2*A482/1000</f>
        <v>1.0739999999999998</v>
      </c>
      <c r="C482" s="6">
        <f>首页!$B$7+273.15</f>
        <v>388.15</v>
      </c>
      <c r="D482" s="6">
        <f>首页!$B$6+273.15</f>
        <v>293.14999999999998</v>
      </c>
      <c r="E482" s="6">
        <f>首页!$B$5+273.15</f>
        <v>1373.15</v>
      </c>
      <c r="F482" s="6">
        <f t="shared" si="70"/>
        <v>95</v>
      </c>
      <c r="G482" s="6">
        <f t="shared" si="71"/>
        <v>340.65</v>
      </c>
      <c r="H482" s="6">
        <f t="shared" si="72"/>
        <v>1.9926207055139041E-5</v>
      </c>
      <c r="I482" s="7">
        <f t="shared" si="73"/>
        <v>1158916576932337.8</v>
      </c>
      <c r="J482" s="6">
        <f t="shared" si="74"/>
        <v>1.0226038455893147</v>
      </c>
      <c r="K482" s="7">
        <f>J482*H482*首页!$B$12/P482</f>
        <v>0.69532757496605813</v>
      </c>
      <c r="L482" s="6">
        <f>首页!$B$9*0.0000000567*((C482^4-D482^4)/(C482-D482))</f>
        <v>7.7687338005019564</v>
      </c>
      <c r="M482" s="6">
        <f>IF(首页!$B$13="自然对流",IF(首页!$B$14="立式圆筒",首页!$B$10,PI()*B482/2),PI()*B482/2)</f>
        <v>55.2</v>
      </c>
      <c r="N482" s="7">
        <f>IF(首页!$B$13="强制对流",首页!$B$11*M482/H482,0)</f>
        <v>0</v>
      </c>
      <c r="O482" s="7">
        <f>IF(首页!$B$13="自然对流",IF(首页!$B$14="立式圆筒",(0.825+0.3063*I482^(1/6))^2+0.87*(M482/B482),(0.752+0.303*I482^(1/6))^2),0.3+SQRT((0.592*N482^0.5)^2+(0.0262*N482^0.8/(1-0.5/N482^0.1))^2))</f>
        <v>10063.922586733783</v>
      </c>
      <c r="P482" s="6">
        <f t="shared" si="75"/>
        <v>2.9510194925512497E-2</v>
      </c>
      <c r="Q482" s="6">
        <f t="shared" si="76"/>
        <v>5.3802231385830046</v>
      </c>
      <c r="R482" s="6">
        <f t="shared" si="77"/>
        <v>13.148956939084961</v>
      </c>
      <c r="S482" s="6">
        <f>IF($Y$2="按单位面积散热损失 qp",B482*LN(B482/首页!$B$4),LN(B482/首页!$B$4))</f>
        <v>2.3538358936759844</v>
      </c>
      <c r="T482" s="6">
        <f>IF($Y$2="按单位面积散热损失 qp",2*PI()*首页!$B$8*((E482-D482)/$Y$3-1/R482),2*PI()*首页!$B$8*((E482-D482)/$Y$4-1/(PI()*B482*R482)))</f>
        <v>4.0796629473524339E-2</v>
      </c>
      <c r="U482" t="str">
        <f t="shared" si="78"/>
        <v>按单位面积散热损失 qp</v>
      </c>
      <c r="V482" s="6">
        <f t="shared" si="79"/>
        <v>2.3130392642024602</v>
      </c>
    </row>
    <row r="483" spans="1:22" x14ac:dyDescent="0.15">
      <c r="A483">
        <v>478</v>
      </c>
      <c r="B483" s="6">
        <f>首页!$B$4+2*A483/1000</f>
        <v>1.0760000000000001</v>
      </c>
      <c r="C483" s="6">
        <f>首页!$B$7+273.15</f>
        <v>388.15</v>
      </c>
      <c r="D483" s="6">
        <f>首页!$B$6+273.15</f>
        <v>293.14999999999998</v>
      </c>
      <c r="E483" s="6">
        <f>首页!$B$5+273.15</f>
        <v>1373.15</v>
      </c>
      <c r="F483" s="6">
        <f t="shared" si="70"/>
        <v>95</v>
      </c>
      <c r="G483" s="6">
        <f t="shared" si="71"/>
        <v>340.65</v>
      </c>
      <c r="H483" s="6">
        <f t="shared" si="72"/>
        <v>1.9926207055139041E-5</v>
      </c>
      <c r="I483" s="7">
        <f t="shared" si="73"/>
        <v>1158916576932337.8</v>
      </c>
      <c r="J483" s="6">
        <f t="shared" si="74"/>
        <v>1.0226038455893147</v>
      </c>
      <c r="K483" s="7">
        <f>J483*H483*首页!$B$12/P483</f>
        <v>0.69532757496605813</v>
      </c>
      <c r="L483" s="6">
        <f>首页!$B$9*0.0000000567*((C483^4-D483^4)/(C483-D483))</f>
        <v>7.7687338005019564</v>
      </c>
      <c r="M483" s="6">
        <f>IF(首页!$B$13="自然对流",IF(首页!$B$14="立式圆筒",首页!$B$10,PI()*B483/2),PI()*B483/2)</f>
        <v>55.2</v>
      </c>
      <c r="N483" s="7">
        <f>IF(首页!$B$13="强制对流",首页!$B$11*M483/H483,0)</f>
        <v>0</v>
      </c>
      <c r="O483" s="7">
        <f>IF(首页!$B$13="自然对流",IF(首页!$B$14="立式圆筒",(0.825+0.3063*I483^(1/6))^2+0.87*(M483/B483),(0.752+0.303*I483^(1/6))^2),0.3+SQRT((0.592*N483^0.5)^2+(0.0262*N483^0.8/(1-0.5/N483^0.1))^2))</f>
        <v>10063.839473195123</v>
      </c>
      <c r="P483" s="6">
        <f t="shared" si="75"/>
        <v>2.9510194925512497E-2</v>
      </c>
      <c r="Q483" s="6">
        <f t="shared" si="76"/>
        <v>5.3801787056712875</v>
      </c>
      <c r="R483" s="6">
        <f t="shared" si="77"/>
        <v>13.148912506173243</v>
      </c>
      <c r="S483" s="6">
        <f>IF($Y$2="按单位面积散热损失 qp",B483*LN(B483/首页!$B$4),LN(B483/首页!$B$4))</f>
        <v>2.3602210617830996</v>
      </c>
      <c r="T483" s="6">
        <f>IF($Y$2="按单位面积散热损失 qp",2*PI()*首页!$B$8*((E483-D483)/$Y$3-1/R483),2*PI()*首页!$B$8*((E483-D483)/$Y$4-1/(PI()*B483*R483)))</f>
        <v>4.079655681007379E-2</v>
      </c>
      <c r="U483" t="str">
        <f t="shared" si="78"/>
        <v>按单位面积散热损失 qp</v>
      </c>
      <c r="V483" s="6">
        <f t="shared" si="79"/>
        <v>2.3194245049730258</v>
      </c>
    </row>
    <row r="484" spans="1:22" x14ac:dyDescent="0.15">
      <c r="A484">
        <v>479</v>
      </c>
      <c r="B484" s="6">
        <f>首页!$B$4+2*A484/1000</f>
        <v>1.0779999999999998</v>
      </c>
      <c r="C484" s="6">
        <f>首页!$B$7+273.15</f>
        <v>388.15</v>
      </c>
      <c r="D484" s="6">
        <f>首页!$B$6+273.15</f>
        <v>293.14999999999998</v>
      </c>
      <c r="E484" s="6">
        <f>首页!$B$5+273.15</f>
        <v>1373.15</v>
      </c>
      <c r="F484" s="6">
        <f t="shared" si="70"/>
        <v>95</v>
      </c>
      <c r="G484" s="6">
        <f t="shared" si="71"/>
        <v>340.65</v>
      </c>
      <c r="H484" s="6">
        <f t="shared" si="72"/>
        <v>1.9926207055139041E-5</v>
      </c>
      <c r="I484" s="7">
        <f t="shared" si="73"/>
        <v>1158916576932337.8</v>
      </c>
      <c r="J484" s="6">
        <f t="shared" si="74"/>
        <v>1.0226038455893147</v>
      </c>
      <c r="K484" s="7">
        <f>J484*H484*首页!$B$12/P484</f>
        <v>0.69532757496605813</v>
      </c>
      <c r="L484" s="6">
        <f>首页!$B$9*0.0000000567*((C484^4-D484^4)/(C484-D484))</f>
        <v>7.7687338005019564</v>
      </c>
      <c r="M484" s="6">
        <f>IF(首页!$B$13="自然对流",IF(首页!$B$14="立式圆筒",首页!$B$10,PI()*B484/2),PI()*B484/2)</f>
        <v>55.2</v>
      </c>
      <c r="N484" s="7">
        <f>IF(首页!$B$13="强制对流",首页!$B$11*M484/H484,0)</f>
        <v>0</v>
      </c>
      <c r="O484" s="7">
        <f>IF(首页!$B$13="自然对流",IF(首页!$B$14="立式圆筒",(0.825+0.3063*I484^(1/6))^2+0.87*(M484/B484),(0.752+0.303*I484^(1/6))^2),0.3+SQRT((0.592*N484^0.5)^2+(0.0262*N484^0.8/(1-0.5/N484^0.1))^2))</f>
        <v>10063.756668055494</v>
      </c>
      <c r="P484" s="6">
        <f t="shared" si="75"/>
        <v>2.9510194925512497E-2</v>
      </c>
      <c r="Q484" s="6">
        <f t="shared" si="76"/>
        <v>5.3801344376312272</v>
      </c>
      <c r="R484" s="6">
        <f t="shared" si="77"/>
        <v>13.148868238133183</v>
      </c>
      <c r="S484" s="6">
        <f>IF($Y$2="按单位面积散热损失 qp",B484*LN(B484/首页!$B$4),LN(B484/首页!$B$4))</f>
        <v>2.3666099473644739</v>
      </c>
      <c r="T484" s="6">
        <f>IF($Y$2="按单位面积散热损失 qp",2*PI()*首页!$B$8*((E484-D484)/$Y$3-1/R484),2*PI()*首页!$B$8*((E484-D484)/$Y$4-1/(PI()*B484*R484)))</f>
        <v>4.0796484415758082E-2</v>
      </c>
      <c r="U484" t="str">
        <f t="shared" si="78"/>
        <v>按单位面积散热损失 qp</v>
      </c>
      <c r="V484" s="6">
        <f t="shared" si="79"/>
        <v>2.3258134629487159</v>
      </c>
    </row>
    <row r="485" spans="1:22" x14ac:dyDescent="0.15">
      <c r="A485">
        <v>480</v>
      </c>
      <c r="B485" s="6">
        <f>首页!$B$4+2*A485/1000</f>
        <v>1.08</v>
      </c>
      <c r="C485" s="6">
        <f>首页!$B$7+273.15</f>
        <v>388.15</v>
      </c>
      <c r="D485" s="6">
        <f>首页!$B$6+273.15</f>
        <v>293.14999999999998</v>
      </c>
      <c r="E485" s="6">
        <f>首页!$B$5+273.15</f>
        <v>1373.15</v>
      </c>
      <c r="F485" s="6">
        <f t="shared" si="70"/>
        <v>95</v>
      </c>
      <c r="G485" s="6">
        <f t="shared" si="71"/>
        <v>340.65</v>
      </c>
      <c r="H485" s="6">
        <f t="shared" si="72"/>
        <v>1.9926207055139041E-5</v>
      </c>
      <c r="I485" s="7">
        <f t="shared" si="73"/>
        <v>1158916576932337.8</v>
      </c>
      <c r="J485" s="6">
        <f t="shared" si="74"/>
        <v>1.0226038455893147</v>
      </c>
      <c r="K485" s="7">
        <f>J485*H485*首页!$B$12/P485</f>
        <v>0.69532757496605813</v>
      </c>
      <c r="L485" s="6">
        <f>首页!$B$9*0.0000000567*((C485^4-D485^4)/(C485-D485))</f>
        <v>7.7687338005019564</v>
      </c>
      <c r="M485" s="6">
        <f>IF(首页!$B$13="自然对流",IF(首页!$B$14="立式圆筒",首页!$B$10,PI()*B485/2),PI()*B485/2)</f>
        <v>55.2</v>
      </c>
      <c r="N485" s="7">
        <f>IF(首页!$B$13="强制对流",首页!$B$11*M485/H485,0)</f>
        <v>0</v>
      </c>
      <c r="O485" s="7">
        <f>IF(首页!$B$13="自然对流",IF(首页!$B$14="立式圆筒",(0.825+0.3063*I485^(1/6))^2+0.87*(M485/B485),(0.752+0.303*I485^(1/6))^2),0.3+SQRT((0.592*N485^0.5)^2+(0.0262*N485^0.8/(1-0.5/N485^0.1))^2))</f>
        <v>10063.674169601567</v>
      </c>
      <c r="P485" s="6">
        <f t="shared" si="75"/>
        <v>2.9510194925512497E-2</v>
      </c>
      <c r="Q485" s="6">
        <f t="shared" si="76"/>
        <v>5.3800903335468719</v>
      </c>
      <c r="R485" s="6">
        <f t="shared" si="77"/>
        <v>13.148824134048828</v>
      </c>
      <c r="S485" s="6">
        <f>IF($Y$2="按单位面积散热损失 qp",B485*LN(B485/首页!$B$4),LN(B485/首页!$B$4))</f>
        <v>2.3730025435231172</v>
      </c>
      <c r="T485" s="6">
        <f>IF($Y$2="按单位面积散热损失 qp",2*PI()*首页!$B$8*((E485-D485)/$Y$3-1/R485),2*PI()*首页!$B$8*((E485-D485)/$Y$4-1/(PI()*B485*R485)))</f>
        <v>4.0796412289084705E-2</v>
      </c>
      <c r="U485" t="str">
        <f t="shared" si="78"/>
        <v>按单位面积散热损失 qp</v>
      </c>
      <c r="V485" s="6">
        <f t="shared" si="79"/>
        <v>2.3322061312340328</v>
      </c>
    </row>
    <row r="486" spans="1:22" x14ac:dyDescent="0.15">
      <c r="A486">
        <v>481</v>
      </c>
      <c r="B486" s="6">
        <f>首页!$B$4+2*A486/1000</f>
        <v>1.0819999999999999</v>
      </c>
      <c r="C486" s="6">
        <f>首页!$B$7+273.15</f>
        <v>388.15</v>
      </c>
      <c r="D486" s="6">
        <f>首页!$B$6+273.15</f>
        <v>293.14999999999998</v>
      </c>
      <c r="E486" s="6">
        <f>首页!$B$5+273.15</f>
        <v>1373.15</v>
      </c>
      <c r="F486" s="6">
        <f t="shared" si="70"/>
        <v>95</v>
      </c>
      <c r="G486" s="6">
        <f t="shared" si="71"/>
        <v>340.65</v>
      </c>
      <c r="H486" s="6">
        <f t="shared" si="72"/>
        <v>1.9926207055139041E-5</v>
      </c>
      <c r="I486" s="7">
        <f t="shared" si="73"/>
        <v>1158916576932337.8</v>
      </c>
      <c r="J486" s="6">
        <f t="shared" si="74"/>
        <v>1.0226038455893147</v>
      </c>
      <c r="K486" s="7">
        <f>J486*H486*首页!$B$12/P486</f>
        <v>0.69532757496605813</v>
      </c>
      <c r="L486" s="6">
        <f>首页!$B$9*0.0000000567*((C486^4-D486^4)/(C486-D486))</f>
        <v>7.7687338005019564</v>
      </c>
      <c r="M486" s="6">
        <f>IF(首页!$B$13="自然对流",IF(首页!$B$14="立式圆筒",首页!$B$10,PI()*B486/2),PI()*B486/2)</f>
        <v>55.2</v>
      </c>
      <c r="N486" s="7">
        <f>IF(首页!$B$13="强制对流",首页!$B$11*M486/H486,0)</f>
        <v>0</v>
      </c>
      <c r="O486" s="7">
        <f>IF(首页!$B$13="自然对流",IF(首页!$B$14="立式圆筒",(0.825+0.3063*I486^(1/6))^2+0.87*(M486/B486),(0.752+0.303*I486^(1/6))^2),0.3+SQRT((0.592*N486^0.5)^2+(0.0262*N486^0.8/(1-0.5/N486^0.1))^2))</f>
        <v>10063.591976132682</v>
      </c>
      <c r="P486" s="6">
        <f t="shared" si="75"/>
        <v>2.9510194925512497E-2</v>
      </c>
      <c r="Q486" s="6">
        <f t="shared" si="76"/>
        <v>5.3800463925090396</v>
      </c>
      <c r="R486" s="6">
        <f t="shared" si="77"/>
        <v>13.148780193010996</v>
      </c>
      <c r="S486" s="6">
        <f>IF($Y$2="按单位面积散热损失 qp",B486*LN(B486/首页!$B$4),LN(B486/首页!$B$4))</f>
        <v>2.3793988433875795</v>
      </c>
      <c r="T486" s="6">
        <f>IF($Y$2="按单位面积散热损失 qp",2*PI()*首页!$B$8*((E486-D486)/$Y$3-1/R486),2*PI()*首页!$B$8*((E486-D486)/$Y$4-1/(PI()*B486*R486)))</f>
        <v>4.0796340428572206E-2</v>
      </c>
      <c r="U486" t="str">
        <f t="shared" si="78"/>
        <v>按单位面积散热损失 qp</v>
      </c>
      <c r="V486" s="6">
        <f t="shared" si="79"/>
        <v>2.3386025029590072</v>
      </c>
    </row>
    <row r="487" spans="1:22" x14ac:dyDescent="0.15">
      <c r="A487">
        <v>482</v>
      </c>
      <c r="B487" s="6">
        <f>首页!$B$4+2*A487/1000</f>
        <v>1.0840000000000001</v>
      </c>
      <c r="C487" s="6">
        <f>首页!$B$7+273.15</f>
        <v>388.15</v>
      </c>
      <c r="D487" s="6">
        <f>首页!$B$6+273.15</f>
        <v>293.14999999999998</v>
      </c>
      <c r="E487" s="6">
        <f>首页!$B$5+273.15</f>
        <v>1373.15</v>
      </c>
      <c r="F487" s="6">
        <f t="shared" si="70"/>
        <v>95</v>
      </c>
      <c r="G487" s="6">
        <f t="shared" si="71"/>
        <v>340.65</v>
      </c>
      <c r="H487" s="6">
        <f t="shared" si="72"/>
        <v>1.9926207055139041E-5</v>
      </c>
      <c r="I487" s="7">
        <f t="shared" si="73"/>
        <v>1158916576932337.8</v>
      </c>
      <c r="J487" s="6">
        <f t="shared" si="74"/>
        <v>1.0226038455893147</v>
      </c>
      <c r="K487" s="7">
        <f>J487*H487*首页!$B$12/P487</f>
        <v>0.69532757496605813</v>
      </c>
      <c r="L487" s="6">
        <f>首页!$B$9*0.0000000567*((C487^4-D487^4)/(C487-D487))</f>
        <v>7.7687338005019564</v>
      </c>
      <c r="M487" s="6">
        <f>IF(首页!$B$13="自然对流",IF(首页!$B$14="立式圆筒",首页!$B$10,PI()*B487/2),PI()*B487/2)</f>
        <v>55.2</v>
      </c>
      <c r="N487" s="7">
        <f>IF(首页!$B$13="强制对流",首页!$B$11*M487/H487,0)</f>
        <v>0</v>
      </c>
      <c r="O487" s="7">
        <f>IF(首页!$B$13="自然对流",IF(首页!$B$14="立式圆筒",(0.825+0.3063*I487^(1/6))^2+0.87*(M487/B487),(0.752+0.303*I487^(1/6))^2),0.3+SQRT((0.592*N487^0.5)^2+(0.0262*N487^0.8/(1-0.5/N487^0.1))^2))</f>
        <v>10063.51008596073</v>
      </c>
      <c r="P487" s="6">
        <f t="shared" si="75"/>
        <v>2.9510194925512497E-2</v>
      </c>
      <c r="Q487" s="6">
        <f t="shared" si="76"/>
        <v>5.3800026136152566</v>
      </c>
      <c r="R487" s="6">
        <f t="shared" si="77"/>
        <v>13.148736414117213</v>
      </c>
      <c r="S487" s="6">
        <f>IF($Y$2="按单位面积散热损失 qp",B487*LN(B487/首页!$B$4),LN(B487/首页!$B$4))</f>
        <v>2.3857988401118195</v>
      </c>
      <c r="T487" s="6">
        <f>IF($Y$2="按单位面积散热损失 qp",2*PI()*首页!$B$8*((E487-D487)/$Y$3-1/R487),2*PI()*首页!$B$8*((E487-D487)/$Y$4-1/(PI()*B487*R487)))</f>
        <v>4.0796268832749998E-2</v>
      </c>
      <c r="U487" t="str">
        <f t="shared" si="78"/>
        <v>按单位面积散热损失 qp</v>
      </c>
      <c r="V487" s="6">
        <f t="shared" si="79"/>
        <v>2.3450025712790694</v>
      </c>
    </row>
    <row r="488" spans="1:22" x14ac:dyDescent="0.15">
      <c r="A488">
        <v>483</v>
      </c>
      <c r="B488" s="6">
        <f>首页!$B$4+2*A488/1000</f>
        <v>1.0859999999999999</v>
      </c>
      <c r="C488" s="6">
        <f>首页!$B$7+273.15</f>
        <v>388.15</v>
      </c>
      <c r="D488" s="6">
        <f>首页!$B$6+273.15</f>
        <v>293.14999999999998</v>
      </c>
      <c r="E488" s="6">
        <f>首页!$B$5+273.15</f>
        <v>1373.15</v>
      </c>
      <c r="F488" s="6">
        <f t="shared" si="70"/>
        <v>95</v>
      </c>
      <c r="G488" s="6">
        <f t="shared" si="71"/>
        <v>340.65</v>
      </c>
      <c r="H488" s="6">
        <f t="shared" si="72"/>
        <v>1.9926207055139041E-5</v>
      </c>
      <c r="I488" s="7">
        <f t="shared" si="73"/>
        <v>1158916576932337.8</v>
      </c>
      <c r="J488" s="6">
        <f t="shared" si="74"/>
        <v>1.0226038455893147</v>
      </c>
      <c r="K488" s="7">
        <f>J488*H488*首页!$B$12/P488</f>
        <v>0.69532757496605813</v>
      </c>
      <c r="L488" s="6">
        <f>首页!$B$9*0.0000000567*((C488^4-D488^4)/(C488-D488))</f>
        <v>7.7687338005019564</v>
      </c>
      <c r="M488" s="6">
        <f>IF(首页!$B$13="自然对流",IF(首页!$B$14="立式圆筒",首页!$B$10,PI()*B488/2),PI()*B488/2)</f>
        <v>55.2</v>
      </c>
      <c r="N488" s="7">
        <f>IF(首页!$B$13="强制对流",首页!$B$11*M488/H488,0)</f>
        <v>0</v>
      </c>
      <c r="O488" s="7">
        <f>IF(首页!$B$13="自然对流",IF(首页!$B$14="立式圆筒",(0.825+0.3063*I488^(1/6))^2+0.87*(M488/B488),(0.752+0.303*I488^(1/6))^2),0.3+SQRT((0.592*N488^0.5)^2+(0.0262*N488^0.8/(1-0.5/N488^0.1))^2))</f>
        <v>10063.428497410037</v>
      </c>
      <c r="P488" s="6">
        <f t="shared" si="75"/>
        <v>2.9510194925512497E-2</v>
      </c>
      <c r="Q488" s="6">
        <f t="shared" si="76"/>
        <v>5.3799589959697007</v>
      </c>
      <c r="R488" s="6">
        <f t="shared" si="77"/>
        <v>13.148692796471657</v>
      </c>
      <c r="S488" s="6">
        <f>IF($Y$2="按单位面积散热损失 qp",B488*LN(B488/首页!$B$4),LN(B488/首页!$B$4))</f>
        <v>2.3922025268750522</v>
      </c>
      <c r="T488" s="6">
        <f>IF($Y$2="按单位面积散热损失 qp",2*PI()*首页!$B$8*((E488-D488)/$Y$3-1/R488),2*PI()*首页!$B$8*((E488-D488)/$Y$4-1/(PI()*B488*R488)))</f>
        <v>4.0796197500158352E-2</v>
      </c>
      <c r="U488" t="str">
        <f t="shared" si="78"/>
        <v>按单位面积散热损失 qp</v>
      </c>
      <c r="V488" s="6">
        <f t="shared" si="79"/>
        <v>2.3514063293748939</v>
      </c>
    </row>
    <row r="489" spans="1:22" x14ac:dyDescent="0.15">
      <c r="A489">
        <v>484</v>
      </c>
      <c r="B489" s="6">
        <f>首页!$B$4+2*A489/1000</f>
        <v>1.0880000000000001</v>
      </c>
      <c r="C489" s="6">
        <f>首页!$B$7+273.15</f>
        <v>388.15</v>
      </c>
      <c r="D489" s="6">
        <f>首页!$B$6+273.15</f>
        <v>293.14999999999998</v>
      </c>
      <c r="E489" s="6">
        <f>首页!$B$5+273.15</f>
        <v>1373.15</v>
      </c>
      <c r="F489" s="6">
        <f t="shared" si="70"/>
        <v>95</v>
      </c>
      <c r="G489" s="6">
        <f t="shared" si="71"/>
        <v>340.65</v>
      </c>
      <c r="H489" s="6">
        <f t="shared" si="72"/>
        <v>1.9926207055139041E-5</v>
      </c>
      <c r="I489" s="7">
        <f t="shared" si="73"/>
        <v>1158916576932337.8</v>
      </c>
      <c r="J489" s="6">
        <f t="shared" si="74"/>
        <v>1.0226038455893147</v>
      </c>
      <c r="K489" s="7">
        <f>J489*H489*首页!$B$12/P489</f>
        <v>0.69532757496605813</v>
      </c>
      <c r="L489" s="6">
        <f>首页!$B$9*0.0000000567*((C489^4-D489^4)/(C489-D489))</f>
        <v>7.7687338005019564</v>
      </c>
      <c r="M489" s="6">
        <f>IF(首页!$B$13="自然对流",IF(首页!$B$14="立式圆筒",首页!$B$10,PI()*B489/2),PI()*B489/2)</f>
        <v>55.2</v>
      </c>
      <c r="N489" s="7">
        <f>IF(首页!$B$13="强制对流",首页!$B$11*M489/H489,0)</f>
        <v>0</v>
      </c>
      <c r="O489" s="7">
        <f>IF(首页!$B$13="自然对流",IF(首页!$B$14="立式圆筒",(0.825+0.3063*I489^(1/6))^2+0.87*(M489/B489),(0.752+0.303*I489^(1/6))^2),0.3+SQRT((0.592*N489^0.5)^2+(0.0262*N489^0.8/(1-0.5/N489^0.1))^2))</f>
        <v>10063.347208817253</v>
      </c>
      <c r="P489" s="6">
        <f t="shared" si="75"/>
        <v>2.9510194925512497E-2</v>
      </c>
      <c r="Q489" s="6">
        <f t="shared" si="76"/>
        <v>5.3799155386831385</v>
      </c>
      <c r="R489" s="6">
        <f t="shared" si="77"/>
        <v>13.148649339185095</v>
      </c>
      <c r="S489" s="6">
        <f>IF($Y$2="按单位面积散热损失 qp",B489*LN(B489/首页!$B$4),LN(B489/首页!$B$4))</f>
        <v>2.3986098968816205</v>
      </c>
      <c r="T489" s="6">
        <f>IF($Y$2="按单位面积散热损失 qp",2*PI()*首页!$B$8*((E489-D489)/$Y$3-1/R489),2*PI()*首页!$B$8*((E489-D489)/$Y$4-1/(PI()*B489*R489)))</f>
        <v>4.0796126429348226E-2</v>
      </c>
      <c r="U489" t="str">
        <f t="shared" si="78"/>
        <v>按单位面积散热损失 qp</v>
      </c>
      <c r="V489" s="6">
        <f t="shared" si="79"/>
        <v>2.3578137704522724</v>
      </c>
    </row>
    <row r="490" spans="1:22" x14ac:dyDescent="0.15">
      <c r="A490">
        <v>485</v>
      </c>
      <c r="B490" s="6">
        <f>首页!$B$4+2*A490/1000</f>
        <v>1.0899999999999999</v>
      </c>
      <c r="C490" s="6">
        <f>首页!$B$7+273.15</f>
        <v>388.15</v>
      </c>
      <c r="D490" s="6">
        <f>首页!$B$6+273.15</f>
        <v>293.14999999999998</v>
      </c>
      <c r="E490" s="6">
        <f>首页!$B$5+273.15</f>
        <v>1373.15</v>
      </c>
      <c r="F490" s="6">
        <f t="shared" si="70"/>
        <v>95</v>
      </c>
      <c r="G490" s="6">
        <f t="shared" si="71"/>
        <v>340.65</v>
      </c>
      <c r="H490" s="6">
        <f t="shared" si="72"/>
        <v>1.9926207055139041E-5</v>
      </c>
      <c r="I490" s="7">
        <f t="shared" si="73"/>
        <v>1158916576932337.8</v>
      </c>
      <c r="J490" s="6">
        <f t="shared" si="74"/>
        <v>1.0226038455893147</v>
      </c>
      <c r="K490" s="7">
        <f>J490*H490*首页!$B$12/P490</f>
        <v>0.69532757496605813</v>
      </c>
      <c r="L490" s="6">
        <f>首页!$B$9*0.0000000567*((C490^4-D490^4)/(C490-D490))</f>
        <v>7.7687338005019564</v>
      </c>
      <c r="M490" s="6">
        <f>IF(首页!$B$13="自然对流",IF(首页!$B$14="立式圆筒",首页!$B$10,PI()*B490/2),PI()*B490/2)</f>
        <v>55.2</v>
      </c>
      <c r="N490" s="7">
        <f>IF(首页!$B$13="强制对流",首页!$B$11*M490/H490,0)</f>
        <v>0</v>
      </c>
      <c r="O490" s="7">
        <f>IF(首页!$B$13="自然对流",IF(首页!$B$14="立式圆筒",(0.825+0.3063*I490^(1/6))^2+0.87*(M490/B490),(0.752+0.303*I490^(1/6))^2),0.3+SQRT((0.592*N490^0.5)^2+(0.0262*N490^0.8/(1-0.5/N490^0.1))^2))</f>
        <v>10063.266218531229</v>
      </c>
      <c r="P490" s="6">
        <f t="shared" si="75"/>
        <v>2.9510194925512497E-2</v>
      </c>
      <c r="Q490" s="6">
        <f t="shared" si="76"/>
        <v>5.3798722408728548</v>
      </c>
      <c r="R490" s="6">
        <f t="shared" si="77"/>
        <v>13.148606041374812</v>
      </c>
      <c r="S490" s="6">
        <f>IF($Y$2="按单位面积散热损失 qp",B490*LN(B490/首页!$B$4),LN(B490/首页!$B$4))</f>
        <v>2.4050209433608458</v>
      </c>
      <c r="T490" s="6">
        <f>IF($Y$2="按单位面积散热损失 qp",2*PI()*首页!$B$8*((E490-D490)/$Y$3-1/R490),2*PI()*首页!$B$8*((E490-D490)/$Y$4-1/(PI()*B490*R490)))</f>
        <v>4.0796055618881208E-2</v>
      </c>
      <c r="U490" t="str">
        <f t="shared" si="78"/>
        <v>按单位面积散热损失 qp</v>
      </c>
      <c r="V490" s="6">
        <f t="shared" si="79"/>
        <v>2.3642248877419645</v>
      </c>
    </row>
    <row r="491" spans="1:22" x14ac:dyDescent="0.15">
      <c r="A491">
        <v>486</v>
      </c>
      <c r="B491" s="6">
        <f>首页!$B$4+2*A491/1000</f>
        <v>1.0920000000000001</v>
      </c>
      <c r="C491" s="6">
        <f>首页!$B$7+273.15</f>
        <v>388.15</v>
      </c>
      <c r="D491" s="6">
        <f>首页!$B$6+273.15</f>
        <v>293.14999999999998</v>
      </c>
      <c r="E491" s="6">
        <f>首页!$B$5+273.15</f>
        <v>1373.15</v>
      </c>
      <c r="F491" s="6">
        <f t="shared" si="70"/>
        <v>95</v>
      </c>
      <c r="G491" s="6">
        <f t="shared" si="71"/>
        <v>340.65</v>
      </c>
      <c r="H491" s="6">
        <f t="shared" si="72"/>
        <v>1.9926207055139041E-5</v>
      </c>
      <c r="I491" s="7">
        <f t="shared" si="73"/>
        <v>1158916576932337.8</v>
      </c>
      <c r="J491" s="6">
        <f t="shared" si="74"/>
        <v>1.0226038455893147</v>
      </c>
      <c r="K491" s="7">
        <f>J491*H491*首页!$B$12/P491</f>
        <v>0.69532757496605813</v>
      </c>
      <c r="L491" s="6">
        <f>首页!$B$9*0.0000000567*((C491^4-D491^4)/(C491-D491))</f>
        <v>7.7687338005019564</v>
      </c>
      <c r="M491" s="6">
        <f>IF(首页!$B$13="自然对流",IF(首页!$B$14="立式圆筒",首页!$B$10,PI()*B491/2),PI()*B491/2)</f>
        <v>55.2</v>
      </c>
      <c r="N491" s="7">
        <f>IF(首页!$B$13="强制对流",首页!$B$11*M491/H491,0)</f>
        <v>0</v>
      </c>
      <c r="O491" s="7">
        <f>IF(首页!$B$13="自然对流",IF(首页!$B$14="立式圆筒",(0.825+0.3063*I491^(1/6))^2+0.87*(M491/B491),(0.752+0.303*I491^(1/6))^2),0.3+SQRT((0.592*N491^0.5)^2+(0.0262*N491^0.8/(1-0.5/N491^0.1))^2))</f>
        <v>10063.185524912922</v>
      </c>
      <c r="P491" s="6">
        <f t="shared" si="75"/>
        <v>2.9510194925512497E-2</v>
      </c>
      <c r="Q491" s="6">
        <f t="shared" si="76"/>
        <v>5.3798291016626107</v>
      </c>
      <c r="R491" s="6">
        <f t="shared" si="77"/>
        <v>13.148562902164567</v>
      </c>
      <c r="S491" s="6">
        <f>IF($Y$2="按单位面积散热损失 qp",B491*LN(B491/首页!$B$4),LN(B491/首页!$B$4))</f>
        <v>2.4114356595669024</v>
      </c>
      <c r="T491" s="6">
        <f>IF($Y$2="按单位面积散热损失 qp",2*PI()*首页!$B$8*((E491-D491)/$Y$3-1/R491),2*PI()*首页!$B$8*((E491-D491)/$Y$4-1/(PI()*B491*R491)))</f>
        <v>4.0795985067329392E-2</v>
      </c>
      <c r="U491" t="str">
        <f t="shared" si="78"/>
        <v>按单位面积散热损失 qp</v>
      </c>
      <c r="V491" s="6">
        <f t="shared" si="79"/>
        <v>2.3706396744995732</v>
      </c>
    </row>
    <row r="492" spans="1:22" x14ac:dyDescent="0.15">
      <c r="A492">
        <v>487</v>
      </c>
      <c r="B492" s="6">
        <f>首页!$B$4+2*A492/1000</f>
        <v>1.0939999999999999</v>
      </c>
      <c r="C492" s="6">
        <f>首页!$B$7+273.15</f>
        <v>388.15</v>
      </c>
      <c r="D492" s="6">
        <f>首页!$B$6+273.15</f>
        <v>293.14999999999998</v>
      </c>
      <c r="E492" s="6">
        <f>首页!$B$5+273.15</f>
        <v>1373.15</v>
      </c>
      <c r="F492" s="6">
        <f t="shared" si="70"/>
        <v>95</v>
      </c>
      <c r="G492" s="6">
        <f t="shared" si="71"/>
        <v>340.65</v>
      </c>
      <c r="H492" s="6">
        <f t="shared" si="72"/>
        <v>1.9926207055139041E-5</v>
      </c>
      <c r="I492" s="7">
        <f t="shared" si="73"/>
        <v>1158916576932337.8</v>
      </c>
      <c r="J492" s="6">
        <f t="shared" si="74"/>
        <v>1.0226038455893147</v>
      </c>
      <c r="K492" s="7">
        <f>J492*H492*首页!$B$12/P492</f>
        <v>0.69532757496605813</v>
      </c>
      <c r="L492" s="6">
        <f>首页!$B$9*0.0000000567*((C492^4-D492^4)/(C492-D492))</f>
        <v>7.7687338005019564</v>
      </c>
      <c r="M492" s="6">
        <f>IF(首页!$B$13="自然对流",IF(首页!$B$14="立式圆筒",首页!$B$10,PI()*B492/2),PI()*B492/2)</f>
        <v>55.2</v>
      </c>
      <c r="N492" s="7">
        <f>IF(首页!$B$13="强制对流",首页!$B$11*M492/H492,0)</f>
        <v>0</v>
      </c>
      <c r="O492" s="7">
        <f>IF(首页!$B$13="自然对流",IF(首页!$B$14="立式圆筒",(0.825+0.3063*I492^(1/6))^2+0.87*(M492/B492),(0.752+0.303*I492^(1/6))^2),0.3+SQRT((0.592*N492^0.5)^2+(0.0262*N492^0.8/(1-0.5/N492^0.1))^2))</f>
        <v>10063.105126335266</v>
      </c>
      <c r="P492" s="6">
        <f t="shared" si="75"/>
        <v>2.9510194925512497E-2</v>
      </c>
      <c r="Q492" s="6">
        <f t="shared" si="76"/>
        <v>5.3797861201825672</v>
      </c>
      <c r="R492" s="6">
        <f t="shared" si="77"/>
        <v>13.148519920684524</v>
      </c>
      <c r="S492" s="6">
        <f>IF($Y$2="按单位面积散热损失 qp",B492*LN(B492/首页!$B$4),LN(B492/首页!$B$4))</f>
        <v>2.4178540387786689</v>
      </c>
      <c r="T492" s="6">
        <f>IF($Y$2="按单位面积散热损失 qp",2*PI()*首页!$B$8*((E492-D492)/$Y$3-1/R492),2*PI()*首页!$B$8*((E492-D492)/$Y$4-1/(PI()*B492*R492)))</f>
        <v>4.0795914773275314E-2</v>
      </c>
      <c r="U492" t="str">
        <f t="shared" si="78"/>
        <v>按单位面积散热损失 qp</v>
      </c>
      <c r="V492" s="6">
        <f t="shared" si="79"/>
        <v>2.3770581240053934</v>
      </c>
    </row>
    <row r="493" spans="1:22" x14ac:dyDescent="0.15">
      <c r="A493">
        <v>488</v>
      </c>
      <c r="B493" s="6">
        <f>首页!$B$4+2*A493/1000</f>
        <v>1.0960000000000001</v>
      </c>
      <c r="C493" s="6">
        <f>首页!$B$7+273.15</f>
        <v>388.15</v>
      </c>
      <c r="D493" s="6">
        <f>首页!$B$6+273.15</f>
        <v>293.14999999999998</v>
      </c>
      <c r="E493" s="6">
        <f>首页!$B$5+273.15</f>
        <v>1373.15</v>
      </c>
      <c r="F493" s="6">
        <f t="shared" si="70"/>
        <v>95</v>
      </c>
      <c r="G493" s="6">
        <f t="shared" si="71"/>
        <v>340.65</v>
      </c>
      <c r="H493" s="6">
        <f t="shared" si="72"/>
        <v>1.9926207055139041E-5</v>
      </c>
      <c r="I493" s="7">
        <f t="shared" si="73"/>
        <v>1158916576932337.8</v>
      </c>
      <c r="J493" s="6">
        <f t="shared" si="74"/>
        <v>1.0226038455893147</v>
      </c>
      <c r="K493" s="7">
        <f>J493*H493*首页!$B$12/P493</f>
        <v>0.69532757496605813</v>
      </c>
      <c r="L493" s="6">
        <f>首页!$B$9*0.0000000567*((C493^4-D493^4)/(C493-D493))</f>
        <v>7.7687338005019564</v>
      </c>
      <c r="M493" s="6">
        <f>IF(首页!$B$13="自然对流",IF(首页!$B$14="立式圆筒",首页!$B$10,PI()*B493/2),PI()*B493/2)</f>
        <v>55.2</v>
      </c>
      <c r="N493" s="7">
        <f>IF(首页!$B$13="强制对流",首页!$B$11*M493/H493,0)</f>
        <v>0</v>
      </c>
      <c r="O493" s="7">
        <f>IF(首页!$B$13="自然对流",IF(首页!$B$14="立式圆筒",(0.825+0.3063*I493^(1/6))^2+0.87*(M493/B493),(0.752+0.303*I493^(1/6))^2),0.3+SQRT((0.592*N493^0.5)^2+(0.0262*N493^0.8/(1-0.5/N493^0.1))^2))</f>
        <v>10063.025021183075</v>
      </c>
      <c r="P493" s="6">
        <f t="shared" si="75"/>
        <v>2.9510194925512497E-2</v>
      </c>
      <c r="Q493" s="6">
        <f t="shared" si="76"/>
        <v>5.3797432955692406</v>
      </c>
      <c r="R493" s="6">
        <f t="shared" si="77"/>
        <v>13.148477096071197</v>
      </c>
      <c r="S493" s="6">
        <f>IF($Y$2="按单位面积散热损失 qp",B493*LN(B493/首页!$B$4),LN(B493/首页!$B$4))</f>
        <v>2.4242760742996032</v>
      </c>
      <c r="T493" s="6">
        <f>IF($Y$2="按单位面积散热损失 qp",2*PI()*首页!$B$8*((E493-D493)/$Y$3-1/R493),2*PI()*首页!$B$8*((E493-D493)/$Y$4-1/(PI()*B493*R493)))</f>
        <v>4.0795844735311809E-2</v>
      </c>
      <c r="U493" t="str">
        <f t="shared" si="78"/>
        <v>按单位面积散热损失 qp</v>
      </c>
      <c r="V493" s="6">
        <f t="shared" si="79"/>
        <v>2.3834802295642916</v>
      </c>
    </row>
    <row r="494" spans="1:22" x14ac:dyDescent="0.15">
      <c r="A494">
        <v>489</v>
      </c>
      <c r="B494" s="6">
        <f>首页!$B$4+2*A494/1000</f>
        <v>1.0979999999999999</v>
      </c>
      <c r="C494" s="6">
        <f>首页!$B$7+273.15</f>
        <v>388.15</v>
      </c>
      <c r="D494" s="6">
        <f>首页!$B$6+273.15</f>
        <v>293.14999999999998</v>
      </c>
      <c r="E494" s="6">
        <f>首页!$B$5+273.15</f>
        <v>1373.15</v>
      </c>
      <c r="F494" s="6">
        <f t="shared" si="70"/>
        <v>95</v>
      </c>
      <c r="G494" s="6">
        <f t="shared" si="71"/>
        <v>340.65</v>
      </c>
      <c r="H494" s="6">
        <f t="shared" si="72"/>
        <v>1.9926207055139041E-5</v>
      </c>
      <c r="I494" s="7">
        <f t="shared" si="73"/>
        <v>1158916576932337.8</v>
      </c>
      <c r="J494" s="6">
        <f t="shared" si="74"/>
        <v>1.0226038455893147</v>
      </c>
      <c r="K494" s="7">
        <f>J494*H494*首页!$B$12/P494</f>
        <v>0.69532757496605813</v>
      </c>
      <c r="L494" s="6">
        <f>首页!$B$9*0.0000000567*((C494^4-D494^4)/(C494-D494))</f>
        <v>7.7687338005019564</v>
      </c>
      <c r="M494" s="6">
        <f>IF(首页!$B$13="自然对流",IF(首页!$B$14="立式圆筒",首页!$B$10,PI()*B494/2),PI()*B494/2)</f>
        <v>55.2</v>
      </c>
      <c r="N494" s="7">
        <f>IF(首页!$B$13="强制对流",首页!$B$11*M494/H494,0)</f>
        <v>0</v>
      </c>
      <c r="O494" s="7">
        <f>IF(首页!$B$13="自然对流",IF(首页!$B$14="立式圆筒",(0.825+0.3063*I494^(1/6))^2+0.87*(M494/B494),(0.752+0.303*I494^(1/6))^2),0.3+SQRT((0.592*N494^0.5)^2+(0.0262*N494^0.8/(1-0.5/N494^0.1))^2))</f>
        <v>10062.945207852932</v>
      </c>
      <c r="P494" s="6">
        <f t="shared" si="75"/>
        <v>2.9510194925512497E-2</v>
      </c>
      <c r="Q494" s="6">
        <f t="shared" si="76"/>
        <v>5.3797006269654331</v>
      </c>
      <c r="R494" s="6">
        <f t="shared" si="77"/>
        <v>13.148434427467389</v>
      </c>
      <c r="S494" s="6">
        <f>IF($Y$2="按单位面积散热损失 qp",B494*LN(B494/首页!$B$4),LN(B494/首页!$B$4))</f>
        <v>2.4307017594575973</v>
      </c>
      <c r="T494" s="6">
        <f>IF($Y$2="按单位面积散热损失 qp",2*PI()*首页!$B$8*((E494-D494)/$Y$3-1/R494),2*PI()*首页!$B$8*((E494-D494)/$Y$4-1/(PI()*B494*R494)))</f>
        <v>4.0795774952041987E-2</v>
      </c>
      <c r="U494" t="str">
        <f t="shared" si="78"/>
        <v>按单位面积散热损失 qp</v>
      </c>
      <c r="V494" s="6">
        <f t="shared" si="79"/>
        <v>2.3899059845055555</v>
      </c>
    </row>
    <row r="495" spans="1:22" x14ac:dyDescent="0.15">
      <c r="A495">
        <v>490</v>
      </c>
      <c r="B495" s="6">
        <f>首页!$B$4+2*A495/1000</f>
        <v>1.1000000000000001</v>
      </c>
      <c r="C495" s="6">
        <f>首页!$B$7+273.15</f>
        <v>388.15</v>
      </c>
      <c r="D495" s="6">
        <f>首页!$B$6+273.15</f>
        <v>293.14999999999998</v>
      </c>
      <c r="E495" s="6">
        <f>首页!$B$5+273.15</f>
        <v>1373.15</v>
      </c>
      <c r="F495" s="6">
        <f t="shared" si="70"/>
        <v>95</v>
      </c>
      <c r="G495" s="6">
        <f t="shared" si="71"/>
        <v>340.65</v>
      </c>
      <c r="H495" s="6">
        <f t="shared" si="72"/>
        <v>1.9926207055139041E-5</v>
      </c>
      <c r="I495" s="7">
        <f t="shared" si="73"/>
        <v>1158916576932337.8</v>
      </c>
      <c r="J495" s="6">
        <f t="shared" si="74"/>
        <v>1.0226038455893147</v>
      </c>
      <c r="K495" s="7">
        <f>J495*H495*首页!$B$12/P495</f>
        <v>0.69532757496605813</v>
      </c>
      <c r="L495" s="6">
        <f>首页!$B$9*0.0000000567*((C495^4-D495^4)/(C495-D495))</f>
        <v>7.7687338005019564</v>
      </c>
      <c r="M495" s="6">
        <f>IF(首页!$B$13="自然对流",IF(首页!$B$14="立式圆筒",首页!$B$10,PI()*B495/2),PI()*B495/2)</f>
        <v>55.2</v>
      </c>
      <c r="N495" s="7">
        <f>IF(首页!$B$13="强制对流",首页!$B$11*M495/H495,0)</f>
        <v>0</v>
      </c>
      <c r="O495" s="7">
        <f>IF(首页!$B$13="自然对流",IF(首页!$B$14="立式圆筒",(0.825+0.3063*I495^(1/6))^2+0.87*(M495/B495),(0.752+0.303*I495^(1/6))^2),0.3+SQRT((0.592*N495^0.5)^2+(0.0262*N495^0.8/(1-0.5/N495^0.1))^2))</f>
        <v>10062.865684753082</v>
      </c>
      <c r="P495" s="6">
        <f t="shared" si="75"/>
        <v>2.9510194925512497E-2</v>
      </c>
      <c r="Q495" s="6">
        <f t="shared" si="76"/>
        <v>5.3796581135201853</v>
      </c>
      <c r="R495" s="6">
        <f t="shared" si="77"/>
        <v>13.148391914022142</v>
      </c>
      <c r="S495" s="6">
        <f>IF($Y$2="按单位面积散热损失 qp",B495*LN(B495/首页!$B$4),LN(B495/首页!$B$4))</f>
        <v>2.437131087604858</v>
      </c>
      <c r="T495" s="6">
        <f>IF($Y$2="按单位面积散热损失 qp",2*PI()*首页!$B$8*((E495-D495)/$Y$3-1/R495),2*PI()*首页!$B$8*((E495-D495)/$Y$4-1/(PI()*B495*R495)))</f>
        <v>4.0795705422079054E-2</v>
      </c>
      <c r="U495" t="str">
        <f t="shared" si="78"/>
        <v>按单位面积散热损失 qp</v>
      </c>
      <c r="V495" s="6">
        <f t="shared" si="79"/>
        <v>2.3963353821827789</v>
      </c>
    </row>
    <row r="496" spans="1:22" x14ac:dyDescent="0.15">
      <c r="A496">
        <v>491</v>
      </c>
      <c r="B496" s="6">
        <f>首页!$B$4+2*A496/1000</f>
        <v>1.1019999999999999</v>
      </c>
      <c r="C496" s="6">
        <f>首页!$B$7+273.15</f>
        <v>388.15</v>
      </c>
      <c r="D496" s="6">
        <f>首页!$B$6+273.15</f>
        <v>293.14999999999998</v>
      </c>
      <c r="E496" s="6">
        <f>首页!$B$5+273.15</f>
        <v>1373.15</v>
      </c>
      <c r="F496" s="6">
        <f t="shared" si="70"/>
        <v>95</v>
      </c>
      <c r="G496" s="6">
        <f t="shared" si="71"/>
        <v>340.65</v>
      </c>
      <c r="H496" s="6">
        <f t="shared" si="72"/>
        <v>1.9926207055139041E-5</v>
      </c>
      <c r="I496" s="7">
        <f t="shared" si="73"/>
        <v>1158916576932337.8</v>
      </c>
      <c r="J496" s="6">
        <f t="shared" si="74"/>
        <v>1.0226038455893147</v>
      </c>
      <c r="K496" s="7">
        <f>J496*H496*首页!$B$12/P496</f>
        <v>0.69532757496605813</v>
      </c>
      <c r="L496" s="6">
        <f>首页!$B$9*0.0000000567*((C496^4-D496^4)/(C496-D496))</f>
        <v>7.7687338005019564</v>
      </c>
      <c r="M496" s="6">
        <f>IF(首页!$B$13="自然对流",IF(首页!$B$14="立式圆筒",首页!$B$10,PI()*B496/2),PI()*B496/2)</f>
        <v>55.2</v>
      </c>
      <c r="N496" s="7">
        <f>IF(首页!$B$13="强制对流",首页!$B$11*M496/H496,0)</f>
        <v>0</v>
      </c>
      <c r="O496" s="7">
        <f>IF(首页!$B$13="自然对流",IF(首页!$B$14="立式圆筒",(0.825+0.3063*I496^(1/6))^2+0.87*(M496/B496),(0.752+0.303*I496^(1/6))^2),0.3+SQRT((0.592*N496^0.5)^2+(0.0262*N496^0.8/(1-0.5/N496^0.1))^2))</f>
        <v>10062.786450303322</v>
      </c>
      <c r="P496" s="6">
        <f t="shared" si="75"/>
        <v>2.9510194925512497E-2</v>
      </c>
      <c r="Q496" s="6">
        <f t="shared" si="76"/>
        <v>5.3796157543887126</v>
      </c>
      <c r="R496" s="6">
        <f t="shared" si="77"/>
        <v>13.148349554890668</v>
      </c>
      <c r="S496" s="6">
        <f>IF($Y$2="按单位面积散热损失 qp",B496*LN(B496/首页!$B$4),LN(B496/首页!$B$4))</f>
        <v>2.4435640521177562</v>
      </c>
      <c r="T496" s="6">
        <f>IF($Y$2="按单位面积散热损失 qp",2*PI()*首页!$B$8*((E496-D496)/$Y$3-1/R496),2*PI()*首页!$B$8*((E496-D496)/$Y$4-1/(PI()*B496*R496)))</f>
        <v>4.0795636144046285E-2</v>
      </c>
      <c r="U496" t="str">
        <f t="shared" si="78"/>
        <v>按单位面积散热损失 qp</v>
      </c>
      <c r="V496" s="6">
        <f t="shared" si="79"/>
        <v>2.4027684159737097</v>
      </c>
    </row>
    <row r="497" spans="1:22" x14ac:dyDescent="0.15">
      <c r="A497">
        <v>492</v>
      </c>
      <c r="B497" s="6">
        <f>首页!$B$4+2*A497/1000</f>
        <v>1.1040000000000001</v>
      </c>
      <c r="C497" s="6">
        <f>首页!$B$7+273.15</f>
        <v>388.15</v>
      </c>
      <c r="D497" s="6">
        <f>首页!$B$6+273.15</f>
        <v>293.14999999999998</v>
      </c>
      <c r="E497" s="6">
        <f>首页!$B$5+273.15</f>
        <v>1373.15</v>
      </c>
      <c r="F497" s="6">
        <f t="shared" si="70"/>
        <v>95</v>
      </c>
      <c r="G497" s="6">
        <f t="shared" si="71"/>
        <v>340.65</v>
      </c>
      <c r="H497" s="6">
        <f t="shared" si="72"/>
        <v>1.9926207055139041E-5</v>
      </c>
      <c r="I497" s="7">
        <f t="shared" si="73"/>
        <v>1158916576932337.8</v>
      </c>
      <c r="J497" s="6">
        <f t="shared" si="74"/>
        <v>1.0226038455893147</v>
      </c>
      <c r="K497" s="7">
        <f>J497*H497*首页!$B$12/P497</f>
        <v>0.69532757496605813</v>
      </c>
      <c r="L497" s="6">
        <f>首页!$B$9*0.0000000567*((C497^4-D497^4)/(C497-D497))</f>
        <v>7.7687338005019564</v>
      </c>
      <c r="M497" s="6">
        <f>IF(首页!$B$13="自然对流",IF(首页!$B$14="立式圆筒",首页!$B$10,PI()*B497/2),PI()*B497/2)</f>
        <v>55.2</v>
      </c>
      <c r="N497" s="7">
        <f>IF(首页!$B$13="强制对流",首页!$B$11*M497/H497,0)</f>
        <v>0</v>
      </c>
      <c r="O497" s="7">
        <f>IF(首页!$B$13="自然对流",IF(首页!$B$14="立式圆筒",(0.825+0.3063*I497^(1/6))^2+0.87*(M497/B497),(0.752+0.303*I497^(1/6))^2),0.3+SQRT((0.592*N497^0.5)^2+(0.0262*N497^0.8/(1-0.5/N497^0.1))^2))</f>
        <v>10062.7075029349</v>
      </c>
      <c r="P497" s="6">
        <f t="shared" si="75"/>
        <v>2.9510194925512497E-2</v>
      </c>
      <c r="Q497" s="6">
        <f t="shared" si="76"/>
        <v>5.3795735487323544</v>
      </c>
      <c r="R497" s="6">
        <f t="shared" si="77"/>
        <v>13.148307349234312</v>
      </c>
      <c r="S497" s="6">
        <f>IF($Y$2="按单位面积散热损失 qp",B497*LN(B497/首页!$B$4),LN(B497/首页!$B$4))</f>
        <v>2.4500006463967141</v>
      </c>
      <c r="T497" s="6">
        <f>IF($Y$2="按单位面积散热损失 qp",2*PI()*首页!$B$8*((E497-D497)/$Y$3-1/R497),2*PI()*首页!$B$8*((E497-D497)/$Y$4-1/(PI()*B497*R497)))</f>
        <v>4.0795567116576933E-2</v>
      </c>
      <c r="U497" t="str">
        <f t="shared" si="78"/>
        <v>按单位面积散热损失 qp</v>
      </c>
      <c r="V497" s="6">
        <f t="shared" si="79"/>
        <v>2.4092050792801372</v>
      </c>
    </row>
    <row r="498" spans="1:22" x14ac:dyDescent="0.15">
      <c r="A498">
        <v>493</v>
      </c>
      <c r="B498" s="6">
        <f>首页!$B$4+2*A498/1000</f>
        <v>1.1059999999999999</v>
      </c>
      <c r="C498" s="6">
        <f>首页!$B$7+273.15</f>
        <v>388.15</v>
      </c>
      <c r="D498" s="6">
        <f>首页!$B$6+273.15</f>
        <v>293.14999999999998</v>
      </c>
      <c r="E498" s="6">
        <f>首页!$B$5+273.15</f>
        <v>1373.15</v>
      </c>
      <c r="F498" s="6">
        <f t="shared" si="70"/>
        <v>95</v>
      </c>
      <c r="G498" s="6">
        <f t="shared" si="71"/>
        <v>340.65</v>
      </c>
      <c r="H498" s="6">
        <f t="shared" si="72"/>
        <v>1.9926207055139041E-5</v>
      </c>
      <c r="I498" s="7">
        <f t="shared" si="73"/>
        <v>1158916576932337.8</v>
      </c>
      <c r="J498" s="6">
        <f t="shared" si="74"/>
        <v>1.0226038455893147</v>
      </c>
      <c r="K498" s="7">
        <f>J498*H498*首页!$B$12/P498</f>
        <v>0.69532757496605813</v>
      </c>
      <c r="L498" s="6">
        <f>首页!$B$9*0.0000000567*((C498^4-D498^4)/(C498-D498))</f>
        <v>7.7687338005019564</v>
      </c>
      <c r="M498" s="6">
        <f>IF(首页!$B$13="自然对流",IF(首页!$B$14="立式圆筒",首页!$B$10,PI()*B498/2),PI()*B498/2)</f>
        <v>55.2</v>
      </c>
      <c r="N498" s="7">
        <f>IF(首页!$B$13="强制对流",首页!$B$11*M498/H498,0)</f>
        <v>0</v>
      </c>
      <c r="O498" s="7">
        <f>IF(首页!$B$13="自然对流",IF(首页!$B$14="立式圆筒",(0.825+0.3063*I498^(1/6))^2+0.87*(M498/B498),(0.752+0.303*I498^(1/6))^2),0.3+SQRT((0.592*N498^0.5)^2+(0.0262*N498^0.8/(1-0.5/N498^0.1))^2))</f>
        <v>10062.628841090414</v>
      </c>
      <c r="P498" s="6">
        <f t="shared" si="75"/>
        <v>2.9510194925512497E-2</v>
      </c>
      <c r="Q498" s="6">
        <f t="shared" si="76"/>
        <v>5.3795314957185152</v>
      </c>
      <c r="R498" s="6">
        <f t="shared" si="77"/>
        <v>13.148265296220472</v>
      </c>
      <c r="S498" s="6">
        <f>IF($Y$2="按单位面积散热损失 qp",B498*LN(B498/首页!$B$4),LN(B498/首页!$B$4))</f>
        <v>2.4564408638660584</v>
      </c>
      <c r="T498" s="6">
        <f>IF($Y$2="按单位面积散热损失 qp",2*PI()*首页!$B$8*((E498-D498)/$Y$3-1/R498),2*PI()*首页!$B$8*((E498-D498)/$Y$4-1/(PI()*B498*R498)))</f>
        <v>4.0795498338314105E-2</v>
      </c>
      <c r="U498" t="str">
        <f t="shared" si="78"/>
        <v>按单位面积散热损失 qp</v>
      </c>
      <c r="V498" s="6">
        <f t="shared" si="79"/>
        <v>2.4156453655277441</v>
      </c>
    </row>
    <row r="499" spans="1:22" x14ac:dyDescent="0.15">
      <c r="A499">
        <v>494</v>
      </c>
      <c r="B499" s="6">
        <f>首页!$B$4+2*A499/1000</f>
        <v>1.1080000000000001</v>
      </c>
      <c r="C499" s="6">
        <f>首页!$B$7+273.15</f>
        <v>388.15</v>
      </c>
      <c r="D499" s="6">
        <f>首页!$B$6+273.15</f>
        <v>293.14999999999998</v>
      </c>
      <c r="E499" s="6">
        <f>首页!$B$5+273.15</f>
        <v>1373.15</v>
      </c>
      <c r="F499" s="6">
        <f t="shared" si="70"/>
        <v>95</v>
      </c>
      <c r="G499" s="6">
        <f t="shared" si="71"/>
        <v>340.65</v>
      </c>
      <c r="H499" s="6">
        <f t="shared" si="72"/>
        <v>1.9926207055139041E-5</v>
      </c>
      <c r="I499" s="7">
        <f t="shared" si="73"/>
        <v>1158916576932337.8</v>
      </c>
      <c r="J499" s="6">
        <f t="shared" si="74"/>
        <v>1.0226038455893147</v>
      </c>
      <c r="K499" s="7">
        <f>J499*H499*首页!$B$12/P499</f>
        <v>0.69532757496605813</v>
      </c>
      <c r="L499" s="6">
        <f>首页!$B$9*0.0000000567*((C499^4-D499^4)/(C499-D499))</f>
        <v>7.7687338005019564</v>
      </c>
      <c r="M499" s="6">
        <f>IF(首页!$B$13="自然对流",IF(首页!$B$14="立式圆筒",首页!$B$10,PI()*B499/2),PI()*B499/2)</f>
        <v>55.2</v>
      </c>
      <c r="N499" s="7">
        <f>IF(首页!$B$13="强制对流",首页!$B$11*M499/H499,0)</f>
        <v>0</v>
      </c>
      <c r="O499" s="7">
        <f>IF(首页!$B$13="自然对流",IF(首页!$B$14="立式圆筒",(0.825+0.3063*I499^(1/6))^2+0.87*(M499/B499),(0.752+0.303*I499^(1/6))^2),0.3+SQRT((0.592*N499^0.5)^2+(0.0262*N499^0.8/(1-0.5/N499^0.1))^2))</f>
        <v>10062.550463223708</v>
      </c>
      <c r="P499" s="6">
        <f t="shared" si="75"/>
        <v>2.9510194925512497E-2</v>
      </c>
      <c r="Q499" s="6">
        <f t="shared" si="76"/>
        <v>5.3794895945206109</v>
      </c>
      <c r="R499" s="6">
        <f t="shared" si="77"/>
        <v>13.148223395022567</v>
      </c>
      <c r="S499" s="6">
        <f>IF($Y$2="按单位面积散热损失 qp",B499*LN(B499/首页!$B$4),LN(B499/首页!$B$4))</f>
        <v>2.462884697973903</v>
      </c>
      <c r="T499" s="6">
        <f>IF($Y$2="按单位面积散热损失 qp",2*PI()*首页!$B$8*((E499-D499)/$Y$3-1/R499),2*PI()*首页!$B$8*((E499-D499)/$Y$4-1/(PI()*B499*R499)))</f>
        <v>4.079542980791067E-2</v>
      </c>
      <c r="U499" t="str">
        <f t="shared" si="78"/>
        <v>按单位面积散热损失 qp</v>
      </c>
      <c r="V499" s="6">
        <f t="shared" si="79"/>
        <v>2.4220892681659922</v>
      </c>
    </row>
    <row r="500" spans="1:22" x14ac:dyDescent="0.15">
      <c r="A500">
        <v>495</v>
      </c>
      <c r="B500" s="6">
        <f>首页!$B$4+2*A500/1000</f>
        <v>1.1099999999999999</v>
      </c>
      <c r="C500" s="6">
        <f>首页!$B$7+273.15</f>
        <v>388.15</v>
      </c>
      <c r="D500" s="6">
        <f>首页!$B$6+273.15</f>
        <v>293.14999999999998</v>
      </c>
      <c r="E500" s="6">
        <f>首页!$B$5+273.15</f>
        <v>1373.15</v>
      </c>
      <c r="F500" s="6">
        <f t="shared" si="70"/>
        <v>95</v>
      </c>
      <c r="G500" s="6">
        <f t="shared" si="71"/>
        <v>340.65</v>
      </c>
      <c r="H500" s="6">
        <f t="shared" si="72"/>
        <v>1.9926207055139041E-5</v>
      </c>
      <c r="I500" s="7">
        <f t="shared" si="73"/>
        <v>1158916576932337.8</v>
      </c>
      <c r="J500" s="6">
        <f t="shared" si="74"/>
        <v>1.0226038455893147</v>
      </c>
      <c r="K500" s="7">
        <f>J500*H500*首页!$B$12/P500</f>
        <v>0.69532757496605813</v>
      </c>
      <c r="L500" s="6">
        <f>首页!$B$9*0.0000000567*((C500^4-D500^4)/(C500-D500))</f>
        <v>7.7687338005019564</v>
      </c>
      <c r="M500" s="6">
        <f>IF(首页!$B$13="自然对流",IF(首页!$B$14="立式圆筒",首页!$B$10,PI()*B500/2),PI()*B500/2)</f>
        <v>55.2</v>
      </c>
      <c r="N500" s="7">
        <f>IF(首页!$B$13="强制对流",首页!$B$11*M500/H500,0)</f>
        <v>0</v>
      </c>
      <c r="O500" s="7">
        <f>IF(首页!$B$13="自然对流",IF(首页!$B$14="立式圆筒",(0.825+0.3063*I500^(1/6))^2+0.87*(M500/B500),(0.752+0.303*I500^(1/6))^2),0.3+SQRT((0.592*N500^0.5)^2+(0.0262*N500^0.8/(1-0.5/N500^0.1))^2))</f>
        <v>10062.472367799764</v>
      </c>
      <c r="P500" s="6">
        <f t="shared" si="75"/>
        <v>2.9510194925512497E-2</v>
      </c>
      <c r="Q500" s="6">
        <f t="shared" si="76"/>
        <v>5.3794478443180127</v>
      </c>
      <c r="R500" s="6">
        <f t="shared" si="77"/>
        <v>13.148181644819969</v>
      </c>
      <c r="S500" s="6">
        <f>IF($Y$2="按单位面积散热损失 qp",B500*LN(B500/首页!$B$4),LN(B500/首页!$B$4))</f>
        <v>2.4693321421920102</v>
      </c>
      <c r="T500" s="6">
        <f>IF($Y$2="按单位面积散热损失 qp",2*PI()*首页!$B$8*((E500-D500)/$Y$3-1/R500),2*PI()*首页!$B$8*((E500-D500)/$Y$4-1/(PI()*B500*R500)))</f>
        <v>4.0795361524029204E-2</v>
      </c>
      <c r="U500" t="str">
        <f t="shared" si="78"/>
        <v>按单位面积散热损失 qp</v>
      </c>
      <c r="V500" s="6">
        <f t="shared" si="79"/>
        <v>2.4285367806679812</v>
      </c>
    </row>
    <row r="501" spans="1:22" x14ac:dyDescent="0.15">
      <c r="A501">
        <v>496</v>
      </c>
      <c r="B501" s="6">
        <f>首页!$B$4+2*A501/1000</f>
        <v>1.1120000000000001</v>
      </c>
      <c r="C501" s="6">
        <f>首页!$B$7+273.15</f>
        <v>388.15</v>
      </c>
      <c r="D501" s="6">
        <f>首页!$B$6+273.15</f>
        <v>293.14999999999998</v>
      </c>
      <c r="E501" s="6">
        <f>首页!$B$5+273.15</f>
        <v>1373.15</v>
      </c>
      <c r="F501" s="6">
        <f t="shared" si="70"/>
        <v>95</v>
      </c>
      <c r="G501" s="6">
        <f t="shared" si="71"/>
        <v>340.65</v>
      </c>
      <c r="H501" s="6">
        <f t="shared" si="72"/>
        <v>1.9926207055139041E-5</v>
      </c>
      <c r="I501" s="7">
        <f t="shared" si="73"/>
        <v>1158916576932337.8</v>
      </c>
      <c r="J501" s="6">
        <f t="shared" si="74"/>
        <v>1.0226038455893147</v>
      </c>
      <c r="K501" s="7">
        <f>J501*H501*首页!$B$12/P501</f>
        <v>0.69532757496605813</v>
      </c>
      <c r="L501" s="6">
        <f>首页!$B$9*0.0000000567*((C501^4-D501^4)/(C501-D501))</f>
        <v>7.7687338005019564</v>
      </c>
      <c r="M501" s="6">
        <f>IF(首页!$B$13="自然对流",IF(首页!$B$14="立式圆筒",首页!$B$10,PI()*B501/2),PI()*B501/2)</f>
        <v>55.2</v>
      </c>
      <c r="N501" s="7">
        <f>IF(首页!$B$13="强制对流",首页!$B$11*M501/H501,0)</f>
        <v>0</v>
      </c>
      <c r="O501" s="7">
        <f>IF(首页!$B$13="自然对流",IF(首页!$B$14="立式圆筒",(0.825+0.3063*I501^(1/6))^2+0.87*(M501/B501),(0.752+0.303*I501^(1/6))^2),0.3+SQRT((0.592*N501^0.5)^2+(0.0262*N501^0.8/(1-0.5/N501^0.1))^2))</f>
        <v>10062.394553294613</v>
      </c>
      <c r="P501" s="6">
        <f t="shared" si="75"/>
        <v>2.9510194925512497E-2</v>
      </c>
      <c r="Q501" s="6">
        <f t="shared" si="76"/>
        <v>5.3794062442960016</v>
      </c>
      <c r="R501" s="6">
        <f t="shared" si="77"/>
        <v>13.148140044797959</v>
      </c>
      <c r="S501" s="6">
        <f>IF($Y$2="按单位面积散热损失 qp",B501*LN(B501/首页!$B$4),LN(B501/首页!$B$4))</f>
        <v>2.4757831900156719</v>
      </c>
      <c r="T501" s="6">
        <f>IF($Y$2="按单位面积散热损失 qp",2*PI()*首页!$B$8*((E501-D501)/$Y$3-1/R501),2*PI()*首页!$B$8*((E501-D501)/$Y$4-1/(PI()*B501*R501)))</f>
        <v>4.0795293485341902E-2</v>
      </c>
      <c r="U501" t="str">
        <f t="shared" si="78"/>
        <v>按单位面积散热损失 qp</v>
      </c>
      <c r="V501" s="6">
        <f t="shared" si="79"/>
        <v>2.43498789653033</v>
      </c>
    </row>
    <row r="502" spans="1:22" x14ac:dyDescent="0.15">
      <c r="A502">
        <v>497</v>
      </c>
      <c r="B502" s="6">
        <f>首页!$B$4+2*A502/1000</f>
        <v>1.1139999999999999</v>
      </c>
      <c r="C502" s="6">
        <f>首页!$B$7+273.15</f>
        <v>388.15</v>
      </c>
      <c r="D502" s="6">
        <f>首页!$B$6+273.15</f>
        <v>293.14999999999998</v>
      </c>
      <c r="E502" s="6">
        <f>首页!$B$5+273.15</f>
        <v>1373.15</v>
      </c>
      <c r="F502" s="6">
        <f t="shared" si="70"/>
        <v>95</v>
      </c>
      <c r="G502" s="6">
        <f t="shared" si="71"/>
        <v>340.65</v>
      </c>
      <c r="H502" s="6">
        <f t="shared" si="72"/>
        <v>1.9926207055139041E-5</v>
      </c>
      <c r="I502" s="7">
        <f t="shared" si="73"/>
        <v>1158916576932337.8</v>
      </c>
      <c r="J502" s="6">
        <f t="shared" si="74"/>
        <v>1.0226038455893147</v>
      </c>
      <c r="K502" s="7">
        <f>J502*H502*首页!$B$12/P502</f>
        <v>0.69532757496605813</v>
      </c>
      <c r="L502" s="6">
        <f>首页!$B$9*0.0000000567*((C502^4-D502^4)/(C502-D502))</f>
        <v>7.7687338005019564</v>
      </c>
      <c r="M502" s="6">
        <f>IF(首页!$B$13="自然对流",IF(首页!$B$14="立式圆筒",首页!$B$10,PI()*B502/2),PI()*B502/2)</f>
        <v>55.2</v>
      </c>
      <c r="N502" s="7">
        <f>IF(首页!$B$13="强制对流",首页!$B$11*M502/H502,0)</f>
        <v>0</v>
      </c>
      <c r="O502" s="7">
        <f>IF(首页!$B$13="自然对流",IF(首页!$B$14="立式圆筒",(0.825+0.3063*I502^(1/6))^2+0.87*(M502/B502),(0.752+0.303*I502^(1/6))^2),0.3+SQRT((0.592*N502^0.5)^2+(0.0262*N502^0.8/(1-0.5/N502^0.1))^2))</f>
        <v>10062.317018195223</v>
      </c>
      <c r="P502" s="6">
        <f t="shared" si="75"/>
        <v>2.9510194925512497E-2</v>
      </c>
      <c r="Q502" s="6">
        <f t="shared" si="76"/>
        <v>5.379364793645701</v>
      </c>
      <c r="R502" s="6">
        <f t="shared" si="77"/>
        <v>13.148098594147658</v>
      </c>
      <c r="S502" s="6">
        <f>IF($Y$2="按单位面积散热损失 qp",B502*LN(B502/首页!$B$4),LN(B502/首页!$B$4))</f>
        <v>2.4822378349635739</v>
      </c>
      <c r="T502" s="6">
        <f>IF($Y$2="按单位面积散热损失 qp",2*PI()*首页!$B$8*((E502-D502)/$Y$3-1/R502),2*PI()*首页!$B$8*((E502-D502)/$Y$4-1/(PI()*B502*R502)))</f>
        <v>4.079522569053045E-2</v>
      </c>
      <c r="U502" t="str">
        <f t="shared" si="78"/>
        <v>按单位面积散热损失 qp</v>
      </c>
      <c r="V502" s="6">
        <f t="shared" si="79"/>
        <v>2.4414426092730435</v>
      </c>
    </row>
    <row r="503" spans="1:22" x14ac:dyDescent="0.15">
      <c r="A503">
        <v>498</v>
      </c>
      <c r="B503" s="6">
        <f>首页!$B$4+2*A503/1000</f>
        <v>1.1160000000000001</v>
      </c>
      <c r="C503" s="6">
        <f>首页!$B$7+273.15</f>
        <v>388.15</v>
      </c>
      <c r="D503" s="6">
        <f>首页!$B$6+273.15</f>
        <v>293.14999999999998</v>
      </c>
      <c r="E503" s="6">
        <f>首页!$B$5+273.15</f>
        <v>1373.15</v>
      </c>
      <c r="F503" s="6">
        <f t="shared" si="70"/>
        <v>95</v>
      </c>
      <c r="G503" s="6">
        <f t="shared" si="71"/>
        <v>340.65</v>
      </c>
      <c r="H503" s="6">
        <f t="shared" si="72"/>
        <v>1.9926207055139041E-5</v>
      </c>
      <c r="I503" s="7">
        <f t="shared" si="73"/>
        <v>1158916576932337.8</v>
      </c>
      <c r="J503" s="6">
        <f t="shared" si="74"/>
        <v>1.0226038455893147</v>
      </c>
      <c r="K503" s="7">
        <f>J503*H503*首页!$B$12/P503</f>
        <v>0.69532757496605813</v>
      </c>
      <c r="L503" s="6">
        <f>首页!$B$9*0.0000000567*((C503^4-D503^4)/(C503-D503))</f>
        <v>7.7687338005019564</v>
      </c>
      <c r="M503" s="6">
        <f>IF(首页!$B$13="自然对流",IF(首页!$B$14="立式圆筒",首页!$B$10,PI()*B503/2),PI()*B503/2)</f>
        <v>55.2</v>
      </c>
      <c r="N503" s="7">
        <f>IF(首页!$B$13="强制对流",首页!$B$11*M503/H503,0)</f>
        <v>0</v>
      </c>
      <c r="O503" s="7">
        <f>IF(首页!$B$13="自然对流",IF(首页!$B$14="立式圆筒",(0.825+0.3063*I503^(1/6))^2+0.87*(M503/B503),(0.752+0.303*I503^(1/6))^2),0.3+SQRT((0.592*N503^0.5)^2+(0.0262*N503^0.8/(1-0.5/N503^0.1))^2))</f>
        <v>10062.239760999417</v>
      </c>
      <c r="P503" s="6">
        <f t="shared" si="75"/>
        <v>2.9510194925512497E-2</v>
      </c>
      <c r="Q503" s="6">
        <f t="shared" si="76"/>
        <v>5.3793234915640404</v>
      </c>
      <c r="R503" s="6">
        <f t="shared" si="77"/>
        <v>13.148057292065996</v>
      </c>
      <c r="S503" s="6">
        <f>IF($Y$2="按单位面积散热损失 qp",B503*LN(B503/首页!$B$4),LN(B503/首页!$B$4))</f>
        <v>2.4886960705776788</v>
      </c>
      <c r="T503" s="6">
        <f>IF($Y$2="按单位面积散热损失 qp",2*PI()*首页!$B$8*((E503-D503)/$Y$3-1/R503),2*PI()*首页!$B$8*((E503-D503)/$Y$4-1/(PI()*B503*R503)))</f>
        <v>4.0795158138285999E-2</v>
      </c>
      <c r="U503" t="str">
        <f t="shared" si="78"/>
        <v>按单位面积散热损失 qp</v>
      </c>
      <c r="V503" s="6">
        <f t="shared" si="79"/>
        <v>2.4479009124393927</v>
      </c>
    </row>
    <row r="504" spans="1:22" x14ac:dyDescent="0.15">
      <c r="A504">
        <v>499</v>
      </c>
      <c r="B504" s="6">
        <f>首页!$B$4+2*A504/1000</f>
        <v>1.1179999999999999</v>
      </c>
      <c r="C504" s="6">
        <f>首页!$B$7+273.15</f>
        <v>388.15</v>
      </c>
      <c r="D504" s="6">
        <f>首页!$B$6+273.15</f>
        <v>293.14999999999998</v>
      </c>
      <c r="E504" s="6">
        <f>首页!$B$5+273.15</f>
        <v>1373.15</v>
      </c>
      <c r="F504" s="6">
        <f t="shared" si="70"/>
        <v>95</v>
      </c>
      <c r="G504" s="6">
        <f t="shared" si="71"/>
        <v>340.65</v>
      </c>
      <c r="H504" s="6">
        <f t="shared" si="72"/>
        <v>1.9926207055139041E-5</v>
      </c>
      <c r="I504" s="7">
        <f t="shared" si="73"/>
        <v>1158916576932337.8</v>
      </c>
      <c r="J504" s="6">
        <f t="shared" si="74"/>
        <v>1.0226038455893147</v>
      </c>
      <c r="K504" s="7">
        <f>J504*H504*首页!$B$12/P504</f>
        <v>0.69532757496605813</v>
      </c>
      <c r="L504" s="6">
        <f>首页!$B$9*0.0000000567*((C504^4-D504^4)/(C504-D504))</f>
        <v>7.7687338005019564</v>
      </c>
      <c r="M504" s="6">
        <f>IF(首页!$B$13="自然对流",IF(首页!$B$14="立式圆筒",首页!$B$10,PI()*B504/2),PI()*B504/2)</f>
        <v>55.2</v>
      </c>
      <c r="N504" s="7">
        <f>IF(首页!$B$13="强制对流",首页!$B$11*M504/H504,0)</f>
        <v>0</v>
      </c>
      <c r="O504" s="7">
        <f>IF(首页!$B$13="自然对流",IF(首页!$B$14="立式圆筒",(0.825+0.3063*I504^(1/6))^2+0.87*(M504/B504),(0.752+0.303*I504^(1/6))^2),0.3+SQRT((0.592*N504^0.5)^2+(0.0262*N504^0.8/(1-0.5/N504^0.1))^2))</f>
        <v>10062.162780215758</v>
      </c>
      <c r="P504" s="6">
        <f t="shared" si="75"/>
        <v>2.9510194925512497E-2</v>
      </c>
      <c r="Q504" s="6">
        <f t="shared" si="76"/>
        <v>5.3792823372536915</v>
      </c>
      <c r="R504" s="6">
        <f t="shared" si="77"/>
        <v>13.148016137755647</v>
      </c>
      <c r="S504" s="6">
        <f>IF($Y$2="按单位面积散热损失 qp",B504*LN(B504/首页!$B$4),LN(B504/首页!$B$4))</f>
        <v>2.495157890423092</v>
      </c>
      <c r="T504" s="6">
        <f>IF($Y$2="按单位面积散热损失 qp",2*PI()*首页!$B$8*((E504-D504)/$Y$3-1/R504),2*PI()*首页!$B$8*((E504-D504)/$Y$4-1/(PI()*B504*R504)))</f>
        <v>4.0795090827309012E-2</v>
      </c>
      <c r="U504" t="str">
        <f t="shared" si="78"/>
        <v>按单位面积散热损失 qp</v>
      </c>
      <c r="V504" s="6">
        <f t="shared" si="79"/>
        <v>2.4543627995957831</v>
      </c>
    </row>
    <row r="505" spans="1:22" x14ac:dyDescent="0.15">
      <c r="A505">
        <v>500</v>
      </c>
      <c r="B505" s="6">
        <f>首页!$B$4+2*A505/1000</f>
        <v>1.1200000000000001</v>
      </c>
      <c r="C505" s="6">
        <f>首页!$B$7+273.15</f>
        <v>388.15</v>
      </c>
      <c r="D505" s="6">
        <f>首页!$B$6+273.15</f>
        <v>293.14999999999998</v>
      </c>
      <c r="E505" s="6">
        <f>首页!$B$5+273.15</f>
        <v>1373.15</v>
      </c>
      <c r="F505" s="6">
        <f t="shared" si="70"/>
        <v>95</v>
      </c>
      <c r="G505" s="6">
        <f t="shared" si="71"/>
        <v>340.65</v>
      </c>
      <c r="H505" s="6">
        <f t="shared" si="72"/>
        <v>1.9926207055139041E-5</v>
      </c>
      <c r="I505" s="7">
        <f t="shared" si="73"/>
        <v>1158916576932337.8</v>
      </c>
      <c r="J505" s="6">
        <f t="shared" si="74"/>
        <v>1.0226038455893147</v>
      </c>
      <c r="K505" s="7">
        <f>J505*H505*首页!$B$12/P505</f>
        <v>0.69532757496605813</v>
      </c>
      <c r="L505" s="6">
        <f>首页!$B$9*0.0000000567*((C505^4-D505^4)/(C505-D505))</f>
        <v>7.7687338005019564</v>
      </c>
      <c r="M505" s="6">
        <f>IF(首页!$B$13="自然对流",IF(首页!$B$14="立式圆筒",首页!$B$10,PI()*B505/2),PI()*B505/2)</f>
        <v>55.2</v>
      </c>
      <c r="N505" s="7">
        <f>IF(首页!$B$13="强制对流",首页!$B$11*M505/H505,0)</f>
        <v>0</v>
      </c>
      <c r="O505" s="7">
        <f>IF(首页!$B$13="自然对流",IF(首页!$B$14="立式圆筒",(0.825+0.3063*I505^(1/6))^2+0.87*(M505/B505),(0.752+0.303*I505^(1/6))^2),0.3+SQRT((0.592*N505^0.5)^2+(0.0262*N505^0.8/(1-0.5/N505^0.1))^2))</f>
        <v>10062.086074363471</v>
      </c>
      <c r="P505" s="6">
        <f t="shared" si="75"/>
        <v>2.9510194925512497E-2</v>
      </c>
      <c r="Q505" s="6">
        <f t="shared" si="76"/>
        <v>5.3792413299230226</v>
      </c>
      <c r="R505" s="6">
        <f t="shared" si="77"/>
        <v>13.147975130424978</v>
      </c>
      <c r="S505" s="6">
        <f>IF($Y$2="按单位面积散热损失 qp",B505*LN(B505/首页!$B$4),LN(B505/首页!$B$4))</f>
        <v>2.5016232880879459</v>
      </c>
      <c r="T505" s="6">
        <f>IF($Y$2="按单位面积散热损失 qp",2*PI()*首页!$B$8*((E505-D505)/$Y$3-1/R505),2*PI()*首页!$B$8*((E505-D505)/$Y$4-1/(PI()*B505*R505)))</f>
        <v>4.0795023756309258E-2</v>
      </c>
      <c r="U505" t="str">
        <f t="shared" si="78"/>
        <v>按单位面积散热损失 qp</v>
      </c>
      <c r="V505" s="6">
        <f t="shared" si="79"/>
        <v>2.4608282643316368</v>
      </c>
    </row>
    <row r="506" spans="1:22" x14ac:dyDescent="0.15">
      <c r="A506">
        <v>501</v>
      </c>
      <c r="B506" s="6">
        <f>首页!$B$4+2*A506/1000</f>
        <v>1.1219999999999999</v>
      </c>
      <c r="C506" s="6">
        <f>首页!$B$7+273.15</f>
        <v>388.15</v>
      </c>
      <c r="D506" s="6">
        <f>首页!$B$6+273.15</f>
        <v>293.14999999999998</v>
      </c>
      <c r="E506" s="6">
        <f>首页!$B$5+273.15</f>
        <v>1373.15</v>
      </c>
      <c r="F506" s="6">
        <f t="shared" si="70"/>
        <v>95</v>
      </c>
      <c r="G506" s="6">
        <f t="shared" si="71"/>
        <v>340.65</v>
      </c>
      <c r="H506" s="6">
        <f t="shared" si="72"/>
        <v>1.9926207055139041E-5</v>
      </c>
      <c r="I506" s="7">
        <f t="shared" si="73"/>
        <v>1158916576932337.8</v>
      </c>
      <c r="J506" s="6">
        <f t="shared" si="74"/>
        <v>1.0226038455893147</v>
      </c>
      <c r="K506" s="7">
        <f>J506*H506*首页!$B$12/P506</f>
        <v>0.69532757496605813</v>
      </c>
      <c r="L506" s="6">
        <f>首页!$B$9*0.0000000567*((C506^4-D506^4)/(C506-D506))</f>
        <v>7.7687338005019564</v>
      </c>
      <c r="M506" s="6">
        <f>IF(首页!$B$13="自然对流",IF(首页!$B$14="立式圆筒",首页!$B$10,PI()*B506/2),PI()*B506/2)</f>
        <v>55.2</v>
      </c>
      <c r="N506" s="7">
        <f>IF(首页!$B$13="强制对流",首页!$B$11*M506/H506,0)</f>
        <v>0</v>
      </c>
      <c r="O506" s="7">
        <f>IF(首页!$B$13="自然对流",IF(首页!$B$14="立式圆筒",(0.825+0.3063*I506^(1/6))^2+0.87*(M506/B506),(0.752+0.303*I506^(1/6))^2),0.3+SQRT((0.592*N506^0.5)^2+(0.0262*N506^0.8/(1-0.5/N506^0.1))^2))</f>
        <v>10062.009641972332</v>
      </c>
      <c r="P506" s="6">
        <f t="shared" si="75"/>
        <v>2.9510194925512497E-2</v>
      </c>
      <c r="Q506" s="6">
        <f t="shared" si="76"/>
        <v>5.3792004687860455</v>
      </c>
      <c r="R506" s="6">
        <f t="shared" si="77"/>
        <v>13.147934269288001</v>
      </c>
      <c r="S506" s="6">
        <f>IF($Y$2="按单位面积散热损失 qp",B506*LN(B506/首页!$B$4),LN(B506/首页!$B$4))</f>
        <v>2.508092257183268</v>
      </c>
      <c r="T506" s="6">
        <f>IF($Y$2="按单位面积散热损失 qp",2*PI()*首页!$B$8*((E506-D506)/$Y$3-1/R506),2*PI()*首页!$B$8*((E506-D506)/$Y$4-1/(PI()*B506*R506)))</f>
        <v>4.0794956924005643E-2</v>
      </c>
      <c r="U506" t="str">
        <f t="shared" si="78"/>
        <v>按单位面积散热损失 qp</v>
      </c>
      <c r="V506" s="6">
        <f t="shared" si="79"/>
        <v>2.4672973002592622</v>
      </c>
    </row>
    <row r="507" spans="1:22" x14ac:dyDescent="0.15">
      <c r="A507">
        <v>502</v>
      </c>
      <c r="B507" s="6">
        <f>首页!$B$4+2*A507/1000</f>
        <v>1.1240000000000001</v>
      </c>
      <c r="C507" s="6">
        <f>首页!$B$7+273.15</f>
        <v>388.15</v>
      </c>
      <c r="D507" s="6">
        <f>首页!$B$6+273.15</f>
        <v>293.14999999999998</v>
      </c>
      <c r="E507" s="6">
        <f>首页!$B$5+273.15</f>
        <v>1373.15</v>
      </c>
      <c r="F507" s="6">
        <f t="shared" si="70"/>
        <v>95</v>
      </c>
      <c r="G507" s="6">
        <f t="shared" si="71"/>
        <v>340.65</v>
      </c>
      <c r="H507" s="6">
        <f t="shared" si="72"/>
        <v>1.9926207055139041E-5</v>
      </c>
      <c r="I507" s="7">
        <f t="shared" si="73"/>
        <v>1158916576932337.8</v>
      </c>
      <c r="J507" s="6">
        <f t="shared" si="74"/>
        <v>1.0226038455893147</v>
      </c>
      <c r="K507" s="7">
        <f>J507*H507*首页!$B$12/P507</f>
        <v>0.69532757496605813</v>
      </c>
      <c r="L507" s="6">
        <f>首页!$B$9*0.0000000567*((C507^4-D507^4)/(C507-D507))</f>
        <v>7.7687338005019564</v>
      </c>
      <c r="M507" s="6">
        <f>IF(首页!$B$13="自然对流",IF(首页!$B$14="立式圆筒",首页!$B$10,PI()*B507/2),PI()*B507/2)</f>
        <v>55.2</v>
      </c>
      <c r="N507" s="7">
        <f>IF(首页!$B$13="强制对流",首页!$B$11*M507/H507,0)</f>
        <v>0</v>
      </c>
      <c r="O507" s="7">
        <f>IF(首页!$B$13="自然对流",IF(首页!$B$14="立式圆筒",(0.825+0.3063*I507^(1/6))^2+0.87*(M507/B507),(0.752+0.303*I507^(1/6))^2),0.3+SQRT((0.592*N507^0.5)^2+(0.0262*N507^0.8/(1-0.5/N507^0.1))^2))</f>
        <v>10061.933481582586</v>
      </c>
      <c r="P507" s="6">
        <f t="shared" si="75"/>
        <v>2.9510194925512497E-2</v>
      </c>
      <c r="Q507" s="6">
        <f t="shared" si="76"/>
        <v>5.3791597530623676</v>
      </c>
      <c r="R507" s="6">
        <f t="shared" si="77"/>
        <v>13.147893553564323</v>
      </c>
      <c r="S507" s="6">
        <f>IF($Y$2="按单位面积散热损失 qp",B507*LN(B507/首页!$B$4),LN(B507/首页!$B$4))</f>
        <v>2.5145647913428677</v>
      </c>
      <c r="T507" s="6">
        <f>IF($Y$2="按单位面积散热损失 qp",2*PI()*首页!$B$8*((E507-D507)/$Y$3-1/R507),2*PI()*首页!$B$8*((E507-D507)/$Y$4-1/(PI()*B507*R507)))</f>
        <v>4.0794890329126234E-2</v>
      </c>
      <c r="U507" t="str">
        <f t="shared" si="78"/>
        <v>按单位面积散热损失 qp</v>
      </c>
      <c r="V507" s="6">
        <f t="shared" si="79"/>
        <v>2.4737699010137413</v>
      </c>
    </row>
    <row r="508" spans="1:22" x14ac:dyDescent="0.15">
      <c r="A508">
        <v>503</v>
      </c>
      <c r="B508" s="6">
        <f>首页!$B$4+2*A508/1000</f>
        <v>1.1259999999999999</v>
      </c>
      <c r="C508" s="6">
        <f>首页!$B$7+273.15</f>
        <v>388.15</v>
      </c>
      <c r="D508" s="6">
        <f>首页!$B$6+273.15</f>
        <v>293.14999999999998</v>
      </c>
      <c r="E508" s="6">
        <f>首页!$B$5+273.15</f>
        <v>1373.15</v>
      </c>
      <c r="F508" s="6">
        <f t="shared" si="70"/>
        <v>95</v>
      </c>
      <c r="G508" s="6">
        <f t="shared" si="71"/>
        <v>340.65</v>
      </c>
      <c r="H508" s="6">
        <f t="shared" si="72"/>
        <v>1.9926207055139041E-5</v>
      </c>
      <c r="I508" s="7">
        <f t="shared" si="73"/>
        <v>1158916576932337.8</v>
      </c>
      <c r="J508" s="6">
        <f t="shared" si="74"/>
        <v>1.0226038455893147</v>
      </c>
      <c r="K508" s="7">
        <f>J508*H508*首页!$B$12/P508</f>
        <v>0.69532757496605813</v>
      </c>
      <c r="L508" s="6">
        <f>首页!$B$9*0.0000000567*((C508^4-D508^4)/(C508-D508))</f>
        <v>7.7687338005019564</v>
      </c>
      <c r="M508" s="6">
        <f>IF(首页!$B$13="自然对流",IF(首页!$B$14="立式圆筒",首页!$B$10,PI()*B508/2),PI()*B508/2)</f>
        <v>55.2</v>
      </c>
      <c r="N508" s="7">
        <f>IF(首页!$B$13="强制对流",首页!$B$11*M508/H508,0)</f>
        <v>0</v>
      </c>
      <c r="O508" s="7">
        <f>IF(首页!$B$13="自然对流",IF(首页!$B$14="立式圆筒",(0.825+0.3063*I508^(1/6))^2+0.87*(M508/B508),(0.752+0.303*I508^(1/6))^2),0.3+SQRT((0.592*N508^0.5)^2+(0.0262*N508^0.8/(1-0.5/N508^0.1))^2))</f>
        <v>10061.857591744847</v>
      </c>
      <c r="P508" s="6">
        <f t="shared" si="75"/>
        <v>2.9510194925512497E-2</v>
      </c>
      <c r="Q508" s="6">
        <f t="shared" si="76"/>
        <v>5.3791191819771402</v>
      </c>
      <c r="R508" s="6">
        <f t="shared" si="77"/>
        <v>13.147852982479098</v>
      </c>
      <c r="S508" s="6">
        <f>IF($Y$2="按单位面积散热损失 qp",B508*LN(B508/首页!$B$4),LN(B508/首页!$B$4))</f>
        <v>2.5210408842232059</v>
      </c>
      <c r="T508" s="6">
        <f>IF($Y$2="按单位面积散热损失 qp",2*PI()*首页!$B$8*((E508-D508)/$Y$3-1/R508),2*PI()*首页!$B$8*((E508-D508)/$Y$4-1/(PI()*B508*R508)))</f>
        <v>4.0794823970408067E-2</v>
      </c>
      <c r="U508" t="str">
        <f t="shared" si="78"/>
        <v>按单位面积散热损失 qp</v>
      </c>
      <c r="V508" s="6">
        <f t="shared" si="79"/>
        <v>2.480246060252798</v>
      </c>
    </row>
    <row r="509" spans="1:22" x14ac:dyDescent="0.15">
      <c r="A509">
        <v>504</v>
      </c>
      <c r="B509" s="6">
        <f>首页!$B$4+2*A509/1000</f>
        <v>1.1280000000000001</v>
      </c>
      <c r="C509" s="6">
        <f>首页!$B$7+273.15</f>
        <v>388.15</v>
      </c>
      <c r="D509" s="6">
        <f>首页!$B$6+273.15</f>
        <v>293.14999999999998</v>
      </c>
      <c r="E509" s="6">
        <f>首页!$B$5+273.15</f>
        <v>1373.15</v>
      </c>
      <c r="F509" s="6">
        <f t="shared" si="70"/>
        <v>95</v>
      </c>
      <c r="G509" s="6">
        <f t="shared" si="71"/>
        <v>340.65</v>
      </c>
      <c r="H509" s="6">
        <f t="shared" si="72"/>
        <v>1.9926207055139041E-5</v>
      </c>
      <c r="I509" s="7">
        <f t="shared" si="73"/>
        <v>1158916576932337.8</v>
      </c>
      <c r="J509" s="6">
        <f t="shared" si="74"/>
        <v>1.0226038455893147</v>
      </c>
      <c r="K509" s="7">
        <f>J509*H509*首页!$B$12/P509</f>
        <v>0.69532757496605813</v>
      </c>
      <c r="L509" s="6">
        <f>首页!$B$9*0.0000000567*((C509^4-D509^4)/(C509-D509))</f>
        <v>7.7687338005019564</v>
      </c>
      <c r="M509" s="6">
        <f>IF(首页!$B$13="自然对流",IF(首页!$B$14="立式圆筒",首页!$B$10,PI()*B509/2),PI()*B509/2)</f>
        <v>55.2</v>
      </c>
      <c r="N509" s="7">
        <f>IF(首页!$B$13="强制对流",首页!$B$11*M509/H509,0)</f>
        <v>0</v>
      </c>
      <c r="O509" s="7">
        <f>IF(首页!$B$13="自然对流",IF(首页!$B$14="立式圆筒",(0.825+0.3063*I509^(1/6))^2+0.87*(M509/B509),(0.752+0.303*I509^(1/6))^2),0.3+SQRT((0.592*N509^0.5)^2+(0.0262*N509^0.8/(1-0.5/N509^0.1))^2))</f>
        <v>10061.781971020006</v>
      </c>
      <c r="P509" s="6">
        <f t="shared" si="75"/>
        <v>2.9510194925512497E-2</v>
      </c>
      <c r="Q509" s="6">
        <f t="shared" si="76"/>
        <v>5.3790787547610082</v>
      </c>
      <c r="R509" s="6">
        <f t="shared" si="77"/>
        <v>13.147812555262965</v>
      </c>
      <c r="S509" s="6">
        <f>IF($Y$2="按单位面积散热损失 qp",B509*LN(B509/首页!$B$4),LN(B509/首页!$B$4))</f>
        <v>2.5275205295032812</v>
      </c>
      <c r="T509" s="6">
        <f>IF($Y$2="按单位面积散热损失 qp",2*PI()*首页!$B$8*((E509-D509)/$Y$3-1/R509),2*PI()*首页!$B$8*((E509-D509)/$Y$4-1/(PI()*B509*R509)))</f>
        <v>4.0794757846597147E-2</v>
      </c>
      <c r="U509" t="str">
        <f t="shared" si="78"/>
        <v>按单位面积散热损失 qp</v>
      </c>
      <c r="V509" s="6">
        <f t="shared" si="79"/>
        <v>2.4867257716566842</v>
      </c>
    </row>
    <row r="510" spans="1:22" x14ac:dyDescent="0.15">
      <c r="A510">
        <v>505</v>
      </c>
      <c r="B510" s="6">
        <f>首页!$B$4+2*A510/1000</f>
        <v>1.1299999999999999</v>
      </c>
      <c r="C510" s="6">
        <f>首页!$B$7+273.15</f>
        <v>388.15</v>
      </c>
      <c r="D510" s="6">
        <f>首页!$B$6+273.15</f>
        <v>293.14999999999998</v>
      </c>
      <c r="E510" s="6">
        <f>首页!$B$5+273.15</f>
        <v>1373.15</v>
      </c>
      <c r="F510" s="6">
        <f t="shared" si="70"/>
        <v>95</v>
      </c>
      <c r="G510" s="6">
        <f t="shared" si="71"/>
        <v>340.65</v>
      </c>
      <c r="H510" s="6">
        <f t="shared" si="72"/>
        <v>1.9926207055139041E-5</v>
      </c>
      <c r="I510" s="7">
        <f t="shared" si="73"/>
        <v>1158916576932337.8</v>
      </c>
      <c r="J510" s="6">
        <f t="shared" si="74"/>
        <v>1.0226038455893147</v>
      </c>
      <c r="K510" s="7">
        <f>J510*H510*首页!$B$12/P510</f>
        <v>0.69532757496605813</v>
      </c>
      <c r="L510" s="6">
        <f>首页!$B$9*0.0000000567*((C510^4-D510^4)/(C510-D510))</f>
        <v>7.7687338005019564</v>
      </c>
      <c r="M510" s="6">
        <f>IF(首页!$B$13="自然对流",IF(首页!$B$14="立式圆筒",首页!$B$10,PI()*B510/2),PI()*B510/2)</f>
        <v>55.2</v>
      </c>
      <c r="N510" s="7">
        <f>IF(首页!$B$13="强制对流",首页!$B$11*M510/H510,0)</f>
        <v>0</v>
      </c>
      <c r="O510" s="7">
        <f>IF(首页!$B$13="自然对流",IF(首页!$B$14="立式圆筒",(0.825+0.3063*I510^(1/6))^2+0.87*(M510/B510),(0.752+0.303*I510^(1/6))^2),0.3+SQRT((0.592*N510^0.5)^2+(0.0262*N510^0.8/(1-0.5/N510^0.1))^2))</f>
        <v>10061.706617979147</v>
      </c>
      <c r="P510" s="6">
        <f t="shared" si="75"/>
        <v>2.9510194925512497E-2</v>
      </c>
      <c r="Q510" s="6">
        <f t="shared" si="76"/>
        <v>5.3790384706500669</v>
      </c>
      <c r="R510" s="6">
        <f t="shared" si="77"/>
        <v>13.147772271152023</v>
      </c>
      <c r="S510" s="6">
        <f>IF($Y$2="按单位面积散热损失 qp",B510*LN(B510/首页!$B$4),LN(B510/首页!$B$4))</f>
        <v>2.5340037208845039</v>
      </c>
      <c r="T510" s="6">
        <f>IF($Y$2="按单位面积散热损失 qp",2*PI()*首页!$B$8*((E510-D510)/$Y$3-1/R510),2*PI()*首页!$B$8*((E510-D510)/$Y$4-1/(PI()*B510*R510)))</f>
        <v>4.0794691956448317E-2</v>
      </c>
      <c r="U510" t="str">
        <f t="shared" si="78"/>
        <v>按单位面积散热损失 qp</v>
      </c>
      <c r="V510" s="6">
        <f t="shared" si="79"/>
        <v>2.4932090289280557</v>
      </c>
    </row>
    <row r="511" spans="1:22" x14ac:dyDescent="0.15">
      <c r="A511">
        <v>506</v>
      </c>
      <c r="B511" s="6">
        <f>首页!$B$4+2*A511/1000</f>
        <v>1.1320000000000001</v>
      </c>
      <c r="C511" s="6">
        <f>首页!$B$7+273.15</f>
        <v>388.15</v>
      </c>
      <c r="D511" s="6">
        <f>首页!$B$6+273.15</f>
        <v>293.14999999999998</v>
      </c>
      <c r="E511" s="6">
        <f>首页!$B$5+273.15</f>
        <v>1373.15</v>
      </c>
      <c r="F511" s="6">
        <f t="shared" si="70"/>
        <v>95</v>
      </c>
      <c r="G511" s="6">
        <f t="shared" si="71"/>
        <v>340.65</v>
      </c>
      <c r="H511" s="6">
        <f t="shared" si="72"/>
        <v>1.9926207055139041E-5</v>
      </c>
      <c r="I511" s="7">
        <f t="shared" si="73"/>
        <v>1158916576932337.8</v>
      </c>
      <c r="J511" s="6">
        <f t="shared" si="74"/>
        <v>1.0226038455893147</v>
      </c>
      <c r="K511" s="7">
        <f>J511*H511*首页!$B$12/P511</f>
        <v>0.69532757496605813</v>
      </c>
      <c r="L511" s="6">
        <f>首页!$B$9*0.0000000567*((C511^4-D511^4)/(C511-D511))</f>
        <v>7.7687338005019564</v>
      </c>
      <c r="M511" s="6">
        <f>IF(首页!$B$13="自然对流",IF(首页!$B$14="立式圆筒",首页!$B$10,PI()*B511/2),PI()*B511/2)</f>
        <v>55.2</v>
      </c>
      <c r="N511" s="7">
        <f>IF(首页!$B$13="强制对流",首页!$B$11*M511/H511,0)</f>
        <v>0</v>
      </c>
      <c r="O511" s="7">
        <f>IF(首页!$B$13="自然对流",IF(首页!$B$14="立式圆筒",(0.825+0.3063*I511^(1/6))^2+0.87*(M511/B511),(0.752+0.303*I511^(1/6))^2),0.3+SQRT((0.592*N511^0.5)^2+(0.0262*N511^0.8/(1-0.5/N511^0.1))^2))</f>
        <v>10061.631531203451</v>
      </c>
      <c r="P511" s="6">
        <f t="shared" si="75"/>
        <v>2.9510194925512497E-2</v>
      </c>
      <c r="Q511" s="6">
        <f t="shared" si="76"/>
        <v>5.3789983288858076</v>
      </c>
      <c r="R511" s="6">
        <f t="shared" si="77"/>
        <v>13.147732129387764</v>
      </c>
      <c r="S511" s="6">
        <f>IF($Y$2="按单位面积散热损失 qp",B511*LN(B511/首页!$B$4),LN(B511/首页!$B$4))</f>
        <v>2.5404904520905855</v>
      </c>
      <c r="T511" s="6">
        <f>IF($Y$2="按单位面积散热损失 qp",2*PI()*首页!$B$8*((E511-D511)/$Y$3-1/R511),2*PI()*首页!$B$8*((E511-D511)/$Y$4-1/(PI()*B511*R511)))</f>
        <v>4.0794626298725253E-2</v>
      </c>
      <c r="U511" t="str">
        <f t="shared" si="78"/>
        <v>按单位面积散热损失 qp</v>
      </c>
      <c r="V511" s="6">
        <f t="shared" si="79"/>
        <v>2.4996958257918602</v>
      </c>
    </row>
    <row r="512" spans="1:22" x14ac:dyDescent="0.15">
      <c r="A512">
        <v>507</v>
      </c>
      <c r="B512" s="6">
        <f>首页!$B$4+2*A512/1000</f>
        <v>1.1339999999999999</v>
      </c>
      <c r="C512" s="6">
        <f>首页!$B$7+273.15</f>
        <v>388.15</v>
      </c>
      <c r="D512" s="6">
        <f>首页!$B$6+273.15</f>
        <v>293.14999999999998</v>
      </c>
      <c r="E512" s="6">
        <f>首页!$B$5+273.15</f>
        <v>1373.15</v>
      </c>
      <c r="F512" s="6">
        <f t="shared" si="70"/>
        <v>95</v>
      </c>
      <c r="G512" s="6">
        <f t="shared" si="71"/>
        <v>340.65</v>
      </c>
      <c r="H512" s="6">
        <f t="shared" si="72"/>
        <v>1.9926207055139041E-5</v>
      </c>
      <c r="I512" s="7">
        <f t="shared" si="73"/>
        <v>1158916576932337.8</v>
      </c>
      <c r="J512" s="6">
        <f t="shared" si="74"/>
        <v>1.0226038455893147</v>
      </c>
      <c r="K512" s="7">
        <f>J512*H512*首页!$B$12/P512</f>
        <v>0.69532757496605813</v>
      </c>
      <c r="L512" s="6">
        <f>首页!$B$9*0.0000000567*((C512^4-D512^4)/(C512-D512))</f>
        <v>7.7687338005019564</v>
      </c>
      <c r="M512" s="6">
        <f>IF(首页!$B$13="自然对流",IF(首页!$B$14="立式圆筒",首页!$B$10,PI()*B512/2),PI()*B512/2)</f>
        <v>55.2</v>
      </c>
      <c r="N512" s="7">
        <f>IF(首页!$B$13="强制对流",首页!$B$11*M512/H512,0)</f>
        <v>0</v>
      </c>
      <c r="O512" s="7">
        <f>IF(首页!$B$13="自然对流",IF(首页!$B$14="立式圆筒",(0.825+0.3063*I512^(1/6))^2+0.87*(M512/B512),(0.752+0.303*I512^(1/6))^2),0.3+SQRT((0.592*N512^0.5)^2+(0.0262*N512^0.8/(1-0.5/N512^0.1))^2))</f>
        <v>10061.556709284107</v>
      </c>
      <c r="P512" s="6">
        <f t="shared" si="75"/>
        <v>2.9510194925512497E-2</v>
      </c>
      <c r="Q512" s="6">
        <f t="shared" si="76"/>
        <v>5.3789583287150728</v>
      </c>
      <c r="R512" s="6">
        <f t="shared" si="77"/>
        <v>13.147692129217029</v>
      </c>
      <c r="S512" s="6">
        <f>IF($Y$2="按单位面积散热损失 qp",B512*LN(B512/首页!$B$4),LN(B512/首页!$B$4))</f>
        <v>2.5469807168674081</v>
      </c>
      <c r="T512" s="6">
        <f>IF($Y$2="按单位面积散热损失 qp",2*PI()*首页!$B$8*((E512-D512)/$Y$3-1/R512),2*PI()*首页!$B$8*((E512-D512)/$Y$4-1/(PI()*B512*R512)))</f>
        <v>4.0794560872200285E-2</v>
      </c>
      <c r="U512" t="str">
        <f t="shared" si="78"/>
        <v>按单位面积散热损失 qp</v>
      </c>
      <c r="V512" s="6">
        <f t="shared" si="79"/>
        <v>2.5061861559952079</v>
      </c>
    </row>
    <row r="513" spans="1:22" x14ac:dyDescent="0.15">
      <c r="A513">
        <v>508</v>
      </c>
      <c r="B513" s="6">
        <f>首页!$B$4+2*A513/1000</f>
        <v>1.1360000000000001</v>
      </c>
      <c r="C513" s="6">
        <f>首页!$B$7+273.15</f>
        <v>388.15</v>
      </c>
      <c r="D513" s="6">
        <f>首页!$B$6+273.15</f>
        <v>293.14999999999998</v>
      </c>
      <c r="E513" s="6">
        <f>首页!$B$5+273.15</f>
        <v>1373.15</v>
      </c>
      <c r="F513" s="6">
        <f t="shared" si="70"/>
        <v>95</v>
      </c>
      <c r="G513" s="6">
        <f t="shared" si="71"/>
        <v>340.65</v>
      </c>
      <c r="H513" s="6">
        <f t="shared" si="72"/>
        <v>1.9926207055139041E-5</v>
      </c>
      <c r="I513" s="7">
        <f t="shared" si="73"/>
        <v>1158916576932337.8</v>
      </c>
      <c r="J513" s="6">
        <f t="shared" si="74"/>
        <v>1.0226038455893147</v>
      </c>
      <c r="K513" s="7">
        <f>J513*H513*首页!$B$12/P513</f>
        <v>0.69532757496605813</v>
      </c>
      <c r="L513" s="6">
        <f>首页!$B$9*0.0000000567*((C513^4-D513^4)/(C513-D513))</f>
        <v>7.7687338005019564</v>
      </c>
      <c r="M513" s="6">
        <f>IF(首页!$B$13="自然对流",IF(首页!$B$14="立式圆筒",首页!$B$10,PI()*B513/2),PI()*B513/2)</f>
        <v>55.2</v>
      </c>
      <c r="N513" s="7">
        <f>IF(首页!$B$13="强制对流",首页!$B$11*M513/H513,0)</f>
        <v>0</v>
      </c>
      <c r="O513" s="7">
        <f>IF(首页!$B$13="自然对流",IF(首页!$B$14="立式圆筒",(0.825+0.3063*I513^(1/6))^2+0.87*(M513/B513),(0.752+0.303*I513^(1/6))^2),0.3+SQRT((0.592*N513^0.5)^2+(0.0262*N513^0.8/(1-0.5/N513^0.1))^2))</f>
        <v>10061.482150822223</v>
      </c>
      <c r="P513" s="6">
        <f t="shared" si="75"/>
        <v>2.9510194925512497E-2</v>
      </c>
      <c r="Q513" s="6">
        <f t="shared" si="76"/>
        <v>5.3789184693900092</v>
      </c>
      <c r="R513" s="6">
        <f t="shared" si="77"/>
        <v>13.147652269891966</v>
      </c>
      <c r="S513" s="6">
        <f>IF($Y$2="按单位面积散热损失 qp",B513*LN(B513/首页!$B$4),LN(B513/首页!$B$4))</f>
        <v>2.5534745089829221</v>
      </c>
      <c r="T513" s="6">
        <f>IF($Y$2="按单位面积散热损失 qp",2*PI()*首页!$B$8*((E513-D513)/$Y$3-1/R513),2*PI()*首页!$B$8*((E513-D513)/$Y$4-1/(PI()*B513*R513)))</f>
        <v>4.0794495675654394E-2</v>
      </c>
      <c r="U513" t="str">
        <f t="shared" si="78"/>
        <v>按单位面积散热损失 qp</v>
      </c>
      <c r="V513" s="6">
        <f t="shared" si="79"/>
        <v>2.5126800133072678</v>
      </c>
    </row>
    <row r="514" spans="1:22" x14ac:dyDescent="0.15">
      <c r="A514">
        <v>509</v>
      </c>
      <c r="B514" s="6">
        <f>首页!$B$4+2*A514/1000</f>
        <v>1.1379999999999999</v>
      </c>
      <c r="C514" s="6">
        <f>首页!$B$7+273.15</f>
        <v>388.15</v>
      </c>
      <c r="D514" s="6">
        <f>首页!$B$6+273.15</f>
        <v>293.14999999999998</v>
      </c>
      <c r="E514" s="6">
        <f>首页!$B$5+273.15</f>
        <v>1373.15</v>
      </c>
      <c r="F514" s="6">
        <f t="shared" si="70"/>
        <v>95</v>
      </c>
      <c r="G514" s="6">
        <f t="shared" si="71"/>
        <v>340.65</v>
      </c>
      <c r="H514" s="6">
        <f t="shared" si="72"/>
        <v>1.9926207055139041E-5</v>
      </c>
      <c r="I514" s="7">
        <f t="shared" si="73"/>
        <v>1158916576932337.8</v>
      </c>
      <c r="J514" s="6">
        <f t="shared" si="74"/>
        <v>1.0226038455893147</v>
      </c>
      <c r="K514" s="7">
        <f>J514*H514*首页!$B$12/P514</f>
        <v>0.69532757496605813</v>
      </c>
      <c r="L514" s="6">
        <f>首页!$B$9*0.0000000567*((C514^4-D514^4)/(C514-D514))</f>
        <v>7.7687338005019564</v>
      </c>
      <c r="M514" s="6">
        <f>IF(首页!$B$13="自然对流",IF(首页!$B$14="立式圆筒",首页!$B$10,PI()*B514/2),PI()*B514/2)</f>
        <v>55.2</v>
      </c>
      <c r="N514" s="7">
        <f>IF(首页!$B$13="强制对流",首页!$B$11*M514/H514,0)</f>
        <v>0</v>
      </c>
      <c r="O514" s="7">
        <f>IF(首页!$B$13="自然对流",IF(首页!$B$14="立式圆筒",(0.825+0.3063*I514^(1/6))^2+0.87*(M514/B514),(0.752+0.303*I514^(1/6))^2),0.3+SQRT((0.592*N514^0.5)^2+(0.0262*N514^0.8/(1-0.5/N514^0.1))^2))</f>
        <v>10061.407854428749</v>
      </c>
      <c r="P514" s="6">
        <f t="shared" si="75"/>
        <v>2.9510194925512497E-2</v>
      </c>
      <c r="Q514" s="6">
        <f t="shared" si="76"/>
        <v>5.3788787501680222</v>
      </c>
      <c r="R514" s="6">
        <f t="shared" si="77"/>
        <v>13.147612550669979</v>
      </c>
      <c r="S514" s="6">
        <f>IF($Y$2="按单位面积散热损失 qp",B514*LN(B514/首页!$B$4),LN(B514/首页!$B$4))</f>
        <v>2.5599718222270136</v>
      </c>
      <c r="T514" s="6">
        <f>IF($Y$2="按单位面积散热损失 qp",2*PI()*首页!$B$8*((E514-D514)/$Y$3-1/R514),2*PI()*首页!$B$8*((E514-D514)/$Y$4-1/(PI()*B514*R514)))</f>
        <v>4.0794430707877138E-2</v>
      </c>
      <c r="U514" t="str">
        <f t="shared" si="78"/>
        <v>按单位面积散热损失 qp</v>
      </c>
      <c r="V514" s="6">
        <f t="shared" si="79"/>
        <v>2.5191773915191362</v>
      </c>
    </row>
    <row r="515" spans="1:22" x14ac:dyDescent="0.15">
      <c r="A515">
        <v>510</v>
      </c>
      <c r="B515" s="6">
        <f>首页!$B$4+2*A515/1000</f>
        <v>1.1400000000000001</v>
      </c>
      <c r="C515" s="6">
        <f>首页!$B$7+273.15</f>
        <v>388.15</v>
      </c>
      <c r="D515" s="6">
        <f>首页!$B$6+273.15</f>
        <v>293.14999999999998</v>
      </c>
      <c r="E515" s="6">
        <f>首页!$B$5+273.15</f>
        <v>1373.15</v>
      </c>
      <c r="F515" s="6">
        <f t="shared" si="70"/>
        <v>95</v>
      </c>
      <c r="G515" s="6">
        <f t="shared" si="71"/>
        <v>340.65</v>
      </c>
      <c r="H515" s="6">
        <f t="shared" si="72"/>
        <v>1.9926207055139041E-5</v>
      </c>
      <c r="I515" s="7">
        <f t="shared" si="73"/>
        <v>1158916576932337.8</v>
      </c>
      <c r="J515" s="6">
        <f t="shared" si="74"/>
        <v>1.0226038455893147</v>
      </c>
      <c r="K515" s="7">
        <f>J515*H515*首页!$B$12/P515</f>
        <v>0.69532757496605813</v>
      </c>
      <c r="L515" s="6">
        <f>首页!$B$9*0.0000000567*((C515^4-D515^4)/(C515-D515))</f>
        <v>7.7687338005019564</v>
      </c>
      <c r="M515" s="6">
        <f>IF(首页!$B$13="自然对流",IF(首页!$B$14="立式圆筒",首页!$B$10,PI()*B515/2),PI()*B515/2)</f>
        <v>55.2</v>
      </c>
      <c r="N515" s="7">
        <f>IF(首页!$B$13="强制对流",首页!$B$11*M515/H515,0)</f>
        <v>0</v>
      </c>
      <c r="O515" s="7">
        <f>IF(首页!$B$13="自然对流",IF(首页!$B$14="立式圆筒",(0.825+0.3063*I515^(1/6))^2+0.87*(M515/B515),(0.752+0.303*I515^(1/6))^2),0.3+SQRT((0.592*N515^0.5)^2+(0.0262*N515^0.8/(1-0.5/N515^0.1))^2))</f>
        <v>10061.333818724373</v>
      </c>
      <c r="P515" s="6">
        <f t="shared" si="75"/>
        <v>2.9510194925512497E-2</v>
      </c>
      <c r="Q515" s="6">
        <f t="shared" si="76"/>
        <v>5.3788391703117258</v>
      </c>
      <c r="R515" s="6">
        <f t="shared" si="77"/>
        <v>13.147572970813682</v>
      </c>
      <c r="S515" s="6">
        <f>IF($Y$2="按单位面积散热损失 qp",B515*LN(B515/首页!$B$4),LN(B515/首页!$B$4))</f>
        <v>2.5664726504114048</v>
      </c>
      <c r="T515" s="6">
        <f>IF($Y$2="按单位面积散热损失 qp",2*PI()*首页!$B$8*((E515-D515)/$Y$3-1/R515),2*PI()*首页!$B$8*((E515-D515)/$Y$4-1/(PI()*B515*R515)))</f>
        <v>4.0794365967666509E-2</v>
      </c>
      <c r="U515" t="str">
        <f t="shared" si="78"/>
        <v>按单位面积散热损失 qp</v>
      </c>
      <c r="V515" s="6">
        <f t="shared" si="79"/>
        <v>2.5256782844437384</v>
      </c>
    </row>
    <row r="516" spans="1:22" x14ac:dyDescent="0.15">
      <c r="A516">
        <v>511</v>
      </c>
      <c r="B516" s="6">
        <f>首页!$B$4+2*A516/1000</f>
        <v>1.1419999999999999</v>
      </c>
      <c r="C516" s="6">
        <f>首页!$B$7+273.15</f>
        <v>388.15</v>
      </c>
      <c r="D516" s="6">
        <f>首页!$B$6+273.15</f>
        <v>293.14999999999998</v>
      </c>
      <c r="E516" s="6">
        <f>首页!$B$5+273.15</f>
        <v>1373.15</v>
      </c>
      <c r="F516" s="6">
        <f t="shared" si="70"/>
        <v>95</v>
      </c>
      <c r="G516" s="6">
        <f t="shared" si="71"/>
        <v>340.65</v>
      </c>
      <c r="H516" s="6">
        <f t="shared" si="72"/>
        <v>1.9926207055139041E-5</v>
      </c>
      <c r="I516" s="7">
        <f t="shared" si="73"/>
        <v>1158916576932337.8</v>
      </c>
      <c r="J516" s="6">
        <f t="shared" si="74"/>
        <v>1.0226038455893147</v>
      </c>
      <c r="K516" s="7">
        <f>J516*H516*首页!$B$12/P516</f>
        <v>0.69532757496605813</v>
      </c>
      <c r="L516" s="6">
        <f>首页!$B$9*0.0000000567*((C516^4-D516^4)/(C516-D516))</f>
        <v>7.7687338005019564</v>
      </c>
      <c r="M516" s="6">
        <f>IF(首页!$B$13="自然对流",IF(首页!$B$14="立式圆筒",首页!$B$10,PI()*B516/2),PI()*B516/2)</f>
        <v>55.2</v>
      </c>
      <c r="N516" s="7">
        <f>IF(首页!$B$13="强制对流",首页!$B$11*M516/H516,0)</f>
        <v>0</v>
      </c>
      <c r="O516" s="7">
        <f>IF(首页!$B$13="自然对流",IF(首页!$B$14="立式圆筒",(0.825+0.3063*I516^(1/6))^2+0.87*(M516/B516),(0.752+0.303*I516^(1/6))^2),0.3+SQRT((0.592*N516^0.5)^2+(0.0262*N516^0.8/(1-0.5/N516^0.1))^2))</f>
        <v>10061.260042339452</v>
      </c>
      <c r="P516" s="6">
        <f t="shared" si="75"/>
        <v>2.9510194925512497E-2</v>
      </c>
      <c r="Q516" s="6">
        <f t="shared" si="76"/>
        <v>5.3787997290889011</v>
      </c>
      <c r="R516" s="6">
        <f t="shared" si="77"/>
        <v>13.147533529590858</v>
      </c>
      <c r="S516" s="6">
        <f>IF($Y$2="按单位面积散热损失 qp",B516*LN(B516/首页!$B$4),LN(B516/首页!$B$4))</f>
        <v>2.5729769873695245</v>
      </c>
      <c r="T516" s="6">
        <f>IF($Y$2="按单位面积散热损失 qp",2*PI()*首页!$B$8*((E516-D516)/$Y$3-1/R516),2*PI()*首页!$B$8*((E516-D516)/$Y$4-1/(PI()*B516*R516)))</f>
        <v>4.0794301453828931E-2</v>
      </c>
      <c r="U516" t="str">
        <f t="shared" si="78"/>
        <v>按单位面积散热损失 qp</v>
      </c>
      <c r="V516" s="6">
        <f t="shared" si="79"/>
        <v>2.5321826859156955</v>
      </c>
    </row>
    <row r="517" spans="1:22" x14ac:dyDescent="0.15">
      <c r="A517">
        <v>512</v>
      </c>
      <c r="B517" s="6">
        <f>首页!$B$4+2*A517/1000</f>
        <v>1.1440000000000001</v>
      </c>
      <c r="C517" s="6">
        <f>首页!$B$7+273.15</f>
        <v>388.15</v>
      </c>
      <c r="D517" s="6">
        <f>首页!$B$6+273.15</f>
        <v>293.14999999999998</v>
      </c>
      <c r="E517" s="6">
        <f>首页!$B$5+273.15</f>
        <v>1373.15</v>
      </c>
      <c r="F517" s="6">
        <f t="shared" ref="F517:F580" si="80">C517-D517</f>
        <v>95</v>
      </c>
      <c r="G517" s="6">
        <f t="shared" ref="G517:G580" si="81">(C517+D517)/2</f>
        <v>340.65</v>
      </c>
      <c r="H517" s="6">
        <f t="shared" ref="H517:H580" si="82">0.0000000042113*G517^2.5/(112+G517)</f>
        <v>1.9926207055139041E-5</v>
      </c>
      <c r="I517" s="7">
        <f t="shared" ref="I517:I580" si="83">9.81*M517^3*F517/(H517^2*G517)</f>
        <v>1158916576932337.8</v>
      </c>
      <c r="J517" s="6">
        <f t="shared" ref="J517:J580" si="84">348.35/G517</f>
        <v>1.0226038455893147</v>
      </c>
      <c r="K517" s="7">
        <f>J517*H517*首页!$B$12/P517</f>
        <v>0.69532757496605813</v>
      </c>
      <c r="L517" s="6">
        <f>首页!$B$9*0.0000000567*((C517^4-D517^4)/(C517-D517))</f>
        <v>7.7687338005019564</v>
      </c>
      <c r="M517" s="6">
        <f>IF(首页!$B$13="自然对流",IF(首页!$B$14="立式圆筒",首页!$B$10,PI()*B517/2),PI()*B517/2)</f>
        <v>55.2</v>
      </c>
      <c r="N517" s="7">
        <f>IF(首页!$B$13="强制对流",首页!$B$11*M517/H517,0)</f>
        <v>0</v>
      </c>
      <c r="O517" s="7">
        <f>IF(首页!$B$13="自然对流",IF(首页!$B$14="立式圆筒",(0.825+0.3063*I517^(1/6))^2+0.87*(M517/B517),(0.752+0.303*I517^(1/6))^2),0.3+SQRT((0.592*N517^0.5)^2+(0.0262*N517^0.8/(1-0.5/N517^0.1))^2))</f>
        <v>10061.186523913921</v>
      </c>
      <c r="P517" s="6">
        <f t="shared" ref="P517:P580" si="85">0.0243+0.000078421*(G517-273)-0.000000020755*(G517-273)^2</f>
        <v>2.9510194925512497E-2</v>
      </c>
      <c r="Q517" s="6">
        <f t="shared" ref="Q517:Q580" si="86">O517*P517/M517</f>
        <v>5.3787604257724508</v>
      </c>
      <c r="R517" s="6">
        <f t="shared" ref="R517:R580" si="87">L517+Q517</f>
        <v>13.147494226274407</v>
      </c>
      <c r="S517" s="6">
        <f>IF($Y$2="按单位面积散热损失 qp",B517*LN(B517/首页!$B$4),LN(B517/首页!$B$4))</f>
        <v>2.5794848269564059</v>
      </c>
      <c r="T517" s="6">
        <f>IF($Y$2="按单位面积散热损失 qp",2*PI()*首页!$B$8*((E517-D517)/$Y$3-1/R517),2*PI()*首页!$B$8*((E517-D517)/$Y$4-1/(PI()*B517*R517)))</f>
        <v>4.079423716517918E-2</v>
      </c>
      <c r="U517" t="str">
        <f t="shared" ref="U517:U580" si="88">IF($Y$2="按单位面积散热损失 qp","按单位面积散热损失 qp","按单位长度散热损失 ql")</f>
        <v>按单位面积散热损失 qp</v>
      </c>
      <c r="V517" s="6">
        <f t="shared" ref="V517:V580" si="89">ABS(S517-T517)</f>
        <v>2.5386905897912269</v>
      </c>
    </row>
    <row r="518" spans="1:22" x14ac:dyDescent="0.15">
      <c r="A518">
        <v>513</v>
      </c>
      <c r="B518" s="6">
        <f>首页!$B$4+2*A518/1000</f>
        <v>1.1459999999999999</v>
      </c>
      <c r="C518" s="6">
        <f>首页!$B$7+273.15</f>
        <v>388.15</v>
      </c>
      <c r="D518" s="6">
        <f>首页!$B$6+273.15</f>
        <v>293.14999999999998</v>
      </c>
      <c r="E518" s="6">
        <f>首页!$B$5+273.15</f>
        <v>1373.15</v>
      </c>
      <c r="F518" s="6">
        <f t="shared" si="80"/>
        <v>95</v>
      </c>
      <c r="G518" s="6">
        <f t="shared" si="81"/>
        <v>340.65</v>
      </c>
      <c r="H518" s="6">
        <f t="shared" si="82"/>
        <v>1.9926207055139041E-5</v>
      </c>
      <c r="I518" s="7">
        <f t="shared" si="83"/>
        <v>1158916576932337.8</v>
      </c>
      <c r="J518" s="6">
        <f t="shared" si="84"/>
        <v>1.0226038455893147</v>
      </c>
      <c r="K518" s="7">
        <f>J518*H518*首页!$B$12/P518</f>
        <v>0.69532757496605813</v>
      </c>
      <c r="L518" s="6">
        <f>首页!$B$9*0.0000000567*((C518^4-D518^4)/(C518-D518))</f>
        <v>7.7687338005019564</v>
      </c>
      <c r="M518" s="6">
        <f>IF(首页!$B$13="自然对流",IF(首页!$B$14="立式圆筒",首页!$B$10,PI()*B518/2),PI()*B518/2)</f>
        <v>55.2</v>
      </c>
      <c r="N518" s="7">
        <f>IF(首页!$B$13="强制对流",首页!$B$11*M518/H518,0)</f>
        <v>0</v>
      </c>
      <c r="O518" s="7">
        <f>IF(首页!$B$13="自然对流",IF(首页!$B$14="立式圆筒",(0.825+0.3063*I518^(1/6))^2+0.87*(M518/B518),(0.752+0.303*I518^(1/6))^2),0.3+SQRT((0.592*N518^0.5)^2+(0.0262*N518^0.8/(1-0.5/N518^0.1))^2))</f>
        <v>10061.113262097204</v>
      </c>
      <c r="P518" s="6">
        <f t="shared" si="85"/>
        <v>2.9510194925512497E-2</v>
      </c>
      <c r="Q518" s="6">
        <f t="shared" si="86"/>
        <v>5.3787212596403515</v>
      </c>
      <c r="R518" s="6">
        <f t="shared" si="87"/>
        <v>13.147455060142308</v>
      </c>
      <c r="S518" s="6">
        <f>IF($Y$2="按单位面积散热损失 qp",B518*LN(B518/首页!$B$4),LN(B518/首页!$B$4))</f>
        <v>2.5859961630485637</v>
      </c>
      <c r="T518" s="6">
        <f>IF($Y$2="按单位面积散热损失 qp",2*PI()*首页!$B$8*((E518-D518)/$Y$3-1/R518),2*PI()*首页!$B$8*((E518-D518)/$Y$4-1/(PI()*B518*R518)))</f>
        <v>4.0794173100540267E-2</v>
      </c>
      <c r="U518" t="str">
        <f t="shared" si="88"/>
        <v>按单位面积散热损失 qp</v>
      </c>
      <c r="V518" s="6">
        <f t="shared" si="89"/>
        <v>2.5452019899480236</v>
      </c>
    </row>
    <row r="519" spans="1:22" x14ac:dyDescent="0.15">
      <c r="A519">
        <v>514</v>
      </c>
      <c r="B519" s="6">
        <f>首页!$B$4+2*A519/1000</f>
        <v>1.1480000000000001</v>
      </c>
      <c r="C519" s="6">
        <f>首页!$B$7+273.15</f>
        <v>388.15</v>
      </c>
      <c r="D519" s="6">
        <f>首页!$B$6+273.15</f>
        <v>293.14999999999998</v>
      </c>
      <c r="E519" s="6">
        <f>首页!$B$5+273.15</f>
        <v>1373.15</v>
      </c>
      <c r="F519" s="6">
        <f t="shared" si="80"/>
        <v>95</v>
      </c>
      <c r="G519" s="6">
        <f t="shared" si="81"/>
        <v>340.65</v>
      </c>
      <c r="H519" s="6">
        <f t="shared" si="82"/>
        <v>1.9926207055139041E-5</v>
      </c>
      <c r="I519" s="7">
        <f t="shared" si="83"/>
        <v>1158916576932337.8</v>
      </c>
      <c r="J519" s="6">
        <f t="shared" si="84"/>
        <v>1.0226038455893147</v>
      </c>
      <c r="K519" s="7">
        <f>J519*H519*首页!$B$12/P519</f>
        <v>0.69532757496605813</v>
      </c>
      <c r="L519" s="6">
        <f>首页!$B$9*0.0000000567*((C519^4-D519^4)/(C519-D519))</f>
        <v>7.7687338005019564</v>
      </c>
      <c r="M519" s="6">
        <f>IF(首页!$B$13="自然对流",IF(首页!$B$14="立式圆筒",首页!$B$10,PI()*B519/2),PI()*B519/2)</f>
        <v>55.2</v>
      </c>
      <c r="N519" s="7">
        <f>IF(首页!$B$13="强制对流",首页!$B$11*M519/H519,0)</f>
        <v>0</v>
      </c>
      <c r="O519" s="7">
        <f>IF(首页!$B$13="自然对流",IF(首页!$B$14="立式圆筒",(0.825+0.3063*I519^(1/6))^2+0.87*(M519/B519),(0.752+0.303*I519^(1/6))^2),0.3+SQRT((0.592*N519^0.5)^2+(0.0262*N519^0.8/(1-0.5/N519^0.1))^2))</f>
        <v>10061.04025554814</v>
      </c>
      <c r="P519" s="6">
        <f t="shared" si="85"/>
        <v>2.9510194925512497E-2</v>
      </c>
      <c r="Q519" s="6">
        <f t="shared" si="86"/>
        <v>5.3786822299756096</v>
      </c>
      <c r="R519" s="6">
        <f t="shared" si="87"/>
        <v>13.147416030477565</v>
      </c>
      <c r="S519" s="6">
        <f>IF($Y$2="按单位面积散热损失 qp",B519*LN(B519/首页!$B$4),LN(B519/首页!$B$4))</f>
        <v>2.5925109895438911</v>
      </c>
      <c r="T519" s="6">
        <f>IF($Y$2="按单位面积散热损失 qp",2*PI()*首页!$B$8*((E519-D519)/$Y$3-1/R519),2*PI()*首页!$B$8*((E519-D519)/$Y$4-1/(PI()*B519*R519)))</f>
        <v>4.0794109258743369E-2</v>
      </c>
      <c r="U519" t="str">
        <f t="shared" si="88"/>
        <v>按单位面积散热损失 qp</v>
      </c>
      <c r="V519" s="6">
        <f t="shared" si="89"/>
        <v>2.5517168802851478</v>
      </c>
    </row>
    <row r="520" spans="1:22" x14ac:dyDescent="0.15">
      <c r="A520">
        <v>515</v>
      </c>
      <c r="B520" s="6">
        <f>首页!$B$4+2*A520/1000</f>
        <v>1.1499999999999999</v>
      </c>
      <c r="C520" s="6">
        <f>首页!$B$7+273.15</f>
        <v>388.15</v>
      </c>
      <c r="D520" s="6">
        <f>首页!$B$6+273.15</f>
        <v>293.14999999999998</v>
      </c>
      <c r="E520" s="6">
        <f>首页!$B$5+273.15</f>
        <v>1373.15</v>
      </c>
      <c r="F520" s="6">
        <f t="shared" si="80"/>
        <v>95</v>
      </c>
      <c r="G520" s="6">
        <f t="shared" si="81"/>
        <v>340.65</v>
      </c>
      <c r="H520" s="6">
        <f t="shared" si="82"/>
        <v>1.9926207055139041E-5</v>
      </c>
      <c r="I520" s="7">
        <f t="shared" si="83"/>
        <v>1158916576932337.8</v>
      </c>
      <c r="J520" s="6">
        <f t="shared" si="84"/>
        <v>1.0226038455893147</v>
      </c>
      <c r="K520" s="7">
        <f>J520*H520*首页!$B$12/P520</f>
        <v>0.69532757496605813</v>
      </c>
      <c r="L520" s="6">
        <f>首页!$B$9*0.0000000567*((C520^4-D520^4)/(C520-D520))</f>
        <v>7.7687338005019564</v>
      </c>
      <c r="M520" s="6">
        <f>IF(首页!$B$13="自然对流",IF(首页!$B$14="立式圆筒",首页!$B$10,PI()*B520/2),PI()*B520/2)</f>
        <v>55.2</v>
      </c>
      <c r="N520" s="7">
        <f>IF(首页!$B$13="强制对流",首页!$B$11*M520/H520,0)</f>
        <v>0</v>
      </c>
      <c r="O520" s="7">
        <f>IF(首页!$B$13="自然对流",IF(首页!$B$14="立式圆筒",(0.825+0.3063*I520^(1/6))^2+0.87*(M520/B520),(0.752+0.303*I520^(1/6))^2),0.3+SQRT((0.592*N520^0.5)^2+(0.0262*N520^0.8/(1-0.5/N520^0.1))^2))</f>
        <v>10060.9675029349</v>
      </c>
      <c r="P520" s="6">
        <f t="shared" si="85"/>
        <v>2.9510194925512497E-2</v>
      </c>
      <c r="Q520" s="6">
        <f t="shared" si="86"/>
        <v>5.3786433360662249</v>
      </c>
      <c r="R520" s="6">
        <f t="shared" si="87"/>
        <v>13.147377136568181</v>
      </c>
      <c r="S520" s="6">
        <f>IF($Y$2="按单位面积散热损失 qp",B520*LN(B520/首页!$B$4),LN(B520/首页!$B$4))</f>
        <v>2.5990293003615372</v>
      </c>
      <c r="T520" s="6">
        <f>IF($Y$2="按单位面积散热损失 qp",2*PI()*首页!$B$8*((E520-D520)/$Y$3-1/R520),2*PI()*首页!$B$8*((E520-D520)/$Y$4-1/(PI()*B520*R520)))</f>
        <v>4.0794045638627846E-2</v>
      </c>
      <c r="U520" t="str">
        <f t="shared" si="88"/>
        <v>按单位面积散热损失 qp</v>
      </c>
      <c r="V520" s="6">
        <f t="shared" si="89"/>
        <v>2.5582352547229092</v>
      </c>
    </row>
    <row r="521" spans="1:22" x14ac:dyDescent="0.15">
      <c r="A521">
        <v>516</v>
      </c>
      <c r="B521" s="6">
        <f>首页!$B$4+2*A521/1000</f>
        <v>1.1520000000000001</v>
      </c>
      <c r="C521" s="6">
        <f>首页!$B$7+273.15</f>
        <v>388.15</v>
      </c>
      <c r="D521" s="6">
        <f>首页!$B$6+273.15</f>
        <v>293.14999999999998</v>
      </c>
      <c r="E521" s="6">
        <f>首页!$B$5+273.15</f>
        <v>1373.15</v>
      </c>
      <c r="F521" s="6">
        <f t="shared" si="80"/>
        <v>95</v>
      </c>
      <c r="G521" s="6">
        <f t="shared" si="81"/>
        <v>340.65</v>
      </c>
      <c r="H521" s="6">
        <f t="shared" si="82"/>
        <v>1.9926207055139041E-5</v>
      </c>
      <c r="I521" s="7">
        <f t="shared" si="83"/>
        <v>1158916576932337.8</v>
      </c>
      <c r="J521" s="6">
        <f t="shared" si="84"/>
        <v>1.0226038455893147</v>
      </c>
      <c r="K521" s="7">
        <f>J521*H521*首页!$B$12/P521</f>
        <v>0.69532757496605813</v>
      </c>
      <c r="L521" s="6">
        <f>首页!$B$9*0.0000000567*((C521^4-D521^4)/(C521-D521))</f>
        <v>7.7687338005019564</v>
      </c>
      <c r="M521" s="6">
        <f>IF(首页!$B$13="自然对流",IF(首页!$B$14="立式圆筒",首页!$B$10,PI()*B521/2),PI()*B521/2)</f>
        <v>55.2</v>
      </c>
      <c r="N521" s="7">
        <f>IF(首页!$B$13="强制对流",首页!$B$11*M521/H521,0)</f>
        <v>0</v>
      </c>
      <c r="O521" s="7">
        <f>IF(首页!$B$13="自然对流",IF(首页!$B$14="立式圆筒",(0.825+0.3063*I521^(1/6))^2+0.87*(M521/B521),(0.752+0.303*I521^(1/6))^2),0.3+SQRT((0.592*N521^0.5)^2+(0.0262*N521^0.8/(1-0.5/N521^0.1))^2))</f>
        <v>10060.8950029349</v>
      </c>
      <c r="P521" s="6">
        <f t="shared" si="85"/>
        <v>2.9510194925512497E-2</v>
      </c>
      <c r="Q521" s="6">
        <f t="shared" si="86"/>
        <v>5.3786045772051363</v>
      </c>
      <c r="R521" s="6">
        <f t="shared" si="87"/>
        <v>13.147338377707094</v>
      </c>
      <c r="S521" s="6">
        <f>IF($Y$2="按单位面积散热损失 qp",B521*LN(B521/首页!$B$4),LN(B521/首页!$B$4))</f>
        <v>2.605551089441807</v>
      </c>
      <c r="T521" s="6">
        <f>IF($Y$2="按单位面积散热损失 qp",2*PI()*首页!$B$8*((E521-D521)/$Y$3-1/R521),2*PI()*首页!$B$8*((E521-D521)/$Y$4-1/(PI()*B521*R521)))</f>
        <v>4.0793982239041029E-2</v>
      </c>
      <c r="U521" t="str">
        <f t="shared" si="88"/>
        <v>按单位面积散热损失 qp</v>
      </c>
      <c r="V521" s="6">
        <f t="shared" si="89"/>
        <v>2.564757107202766</v>
      </c>
    </row>
    <row r="522" spans="1:22" x14ac:dyDescent="0.15">
      <c r="A522">
        <v>517</v>
      </c>
      <c r="B522" s="6">
        <f>首页!$B$4+2*A522/1000</f>
        <v>1.1539999999999999</v>
      </c>
      <c r="C522" s="6">
        <f>首页!$B$7+273.15</f>
        <v>388.15</v>
      </c>
      <c r="D522" s="6">
        <f>首页!$B$6+273.15</f>
        <v>293.14999999999998</v>
      </c>
      <c r="E522" s="6">
        <f>首页!$B$5+273.15</f>
        <v>1373.15</v>
      </c>
      <c r="F522" s="6">
        <f t="shared" si="80"/>
        <v>95</v>
      </c>
      <c r="G522" s="6">
        <f t="shared" si="81"/>
        <v>340.65</v>
      </c>
      <c r="H522" s="6">
        <f t="shared" si="82"/>
        <v>1.9926207055139041E-5</v>
      </c>
      <c r="I522" s="7">
        <f t="shared" si="83"/>
        <v>1158916576932337.8</v>
      </c>
      <c r="J522" s="6">
        <f t="shared" si="84"/>
        <v>1.0226038455893147</v>
      </c>
      <c r="K522" s="7">
        <f>J522*H522*首页!$B$12/P522</f>
        <v>0.69532757496605813</v>
      </c>
      <c r="L522" s="6">
        <f>首页!$B$9*0.0000000567*((C522^4-D522^4)/(C522-D522))</f>
        <v>7.7687338005019564</v>
      </c>
      <c r="M522" s="6">
        <f>IF(首页!$B$13="自然对流",IF(首页!$B$14="立式圆筒",首页!$B$10,PI()*B522/2),PI()*B522/2)</f>
        <v>55.2</v>
      </c>
      <c r="N522" s="7">
        <f>IF(首页!$B$13="强制对流",首页!$B$11*M522/H522,0)</f>
        <v>0</v>
      </c>
      <c r="O522" s="7">
        <f>IF(首页!$B$13="自然对流",IF(首页!$B$14="立式圆筒",(0.825+0.3063*I522^(1/6))^2+0.87*(M522/B522),(0.752+0.303*I522^(1/6))^2),0.3+SQRT((0.592*N522^0.5)^2+(0.0262*N522^0.8/(1-0.5/N522^0.1))^2))</f>
        <v>10060.822754234727</v>
      </c>
      <c r="P522" s="6">
        <f t="shared" si="85"/>
        <v>2.9510194925512497E-2</v>
      </c>
      <c r="Q522" s="6">
        <f t="shared" si="86"/>
        <v>5.3785659526901854</v>
      </c>
      <c r="R522" s="6">
        <f t="shared" si="87"/>
        <v>13.147299753192142</v>
      </c>
      <c r="S522" s="6">
        <f>IF($Y$2="按单位面积散热损失 qp",B522*LN(B522/首页!$B$4),LN(B522/首页!$B$4))</f>
        <v>2.6120763507460425</v>
      </c>
      <c r="T522" s="6">
        <f>IF($Y$2="按单位面积散热损失 qp",2*PI()*首页!$B$8*((E522-D522)/$Y$3-1/R522),2*PI()*首页!$B$8*((E522-D522)/$Y$4-1/(PI()*B522*R522)))</f>
        <v>4.0793919058838286E-2</v>
      </c>
      <c r="U522" t="str">
        <f t="shared" si="88"/>
        <v>按单位面积散热损失 qp</v>
      </c>
      <c r="V522" s="6">
        <f t="shared" si="89"/>
        <v>2.5712824316872043</v>
      </c>
    </row>
    <row r="523" spans="1:22" x14ac:dyDescent="0.15">
      <c r="A523">
        <v>518</v>
      </c>
      <c r="B523" s="6">
        <f>首页!$B$4+2*A523/1000</f>
        <v>1.1560000000000001</v>
      </c>
      <c r="C523" s="6">
        <f>首页!$B$7+273.15</f>
        <v>388.15</v>
      </c>
      <c r="D523" s="6">
        <f>首页!$B$6+273.15</f>
        <v>293.14999999999998</v>
      </c>
      <c r="E523" s="6">
        <f>首页!$B$5+273.15</f>
        <v>1373.15</v>
      </c>
      <c r="F523" s="6">
        <f t="shared" si="80"/>
        <v>95</v>
      </c>
      <c r="G523" s="6">
        <f t="shared" si="81"/>
        <v>340.65</v>
      </c>
      <c r="H523" s="6">
        <f t="shared" si="82"/>
        <v>1.9926207055139041E-5</v>
      </c>
      <c r="I523" s="7">
        <f t="shared" si="83"/>
        <v>1158916576932337.8</v>
      </c>
      <c r="J523" s="6">
        <f t="shared" si="84"/>
        <v>1.0226038455893147</v>
      </c>
      <c r="K523" s="7">
        <f>J523*H523*首页!$B$12/P523</f>
        <v>0.69532757496605813</v>
      </c>
      <c r="L523" s="6">
        <f>首页!$B$9*0.0000000567*((C523^4-D523^4)/(C523-D523))</f>
        <v>7.7687338005019564</v>
      </c>
      <c r="M523" s="6">
        <f>IF(首页!$B$13="自然对流",IF(首页!$B$14="立式圆筒",首页!$B$10,PI()*B523/2),PI()*B523/2)</f>
        <v>55.2</v>
      </c>
      <c r="N523" s="7">
        <f>IF(首页!$B$13="强制对流",首页!$B$11*M523/H523,0)</f>
        <v>0</v>
      </c>
      <c r="O523" s="7">
        <f>IF(首页!$B$13="自然对流",IF(首页!$B$14="立式圆筒",(0.825+0.3063*I523^(1/6))^2+0.87*(M523/B523),(0.752+0.303*I523^(1/6))^2),0.3+SQRT((0.592*N523^0.5)^2+(0.0262*N523^0.8/(1-0.5/N523^0.1))^2))</f>
        <v>10060.750755530056</v>
      </c>
      <c r="P523" s="6">
        <f t="shared" si="85"/>
        <v>2.9510194925512497E-2</v>
      </c>
      <c r="Q523" s="6">
        <f t="shared" si="86"/>
        <v>5.3785274618240768</v>
      </c>
      <c r="R523" s="6">
        <f t="shared" si="87"/>
        <v>13.147261262326033</v>
      </c>
      <c r="S523" s="6">
        <f>IF($Y$2="按单位面积散热损失 qp",B523*LN(B523/首页!$B$4),LN(B523/首页!$B$4))</f>
        <v>2.6186050782565204</v>
      </c>
      <c r="T523" s="6">
        <f>IF($Y$2="按单位面积散热损失 qp",2*PI()*首页!$B$8*((E523-D523)/$Y$3-1/R523),2*PI()*首页!$B$8*((E523-D523)/$Y$4-1/(PI()*B523*R523)))</f>
        <v>4.0793856096882845E-2</v>
      </c>
      <c r="U523" t="str">
        <f t="shared" si="88"/>
        <v>按单位面积散热损失 qp</v>
      </c>
      <c r="V523" s="6">
        <f t="shared" si="89"/>
        <v>2.5778112221596374</v>
      </c>
    </row>
    <row r="524" spans="1:22" x14ac:dyDescent="0.15">
      <c r="A524">
        <v>519</v>
      </c>
      <c r="B524" s="6">
        <f>首页!$B$4+2*A524/1000</f>
        <v>1.1579999999999999</v>
      </c>
      <c r="C524" s="6">
        <f>首页!$B$7+273.15</f>
        <v>388.15</v>
      </c>
      <c r="D524" s="6">
        <f>首页!$B$6+273.15</f>
        <v>293.14999999999998</v>
      </c>
      <c r="E524" s="6">
        <f>首页!$B$5+273.15</f>
        <v>1373.15</v>
      </c>
      <c r="F524" s="6">
        <f t="shared" si="80"/>
        <v>95</v>
      </c>
      <c r="G524" s="6">
        <f t="shared" si="81"/>
        <v>340.65</v>
      </c>
      <c r="H524" s="6">
        <f t="shared" si="82"/>
        <v>1.9926207055139041E-5</v>
      </c>
      <c r="I524" s="7">
        <f t="shared" si="83"/>
        <v>1158916576932337.8</v>
      </c>
      <c r="J524" s="6">
        <f t="shared" si="84"/>
        <v>1.0226038455893147</v>
      </c>
      <c r="K524" s="7">
        <f>J524*H524*首页!$B$12/P524</f>
        <v>0.69532757496605813</v>
      </c>
      <c r="L524" s="6">
        <f>首页!$B$9*0.0000000567*((C524^4-D524^4)/(C524-D524))</f>
        <v>7.7687338005019564</v>
      </c>
      <c r="M524" s="6">
        <f>IF(首页!$B$13="自然对流",IF(首页!$B$14="立式圆筒",首页!$B$10,PI()*B524/2),PI()*B524/2)</f>
        <v>55.2</v>
      </c>
      <c r="N524" s="7">
        <f>IF(首页!$B$13="强制对流",首页!$B$11*M524/H524,0)</f>
        <v>0</v>
      </c>
      <c r="O524" s="7">
        <f>IF(首页!$B$13="自然对流",IF(首页!$B$14="立式圆筒",(0.825+0.3063*I524^(1/6))^2+0.87*(M524/B524),(0.752+0.303*I524^(1/6))^2),0.3+SQRT((0.592*N524^0.5)^2+(0.0262*N524^0.8/(1-0.5/N524^0.1))^2))</f>
        <v>10060.679005525573</v>
      </c>
      <c r="P524" s="6">
        <f t="shared" si="85"/>
        <v>2.9510194925512497E-2</v>
      </c>
      <c r="Q524" s="6">
        <f t="shared" si="86"/>
        <v>5.378489103914327</v>
      </c>
      <c r="R524" s="6">
        <f t="shared" si="87"/>
        <v>13.147222904416283</v>
      </c>
      <c r="S524" s="6">
        <f>IF($Y$2="按单位面积散热损失 qp",B524*LN(B524/首页!$B$4),LN(B524/首页!$B$4))</f>
        <v>2.6251372659763361</v>
      </c>
      <c r="T524" s="6">
        <f>IF($Y$2="按单位面积散热损失 qp",2*PI()*首页!$B$8*((E524-D524)/$Y$3-1/R524),2*PI()*首页!$B$8*((E524-D524)/$Y$4-1/(PI()*B524*R524)))</f>
        <v>4.0793793352045832E-2</v>
      </c>
      <c r="U524" t="str">
        <f t="shared" si="88"/>
        <v>按单位面积散热损失 qp</v>
      </c>
      <c r="V524" s="6">
        <f t="shared" si="89"/>
        <v>2.5843434726242904</v>
      </c>
    </row>
    <row r="525" spans="1:22" x14ac:dyDescent="0.15">
      <c r="A525">
        <v>520</v>
      </c>
      <c r="B525" s="6">
        <f>首页!$B$4+2*A525/1000</f>
        <v>1.1600000000000001</v>
      </c>
      <c r="C525" s="6">
        <f>首页!$B$7+273.15</f>
        <v>388.15</v>
      </c>
      <c r="D525" s="6">
        <f>首页!$B$6+273.15</f>
        <v>293.14999999999998</v>
      </c>
      <c r="E525" s="6">
        <f>首页!$B$5+273.15</f>
        <v>1373.15</v>
      </c>
      <c r="F525" s="6">
        <f t="shared" si="80"/>
        <v>95</v>
      </c>
      <c r="G525" s="6">
        <f t="shared" si="81"/>
        <v>340.65</v>
      </c>
      <c r="H525" s="6">
        <f t="shared" si="82"/>
        <v>1.9926207055139041E-5</v>
      </c>
      <c r="I525" s="7">
        <f t="shared" si="83"/>
        <v>1158916576932337.8</v>
      </c>
      <c r="J525" s="6">
        <f t="shared" si="84"/>
        <v>1.0226038455893147</v>
      </c>
      <c r="K525" s="7">
        <f>J525*H525*首页!$B$12/P525</f>
        <v>0.69532757496605813</v>
      </c>
      <c r="L525" s="6">
        <f>首页!$B$9*0.0000000567*((C525^4-D525^4)/(C525-D525))</f>
        <v>7.7687338005019564</v>
      </c>
      <c r="M525" s="6">
        <f>IF(首页!$B$13="自然对流",IF(首页!$B$14="立式圆筒",首页!$B$10,PI()*B525/2),PI()*B525/2)</f>
        <v>55.2</v>
      </c>
      <c r="N525" s="7">
        <f>IF(首页!$B$13="强制对流",首页!$B$11*M525/H525,0)</f>
        <v>0</v>
      </c>
      <c r="O525" s="7">
        <f>IF(首页!$B$13="自然对流",IF(首页!$B$14="立式圆筒",(0.825+0.3063*I525^(1/6))^2+0.87*(M525/B525),(0.752+0.303*I525^(1/6))^2),0.3+SQRT((0.592*N525^0.5)^2+(0.0262*N525^0.8/(1-0.5/N525^0.1))^2))</f>
        <v>10060.607502934899</v>
      </c>
      <c r="P525" s="6">
        <f t="shared" si="85"/>
        <v>2.9510194925512497E-2</v>
      </c>
      <c r="Q525" s="6">
        <f t="shared" si="86"/>
        <v>5.3784508782732319</v>
      </c>
      <c r="R525" s="6">
        <f t="shared" si="87"/>
        <v>13.147184678775188</v>
      </c>
      <c r="S525" s="6">
        <f>IF($Y$2="按单位面积散热损失 qp",B525*LN(B525/首页!$B$4),LN(B525/首页!$B$4))</f>
        <v>2.6316729079293033</v>
      </c>
      <c r="T525" s="6">
        <f>IF($Y$2="按单位面积散热损失 qp",2*PI()*首页!$B$8*((E525-D525)/$Y$3-1/R525),2*PI()*首页!$B$8*((E525-D525)/$Y$4-1/(PI()*B525*R525)))</f>
        <v>4.0793730823206087E-2</v>
      </c>
      <c r="U525" t="str">
        <f t="shared" si="88"/>
        <v>按单位面积散热损失 qp</v>
      </c>
      <c r="V525" s="6">
        <f t="shared" si="89"/>
        <v>2.5908791771060971</v>
      </c>
    </row>
    <row r="526" spans="1:22" x14ac:dyDescent="0.15">
      <c r="A526">
        <v>521</v>
      </c>
      <c r="B526" s="6">
        <f>首页!$B$4+2*A526/1000</f>
        <v>1.1619999999999999</v>
      </c>
      <c r="C526" s="6">
        <f>首页!$B$7+273.15</f>
        <v>388.15</v>
      </c>
      <c r="D526" s="6">
        <f>首页!$B$6+273.15</f>
        <v>293.14999999999998</v>
      </c>
      <c r="E526" s="6">
        <f>首页!$B$5+273.15</f>
        <v>1373.15</v>
      </c>
      <c r="F526" s="6">
        <f t="shared" si="80"/>
        <v>95</v>
      </c>
      <c r="G526" s="6">
        <f t="shared" si="81"/>
        <v>340.65</v>
      </c>
      <c r="H526" s="6">
        <f t="shared" si="82"/>
        <v>1.9926207055139041E-5</v>
      </c>
      <c r="I526" s="7">
        <f t="shared" si="83"/>
        <v>1158916576932337.8</v>
      </c>
      <c r="J526" s="6">
        <f t="shared" si="84"/>
        <v>1.0226038455893147</v>
      </c>
      <c r="K526" s="7">
        <f>J526*H526*首页!$B$12/P526</f>
        <v>0.69532757496605813</v>
      </c>
      <c r="L526" s="6">
        <f>首页!$B$9*0.0000000567*((C526^4-D526^4)/(C526-D526))</f>
        <v>7.7687338005019564</v>
      </c>
      <c r="M526" s="6">
        <f>IF(首页!$B$13="自然对流",IF(首页!$B$14="立式圆筒",首页!$B$10,PI()*B526/2),PI()*B526/2)</f>
        <v>55.2</v>
      </c>
      <c r="N526" s="7">
        <f>IF(首页!$B$13="强制对流",首页!$B$11*M526/H526,0)</f>
        <v>0</v>
      </c>
      <c r="O526" s="7">
        <f>IF(首页!$B$13="自然对流",IF(首页!$B$14="立式圆筒",(0.825+0.3063*I526^(1/6))^2+0.87*(M526/B526),(0.752+0.303*I526^(1/6))^2),0.3+SQRT((0.592*N526^0.5)^2+(0.0262*N526^0.8/(1-0.5/N526^0.1))^2))</f>
        <v>10060.536246480511</v>
      </c>
      <c r="P526" s="6">
        <f t="shared" si="85"/>
        <v>2.9510194925512497E-2</v>
      </c>
      <c r="Q526" s="6">
        <f t="shared" si="86"/>
        <v>5.3784127842178213</v>
      </c>
      <c r="R526" s="6">
        <f t="shared" si="87"/>
        <v>13.147146584719778</v>
      </c>
      <c r="S526" s="6">
        <f>IF($Y$2="按单位面积散热损失 qp",B526*LN(B526/首页!$B$4),LN(B526/首页!$B$4))</f>
        <v>2.6382119981598393</v>
      </c>
      <c r="T526" s="6">
        <f>IF($Y$2="按单位面积散热损失 qp",2*PI()*首页!$B$8*((E526-D526)/$Y$3-1/R526),2*PI()*首页!$B$8*((E526-D526)/$Y$4-1/(PI()*B526*R526)))</f>
        <v>4.0793668509250175E-2</v>
      </c>
      <c r="U526" t="str">
        <f t="shared" si="88"/>
        <v>按单位面积散热损失 qp</v>
      </c>
      <c r="V526" s="6">
        <f t="shared" si="89"/>
        <v>2.5974183296505893</v>
      </c>
    </row>
    <row r="527" spans="1:22" x14ac:dyDescent="0.15">
      <c r="A527">
        <v>522</v>
      </c>
      <c r="B527" s="6">
        <f>首页!$B$4+2*A527/1000</f>
        <v>1.1640000000000001</v>
      </c>
      <c r="C527" s="6">
        <f>首页!$B$7+273.15</f>
        <v>388.15</v>
      </c>
      <c r="D527" s="6">
        <f>首页!$B$6+273.15</f>
        <v>293.14999999999998</v>
      </c>
      <c r="E527" s="6">
        <f>首页!$B$5+273.15</f>
        <v>1373.15</v>
      </c>
      <c r="F527" s="6">
        <f t="shared" si="80"/>
        <v>95</v>
      </c>
      <c r="G527" s="6">
        <f t="shared" si="81"/>
        <v>340.65</v>
      </c>
      <c r="H527" s="6">
        <f t="shared" si="82"/>
        <v>1.9926207055139041E-5</v>
      </c>
      <c r="I527" s="7">
        <f t="shared" si="83"/>
        <v>1158916576932337.8</v>
      </c>
      <c r="J527" s="6">
        <f t="shared" si="84"/>
        <v>1.0226038455893147</v>
      </c>
      <c r="K527" s="7">
        <f>J527*H527*首页!$B$12/P527</f>
        <v>0.69532757496605813</v>
      </c>
      <c r="L527" s="6">
        <f>首页!$B$9*0.0000000567*((C527^4-D527^4)/(C527-D527))</f>
        <v>7.7687338005019564</v>
      </c>
      <c r="M527" s="6">
        <f>IF(首页!$B$13="自然对流",IF(首页!$B$14="立式圆筒",首页!$B$10,PI()*B527/2),PI()*B527/2)</f>
        <v>55.2</v>
      </c>
      <c r="N527" s="7">
        <f>IF(首页!$B$13="强制对流",首页!$B$11*M527/H527,0)</f>
        <v>0</v>
      </c>
      <c r="O527" s="7">
        <f>IF(首页!$B$13="自然对流",IF(首页!$B$14="立式圆筒",(0.825+0.3063*I527^(1/6))^2+0.87*(M527/B527),(0.752+0.303*I527^(1/6))^2),0.3+SQRT((0.592*N527^0.5)^2+(0.0262*N527^0.8/(1-0.5/N527^0.1))^2))</f>
        <v>10060.465234893663</v>
      </c>
      <c r="P527" s="6">
        <f t="shared" si="85"/>
        <v>2.9510194925512497E-2</v>
      </c>
      <c r="Q527" s="6">
        <f t="shared" si="86"/>
        <v>5.3783748210698166</v>
      </c>
      <c r="R527" s="6">
        <f t="shared" si="87"/>
        <v>13.147108621571773</v>
      </c>
      <c r="S527" s="6">
        <f>IF($Y$2="按单位面积散热损失 qp",B527*LN(B527/首页!$B$4),LN(B527/首页!$B$4))</f>
        <v>2.644754530732869</v>
      </c>
      <c r="T527" s="6">
        <f>IF($Y$2="按单位面积散热损失 qp",2*PI()*首页!$B$8*((E527-D527)/$Y$3-1/R527),2*PI()*首页!$B$8*((E527-D527)/$Y$4-1/(PI()*B527*R527)))</f>
        <v>4.0793606409072321E-2</v>
      </c>
      <c r="U527" t="str">
        <f t="shared" si="88"/>
        <v>按单位面积散热损失 qp</v>
      </c>
      <c r="V527" s="6">
        <f t="shared" si="89"/>
        <v>2.6039609243237969</v>
      </c>
    </row>
    <row r="528" spans="1:22" x14ac:dyDescent="0.15">
      <c r="A528">
        <v>523</v>
      </c>
      <c r="B528" s="6">
        <f>首页!$B$4+2*A528/1000</f>
        <v>1.1659999999999999</v>
      </c>
      <c r="C528" s="6">
        <f>首页!$B$7+273.15</f>
        <v>388.15</v>
      </c>
      <c r="D528" s="6">
        <f>首页!$B$6+273.15</f>
        <v>293.14999999999998</v>
      </c>
      <c r="E528" s="6">
        <f>首页!$B$5+273.15</f>
        <v>1373.15</v>
      </c>
      <c r="F528" s="6">
        <f t="shared" si="80"/>
        <v>95</v>
      </c>
      <c r="G528" s="6">
        <f t="shared" si="81"/>
        <v>340.65</v>
      </c>
      <c r="H528" s="6">
        <f t="shared" si="82"/>
        <v>1.9926207055139041E-5</v>
      </c>
      <c r="I528" s="7">
        <f t="shared" si="83"/>
        <v>1158916576932337.8</v>
      </c>
      <c r="J528" s="6">
        <f t="shared" si="84"/>
        <v>1.0226038455893147</v>
      </c>
      <c r="K528" s="7">
        <f>J528*H528*首页!$B$12/P528</f>
        <v>0.69532757496605813</v>
      </c>
      <c r="L528" s="6">
        <f>首页!$B$9*0.0000000567*((C528^4-D528^4)/(C528-D528))</f>
        <v>7.7687338005019564</v>
      </c>
      <c r="M528" s="6">
        <f>IF(首页!$B$13="自然对流",IF(首页!$B$14="立式圆筒",首页!$B$10,PI()*B528/2),PI()*B528/2)</f>
        <v>55.2</v>
      </c>
      <c r="N528" s="7">
        <f>IF(首页!$B$13="强制对流",首页!$B$11*M528/H528,0)</f>
        <v>0</v>
      </c>
      <c r="O528" s="7">
        <f>IF(首页!$B$13="自然对流",IF(首页!$B$14="立式圆筒",(0.825+0.3063*I528^(1/6))^2+0.87*(M528/B528),(0.752+0.303*I528^(1/6))^2),0.3+SQRT((0.592*N528^0.5)^2+(0.0262*N528^0.8/(1-0.5/N528^0.1))^2))</f>
        <v>10060.394466914317</v>
      </c>
      <c r="P528" s="6">
        <f t="shared" si="85"/>
        <v>2.9510194925512497E-2</v>
      </c>
      <c r="Q528" s="6">
        <f t="shared" si="86"/>
        <v>5.3783369881555947</v>
      </c>
      <c r="R528" s="6">
        <f t="shared" si="87"/>
        <v>13.147070788657551</v>
      </c>
      <c r="S528" s="6">
        <f>IF($Y$2="按单位面积散热损失 qp",B528*LN(B528/首页!$B$4),LN(B528/首页!$B$4))</f>
        <v>2.6513004997337046</v>
      </c>
      <c r="T528" s="6">
        <f>IF($Y$2="按单位面积散热损失 qp",2*PI()*首页!$B$8*((E528-D528)/$Y$3-1/R528),2*PI()*首页!$B$8*((E528-D528)/$Y$4-1/(PI()*B528*R528)))</f>
        <v>4.0793544521574299E-2</v>
      </c>
      <c r="U528" t="str">
        <f t="shared" si="88"/>
        <v>按单位面积散热损失 qp</v>
      </c>
      <c r="V528" s="6">
        <f t="shared" si="89"/>
        <v>2.6105069552121303</v>
      </c>
    </row>
    <row r="529" spans="1:22" x14ac:dyDescent="0.15">
      <c r="A529">
        <v>524</v>
      </c>
      <c r="B529" s="6">
        <f>首页!$B$4+2*A529/1000</f>
        <v>1.1680000000000001</v>
      </c>
      <c r="C529" s="6">
        <f>首页!$B$7+273.15</f>
        <v>388.15</v>
      </c>
      <c r="D529" s="6">
        <f>首页!$B$6+273.15</f>
        <v>293.14999999999998</v>
      </c>
      <c r="E529" s="6">
        <f>首页!$B$5+273.15</f>
        <v>1373.15</v>
      </c>
      <c r="F529" s="6">
        <f t="shared" si="80"/>
        <v>95</v>
      </c>
      <c r="G529" s="6">
        <f t="shared" si="81"/>
        <v>340.65</v>
      </c>
      <c r="H529" s="6">
        <f t="shared" si="82"/>
        <v>1.9926207055139041E-5</v>
      </c>
      <c r="I529" s="7">
        <f t="shared" si="83"/>
        <v>1158916576932337.8</v>
      </c>
      <c r="J529" s="6">
        <f t="shared" si="84"/>
        <v>1.0226038455893147</v>
      </c>
      <c r="K529" s="7">
        <f>J529*H529*首页!$B$12/P529</f>
        <v>0.69532757496605813</v>
      </c>
      <c r="L529" s="6">
        <f>首页!$B$9*0.0000000567*((C529^4-D529^4)/(C529-D529))</f>
        <v>7.7687338005019564</v>
      </c>
      <c r="M529" s="6">
        <f>IF(首页!$B$13="自然对流",IF(首页!$B$14="立式圆筒",首页!$B$10,PI()*B529/2),PI()*B529/2)</f>
        <v>55.2</v>
      </c>
      <c r="N529" s="7">
        <f>IF(首页!$B$13="强制对流",首页!$B$11*M529/H529,0)</f>
        <v>0</v>
      </c>
      <c r="O529" s="7">
        <f>IF(首页!$B$13="自然对流",IF(首页!$B$14="立式圆筒",(0.825+0.3063*I529^(1/6))^2+0.87*(M529/B529),(0.752+0.303*I529^(1/6))^2),0.3+SQRT((0.592*N529^0.5)^2+(0.0262*N529^0.8/(1-0.5/N529^0.1))^2))</f>
        <v>10060.323941291064</v>
      </c>
      <c r="P529" s="6">
        <f t="shared" si="85"/>
        <v>2.9510194925512497E-2</v>
      </c>
      <c r="Q529" s="6">
        <f t="shared" si="86"/>
        <v>5.3782992848061486</v>
      </c>
      <c r="R529" s="6">
        <f t="shared" si="87"/>
        <v>13.147033085308106</v>
      </c>
      <c r="S529" s="6">
        <f>IF($Y$2="按单位面积散热损失 qp",B529*LN(B529/首页!$B$4),LN(B529/首页!$B$4))</f>
        <v>2.6578498992679558</v>
      </c>
      <c r="T529" s="6">
        <f>IF($Y$2="按单位面积散热损失 qp",2*PI()*首页!$B$8*((E529-D529)/$Y$3-1/R529),2*PI()*首页!$B$8*((E529-D529)/$Y$4-1/(PI()*B529*R529)))</f>
        <v>4.0793482845665419E-2</v>
      </c>
      <c r="U529" t="str">
        <f t="shared" si="88"/>
        <v>按单位面积散热损失 qp</v>
      </c>
      <c r="V529" s="6">
        <f t="shared" si="89"/>
        <v>2.6170564164222903</v>
      </c>
    </row>
    <row r="530" spans="1:22" x14ac:dyDescent="0.15">
      <c r="A530">
        <v>525</v>
      </c>
      <c r="B530" s="6">
        <f>首页!$B$4+2*A530/1000</f>
        <v>1.17</v>
      </c>
      <c r="C530" s="6">
        <f>首页!$B$7+273.15</f>
        <v>388.15</v>
      </c>
      <c r="D530" s="6">
        <f>首页!$B$6+273.15</f>
        <v>293.14999999999998</v>
      </c>
      <c r="E530" s="6">
        <f>首页!$B$5+273.15</f>
        <v>1373.15</v>
      </c>
      <c r="F530" s="6">
        <f t="shared" si="80"/>
        <v>95</v>
      </c>
      <c r="G530" s="6">
        <f t="shared" si="81"/>
        <v>340.65</v>
      </c>
      <c r="H530" s="6">
        <f t="shared" si="82"/>
        <v>1.9926207055139041E-5</v>
      </c>
      <c r="I530" s="7">
        <f t="shared" si="83"/>
        <v>1158916576932337.8</v>
      </c>
      <c r="J530" s="6">
        <f t="shared" si="84"/>
        <v>1.0226038455893147</v>
      </c>
      <c r="K530" s="7">
        <f>J530*H530*首页!$B$12/P530</f>
        <v>0.69532757496605813</v>
      </c>
      <c r="L530" s="6">
        <f>首页!$B$9*0.0000000567*((C530^4-D530^4)/(C530-D530))</f>
        <v>7.7687338005019564</v>
      </c>
      <c r="M530" s="6">
        <f>IF(首页!$B$13="自然对流",IF(首页!$B$14="立式圆筒",首页!$B$10,PI()*B530/2),PI()*B530/2)</f>
        <v>55.2</v>
      </c>
      <c r="N530" s="7">
        <f>IF(首页!$B$13="强制对流",首页!$B$11*M530/H530,0)</f>
        <v>0</v>
      </c>
      <c r="O530" s="7">
        <f>IF(首页!$B$13="自然对流",IF(首页!$B$14="立式圆筒",(0.825+0.3063*I530^(1/6))^2+0.87*(M530/B530),(0.752+0.303*I530^(1/6))^2),0.3+SQRT((0.592*N530^0.5)^2+(0.0262*N530^0.8/(1-0.5/N530^0.1))^2))</f>
        <v>10060.253656781053</v>
      </c>
      <c r="P530" s="6">
        <f t="shared" si="85"/>
        <v>2.9510194925512497E-2</v>
      </c>
      <c r="Q530" s="6">
        <f t="shared" si="86"/>
        <v>5.3782617103570418</v>
      </c>
      <c r="R530" s="6">
        <f t="shared" si="87"/>
        <v>13.146995510858998</v>
      </c>
      <c r="S530" s="6">
        <f>IF($Y$2="按单位面积散热损失 qp",B530*LN(B530/首页!$B$4),LN(B530/首页!$B$4))</f>
        <v>2.6644027234614143</v>
      </c>
      <c r="T530" s="6">
        <f>IF($Y$2="按单位面积散热损失 qp",2*PI()*首页!$B$8*((E530-D530)/$Y$3-1/R530),2*PI()*首页!$B$8*((E530-D530)/$Y$4-1/(PI()*B530*R530)))</f>
        <v>4.0793421380262387E-2</v>
      </c>
      <c r="U530" t="str">
        <f t="shared" si="88"/>
        <v>按单位面积散热损失 qp</v>
      </c>
      <c r="V530" s="6">
        <f t="shared" si="89"/>
        <v>2.6236093020811517</v>
      </c>
    </row>
    <row r="531" spans="1:22" x14ac:dyDescent="0.15">
      <c r="A531">
        <v>526</v>
      </c>
      <c r="B531" s="6">
        <f>首页!$B$4+2*A531/1000</f>
        <v>1.1720000000000002</v>
      </c>
      <c r="C531" s="6">
        <f>首页!$B$7+273.15</f>
        <v>388.15</v>
      </c>
      <c r="D531" s="6">
        <f>首页!$B$6+273.15</f>
        <v>293.14999999999998</v>
      </c>
      <c r="E531" s="6">
        <f>首页!$B$5+273.15</f>
        <v>1373.15</v>
      </c>
      <c r="F531" s="6">
        <f t="shared" si="80"/>
        <v>95</v>
      </c>
      <c r="G531" s="6">
        <f t="shared" si="81"/>
        <v>340.65</v>
      </c>
      <c r="H531" s="6">
        <f t="shared" si="82"/>
        <v>1.9926207055139041E-5</v>
      </c>
      <c r="I531" s="7">
        <f t="shared" si="83"/>
        <v>1158916576932337.8</v>
      </c>
      <c r="J531" s="6">
        <f t="shared" si="84"/>
        <v>1.0226038455893147</v>
      </c>
      <c r="K531" s="7">
        <f>J531*H531*首页!$B$12/P531</f>
        <v>0.69532757496605813</v>
      </c>
      <c r="L531" s="6">
        <f>首页!$B$9*0.0000000567*((C531^4-D531^4)/(C531-D531))</f>
        <v>7.7687338005019564</v>
      </c>
      <c r="M531" s="6">
        <f>IF(首页!$B$13="自然对流",IF(首页!$B$14="立式圆筒",首页!$B$10,PI()*B531/2),PI()*B531/2)</f>
        <v>55.2</v>
      </c>
      <c r="N531" s="7">
        <f>IF(首页!$B$13="强制对流",首页!$B$11*M531/H531,0)</f>
        <v>0</v>
      </c>
      <c r="O531" s="7">
        <f>IF(首页!$B$13="自然对流",IF(首页!$B$14="立式圆筒",(0.825+0.3063*I531^(1/6))^2+0.87*(M531/B531),(0.752+0.303*I531^(1/6))^2),0.3+SQRT((0.592*N531^0.5)^2+(0.0262*N531^0.8/(1-0.5/N531^0.1))^2))</f>
        <v>10060.183612149916</v>
      </c>
      <c r="P531" s="6">
        <f t="shared" si="85"/>
        <v>2.9510194925512497E-2</v>
      </c>
      <c r="Q531" s="6">
        <f t="shared" si="86"/>
        <v>5.3782242641483773</v>
      </c>
      <c r="R531" s="6">
        <f t="shared" si="87"/>
        <v>13.146958064650335</v>
      </c>
      <c r="S531" s="6">
        <f>IF($Y$2="按单位面积散热损失 qp",B531*LN(B531/首页!$B$4),LN(B531/首页!$B$4))</f>
        <v>2.6709589664599576</v>
      </c>
      <c r="T531" s="6">
        <f>IF($Y$2="按单位面积散热损失 qp",2*PI()*首页!$B$8*((E531-D531)/$Y$3-1/R531),2*PI()*首页!$B$8*((E531-D531)/$Y$4-1/(PI()*B531*R531)))</f>
        <v>4.0793360124289364E-2</v>
      </c>
      <c r="U531" t="str">
        <f t="shared" si="88"/>
        <v>按单位面积散热损失 qp</v>
      </c>
      <c r="V531" s="6">
        <f t="shared" si="89"/>
        <v>2.6301656063356682</v>
      </c>
    </row>
    <row r="532" spans="1:22" x14ac:dyDescent="0.15">
      <c r="A532">
        <v>527</v>
      </c>
      <c r="B532" s="6">
        <f>首页!$B$4+2*A532/1000</f>
        <v>1.1739999999999999</v>
      </c>
      <c r="C532" s="6">
        <f>首页!$B$7+273.15</f>
        <v>388.15</v>
      </c>
      <c r="D532" s="6">
        <f>首页!$B$6+273.15</f>
        <v>293.14999999999998</v>
      </c>
      <c r="E532" s="6">
        <f>首页!$B$5+273.15</f>
        <v>1373.15</v>
      </c>
      <c r="F532" s="6">
        <f t="shared" si="80"/>
        <v>95</v>
      </c>
      <c r="G532" s="6">
        <f t="shared" si="81"/>
        <v>340.65</v>
      </c>
      <c r="H532" s="6">
        <f t="shared" si="82"/>
        <v>1.9926207055139041E-5</v>
      </c>
      <c r="I532" s="7">
        <f t="shared" si="83"/>
        <v>1158916576932337.8</v>
      </c>
      <c r="J532" s="6">
        <f t="shared" si="84"/>
        <v>1.0226038455893147</v>
      </c>
      <c r="K532" s="7">
        <f>J532*H532*首页!$B$12/P532</f>
        <v>0.69532757496605813</v>
      </c>
      <c r="L532" s="6">
        <f>首页!$B$9*0.0000000567*((C532^4-D532^4)/(C532-D532))</f>
        <v>7.7687338005019564</v>
      </c>
      <c r="M532" s="6">
        <f>IF(首页!$B$13="自然对流",IF(首页!$B$14="立式圆筒",首页!$B$10,PI()*B532/2),PI()*B532/2)</f>
        <v>55.2</v>
      </c>
      <c r="N532" s="7">
        <f>IF(首页!$B$13="强制对流",首页!$B$11*M532/H532,0)</f>
        <v>0</v>
      </c>
      <c r="O532" s="7">
        <f>IF(首页!$B$13="自然对流",IF(首页!$B$14="立式圆筒",(0.825+0.3063*I532^(1/6))^2+0.87*(M532/B532),(0.752+0.303*I532^(1/6))^2),0.3+SQRT((0.592*N532^0.5)^2+(0.0262*N532^0.8/(1-0.5/N532^0.1))^2))</f>
        <v>10060.113806171697</v>
      </c>
      <c r="P532" s="6">
        <f t="shared" si="85"/>
        <v>2.9510194925512497E-2</v>
      </c>
      <c r="Q532" s="6">
        <f t="shared" si="86"/>
        <v>5.3781869455247504</v>
      </c>
      <c r="R532" s="6">
        <f t="shared" si="87"/>
        <v>13.146920746026707</v>
      </c>
      <c r="S532" s="6">
        <f>IF($Y$2="按单位面积散热损失 qp",B532*LN(B532/首页!$B$4),LN(B532/首页!$B$4))</f>
        <v>2.6775186224294392</v>
      </c>
      <c r="T532" s="6">
        <f>IF($Y$2="按单位面积散热损失 qp",2*PI()*首页!$B$8*((E532-D532)/$Y$3-1/R532),2*PI()*首页!$B$8*((E532-D532)/$Y$4-1/(PI()*B532*R532)))</f>
        <v>4.0793299076677766E-2</v>
      </c>
      <c r="U532" t="str">
        <f t="shared" si="88"/>
        <v>按单位面积散热损失 qp</v>
      </c>
      <c r="V532" s="6">
        <f t="shared" si="89"/>
        <v>2.6367253233527612</v>
      </c>
    </row>
    <row r="533" spans="1:22" x14ac:dyDescent="0.15">
      <c r="A533">
        <v>528</v>
      </c>
      <c r="B533" s="6">
        <f>首页!$B$4+2*A533/1000</f>
        <v>1.1760000000000002</v>
      </c>
      <c r="C533" s="6">
        <f>首页!$B$7+273.15</f>
        <v>388.15</v>
      </c>
      <c r="D533" s="6">
        <f>首页!$B$6+273.15</f>
        <v>293.14999999999998</v>
      </c>
      <c r="E533" s="6">
        <f>首页!$B$5+273.15</f>
        <v>1373.15</v>
      </c>
      <c r="F533" s="6">
        <f t="shared" si="80"/>
        <v>95</v>
      </c>
      <c r="G533" s="6">
        <f t="shared" si="81"/>
        <v>340.65</v>
      </c>
      <c r="H533" s="6">
        <f t="shared" si="82"/>
        <v>1.9926207055139041E-5</v>
      </c>
      <c r="I533" s="7">
        <f t="shared" si="83"/>
        <v>1158916576932337.8</v>
      </c>
      <c r="J533" s="6">
        <f t="shared" si="84"/>
        <v>1.0226038455893147</v>
      </c>
      <c r="K533" s="7">
        <f>J533*H533*首页!$B$12/P533</f>
        <v>0.69532757496605813</v>
      </c>
      <c r="L533" s="6">
        <f>首页!$B$9*0.0000000567*((C533^4-D533^4)/(C533-D533))</f>
        <v>7.7687338005019564</v>
      </c>
      <c r="M533" s="6">
        <f>IF(首页!$B$13="自然对流",IF(首页!$B$14="立式圆筒",首页!$B$10,PI()*B533/2),PI()*B533/2)</f>
        <v>55.2</v>
      </c>
      <c r="N533" s="7">
        <f>IF(首页!$B$13="强制对流",首页!$B$11*M533/H533,0)</f>
        <v>0</v>
      </c>
      <c r="O533" s="7">
        <f>IF(首页!$B$13="自然对流",IF(首页!$B$14="立式圆筒",(0.825+0.3063*I533^(1/6))^2+0.87*(M533/B533),(0.752+0.303*I533^(1/6))^2),0.3+SQRT((0.592*N533^0.5)^2+(0.0262*N533^0.8/(1-0.5/N533^0.1))^2))</f>
        <v>10060.044237628777</v>
      </c>
      <c r="P533" s="6">
        <f t="shared" si="85"/>
        <v>2.9510194925512497E-2</v>
      </c>
      <c r="Q533" s="6">
        <f t="shared" si="86"/>
        <v>5.378149753835217</v>
      </c>
      <c r="R533" s="6">
        <f t="shared" si="87"/>
        <v>13.146883554337172</v>
      </c>
      <c r="S533" s="6">
        <f>IF($Y$2="按单位面积散热损失 qp",B533*LN(B533/首页!$B$4),LN(B533/首页!$B$4))</f>
        <v>2.6840816855555953</v>
      </c>
      <c r="T533" s="6">
        <f>IF($Y$2="按单位面积散热损失 qp",2*PI()*首页!$B$8*((E533-D533)/$Y$3-1/R533),2*PI()*首页!$B$8*((E533-D533)/$Y$4-1/(PI()*B533*R533)))</f>
        <v>4.0793238236366283E-2</v>
      </c>
      <c r="U533" t="str">
        <f t="shared" si="88"/>
        <v>按单位面积散热损失 qp</v>
      </c>
      <c r="V533" s="6">
        <f t="shared" si="89"/>
        <v>2.6432884473192289</v>
      </c>
    </row>
    <row r="534" spans="1:22" x14ac:dyDescent="0.15">
      <c r="A534">
        <v>529</v>
      </c>
      <c r="B534" s="6">
        <f>首页!$B$4+2*A534/1000</f>
        <v>1.1779999999999999</v>
      </c>
      <c r="C534" s="6">
        <f>首页!$B$7+273.15</f>
        <v>388.15</v>
      </c>
      <c r="D534" s="6">
        <f>首页!$B$6+273.15</f>
        <v>293.14999999999998</v>
      </c>
      <c r="E534" s="6">
        <f>首页!$B$5+273.15</f>
        <v>1373.15</v>
      </c>
      <c r="F534" s="6">
        <f t="shared" si="80"/>
        <v>95</v>
      </c>
      <c r="G534" s="6">
        <f t="shared" si="81"/>
        <v>340.65</v>
      </c>
      <c r="H534" s="6">
        <f t="shared" si="82"/>
        <v>1.9926207055139041E-5</v>
      </c>
      <c r="I534" s="7">
        <f t="shared" si="83"/>
        <v>1158916576932337.8</v>
      </c>
      <c r="J534" s="6">
        <f t="shared" si="84"/>
        <v>1.0226038455893147</v>
      </c>
      <c r="K534" s="7">
        <f>J534*H534*首页!$B$12/P534</f>
        <v>0.69532757496605813</v>
      </c>
      <c r="L534" s="6">
        <f>首页!$B$9*0.0000000567*((C534^4-D534^4)/(C534-D534))</f>
        <v>7.7687338005019564</v>
      </c>
      <c r="M534" s="6">
        <f>IF(首页!$B$13="自然对流",IF(首页!$B$14="立式圆筒",首页!$B$10,PI()*B534/2),PI()*B534/2)</f>
        <v>55.2</v>
      </c>
      <c r="N534" s="7">
        <f>IF(首页!$B$13="强制对流",首页!$B$11*M534/H534,0)</f>
        <v>0</v>
      </c>
      <c r="O534" s="7">
        <f>IF(首页!$B$13="自然对流",IF(首页!$B$14="立式圆筒",(0.825+0.3063*I534^(1/6))^2+0.87*(M534/B534),(0.752+0.303*I534^(1/6))^2),0.3+SQRT((0.592*N534^0.5)^2+(0.0262*N534^0.8/(1-0.5/N534^0.1))^2))</f>
        <v>10059.97490531181</v>
      </c>
      <c r="P534" s="6">
        <f t="shared" si="85"/>
        <v>2.9510194925512497E-2</v>
      </c>
      <c r="Q534" s="6">
        <f t="shared" si="86"/>
        <v>5.3781126884332542</v>
      </c>
      <c r="R534" s="6">
        <f t="shared" si="87"/>
        <v>13.146846488935211</v>
      </c>
      <c r="S534" s="6">
        <f>IF($Y$2="按单位面积散热损失 qp",B534*LN(B534/首页!$B$4),LN(B534/首页!$B$4))</f>
        <v>2.6906481500439345</v>
      </c>
      <c r="T534" s="6">
        <f>IF($Y$2="按单位面积散热损失 qp",2*PI()*首页!$B$8*((E534-D534)/$Y$3-1/R534),2*PI()*首页!$B$8*((E534-D534)/$Y$4-1/(PI()*B534*R534)))</f>
        <v>4.0793177602300827E-2</v>
      </c>
      <c r="U534" t="str">
        <f t="shared" si="88"/>
        <v>按单位面积散热损失 qp</v>
      </c>
      <c r="V534" s="6">
        <f t="shared" si="89"/>
        <v>2.6498549724416338</v>
      </c>
    </row>
    <row r="535" spans="1:22" x14ac:dyDescent="0.15">
      <c r="A535">
        <v>530</v>
      </c>
      <c r="B535" s="6">
        <f>首页!$B$4+2*A535/1000</f>
        <v>1.1800000000000002</v>
      </c>
      <c r="C535" s="6">
        <f>首页!$B$7+273.15</f>
        <v>388.15</v>
      </c>
      <c r="D535" s="6">
        <f>首页!$B$6+273.15</f>
        <v>293.14999999999998</v>
      </c>
      <c r="E535" s="6">
        <f>首页!$B$5+273.15</f>
        <v>1373.15</v>
      </c>
      <c r="F535" s="6">
        <f t="shared" si="80"/>
        <v>95</v>
      </c>
      <c r="G535" s="6">
        <f t="shared" si="81"/>
        <v>340.65</v>
      </c>
      <c r="H535" s="6">
        <f t="shared" si="82"/>
        <v>1.9926207055139041E-5</v>
      </c>
      <c r="I535" s="7">
        <f t="shared" si="83"/>
        <v>1158916576932337.8</v>
      </c>
      <c r="J535" s="6">
        <f t="shared" si="84"/>
        <v>1.0226038455893147</v>
      </c>
      <c r="K535" s="7">
        <f>J535*H535*首页!$B$12/P535</f>
        <v>0.69532757496605813</v>
      </c>
      <c r="L535" s="6">
        <f>首页!$B$9*0.0000000567*((C535^4-D535^4)/(C535-D535))</f>
        <v>7.7687338005019564</v>
      </c>
      <c r="M535" s="6">
        <f>IF(首页!$B$13="自然对流",IF(首页!$B$14="立式圆筒",首页!$B$10,PI()*B535/2),PI()*B535/2)</f>
        <v>55.2</v>
      </c>
      <c r="N535" s="7">
        <f>IF(首页!$B$13="强制对流",首页!$B$11*M535/H535,0)</f>
        <v>0</v>
      </c>
      <c r="O535" s="7">
        <f>IF(首页!$B$13="自然对流",IF(首页!$B$14="立式圆筒",(0.825+0.3063*I535^(1/6))^2+0.87*(M535/B535),(0.752+0.303*I535^(1/6))^2),0.3+SQRT((0.592*N535^0.5)^2+(0.0262*N535^0.8/(1-0.5/N535^0.1))^2))</f>
        <v>10059.905808019646</v>
      </c>
      <c r="P535" s="6">
        <f t="shared" si="85"/>
        <v>2.9510194925512497E-2</v>
      </c>
      <c r="Q535" s="6">
        <f t="shared" si="86"/>
        <v>5.3780757486767214</v>
      </c>
      <c r="R535" s="6">
        <f t="shared" si="87"/>
        <v>13.146809549178677</v>
      </c>
      <c r="S535" s="6">
        <f>IF($Y$2="按单位面积散热损失 qp",B535*LN(B535/首页!$B$4),LN(B535/首页!$B$4))</f>
        <v>2.6972180101196446</v>
      </c>
      <c r="T535" s="6">
        <f>IF($Y$2="按单位面积散热损失 qp",2*PI()*首页!$B$8*((E535-D535)/$Y$3-1/R535),2*PI()*首页!$B$8*((E535-D535)/$Y$4-1/(PI()*B535*R535)))</f>
        <v>4.0793117173434409E-2</v>
      </c>
      <c r="U535" t="str">
        <f t="shared" si="88"/>
        <v>按单位面积散热损失 qp</v>
      </c>
      <c r="V535" s="6">
        <f t="shared" si="89"/>
        <v>2.6564248929462102</v>
      </c>
    </row>
    <row r="536" spans="1:22" x14ac:dyDescent="0.15">
      <c r="A536">
        <v>531</v>
      </c>
      <c r="B536" s="6">
        <f>首页!$B$4+2*A536/1000</f>
        <v>1.1819999999999999</v>
      </c>
      <c r="C536" s="6">
        <f>首页!$B$7+273.15</f>
        <v>388.15</v>
      </c>
      <c r="D536" s="6">
        <f>首页!$B$6+273.15</f>
        <v>293.14999999999998</v>
      </c>
      <c r="E536" s="6">
        <f>首页!$B$5+273.15</f>
        <v>1373.15</v>
      </c>
      <c r="F536" s="6">
        <f t="shared" si="80"/>
        <v>95</v>
      </c>
      <c r="G536" s="6">
        <f t="shared" si="81"/>
        <v>340.65</v>
      </c>
      <c r="H536" s="6">
        <f t="shared" si="82"/>
        <v>1.9926207055139041E-5</v>
      </c>
      <c r="I536" s="7">
        <f t="shared" si="83"/>
        <v>1158916576932337.8</v>
      </c>
      <c r="J536" s="6">
        <f t="shared" si="84"/>
        <v>1.0226038455893147</v>
      </c>
      <c r="K536" s="7">
        <f>J536*H536*首页!$B$12/P536</f>
        <v>0.69532757496605813</v>
      </c>
      <c r="L536" s="6">
        <f>首页!$B$9*0.0000000567*((C536^4-D536^4)/(C536-D536))</f>
        <v>7.7687338005019564</v>
      </c>
      <c r="M536" s="6">
        <f>IF(首页!$B$13="自然对流",IF(首页!$B$14="立式圆筒",首页!$B$10,PI()*B536/2),PI()*B536/2)</f>
        <v>55.2</v>
      </c>
      <c r="N536" s="7">
        <f>IF(首页!$B$13="强制对流",首页!$B$11*M536/H536,0)</f>
        <v>0</v>
      </c>
      <c r="O536" s="7">
        <f>IF(首页!$B$13="自然对流",IF(首页!$B$14="立式圆筒",(0.825+0.3063*I536^(1/6))^2+0.87*(M536/B536),(0.752+0.303*I536^(1/6))^2),0.3+SQRT((0.592*N536^0.5)^2+(0.0262*N536^0.8/(1-0.5/N536^0.1))^2))</f>
        <v>10059.836944559265</v>
      </c>
      <c r="P536" s="6">
        <f t="shared" si="85"/>
        <v>2.9510194925512497E-2</v>
      </c>
      <c r="Q536" s="6">
        <f t="shared" si="86"/>
        <v>5.3780389339278249</v>
      </c>
      <c r="R536" s="6">
        <f t="shared" si="87"/>
        <v>13.146772734429781</v>
      </c>
      <c r="S536" s="6">
        <f>IF($Y$2="按单位面积散热损失 qp",B536*LN(B536/首页!$B$4),LN(B536/首页!$B$4))</f>
        <v>2.7037912600274852</v>
      </c>
      <c r="T536" s="6">
        <f>IF($Y$2="按单位面积散热损失 qp",2*PI()*首页!$B$8*((E536-D536)/$Y$3-1/R536),2*PI()*首页!$B$8*((E536-D536)/$Y$4-1/(PI()*B536*R536)))</f>
        <v>4.079305694872714E-2</v>
      </c>
      <c r="U536" t="str">
        <f t="shared" si="88"/>
        <v>按单位面积散热损失 qp</v>
      </c>
      <c r="V536" s="6">
        <f t="shared" si="89"/>
        <v>2.6629982030787582</v>
      </c>
    </row>
    <row r="537" spans="1:22" x14ac:dyDescent="0.15">
      <c r="A537">
        <v>532</v>
      </c>
      <c r="B537" s="6">
        <f>首页!$B$4+2*A537/1000</f>
        <v>1.1840000000000002</v>
      </c>
      <c r="C537" s="6">
        <f>首页!$B$7+273.15</f>
        <v>388.15</v>
      </c>
      <c r="D537" s="6">
        <f>首页!$B$6+273.15</f>
        <v>293.14999999999998</v>
      </c>
      <c r="E537" s="6">
        <f>首页!$B$5+273.15</f>
        <v>1373.15</v>
      </c>
      <c r="F537" s="6">
        <f t="shared" si="80"/>
        <v>95</v>
      </c>
      <c r="G537" s="6">
        <f t="shared" si="81"/>
        <v>340.65</v>
      </c>
      <c r="H537" s="6">
        <f t="shared" si="82"/>
        <v>1.9926207055139041E-5</v>
      </c>
      <c r="I537" s="7">
        <f t="shared" si="83"/>
        <v>1158916576932337.8</v>
      </c>
      <c r="J537" s="6">
        <f t="shared" si="84"/>
        <v>1.0226038455893147</v>
      </c>
      <c r="K537" s="7">
        <f>J537*H537*首页!$B$12/P537</f>
        <v>0.69532757496605813</v>
      </c>
      <c r="L537" s="6">
        <f>首页!$B$9*0.0000000567*((C537^4-D537^4)/(C537-D537))</f>
        <v>7.7687338005019564</v>
      </c>
      <c r="M537" s="6">
        <f>IF(首页!$B$13="自然对流",IF(首页!$B$14="立式圆筒",首页!$B$10,PI()*B537/2),PI()*B537/2)</f>
        <v>55.2</v>
      </c>
      <c r="N537" s="7">
        <f>IF(首页!$B$13="强制对流",首页!$B$11*M537/H537,0)</f>
        <v>0</v>
      </c>
      <c r="O537" s="7">
        <f>IF(首页!$B$13="自然对流",IF(首页!$B$14="立式圆筒",(0.825+0.3063*I537^(1/6))^2+0.87*(M537/B537),(0.752+0.303*I537^(1/6))^2),0.3+SQRT((0.592*N537^0.5)^2+(0.0262*N537^0.8/(1-0.5/N537^0.1))^2))</f>
        <v>10059.76831374571</v>
      </c>
      <c r="P537" s="6">
        <f t="shared" si="85"/>
        <v>2.9510194925512497E-2</v>
      </c>
      <c r="Q537" s="6">
        <f t="shared" si="86"/>
        <v>5.3780022435530803</v>
      </c>
      <c r="R537" s="6">
        <f t="shared" si="87"/>
        <v>13.146736044055036</v>
      </c>
      <c r="S537" s="6">
        <f>IF($Y$2="按单位面积散热损失 qp",B537*LN(B537/首页!$B$4),LN(B537/首页!$B$4))</f>
        <v>2.710367894031696</v>
      </c>
      <c r="T537" s="6">
        <f>IF($Y$2="按单位面积散热损失 qp",2*PI()*首页!$B$8*((E537-D537)/$Y$3-1/R537),2*PI()*首页!$B$8*((E537-D537)/$Y$4-1/(PI()*B537*R537)))</f>
        <v>4.0792996927146143E-2</v>
      </c>
      <c r="U537" t="str">
        <f t="shared" si="88"/>
        <v>按单位面积散热损失 qp</v>
      </c>
      <c r="V537" s="6">
        <f t="shared" si="89"/>
        <v>2.6695748971045496</v>
      </c>
    </row>
    <row r="538" spans="1:22" x14ac:dyDescent="0.15">
      <c r="A538">
        <v>533</v>
      </c>
      <c r="B538" s="6">
        <f>首页!$B$4+2*A538/1000</f>
        <v>1.1859999999999999</v>
      </c>
      <c r="C538" s="6">
        <f>首页!$B$7+273.15</f>
        <v>388.15</v>
      </c>
      <c r="D538" s="6">
        <f>首页!$B$6+273.15</f>
        <v>293.14999999999998</v>
      </c>
      <c r="E538" s="6">
        <f>首页!$B$5+273.15</f>
        <v>1373.15</v>
      </c>
      <c r="F538" s="6">
        <f t="shared" si="80"/>
        <v>95</v>
      </c>
      <c r="G538" s="6">
        <f t="shared" si="81"/>
        <v>340.65</v>
      </c>
      <c r="H538" s="6">
        <f t="shared" si="82"/>
        <v>1.9926207055139041E-5</v>
      </c>
      <c r="I538" s="7">
        <f t="shared" si="83"/>
        <v>1158916576932337.8</v>
      </c>
      <c r="J538" s="6">
        <f t="shared" si="84"/>
        <v>1.0226038455893147</v>
      </c>
      <c r="K538" s="7">
        <f>J538*H538*首页!$B$12/P538</f>
        <v>0.69532757496605813</v>
      </c>
      <c r="L538" s="6">
        <f>首页!$B$9*0.0000000567*((C538^4-D538^4)/(C538-D538))</f>
        <v>7.7687338005019564</v>
      </c>
      <c r="M538" s="6">
        <f>IF(首页!$B$13="自然对流",IF(首页!$B$14="立式圆筒",首页!$B$10,PI()*B538/2),PI()*B538/2)</f>
        <v>55.2</v>
      </c>
      <c r="N538" s="7">
        <f>IF(首页!$B$13="强制对流",首页!$B$11*M538/H538,0)</f>
        <v>0</v>
      </c>
      <c r="O538" s="7">
        <f>IF(首页!$B$13="自然对流",IF(首页!$B$14="立式圆筒",(0.825+0.3063*I538^(1/6))^2+0.87*(M538/B538),(0.752+0.303*I538^(1/6))^2),0.3+SQRT((0.592*N538^0.5)^2+(0.0262*N538^0.8/(1-0.5/N538^0.1))^2))</f>
        <v>10059.699914402016</v>
      </c>
      <c r="P538" s="6">
        <f t="shared" si="85"/>
        <v>2.9510194925512497E-2</v>
      </c>
      <c r="Q538" s="6">
        <f t="shared" si="86"/>
        <v>5.3779656769232762</v>
      </c>
      <c r="R538" s="6">
        <f t="shared" si="87"/>
        <v>13.146699477425233</v>
      </c>
      <c r="S538" s="6">
        <f>IF($Y$2="按单位面积散热损失 qp",B538*LN(B538/首页!$B$4),LN(B538/首页!$B$4))</f>
        <v>2.716947906415891</v>
      </c>
      <c r="T538" s="6">
        <f>IF($Y$2="按单位面积散热损失 qp",2*PI()*首页!$B$8*((E538-D538)/$Y$3-1/R538),2*PI()*首页!$B$8*((E538-D538)/$Y$4-1/(PI()*B538*R538)))</f>
        <v>4.0792937107665461E-2</v>
      </c>
      <c r="U538" t="str">
        <f t="shared" si="88"/>
        <v>按单位面积散热损失 qp</v>
      </c>
      <c r="V538" s="6">
        <f t="shared" si="89"/>
        <v>2.6761549693082256</v>
      </c>
    </row>
    <row r="539" spans="1:22" x14ac:dyDescent="0.15">
      <c r="A539">
        <v>534</v>
      </c>
      <c r="B539" s="6">
        <f>首页!$B$4+2*A539/1000</f>
        <v>1.1880000000000002</v>
      </c>
      <c r="C539" s="6">
        <f>首页!$B$7+273.15</f>
        <v>388.15</v>
      </c>
      <c r="D539" s="6">
        <f>首页!$B$6+273.15</f>
        <v>293.14999999999998</v>
      </c>
      <c r="E539" s="6">
        <f>首页!$B$5+273.15</f>
        <v>1373.15</v>
      </c>
      <c r="F539" s="6">
        <f t="shared" si="80"/>
        <v>95</v>
      </c>
      <c r="G539" s="6">
        <f t="shared" si="81"/>
        <v>340.65</v>
      </c>
      <c r="H539" s="6">
        <f t="shared" si="82"/>
        <v>1.9926207055139041E-5</v>
      </c>
      <c r="I539" s="7">
        <f t="shared" si="83"/>
        <v>1158916576932337.8</v>
      </c>
      <c r="J539" s="6">
        <f t="shared" si="84"/>
        <v>1.0226038455893147</v>
      </c>
      <c r="K539" s="7">
        <f>J539*H539*首页!$B$12/P539</f>
        <v>0.69532757496605813</v>
      </c>
      <c r="L539" s="6">
        <f>首页!$B$9*0.0000000567*((C539^4-D539^4)/(C539-D539))</f>
        <v>7.7687338005019564</v>
      </c>
      <c r="M539" s="6">
        <f>IF(首页!$B$13="自然对流",IF(首页!$B$14="立式圆筒",首页!$B$10,PI()*B539/2),PI()*B539/2)</f>
        <v>55.2</v>
      </c>
      <c r="N539" s="7">
        <f>IF(首页!$B$13="强制对流",首页!$B$11*M539/H539,0)</f>
        <v>0</v>
      </c>
      <c r="O539" s="7">
        <f>IF(首页!$B$13="自然对流",IF(首页!$B$14="立式圆筒",(0.825+0.3063*I539^(1/6))^2+0.87*(M539/B539),(0.752+0.303*I539^(1/6))^2),0.3+SQRT((0.592*N539^0.5)^2+(0.0262*N539^0.8/(1-0.5/N539^0.1))^2))</f>
        <v>10059.631745359142</v>
      </c>
      <c r="P539" s="6">
        <f t="shared" si="85"/>
        <v>2.9510194925512497E-2</v>
      </c>
      <c r="Q539" s="6">
        <f t="shared" si="86"/>
        <v>5.3779292334134379</v>
      </c>
      <c r="R539" s="6">
        <f t="shared" si="87"/>
        <v>13.146663033915395</v>
      </c>
      <c r="S539" s="6">
        <f>IF($Y$2="按单位面积散热损失 qp",B539*LN(B539/首页!$B$4),LN(B539/首页!$B$4))</f>
        <v>2.723531291482967</v>
      </c>
      <c r="T539" s="6">
        <f>IF($Y$2="按单位面积散热损失 qp",2*PI()*首页!$B$8*((E539-D539)/$Y$3-1/R539),2*PI()*首页!$B$8*((E539-D539)/$Y$4-1/(PI()*B539*R539)))</f>
        <v>4.0792877489266098E-2</v>
      </c>
      <c r="U539" t="str">
        <f t="shared" si="88"/>
        <v>按单位面积散热损失 qp</v>
      </c>
      <c r="V539" s="6">
        <f t="shared" si="89"/>
        <v>2.6827384139937007</v>
      </c>
    </row>
    <row r="540" spans="1:22" x14ac:dyDescent="0.15">
      <c r="A540">
        <v>535</v>
      </c>
      <c r="B540" s="6">
        <f>首页!$B$4+2*A540/1000</f>
        <v>1.19</v>
      </c>
      <c r="C540" s="6">
        <f>首页!$B$7+273.15</f>
        <v>388.15</v>
      </c>
      <c r="D540" s="6">
        <f>首页!$B$6+273.15</f>
        <v>293.14999999999998</v>
      </c>
      <c r="E540" s="6">
        <f>首页!$B$5+273.15</f>
        <v>1373.15</v>
      </c>
      <c r="F540" s="6">
        <f t="shared" si="80"/>
        <v>95</v>
      </c>
      <c r="G540" s="6">
        <f t="shared" si="81"/>
        <v>340.65</v>
      </c>
      <c r="H540" s="6">
        <f t="shared" si="82"/>
        <v>1.9926207055139041E-5</v>
      </c>
      <c r="I540" s="7">
        <f t="shared" si="83"/>
        <v>1158916576932337.8</v>
      </c>
      <c r="J540" s="6">
        <f t="shared" si="84"/>
        <v>1.0226038455893147</v>
      </c>
      <c r="K540" s="7">
        <f>J540*H540*首页!$B$12/P540</f>
        <v>0.69532757496605813</v>
      </c>
      <c r="L540" s="6">
        <f>首页!$B$9*0.0000000567*((C540^4-D540^4)/(C540-D540))</f>
        <v>7.7687338005019564</v>
      </c>
      <c r="M540" s="6">
        <f>IF(首页!$B$13="自然对流",IF(首页!$B$14="立式圆筒",首页!$B$10,PI()*B540/2),PI()*B540/2)</f>
        <v>55.2</v>
      </c>
      <c r="N540" s="7">
        <f>IF(首页!$B$13="强制对流",首页!$B$11*M540/H540,0)</f>
        <v>0</v>
      </c>
      <c r="O540" s="7">
        <f>IF(首页!$B$13="自然对流",IF(首页!$B$14="立式圆筒",(0.825+0.3063*I540^(1/6))^2+0.87*(M540/B540),(0.752+0.303*I540^(1/6))^2),0.3+SQRT((0.592*N540^0.5)^2+(0.0262*N540^0.8/(1-0.5/N540^0.1))^2))</f>
        <v>10059.563805455908</v>
      </c>
      <c r="P540" s="6">
        <f t="shared" si="85"/>
        <v>2.9510194925512497E-2</v>
      </c>
      <c r="Q540" s="6">
        <f t="shared" si="86"/>
        <v>5.3778929124027908</v>
      </c>
      <c r="R540" s="6">
        <f t="shared" si="87"/>
        <v>13.146626712904748</v>
      </c>
      <c r="S540" s="6">
        <f>IF($Y$2="按单位面积散热损失 qp",B540*LN(B540/首页!$B$4),LN(B540/首页!$B$4))</f>
        <v>2.7301180435549992</v>
      </c>
      <c r="T540" s="6">
        <f>IF($Y$2="按单位面积散热损失 qp",2*PI()*首页!$B$8*((E540-D540)/$Y$3-1/R540),2*PI()*首页!$B$8*((E540-D540)/$Y$4-1/(PI()*B540*R540)))</f>
        <v>4.0792818070935835E-2</v>
      </c>
      <c r="U540" t="str">
        <f t="shared" si="88"/>
        <v>按单位面积散热损失 qp</v>
      </c>
      <c r="V540" s="6">
        <f t="shared" si="89"/>
        <v>2.6893252254840632</v>
      </c>
    </row>
    <row r="541" spans="1:22" x14ac:dyDescent="0.15">
      <c r="A541">
        <v>536</v>
      </c>
      <c r="B541" s="6">
        <f>首页!$B$4+2*A541/1000</f>
        <v>1.1920000000000002</v>
      </c>
      <c r="C541" s="6">
        <f>首页!$B$7+273.15</f>
        <v>388.15</v>
      </c>
      <c r="D541" s="6">
        <f>首页!$B$6+273.15</f>
        <v>293.14999999999998</v>
      </c>
      <c r="E541" s="6">
        <f>首页!$B$5+273.15</f>
        <v>1373.15</v>
      </c>
      <c r="F541" s="6">
        <f t="shared" si="80"/>
        <v>95</v>
      </c>
      <c r="G541" s="6">
        <f t="shared" si="81"/>
        <v>340.65</v>
      </c>
      <c r="H541" s="6">
        <f t="shared" si="82"/>
        <v>1.9926207055139041E-5</v>
      </c>
      <c r="I541" s="7">
        <f t="shared" si="83"/>
        <v>1158916576932337.8</v>
      </c>
      <c r="J541" s="6">
        <f t="shared" si="84"/>
        <v>1.0226038455893147</v>
      </c>
      <c r="K541" s="7">
        <f>J541*H541*首页!$B$12/P541</f>
        <v>0.69532757496605813</v>
      </c>
      <c r="L541" s="6">
        <f>首页!$B$9*0.0000000567*((C541^4-D541^4)/(C541-D541))</f>
        <v>7.7687338005019564</v>
      </c>
      <c r="M541" s="6">
        <f>IF(首页!$B$13="自然对流",IF(首页!$B$14="立式圆筒",首页!$B$10,PI()*B541/2),PI()*B541/2)</f>
        <v>55.2</v>
      </c>
      <c r="N541" s="7">
        <f>IF(首页!$B$13="强制对流",首页!$B$11*M541/H541,0)</f>
        <v>0</v>
      </c>
      <c r="O541" s="7">
        <f>IF(首页!$B$13="自然对流",IF(首页!$B$14="立式圆筒",(0.825+0.3063*I541^(1/6))^2+0.87*(M541/B541),(0.752+0.303*I541^(1/6))^2),0.3+SQRT((0.592*N541^0.5)^2+(0.0262*N541^0.8/(1-0.5/N541^0.1))^2))</f>
        <v>10059.496093538926</v>
      </c>
      <c r="P541" s="6">
        <f t="shared" si="85"/>
        <v>2.9510194925512497E-2</v>
      </c>
      <c r="Q541" s="6">
        <f t="shared" si="86"/>
        <v>5.3778567132747312</v>
      </c>
      <c r="R541" s="6">
        <f t="shared" si="87"/>
        <v>13.146590513776687</v>
      </c>
      <c r="S541" s="6">
        <f>IF($Y$2="按单位面积散热损失 qp",B541*LN(B541/首页!$B$4),LN(B541/首页!$B$4))</f>
        <v>2.7367081569731533</v>
      </c>
      <c r="T541" s="6">
        <f>IF($Y$2="按单位面积散热损失 qp",2*PI()*首页!$B$8*((E541-D541)/$Y$3-1/R541),2*PI()*首页!$B$8*((E541-D541)/$Y$4-1/(PI()*B541*R541)))</f>
        <v>4.0792758851669275E-2</v>
      </c>
      <c r="U541" t="str">
        <f t="shared" si="88"/>
        <v>按单位面积散热损失 qp</v>
      </c>
      <c r="V541" s="6">
        <f t="shared" si="89"/>
        <v>2.6959153981214841</v>
      </c>
    </row>
    <row r="542" spans="1:22" x14ac:dyDescent="0.15">
      <c r="A542">
        <v>537</v>
      </c>
      <c r="B542" s="6">
        <f>首页!$B$4+2*A542/1000</f>
        <v>1.194</v>
      </c>
      <c r="C542" s="6">
        <f>首页!$B$7+273.15</f>
        <v>388.15</v>
      </c>
      <c r="D542" s="6">
        <f>首页!$B$6+273.15</f>
        <v>293.14999999999998</v>
      </c>
      <c r="E542" s="6">
        <f>首页!$B$5+273.15</f>
        <v>1373.15</v>
      </c>
      <c r="F542" s="6">
        <f t="shared" si="80"/>
        <v>95</v>
      </c>
      <c r="G542" s="6">
        <f t="shared" si="81"/>
        <v>340.65</v>
      </c>
      <c r="H542" s="6">
        <f t="shared" si="82"/>
        <v>1.9926207055139041E-5</v>
      </c>
      <c r="I542" s="7">
        <f t="shared" si="83"/>
        <v>1158916576932337.8</v>
      </c>
      <c r="J542" s="6">
        <f t="shared" si="84"/>
        <v>1.0226038455893147</v>
      </c>
      <c r="K542" s="7">
        <f>J542*H542*首页!$B$12/P542</f>
        <v>0.69532757496605813</v>
      </c>
      <c r="L542" s="6">
        <f>首页!$B$9*0.0000000567*((C542^4-D542^4)/(C542-D542))</f>
        <v>7.7687338005019564</v>
      </c>
      <c r="M542" s="6">
        <f>IF(首页!$B$13="自然对流",IF(首页!$B$14="立式圆筒",首页!$B$10,PI()*B542/2),PI()*B542/2)</f>
        <v>55.2</v>
      </c>
      <c r="N542" s="7">
        <f>IF(首页!$B$13="强制对流",首页!$B$11*M542/H542,0)</f>
        <v>0</v>
      </c>
      <c r="O542" s="7">
        <f>IF(首页!$B$13="自然对流",IF(首页!$B$14="立式圆筒",(0.825+0.3063*I542^(1/6))^2+0.87*(M542/B542),(0.752+0.303*I542^(1/6))^2),0.3+SQRT((0.592*N542^0.5)^2+(0.0262*N542^0.8/(1-0.5/N542^0.1))^2))</f>
        <v>10059.428608462538</v>
      </c>
      <c r="P542" s="6">
        <f t="shared" si="85"/>
        <v>2.9510194925512497E-2</v>
      </c>
      <c r="Q542" s="6">
        <f t="shared" si="86"/>
        <v>5.377820635416783</v>
      </c>
      <c r="R542" s="6">
        <f t="shared" si="87"/>
        <v>13.146554435918739</v>
      </c>
      <c r="S542" s="6">
        <f>IF($Y$2="按单位面积散热损失 qp",B542*LN(B542/首页!$B$4),LN(B542/首页!$B$4))</f>
        <v>2.7433016260975784</v>
      </c>
      <c r="T542" s="6">
        <f>IF($Y$2="按单位面积散热损失 qp",2*PI()*首页!$B$8*((E542-D542)/$Y$3-1/R542),2*PI()*首页!$B$8*((E542-D542)/$Y$4-1/(PI()*B542*R542)))</f>
        <v>4.0792699830467745E-2</v>
      </c>
      <c r="U542" t="str">
        <f t="shared" si="88"/>
        <v>按单位面积散热损失 qp</v>
      </c>
      <c r="V542" s="6">
        <f t="shared" si="89"/>
        <v>2.7025089262671105</v>
      </c>
    </row>
    <row r="543" spans="1:22" x14ac:dyDescent="0.15">
      <c r="A543">
        <v>538</v>
      </c>
      <c r="B543" s="6">
        <f>首页!$B$4+2*A543/1000</f>
        <v>1.1960000000000002</v>
      </c>
      <c r="C543" s="6">
        <f>首页!$B$7+273.15</f>
        <v>388.15</v>
      </c>
      <c r="D543" s="6">
        <f>首页!$B$6+273.15</f>
        <v>293.14999999999998</v>
      </c>
      <c r="E543" s="6">
        <f>首页!$B$5+273.15</f>
        <v>1373.15</v>
      </c>
      <c r="F543" s="6">
        <f t="shared" si="80"/>
        <v>95</v>
      </c>
      <c r="G543" s="6">
        <f t="shared" si="81"/>
        <v>340.65</v>
      </c>
      <c r="H543" s="6">
        <f t="shared" si="82"/>
        <v>1.9926207055139041E-5</v>
      </c>
      <c r="I543" s="7">
        <f t="shared" si="83"/>
        <v>1158916576932337.8</v>
      </c>
      <c r="J543" s="6">
        <f t="shared" si="84"/>
        <v>1.0226038455893147</v>
      </c>
      <c r="K543" s="7">
        <f>J543*H543*首页!$B$12/P543</f>
        <v>0.69532757496605813</v>
      </c>
      <c r="L543" s="6">
        <f>首页!$B$9*0.0000000567*((C543^4-D543^4)/(C543-D543))</f>
        <v>7.7687338005019564</v>
      </c>
      <c r="M543" s="6">
        <f>IF(首页!$B$13="自然对流",IF(首页!$B$14="立式圆筒",首页!$B$10,PI()*B543/2),PI()*B543/2)</f>
        <v>55.2</v>
      </c>
      <c r="N543" s="7">
        <f>IF(首页!$B$13="强制对流",首页!$B$11*M543/H543,0)</f>
        <v>0</v>
      </c>
      <c r="O543" s="7">
        <f>IF(首页!$B$13="自然对流",IF(首页!$B$14="立式圆筒",(0.825+0.3063*I543^(1/6))^2+0.87*(M543/B543),(0.752+0.303*I543^(1/6))^2),0.3+SQRT((0.592*N543^0.5)^2+(0.0262*N543^0.8/(1-0.5/N543^0.1))^2))</f>
        <v>10059.361349088746</v>
      </c>
      <c r="P543" s="6">
        <f t="shared" si="85"/>
        <v>2.9510194925512497E-2</v>
      </c>
      <c r="Q543" s="6">
        <f t="shared" si="86"/>
        <v>5.3777846782205661</v>
      </c>
      <c r="R543" s="6">
        <f t="shared" si="87"/>
        <v>13.146518478722523</v>
      </c>
      <c r="S543" s="6">
        <f>IF($Y$2="按单位面积散热损失 qp",B543*LN(B543/首页!$B$4),LN(B543/首页!$B$4))</f>
        <v>2.7498984453073239</v>
      </c>
      <c r="T543" s="6">
        <f>IF($Y$2="按单位面积散热损失 qp",2*PI()*首页!$B$8*((E543-D543)/$Y$3-1/R543),2*PI()*首页!$B$8*((E543-D543)/$Y$4-1/(PI()*B543*R543)))</f>
        <v>4.0792641006339218E-2</v>
      </c>
      <c r="U543" t="str">
        <f t="shared" si="88"/>
        <v>按单位面积散热损失 qp</v>
      </c>
      <c r="V543" s="6">
        <f t="shared" si="89"/>
        <v>2.7091058043009846</v>
      </c>
    </row>
    <row r="544" spans="1:22" x14ac:dyDescent="0.15">
      <c r="A544">
        <v>539</v>
      </c>
      <c r="B544" s="6">
        <f>首页!$B$4+2*A544/1000</f>
        <v>1.198</v>
      </c>
      <c r="C544" s="6">
        <f>首页!$B$7+273.15</f>
        <v>388.15</v>
      </c>
      <c r="D544" s="6">
        <f>首页!$B$6+273.15</f>
        <v>293.14999999999998</v>
      </c>
      <c r="E544" s="6">
        <f>首页!$B$5+273.15</f>
        <v>1373.15</v>
      </c>
      <c r="F544" s="6">
        <f t="shared" si="80"/>
        <v>95</v>
      </c>
      <c r="G544" s="6">
        <f t="shared" si="81"/>
        <v>340.65</v>
      </c>
      <c r="H544" s="6">
        <f t="shared" si="82"/>
        <v>1.9926207055139041E-5</v>
      </c>
      <c r="I544" s="7">
        <f t="shared" si="83"/>
        <v>1158916576932337.8</v>
      </c>
      <c r="J544" s="6">
        <f t="shared" si="84"/>
        <v>1.0226038455893147</v>
      </c>
      <c r="K544" s="7">
        <f>J544*H544*首页!$B$12/P544</f>
        <v>0.69532757496605813</v>
      </c>
      <c r="L544" s="6">
        <f>首页!$B$9*0.0000000567*((C544^4-D544^4)/(C544-D544))</f>
        <v>7.7687338005019564</v>
      </c>
      <c r="M544" s="6">
        <f>IF(首页!$B$13="自然对流",IF(首页!$B$14="立式圆筒",首页!$B$10,PI()*B544/2),PI()*B544/2)</f>
        <v>55.2</v>
      </c>
      <c r="N544" s="7">
        <f>IF(首页!$B$13="强制对流",首页!$B$11*M544/H544,0)</f>
        <v>0</v>
      </c>
      <c r="O544" s="7">
        <f>IF(首页!$B$13="自然对流",IF(首页!$B$14="立式圆筒",(0.825+0.3063*I544^(1/6))^2+0.87*(M544/B544),(0.752+0.303*I544^(1/6))^2),0.3+SQRT((0.592*N544^0.5)^2+(0.0262*N544^0.8/(1-0.5/N544^0.1))^2))</f>
        <v>10059.294314287154</v>
      </c>
      <c r="P544" s="6">
        <f t="shared" si="85"/>
        <v>2.9510194925512497E-2</v>
      </c>
      <c r="Q544" s="6">
        <f t="shared" si="86"/>
        <v>5.3777488410817655</v>
      </c>
      <c r="R544" s="6">
        <f t="shared" si="87"/>
        <v>13.146482641583722</v>
      </c>
      <c r="S544" s="6">
        <f>IF($Y$2="按单位面积散热损失 qp",B544*LN(B544/首页!$B$4),LN(B544/首页!$B$4))</f>
        <v>2.7564986090002312</v>
      </c>
      <c r="T544" s="6">
        <f>IF($Y$2="按单位面积散热损失 qp",2*PI()*首页!$B$8*((E544-D544)/$Y$3-1/R544),2*PI()*首页!$B$8*((E544-D544)/$Y$4-1/(PI()*B544*R544)))</f>
        <v>4.0792582378298282E-2</v>
      </c>
      <c r="U544" t="str">
        <f t="shared" si="88"/>
        <v>按单位面积散热损失 qp</v>
      </c>
      <c r="V544" s="6">
        <f t="shared" si="89"/>
        <v>2.7157060266219331</v>
      </c>
    </row>
    <row r="545" spans="1:22" x14ac:dyDescent="0.15">
      <c r="A545">
        <v>540</v>
      </c>
      <c r="B545" s="6">
        <f>首页!$B$4+2*A545/1000</f>
        <v>1.2000000000000002</v>
      </c>
      <c r="C545" s="6">
        <f>首页!$B$7+273.15</f>
        <v>388.15</v>
      </c>
      <c r="D545" s="6">
        <f>首页!$B$6+273.15</f>
        <v>293.14999999999998</v>
      </c>
      <c r="E545" s="6">
        <f>首页!$B$5+273.15</f>
        <v>1373.15</v>
      </c>
      <c r="F545" s="6">
        <f t="shared" si="80"/>
        <v>95</v>
      </c>
      <c r="G545" s="6">
        <f t="shared" si="81"/>
        <v>340.65</v>
      </c>
      <c r="H545" s="6">
        <f t="shared" si="82"/>
        <v>1.9926207055139041E-5</v>
      </c>
      <c r="I545" s="7">
        <f t="shared" si="83"/>
        <v>1158916576932337.8</v>
      </c>
      <c r="J545" s="6">
        <f t="shared" si="84"/>
        <v>1.0226038455893147</v>
      </c>
      <c r="K545" s="7">
        <f>J545*H545*首页!$B$12/P545</f>
        <v>0.69532757496605813</v>
      </c>
      <c r="L545" s="6">
        <f>首页!$B$9*0.0000000567*((C545^4-D545^4)/(C545-D545))</f>
        <v>7.7687338005019564</v>
      </c>
      <c r="M545" s="6">
        <f>IF(首页!$B$13="自然对流",IF(首页!$B$14="立式圆筒",首页!$B$10,PI()*B545/2),PI()*B545/2)</f>
        <v>55.2</v>
      </c>
      <c r="N545" s="7">
        <f>IF(首页!$B$13="强制对流",首页!$B$11*M545/H545,0)</f>
        <v>0</v>
      </c>
      <c r="O545" s="7">
        <f>IF(首页!$B$13="自然对流",IF(首页!$B$14="立式圆筒",(0.825+0.3063*I545^(1/6))^2+0.87*(M545/B545),(0.752+0.303*I545^(1/6))^2),0.3+SQRT((0.592*N545^0.5)^2+(0.0262*N545^0.8/(1-0.5/N545^0.1))^2))</f>
        <v>10059.2275029349</v>
      </c>
      <c r="P545" s="6">
        <f t="shared" si="85"/>
        <v>2.9510194925512497E-2</v>
      </c>
      <c r="Q545" s="6">
        <f t="shared" si="86"/>
        <v>5.3777131234000946</v>
      </c>
      <c r="R545" s="6">
        <f t="shared" si="87"/>
        <v>13.146446923902051</v>
      </c>
      <c r="S545" s="6">
        <f>IF($Y$2="按单位面积散热损失 qp",B545*LN(B545/首页!$B$4),LN(B545/首页!$B$4))</f>
        <v>2.7631021115928553</v>
      </c>
      <c r="T545" s="6">
        <f>IF($Y$2="按单位面积散热损失 qp",2*PI()*首页!$B$8*((E545-D545)/$Y$3-1/R545),2*PI()*首页!$B$8*((E545-D545)/$Y$4-1/(PI()*B545*R545)))</f>
        <v>4.0792523945366116E-2</v>
      </c>
      <c r="U545" t="str">
        <f t="shared" si="88"/>
        <v>按单位面积散热损失 qp</v>
      </c>
      <c r="V545" s="6">
        <f t="shared" si="89"/>
        <v>2.7223095876474894</v>
      </c>
    </row>
    <row r="546" spans="1:22" x14ac:dyDescent="0.15">
      <c r="A546">
        <v>541</v>
      </c>
      <c r="B546" s="6">
        <f>首页!$B$4+2*A546/1000</f>
        <v>1.202</v>
      </c>
      <c r="C546" s="6">
        <f>首页!$B$7+273.15</f>
        <v>388.15</v>
      </c>
      <c r="D546" s="6">
        <f>首页!$B$6+273.15</f>
        <v>293.14999999999998</v>
      </c>
      <c r="E546" s="6">
        <f>首页!$B$5+273.15</f>
        <v>1373.15</v>
      </c>
      <c r="F546" s="6">
        <f t="shared" si="80"/>
        <v>95</v>
      </c>
      <c r="G546" s="6">
        <f t="shared" si="81"/>
        <v>340.65</v>
      </c>
      <c r="H546" s="6">
        <f t="shared" si="82"/>
        <v>1.9926207055139041E-5</v>
      </c>
      <c r="I546" s="7">
        <f t="shared" si="83"/>
        <v>1158916576932337.8</v>
      </c>
      <c r="J546" s="6">
        <f t="shared" si="84"/>
        <v>1.0226038455893147</v>
      </c>
      <c r="K546" s="7">
        <f>J546*H546*首页!$B$12/P546</f>
        <v>0.69532757496605813</v>
      </c>
      <c r="L546" s="6">
        <f>首页!$B$9*0.0000000567*((C546^4-D546^4)/(C546-D546))</f>
        <v>7.7687338005019564</v>
      </c>
      <c r="M546" s="6">
        <f>IF(首页!$B$13="自然对流",IF(首页!$B$14="立式圆筒",首页!$B$10,PI()*B546/2),PI()*B546/2)</f>
        <v>55.2</v>
      </c>
      <c r="N546" s="7">
        <f>IF(首页!$B$13="强制对流",首页!$B$11*M546/H546,0)</f>
        <v>0</v>
      </c>
      <c r="O546" s="7">
        <f>IF(首页!$B$13="自然对流",IF(首页!$B$14="立式圆筒",(0.825+0.3063*I546^(1/6))^2+0.87*(M546/B546),(0.752+0.303*I546^(1/6))^2),0.3+SQRT((0.592*N546^0.5)^2+(0.0262*N546^0.8/(1-0.5/N546^0.1))^2))</f>
        <v>10059.160913916598</v>
      </c>
      <c r="P546" s="6">
        <f t="shared" si="85"/>
        <v>2.9510194925512497E-2</v>
      </c>
      <c r="Q546" s="6">
        <f t="shared" si="86"/>
        <v>5.3776775245792612</v>
      </c>
      <c r="R546" s="6">
        <f t="shared" si="87"/>
        <v>13.146411325081218</v>
      </c>
      <c r="S546" s="6">
        <f>IF($Y$2="按单位面积散热损失 qp",B546*LN(B546/首页!$B$4),LN(B546/首页!$B$4))</f>
        <v>2.7697089475203547</v>
      </c>
      <c r="T546" s="6">
        <f>IF($Y$2="按单位面积散热损失 qp",2*PI()*首页!$B$8*((E546-D546)/$Y$3-1/R546),2*PI()*首页!$B$8*((E546-D546)/$Y$4-1/(PI()*B546*R546)))</f>
        <v>4.0792465706570365E-2</v>
      </c>
      <c r="U546" t="str">
        <f t="shared" si="88"/>
        <v>按单位面积散热损失 qp</v>
      </c>
      <c r="V546" s="6">
        <f t="shared" si="89"/>
        <v>2.7289164818137843</v>
      </c>
    </row>
    <row r="547" spans="1:22" x14ac:dyDescent="0.15">
      <c r="A547">
        <v>542</v>
      </c>
      <c r="B547" s="6">
        <f>首页!$B$4+2*A547/1000</f>
        <v>1.2040000000000002</v>
      </c>
      <c r="C547" s="6">
        <f>首页!$B$7+273.15</f>
        <v>388.15</v>
      </c>
      <c r="D547" s="6">
        <f>首页!$B$6+273.15</f>
        <v>293.14999999999998</v>
      </c>
      <c r="E547" s="6">
        <f>首页!$B$5+273.15</f>
        <v>1373.15</v>
      </c>
      <c r="F547" s="6">
        <f t="shared" si="80"/>
        <v>95</v>
      </c>
      <c r="G547" s="6">
        <f t="shared" si="81"/>
        <v>340.65</v>
      </c>
      <c r="H547" s="6">
        <f t="shared" si="82"/>
        <v>1.9926207055139041E-5</v>
      </c>
      <c r="I547" s="7">
        <f t="shared" si="83"/>
        <v>1158916576932337.8</v>
      </c>
      <c r="J547" s="6">
        <f t="shared" si="84"/>
        <v>1.0226038455893147</v>
      </c>
      <c r="K547" s="7">
        <f>J547*H547*首页!$B$12/P547</f>
        <v>0.69532757496605813</v>
      </c>
      <c r="L547" s="6">
        <f>首页!$B$9*0.0000000567*((C547^4-D547^4)/(C547-D547))</f>
        <v>7.7687338005019564</v>
      </c>
      <c r="M547" s="6">
        <f>IF(首页!$B$13="自然对流",IF(首页!$B$14="立式圆筒",首页!$B$10,PI()*B547/2),PI()*B547/2)</f>
        <v>55.2</v>
      </c>
      <c r="N547" s="7">
        <f>IF(首页!$B$13="强制对流",首页!$B$11*M547/H547,0)</f>
        <v>0</v>
      </c>
      <c r="O547" s="7">
        <f>IF(首页!$B$13="自然对流",IF(首页!$B$14="立式圆筒",(0.825+0.3063*I547^(1/6))^2+0.87*(M547/B547),(0.752+0.303*I547^(1/6))^2),0.3+SQRT((0.592*N547^0.5)^2+(0.0262*N547^0.8/(1-0.5/N547^0.1))^2))</f>
        <v>10059.094546124268</v>
      </c>
      <c r="P547" s="6">
        <f t="shared" si="85"/>
        <v>2.9510194925512497E-2</v>
      </c>
      <c r="Q547" s="6">
        <f t="shared" si="86"/>
        <v>5.3776420440269348</v>
      </c>
      <c r="R547" s="6">
        <f t="shared" si="87"/>
        <v>13.14637584452889</v>
      </c>
      <c r="S547" s="6">
        <f>IF($Y$2="按单位面积散热损失 qp",B547*LN(B547/首页!$B$4),LN(B547/首页!$B$4))</f>
        <v>2.7763191112364116</v>
      </c>
      <c r="T547" s="6">
        <f>IF($Y$2="按单位面积散热损失 qp",2*PI()*首页!$B$8*((E547-D547)/$Y$3-1/R547),2*PI()*首页!$B$8*((E547-D547)/$Y$4-1/(PI()*B547*R547)))</f>
        <v>4.0792407660945142E-2</v>
      </c>
      <c r="U547" t="str">
        <f t="shared" si="88"/>
        <v>按单位面积散热损失 qp</v>
      </c>
      <c r="V547" s="6">
        <f t="shared" si="89"/>
        <v>2.7355267035754665</v>
      </c>
    </row>
    <row r="548" spans="1:22" x14ac:dyDescent="0.15">
      <c r="A548">
        <v>543</v>
      </c>
      <c r="B548" s="6">
        <f>首页!$B$4+2*A548/1000</f>
        <v>1.206</v>
      </c>
      <c r="C548" s="6">
        <f>首页!$B$7+273.15</f>
        <v>388.15</v>
      </c>
      <c r="D548" s="6">
        <f>首页!$B$6+273.15</f>
        <v>293.14999999999998</v>
      </c>
      <c r="E548" s="6">
        <f>首页!$B$5+273.15</f>
        <v>1373.15</v>
      </c>
      <c r="F548" s="6">
        <f t="shared" si="80"/>
        <v>95</v>
      </c>
      <c r="G548" s="6">
        <f t="shared" si="81"/>
        <v>340.65</v>
      </c>
      <c r="H548" s="6">
        <f t="shared" si="82"/>
        <v>1.9926207055139041E-5</v>
      </c>
      <c r="I548" s="7">
        <f t="shared" si="83"/>
        <v>1158916576932337.8</v>
      </c>
      <c r="J548" s="6">
        <f t="shared" si="84"/>
        <v>1.0226038455893147</v>
      </c>
      <c r="K548" s="7">
        <f>J548*H548*首页!$B$12/P548</f>
        <v>0.69532757496605813</v>
      </c>
      <c r="L548" s="6">
        <f>首页!$B$9*0.0000000567*((C548^4-D548^4)/(C548-D548))</f>
        <v>7.7687338005019564</v>
      </c>
      <c r="M548" s="6">
        <f>IF(首页!$B$13="自然对流",IF(首页!$B$14="立式圆筒",首页!$B$10,PI()*B548/2),PI()*B548/2)</f>
        <v>55.2</v>
      </c>
      <c r="N548" s="7">
        <f>IF(首页!$B$13="强制对流",首页!$B$11*M548/H548,0)</f>
        <v>0</v>
      </c>
      <c r="O548" s="7">
        <f>IF(首页!$B$13="自然对流",IF(首页!$B$14="立式圆筒",(0.825+0.3063*I548^(1/6))^2+0.87*(M548/B548),(0.752+0.303*I548^(1/6))^2),0.3+SQRT((0.592*N548^0.5)^2+(0.0262*N548^0.8/(1-0.5/N548^0.1))^2))</f>
        <v>10059.028398457287</v>
      </c>
      <c r="P548" s="6">
        <f t="shared" si="85"/>
        <v>2.9510194925512497E-2</v>
      </c>
      <c r="Q548" s="6">
        <f t="shared" si="86"/>
        <v>5.3776066811547159</v>
      </c>
      <c r="R548" s="6">
        <f t="shared" si="87"/>
        <v>13.146340481656672</v>
      </c>
      <c r="S548" s="6">
        <f>IF($Y$2="按单位面积散热损失 qp",B548*LN(B548/首页!$B$4),LN(B548/首页!$B$4))</f>
        <v>2.7829325972131325</v>
      </c>
      <c r="T548" s="6">
        <f>IF($Y$2="按单位面积散热损失 qp",2*PI()*首页!$B$8*((E548-D548)/$Y$3-1/R548),2*PI()*首页!$B$8*((E548-D548)/$Y$4-1/(PI()*B548*R548)))</f>
        <v>4.0792349807530978E-2</v>
      </c>
      <c r="U548" t="str">
        <f t="shared" si="88"/>
        <v>按单位面积散热损失 qp</v>
      </c>
      <c r="V548" s="6">
        <f t="shared" si="89"/>
        <v>2.7421402474056014</v>
      </c>
    </row>
    <row r="549" spans="1:22" x14ac:dyDescent="0.15">
      <c r="A549">
        <v>544</v>
      </c>
      <c r="B549" s="6">
        <f>首页!$B$4+2*A549/1000</f>
        <v>1.2080000000000002</v>
      </c>
      <c r="C549" s="6">
        <f>首页!$B$7+273.15</f>
        <v>388.15</v>
      </c>
      <c r="D549" s="6">
        <f>首页!$B$6+273.15</f>
        <v>293.14999999999998</v>
      </c>
      <c r="E549" s="6">
        <f>首页!$B$5+273.15</f>
        <v>1373.15</v>
      </c>
      <c r="F549" s="6">
        <f t="shared" si="80"/>
        <v>95</v>
      </c>
      <c r="G549" s="6">
        <f t="shared" si="81"/>
        <v>340.65</v>
      </c>
      <c r="H549" s="6">
        <f t="shared" si="82"/>
        <v>1.9926207055139041E-5</v>
      </c>
      <c r="I549" s="7">
        <f t="shared" si="83"/>
        <v>1158916576932337.8</v>
      </c>
      <c r="J549" s="6">
        <f t="shared" si="84"/>
        <v>1.0226038455893147</v>
      </c>
      <c r="K549" s="7">
        <f>J549*H549*首页!$B$12/P549</f>
        <v>0.69532757496605813</v>
      </c>
      <c r="L549" s="6">
        <f>首页!$B$9*0.0000000567*((C549^4-D549^4)/(C549-D549))</f>
        <v>7.7687338005019564</v>
      </c>
      <c r="M549" s="6">
        <f>IF(首页!$B$13="自然对流",IF(首页!$B$14="立式圆筒",首页!$B$10,PI()*B549/2),PI()*B549/2)</f>
        <v>55.2</v>
      </c>
      <c r="N549" s="7">
        <f>IF(首页!$B$13="强制对流",首页!$B$11*M549/H549,0)</f>
        <v>0</v>
      </c>
      <c r="O549" s="7">
        <f>IF(首页!$B$13="自然对流",IF(首页!$B$14="立式圆筒",(0.825+0.3063*I549^(1/6))^2+0.87*(M549/B549),(0.752+0.303*I549^(1/6))^2),0.3+SQRT((0.592*N549^0.5)^2+(0.0262*N549^0.8/(1-0.5/N549^0.1))^2))</f>
        <v>10058.962469822318</v>
      </c>
      <c r="P549" s="6">
        <f t="shared" si="85"/>
        <v>2.9510194925512497E-2</v>
      </c>
      <c r="Q549" s="6">
        <f t="shared" si="86"/>
        <v>5.3775714353781012</v>
      </c>
      <c r="R549" s="6">
        <f t="shared" si="87"/>
        <v>13.146305235880057</v>
      </c>
      <c r="S549" s="6">
        <f>IF($Y$2="按单位面积散热损失 qp",B549*LN(B549/首页!$B$4),LN(B549/首页!$B$4))</f>
        <v>2.7895493999409591</v>
      </c>
      <c r="T549" s="6">
        <f>IF($Y$2="按单位面积散热损失 qp",2*PI()*首页!$B$8*((E549-D549)/$Y$3-1/R549),2*PI()*首页!$B$8*((E549-D549)/$Y$4-1/(PI()*B549*R549)))</f>
        <v>4.0792292145374699E-2</v>
      </c>
      <c r="U549" t="str">
        <f t="shared" si="88"/>
        <v>按单位面积散热损失 qp</v>
      </c>
      <c r="V549" s="6">
        <f t="shared" si="89"/>
        <v>2.7487571077955844</v>
      </c>
    </row>
    <row r="550" spans="1:22" x14ac:dyDescent="0.15">
      <c r="A550">
        <v>545</v>
      </c>
      <c r="B550" s="6">
        <f>首页!$B$4+2*A550/1000</f>
        <v>1.21</v>
      </c>
      <c r="C550" s="6">
        <f>首页!$B$7+273.15</f>
        <v>388.15</v>
      </c>
      <c r="D550" s="6">
        <f>首页!$B$6+273.15</f>
        <v>293.14999999999998</v>
      </c>
      <c r="E550" s="6">
        <f>首页!$B$5+273.15</f>
        <v>1373.15</v>
      </c>
      <c r="F550" s="6">
        <f t="shared" si="80"/>
        <v>95</v>
      </c>
      <c r="G550" s="6">
        <f t="shared" si="81"/>
        <v>340.65</v>
      </c>
      <c r="H550" s="6">
        <f t="shared" si="82"/>
        <v>1.9926207055139041E-5</v>
      </c>
      <c r="I550" s="7">
        <f t="shared" si="83"/>
        <v>1158916576932337.8</v>
      </c>
      <c r="J550" s="6">
        <f t="shared" si="84"/>
        <v>1.0226038455893147</v>
      </c>
      <c r="K550" s="7">
        <f>J550*H550*首页!$B$12/P550</f>
        <v>0.69532757496605813</v>
      </c>
      <c r="L550" s="6">
        <f>首页!$B$9*0.0000000567*((C550^4-D550^4)/(C550-D550))</f>
        <v>7.7687338005019564</v>
      </c>
      <c r="M550" s="6">
        <f>IF(首页!$B$13="自然对流",IF(首页!$B$14="立式圆筒",首页!$B$10,PI()*B550/2),PI()*B550/2)</f>
        <v>55.2</v>
      </c>
      <c r="N550" s="7">
        <f>IF(首页!$B$13="强制对流",首页!$B$11*M550/H550,0)</f>
        <v>0</v>
      </c>
      <c r="O550" s="7">
        <f>IF(首页!$B$13="自然对流",IF(首页!$B$14="立式圆筒",(0.825+0.3063*I550^(1/6))^2+0.87*(M550/B550),(0.752+0.303*I550^(1/6))^2),0.3+SQRT((0.592*N550^0.5)^2+(0.0262*N550^0.8/(1-0.5/N550^0.1))^2))</f>
        <v>10058.896759133248</v>
      </c>
      <c r="P550" s="6">
        <f t="shared" si="85"/>
        <v>2.9510194925512497E-2</v>
      </c>
      <c r="Q550" s="6">
        <f t="shared" si="86"/>
        <v>5.3775363061164505</v>
      </c>
      <c r="R550" s="6">
        <f t="shared" si="87"/>
        <v>13.146270106618406</v>
      </c>
      <c r="S550" s="6">
        <f>IF($Y$2="按单位面积散热损失 qp",B550*LN(B550/首页!$B$4),LN(B550/首页!$B$4))</f>
        <v>2.7961695139285765</v>
      </c>
      <c r="T550" s="6">
        <f>IF($Y$2="按单位面积散热损失 qp",2*PI()*首页!$B$8*((E550-D550)/$Y$3-1/R550),2*PI()*首页!$B$8*((E550-D550)/$Y$4-1/(PI()*B550*R550)))</f>
        <v>4.0792234673529465E-2</v>
      </c>
      <c r="U550" t="str">
        <f t="shared" si="88"/>
        <v>按单位面积散热损失 qp</v>
      </c>
      <c r="V550" s="6">
        <f t="shared" si="89"/>
        <v>2.7553772792550468</v>
      </c>
    </row>
    <row r="551" spans="1:22" x14ac:dyDescent="0.15">
      <c r="A551">
        <v>546</v>
      </c>
      <c r="B551" s="6">
        <f>首页!$B$4+2*A551/1000</f>
        <v>1.2120000000000002</v>
      </c>
      <c r="C551" s="6">
        <f>首页!$B$7+273.15</f>
        <v>388.15</v>
      </c>
      <c r="D551" s="6">
        <f>首页!$B$6+273.15</f>
        <v>293.14999999999998</v>
      </c>
      <c r="E551" s="6">
        <f>首页!$B$5+273.15</f>
        <v>1373.15</v>
      </c>
      <c r="F551" s="6">
        <f t="shared" si="80"/>
        <v>95</v>
      </c>
      <c r="G551" s="6">
        <f t="shared" si="81"/>
        <v>340.65</v>
      </c>
      <c r="H551" s="6">
        <f t="shared" si="82"/>
        <v>1.9926207055139041E-5</v>
      </c>
      <c r="I551" s="7">
        <f t="shared" si="83"/>
        <v>1158916576932337.8</v>
      </c>
      <c r="J551" s="6">
        <f t="shared" si="84"/>
        <v>1.0226038455893147</v>
      </c>
      <c r="K551" s="7">
        <f>J551*H551*首页!$B$12/P551</f>
        <v>0.69532757496605813</v>
      </c>
      <c r="L551" s="6">
        <f>首页!$B$9*0.0000000567*((C551^4-D551^4)/(C551-D551))</f>
        <v>7.7687338005019564</v>
      </c>
      <c r="M551" s="6">
        <f>IF(首页!$B$13="自然对流",IF(首页!$B$14="立式圆筒",首页!$B$10,PI()*B551/2),PI()*B551/2)</f>
        <v>55.2</v>
      </c>
      <c r="N551" s="7">
        <f>IF(首页!$B$13="强制对流",首页!$B$11*M551/H551,0)</f>
        <v>0</v>
      </c>
      <c r="O551" s="7">
        <f>IF(首页!$B$13="自然对流",IF(首页!$B$14="立式圆筒",(0.825+0.3063*I551^(1/6))^2+0.87*(M551/B551),(0.752+0.303*I551^(1/6))^2),0.3+SQRT((0.592*N551^0.5)^2+(0.0262*N551^0.8/(1-0.5/N551^0.1))^2))</f>
        <v>10058.831265311137</v>
      </c>
      <c r="P551" s="6">
        <f t="shared" si="85"/>
        <v>2.9510194925512497E-2</v>
      </c>
      <c r="Q551" s="6">
        <f t="shared" si="86"/>
        <v>5.3775012927929557</v>
      </c>
      <c r="R551" s="6">
        <f t="shared" si="87"/>
        <v>13.146235093294912</v>
      </c>
      <c r="S551" s="6">
        <f>IF($Y$2="按单位面积散热损失 qp",B551*LN(B551/首页!$B$4),LN(B551/首页!$B$4))</f>
        <v>2.8027929337028237</v>
      </c>
      <c r="T551" s="6">
        <f>IF($Y$2="按单位面积散热损失 qp",2*PI()*首页!$B$8*((E551-D551)/$Y$3-1/R551),2*PI()*首页!$B$8*((E551-D551)/$Y$4-1/(PI()*B551*R551)))</f>
        <v>4.0792177391054653E-2</v>
      </c>
      <c r="U551" t="str">
        <f t="shared" si="88"/>
        <v>按单位面积散热损失 qp</v>
      </c>
      <c r="V551" s="6">
        <f t="shared" si="89"/>
        <v>2.7620007563117692</v>
      </c>
    </row>
    <row r="552" spans="1:22" x14ac:dyDescent="0.15">
      <c r="A552">
        <v>547</v>
      </c>
      <c r="B552" s="6">
        <f>首页!$B$4+2*A552/1000</f>
        <v>1.214</v>
      </c>
      <c r="C552" s="6">
        <f>首页!$B$7+273.15</f>
        <v>388.15</v>
      </c>
      <c r="D552" s="6">
        <f>首页!$B$6+273.15</f>
        <v>293.14999999999998</v>
      </c>
      <c r="E552" s="6">
        <f>首页!$B$5+273.15</f>
        <v>1373.15</v>
      </c>
      <c r="F552" s="6">
        <f t="shared" si="80"/>
        <v>95</v>
      </c>
      <c r="G552" s="6">
        <f t="shared" si="81"/>
        <v>340.65</v>
      </c>
      <c r="H552" s="6">
        <f t="shared" si="82"/>
        <v>1.9926207055139041E-5</v>
      </c>
      <c r="I552" s="7">
        <f t="shared" si="83"/>
        <v>1158916576932337.8</v>
      </c>
      <c r="J552" s="6">
        <f t="shared" si="84"/>
        <v>1.0226038455893147</v>
      </c>
      <c r="K552" s="7">
        <f>J552*H552*首页!$B$12/P552</f>
        <v>0.69532757496605813</v>
      </c>
      <c r="L552" s="6">
        <f>首页!$B$9*0.0000000567*((C552^4-D552^4)/(C552-D552))</f>
        <v>7.7687338005019564</v>
      </c>
      <c r="M552" s="6">
        <f>IF(首页!$B$13="自然对流",IF(首页!$B$14="立式圆筒",首页!$B$10,PI()*B552/2),PI()*B552/2)</f>
        <v>55.2</v>
      </c>
      <c r="N552" s="7">
        <f>IF(首页!$B$13="强制对流",首页!$B$11*M552/H552,0)</f>
        <v>0</v>
      </c>
      <c r="O552" s="7">
        <f>IF(首页!$B$13="自然对流",IF(首页!$B$14="立式圆筒",(0.825+0.3063*I552^(1/6))^2+0.87*(M552/B552),(0.752+0.303*I552^(1/6))^2),0.3+SQRT((0.592*N552^0.5)^2+(0.0262*N552^0.8/(1-0.5/N552^0.1))^2))</f>
        <v>10058.765987284158</v>
      </c>
      <c r="P552" s="6">
        <f t="shared" si="85"/>
        <v>2.9510194925512497E-2</v>
      </c>
      <c r="Q552" s="6">
        <f t="shared" si="86"/>
        <v>5.3774663948346131</v>
      </c>
      <c r="R552" s="6">
        <f t="shared" si="87"/>
        <v>13.146200195336569</v>
      </c>
      <c r="S552" s="6">
        <f>IF($Y$2="按单位面积散热损失 qp",B552*LN(B552/首页!$B$4),LN(B552/首页!$B$4))</f>
        <v>2.8094196538086007</v>
      </c>
      <c r="T552" s="6">
        <f>IF($Y$2="按单位面积散热损失 qp",2*PI()*首页!$B$8*((E552-D552)/$Y$3-1/R552),2*PI()*首页!$B$8*((E552-D552)/$Y$4-1/(PI()*B552*R552)))</f>
        <v>4.0792120297015837E-2</v>
      </c>
      <c r="U552" t="str">
        <f t="shared" si="88"/>
        <v>按单位面积散热损失 qp</v>
      </c>
      <c r="V552" s="6">
        <f t="shared" si="89"/>
        <v>2.7686275335115851</v>
      </c>
    </row>
    <row r="553" spans="1:22" x14ac:dyDescent="0.15">
      <c r="A553">
        <v>548</v>
      </c>
      <c r="B553" s="6">
        <f>首页!$B$4+2*A553/1000</f>
        <v>1.2160000000000002</v>
      </c>
      <c r="C553" s="6">
        <f>首页!$B$7+273.15</f>
        <v>388.15</v>
      </c>
      <c r="D553" s="6">
        <f>首页!$B$6+273.15</f>
        <v>293.14999999999998</v>
      </c>
      <c r="E553" s="6">
        <f>首页!$B$5+273.15</f>
        <v>1373.15</v>
      </c>
      <c r="F553" s="6">
        <f t="shared" si="80"/>
        <v>95</v>
      </c>
      <c r="G553" s="6">
        <f t="shared" si="81"/>
        <v>340.65</v>
      </c>
      <c r="H553" s="6">
        <f t="shared" si="82"/>
        <v>1.9926207055139041E-5</v>
      </c>
      <c r="I553" s="7">
        <f t="shared" si="83"/>
        <v>1158916576932337.8</v>
      </c>
      <c r="J553" s="6">
        <f t="shared" si="84"/>
        <v>1.0226038455893147</v>
      </c>
      <c r="K553" s="7">
        <f>J553*H553*首页!$B$12/P553</f>
        <v>0.69532757496605813</v>
      </c>
      <c r="L553" s="6">
        <f>首页!$B$9*0.0000000567*((C553^4-D553^4)/(C553-D553))</f>
        <v>7.7687338005019564</v>
      </c>
      <c r="M553" s="6">
        <f>IF(首页!$B$13="自然对流",IF(首页!$B$14="立式圆筒",首页!$B$10,PI()*B553/2),PI()*B553/2)</f>
        <v>55.2</v>
      </c>
      <c r="N553" s="7">
        <f>IF(首页!$B$13="强制对流",首页!$B$11*M553/H553,0)</f>
        <v>0</v>
      </c>
      <c r="O553" s="7">
        <f>IF(首页!$B$13="自然对流",IF(首页!$B$14="立式圆筒",(0.825+0.3063*I553^(1/6))^2+0.87*(M553/B553),(0.752+0.303*I553^(1/6))^2),0.3+SQRT((0.592*N553^0.5)^2+(0.0262*N553^0.8/(1-0.5/N553^0.1))^2))</f>
        <v>10058.700923987531</v>
      </c>
      <c r="P553" s="6">
        <f t="shared" si="85"/>
        <v>2.9510194925512497E-2</v>
      </c>
      <c r="Q553" s="6">
        <f t="shared" si="86"/>
        <v>5.3774316116721863</v>
      </c>
      <c r="R553" s="6">
        <f t="shared" si="87"/>
        <v>13.146165412174142</v>
      </c>
      <c r="S553" s="6">
        <f>IF($Y$2="按单位面积散热损失 qp",B553*LN(B553/首页!$B$4),LN(B553/首页!$B$4))</f>
        <v>2.8160496688087853</v>
      </c>
      <c r="T553" s="6">
        <f>IF($Y$2="按单位面积散热损失 qp",2*PI()*首页!$B$8*((E553-D553)/$Y$3-1/R553),2*PI()*首页!$B$8*((E553-D553)/$Y$4-1/(PI()*B553*R553)))</f>
        <v>4.0792063390484724E-2</v>
      </c>
      <c r="U553" t="str">
        <f t="shared" si="88"/>
        <v>按单位面积散热损失 qp</v>
      </c>
      <c r="V553" s="6">
        <f t="shared" si="89"/>
        <v>2.7752576054183007</v>
      </c>
    </row>
    <row r="554" spans="1:22" x14ac:dyDescent="0.15">
      <c r="A554">
        <v>549</v>
      </c>
      <c r="B554" s="6">
        <f>首页!$B$4+2*A554/1000</f>
        <v>1.218</v>
      </c>
      <c r="C554" s="6">
        <f>首页!$B$7+273.15</f>
        <v>388.15</v>
      </c>
      <c r="D554" s="6">
        <f>首页!$B$6+273.15</f>
        <v>293.14999999999998</v>
      </c>
      <c r="E554" s="6">
        <f>首页!$B$5+273.15</f>
        <v>1373.15</v>
      </c>
      <c r="F554" s="6">
        <f t="shared" si="80"/>
        <v>95</v>
      </c>
      <c r="G554" s="6">
        <f t="shared" si="81"/>
        <v>340.65</v>
      </c>
      <c r="H554" s="6">
        <f t="shared" si="82"/>
        <v>1.9926207055139041E-5</v>
      </c>
      <c r="I554" s="7">
        <f t="shared" si="83"/>
        <v>1158916576932337.8</v>
      </c>
      <c r="J554" s="6">
        <f t="shared" si="84"/>
        <v>1.0226038455893147</v>
      </c>
      <c r="K554" s="7">
        <f>J554*H554*首页!$B$12/P554</f>
        <v>0.69532757496605813</v>
      </c>
      <c r="L554" s="6">
        <f>首页!$B$9*0.0000000567*((C554^4-D554^4)/(C554-D554))</f>
        <v>7.7687338005019564</v>
      </c>
      <c r="M554" s="6">
        <f>IF(首页!$B$13="自然对流",IF(首页!$B$14="立式圆筒",首页!$B$10,PI()*B554/2),PI()*B554/2)</f>
        <v>55.2</v>
      </c>
      <c r="N554" s="7">
        <f>IF(首页!$B$13="强制对流",首页!$B$11*M554/H554,0)</f>
        <v>0</v>
      </c>
      <c r="O554" s="7">
        <f>IF(首页!$B$13="自然对流",IF(首页!$B$14="立式圆筒",(0.825+0.3063*I554^(1/6))^2+0.87*(M554/B554),(0.752+0.303*I554^(1/6))^2),0.3+SQRT((0.592*N554^0.5)^2+(0.0262*N554^0.8/(1-0.5/N554^0.1))^2))</f>
        <v>10058.63607436347</v>
      </c>
      <c r="P554" s="6">
        <f t="shared" si="85"/>
        <v>2.9510194925512497E-2</v>
      </c>
      <c r="Q554" s="6">
        <f t="shared" si="86"/>
        <v>5.3773969427401775</v>
      </c>
      <c r="R554" s="6">
        <f t="shared" si="87"/>
        <v>13.146130743242134</v>
      </c>
      <c r="S554" s="6">
        <f>IF($Y$2="按单位面积散热损失 qp",B554*LN(B554/首页!$B$4),LN(B554/首页!$B$4))</f>
        <v>2.8226829732841359</v>
      </c>
      <c r="T554" s="6">
        <f>IF($Y$2="按单位面积散热损失 qp",2*PI()*首页!$B$8*((E554-D554)/$Y$3-1/R554),2*PI()*首页!$B$8*((E554-D554)/$Y$4-1/(PI()*B554*R554)))</f>
        <v>4.0792006670539123E-2</v>
      </c>
      <c r="U554" t="str">
        <f t="shared" si="88"/>
        <v>按单位面积散热损失 qp</v>
      </c>
      <c r="V554" s="6">
        <f t="shared" si="89"/>
        <v>2.7818909666135969</v>
      </c>
    </row>
    <row r="555" spans="1:22" x14ac:dyDescent="0.15">
      <c r="A555">
        <v>550</v>
      </c>
      <c r="B555" s="6">
        <f>首页!$B$4+2*A555/1000</f>
        <v>1.2200000000000002</v>
      </c>
      <c r="C555" s="6">
        <f>首页!$B$7+273.15</f>
        <v>388.15</v>
      </c>
      <c r="D555" s="6">
        <f>首页!$B$6+273.15</f>
        <v>293.14999999999998</v>
      </c>
      <c r="E555" s="6">
        <f>首页!$B$5+273.15</f>
        <v>1373.15</v>
      </c>
      <c r="F555" s="6">
        <f t="shared" si="80"/>
        <v>95</v>
      </c>
      <c r="G555" s="6">
        <f t="shared" si="81"/>
        <v>340.65</v>
      </c>
      <c r="H555" s="6">
        <f t="shared" si="82"/>
        <v>1.9926207055139041E-5</v>
      </c>
      <c r="I555" s="7">
        <f t="shared" si="83"/>
        <v>1158916576932337.8</v>
      </c>
      <c r="J555" s="6">
        <f t="shared" si="84"/>
        <v>1.0226038455893147</v>
      </c>
      <c r="K555" s="7">
        <f>J555*H555*首页!$B$12/P555</f>
        <v>0.69532757496605813</v>
      </c>
      <c r="L555" s="6">
        <f>首页!$B$9*0.0000000567*((C555^4-D555^4)/(C555-D555))</f>
        <v>7.7687338005019564</v>
      </c>
      <c r="M555" s="6">
        <f>IF(首页!$B$13="自然对流",IF(首页!$B$14="立式圆筒",首页!$B$10,PI()*B555/2),PI()*B555/2)</f>
        <v>55.2</v>
      </c>
      <c r="N555" s="7">
        <f>IF(首页!$B$13="强制对流",首页!$B$11*M555/H555,0)</f>
        <v>0</v>
      </c>
      <c r="O555" s="7">
        <f>IF(首页!$B$13="自然对流",IF(首页!$B$14="立式圆筒",(0.825+0.3063*I555^(1/6))^2+0.87*(M555/B555),(0.752+0.303*I555^(1/6))^2),0.3+SQRT((0.592*N555^0.5)^2+(0.0262*N555^0.8/(1-0.5/N555^0.1))^2))</f>
        <v>10058.57143736113</v>
      </c>
      <c r="P555" s="6">
        <f t="shared" si="85"/>
        <v>2.9510194925512497E-2</v>
      </c>
      <c r="Q555" s="6">
        <f t="shared" si="86"/>
        <v>5.3773623874767997</v>
      </c>
      <c r="R555" s="6">
        <f t="shared" si="87"/>
        <v>13.146096187978756</v>
      </c>
      <c r="S555" s="6">
        <f>IF($Y$2="按单位面积散热损失 qp",B555*LN(B555/首页!$B$4),LN(B555/首页!$B$4))</f>
        <v>2.8293195618332132</v>
      </c>
      <c r="T555" s="6">
        <f>IF($Y$2="按单位面积散热损失 qp",2*PI()*首页!$B$8*((E555-D555)/$Y$3-1/R555),2*PI()*首页!$B$8*((E555-D555)/$Y$4-1/(PI()*B555*R555)))</f>
        <v>4.0791950136262863E-2</v>
      </c>
      <c r="U555" t="str">
        <f t="shared" si="88"/>
        <v>按单位面积散热损失 qp</v>
      </c>
      <c r="V555" s="6">
        <f t="shared" si="89"/>
        <v>2.7885276116969502</v>
      </c>
    </row>
    <row r="556" spans="1:22" x14ac:dyDescent="0.15">
      <c r="A556">
        <v>551</v>
      </c>
      <c r="B556" s="6">
        <f>首页!$B$4+2*A556/1000</f>
        <v>1.222</v>
      </c>
      <c r="C556" s="6">
        <f>首页!$B$7+273.15</f>
        <v>388.15</v>
      </c>
      <c r="D556" s="6">
        <f>首页!$B$6+273.15</f>
        <v>293.14999999999998</v>
      </c>
      <c r="E556" s="6">
        <f>首页!$B$5+273.15</f>
        <v>1373.15</v>
      </c>
      <c r="F556" s="6">
        <f t="shared" si="80"/>
        <v>95</v>
      </c>
      <c r="G556" s="6">
        <f t="shared" si="81"/>
        <v>340.65</v>
      </c>
      <c r="H556" s="6">
        <f t="shared" si="82"/>
        <v>1.9926207055139041E-5</v>
      </c>
      <c r="I556" s="7">
        <f t="shared" si="83"/>
        <v>1158916576932337.8</v>
      </c>
      <c r="J556" s="6">
        <f t="shared" si="84"/>
        <v>1.0226038455893147</v>
      </c>
      <c r="K556" s="7">
        <f>J556*H556*首页!$B$12/P556</f>
        <v>0.69532757496605813</v>
      </c>
      <c r="L556" s="6">
        <f>首页!$B$9*0.0000000567*((C556^4-D556^4)/(C556-D556))</f>
        <v>7.7687338005019564</v>
      </c>
      <c r="M556" s="6">
        <f>IF(首页!$B$13="自然对流",IF(首页!$B$14="立式圆筒",首页!$B$10,PI()*B556/2),PI()*B556/2)</f>
        <v>55.2</v>
      </c>
      <c r="N556" s="7">
        <f>IF(首页!$B$13="强制对流",首页!$B$11*M556/H556,0)</f>
        <v>0</v>
      </c>
      <c r="O556" s="7">
        <f>IF(首页!$B$13="自然对流",IF(首页!$B$14="立式圆筒",(0.825+0.3063*I556^(1/6))^2+0.87*(M556/B556),(0.752+0.303*I556^(1/6))^2),0.3+SQRT((0.592*N556^0.5)^2+(0.0262*N556^0.8/(1-0.5/N556^0.1))^2))</f>
        <v>10058.507011936537</v>
      </c>
      <c r="P556" s="6">
        <f t="shared" si="85"/>
        <v>2.9510194925512497E-2</v>
      </c>
      <c r="Q556" s="6">
        <f t="shared" si="86"/>
        <v>5.3773279453239393</v>
      </c>
      <c r="R556" s="6">
        <f t="shared" si="87"/>
        <v>13.146061745825897</v>
      </c>
      <c r="S556" s="6">
        <f>IF($Y$2="按单位面积散热损失 qp",B556*LN(B556/首页!$B$4),LN(B556/首页!$B$4))</f>
        <v>2.8359594290722825</v>
      </c>
      <c r="T556" s="6">
        <f>IF($Y$2="按单位面积散热损失 qp",2*PI()*首页!$B$8*((E556-D556)/$Y$3-1/R556),2*PI()*首页!$B$8*((E556-D556)/$Y$4-1/(PI()*B556*R556)))</f>
        <v>4.0791893786745761E-2</v>
      </c>
      <c r="U556" t="str">
        <f t="shared" si="88"/>
        <v>按单位面积散热损失 qp</v>
      </c>
      <c r="V556" s="6">
        <f t="shared" si="89"/>
        <v>2.7951675352855365</v>
      </c>
    </row>
    <row r="557" spans="1:22" x14ac:dyDescent="0.15">
      <c r="A557">
        <v>552</v>
      </c>
      <c r="B557" s="6">
        <f>首页!$B$4+2*A557/1000</f>
        <v>1.2240000000000002</v>
      </c>
      <c r="C557" s="6">
        <f>首页!$B$7+273.15</f>
        <v>388.15</v>
      </c>
      <c r="D557" s="6">
        <f>首页!$B$6+273.15</f>
        <v>293.14999999999998</v>
      </c>
      <c r="E557" s="6">
        <f>首页!$B$5+273.15</f>
        <v>1373.15</v>
      </c>
      <c r="F557" s="6">
        <f t="shared" si="80"/>
        <v>95</v>
      </c>
      <c r="G557" s="6">
        <f t="shared" si="81"/>
        <v>340.65</v>
      </c>
      <c r="H557" s="6">
        <f t="shared" si="82"/>
        <v>1.9926207055139041E-5</v>
      </c>
      <c r="I557" s="7">
        <f t="shared" si="83"/>
        <v>1158916576932337.8</v>
      </c>
      <c r="J557" s="6">
        <f t="shared" si="84"/>
        <v>1.0226038455893147</v>
      </c>
      <c r="K557" s="7">
        <f>J557*H557*首页!$B$12/P557</f>
        <v>0.69532757496605813</v>
      </c>
      <c r="L557" s="6">
        <f>首页!$B$9*0.0000000567*((C557^4-D557^4)/(C557-D557))</f>
        <v>7.7687338005019564</v>
      </c>
      <c r="M557" s="6">
        <f>IF(首页!$B$13="自然对流",IF(首页!$B$14="立式圆筒",首页!$B$10,PI()*B557/2),PI()*B557/2)</f>
        <v>55.2</v>
      </c>
      <c r="N557" s="7">
        <f>IF(首页!$B$13="强制对流",首页!$B$11*M557/H557,0)</f>
        <v>0</v>
      </c>
      <c r="O557" s="7">
        <f>IF(首页!$B$13="自然对流",IF(首页!$B$14="立式圆筒",(0.825+0.3063*I557^(1/6))^2+0.87*(M557/B557),(0.752+0.303*I557^(1/6))^2),0.3+SQRT((0.592*N557^0.5)^2+(0.0262*N557^0.8/(1-0.5/N557^0.1))^2))</f>
        <v>10058.442797052547</v>
      </c>
      <c r="P557" s="6">
        <f t="shared" si="85"/>
        <v>2.9510194925512497E-2</v>
      </c>
      <c r="Q557" s="6">
        <f t="shared" si="86"/>
        <v>5.3772936157271332</v>
      </c>
      <c r="R557" s="6">
        <f t="shared" si="87"/>
        <v>13.146027416229089</v>
      </c>
      <c r="S557" s="6">
        <f>IF($Y$2="按单位面积散热损失 qp",B557*LN(B557/首页!$B$4),LN(B557/首页!$B$4))</f>
        <v>2.8426025696352366</v>
      </c>
      <c r="T557" s="6">
        <f>IF($Y$2="按单位面积散热损失 qp",2*PI()*首页!$B$8*((E557-D557)/$Y$3-1/R557),2*PI()*首页!$B$8*((E557-D557)/$Y$4-1/(PI()*B557*R557)))</f>
        <v>4.0791837621083592E-2</v>
      </c>
      <c r="U557" t="str">
        <f t="shared" si="88"/>
        <v>按单位面积散热损失 qp</v>
      </c>
      <c r="V557" s="6">
        <f t="shared" si="89"/>
        <v>2.801810732014153</v>
      </c>
    </row>
    <row r="558" spans="1:22" x14ac:dyDescent="0.15">
      <c r="A558">
        <v>553</v>
      </c>
      <c r="B558" s="6">
        <f>首页!$B$4+2*A558/1000</f>
        <v>1.226</v>
      </c>
      <c r="C558" s="6">
        <f>首页!$B$7+273.15</f>
        <v>388.15</v>
      </c>
      <c r="D558" s="6">
        <f>首页!$B$6+273.15</f>
        <v>293.14999999999998</v>
      </c>
      <c r="E558" s="6">
        <f>首页!$B$5+273.15</f>
        <v>1373.15</v>
      </c>
      <c r="F558" s="6">
        <f t="shared" si="80"/>
        <v>95</v>
      </c>
      <c r="G558" s="6">
        <f t="shared" si="81"/>
        <v>340.65</v>
      </c>
      <c r="H558" s="6">
        <f t="shared" si="82"/>
        <v>1.9926207055139041E-5</v>
      </c>
      <c r="I558" s="7">
        <f t="shared" si="83"/>
        <v>1158916576932337.8</v>
      </c>
      <c r="J558" s="6">
        <f t="shared" si="84"/>
        <v>1.0226038455893147</v>
      </c>
      <c r="K558" s="7">
        <f>J558*H558*首页!$B$12/P558</f>
        <v>0.69532757496605813</v>
      </c>
      <c r="L558" s="6">
        <f>首页!$B$9*0.0000000567*((C558^4-D558^4)/(C558-D558))</f>
        <v>7.7687338005019564</v>
      </c>
      <c r="M558" s="6">
        <f>IF(首页!$B$13="自然对流",IF(首页!$B$14="立式圆筒",首页!$B$10,PI()*B558/2),PI()*B558/2)</f>
        <v>55.2</v>
      </c>
      <c r="N558" s="7">
        <f>IF(首页!$B$13="强制对流",首页!$B$11*M558/H558,0)</f>
        <v>0</v>
      </c>
      <c r="O558" s="7">
        <f>IF(首页!$B$13="自然对流",IF(首页!$B$14="立式圆筒",(0.825+0.3063*I558^(1/6))^2+0.87*(M558/B558),(0.752+0.303*I558^(1/6))^2),0.3+SQRT((0.592*N558^0.5)^2+(0.0262*N558^0.8/(1-0.5/N558^0.1))^2))</f>
        <v>10058.378791678782</v>
      </c>
      <c r="P558" s="6">
        <f t="shared" si="85"/>
        <v>2.9510194925512497E-2</v>
      </c>
      <c r="Q558" s="6">
        <f t="shared" si="86"/>
        <v>5.3772593981355383</v>
      </c>
      <c r="R558" s="6">
        <f t="shared" si="87"/>
        <v>13.145993198637495</v>
      </c>
      <c r="S558" s="6">
        <f>IF($Y$2="按单位面积散热损失 qp",B558*LN(B558/首页!$B$4),LN(B558/首页!$B$4))</f>
        <v>2.8492489781734998</v>
      </c>
      <c r="T558" s="6">
        <f>IF($Y$2="按单位面积散热损失 qp",2*PI()*首页!$B$8*((E558-D558)/$Y$3-1/R558),2*PI()*首页!$B$8*((E558-D558)/$Y$4-1/(PI()*B558*R558)))</f>
        <v>4.0791781638378002E-2</v>
      </c>
      <c r="U558" t="str">
        <f t="shared" si="88"/>
        <v>按单位面积散热损失 qp</v>
      </c>
      <c r="V558" s="6">
        <f t="shared" si="89"/>
        <v>2.8084571965351217</v>
      </c>
    </row>
    <row r="559" spans="1:22" x14ac:dyDescent="0.15">
      <c r="A559">
        <v>554</v>
      </c>
      <c r="B559" s="6">
        <f>首页!$B$4+2*A559/1000</f>
        <v>1.2280000000000002</v>
      </c>
      <c r="C559" s="6">
        <f>首页!$B$7+273.15</f>
        <v>388.15</v>
      </c>
      <c r="D559" s="6">
        <f>首页!$B$6+273.15</f>
        <v>293.14999999999998</v>
      </c>
      <c r="E559" s="6">
        <f>首页!$B$5+273.15</f>
        <v>1373.15</v>
      </c>
      <c r="F559" s="6">
        <f t="shared" si="80"/>
        <v>95</v>
      </c>
      <c r="G559" s="6">
        <f t="shared" si="81"/>
        <v>340.65</v>
      </c>
      <c r="H559" s="6">
        <f t="shared" si="82"/>
        <v>1.9926207055139041E-5</v>
      </c>
      <c r="I559" s="7">
        <f t="shared" si="83"/>
        <v>1158916576932337.8</v>
      </c>
      <c r="J559" s="6">
        <f t="shared" si="84"/>
        <v>1.0226038455893147</v>
      </c>
      <c r="K559" s="7">
        <f>J559*H559*首页!$B$12/P559</f>
        <v>0.69532757496605813</v>
      </c>
      <c r="L559" s="6">
        <f>首页!$B$9*0.0000000567*((C559^4-D559^4)/(C559-D559))</f>
        <v>7.7687338005019564</v>
      </c>
      <c r="M559" s="6">
        <f>IF(首页!$B$13="自然对流",IF(首页!$B$14="立式圆筒",首页!$B$10,PI()*B559/2),PI()*B559/2)</f>
        <v>55.2</v>
      </c>
      <c r="N559" s="7">
        <f>IF(首页!$B$13="强制对流",首页!$B$11*M559/H559,0)</f>
        <v>0</v>
      </c>
      <c r="O559" s="7">
        <f>IF(首页!$B$13="自然对流",IF(首页!$B$14="立式圆筒",(0.825+0.3063*I559^(1/6))^2+0.87*(M559/B559),(0.752+0.303*I559^(1/6))^2),0.3+SQRT((0.592*N559^0.5)^2+(0.0262*N559^0.8/(1-0.5/N559^0.1))^2))</f>
        <v>10058.314994791577</v>
      </c>
      <c r="P559" s="6">
        <f t="shared" si="85"/>
        <v>2.9510194925512497E-2</v>
      </c>
      <c r="Q559" s="6">
        <f t="shared" si="86"/>
        <v>5.3772252920018957</v>
      </c>
      <c r="R559" s="6">
        <f t="shared" si="87"/>
        <v>13.145959092503851</v>
      </c>
      <c r="S559" s="6">
        <f>IF($Y$2="按单位面积散热损失 qp",B559*LN(B559/首页!$B$4),LN(B559/首页!$B$4))</f>
        <v>2.8558986493559524</v>
      </c>
      <c r="T559" s="6">
        <f>IF($Y$2="按单位面积散热损失 qp",2*PI()*首页!$B$8*((E559-D559)/$Y$3-1/R559),2*PI()*首页!$B$8*((E559-D559)/$Y$4-1/(PI()*B559*R559)))</f>
        <v>4.0791725837736478E-2</v>
      </c>
      <c r="U559" t="str">
        <f t="shared" si="88"/>
        <v>按单位面积散热损失 qp</v>
      </c>
      <c r="V559" s="6">
        <f t="shared" si="89"/>
        <v>2.8151069235182158</v>
      </c>
    </row>
    <row r="560" spans="1:22" x14ac:dyDescent="0.15">
      <c r="A560">
        <v>555</v>
      </c>
      <c r="B560" s="6">
        <f>首页!$B$4+2*A560/1000</f>
        <v>1.23</v>
      </c>
      <c r="C560" s="6">
        <f>首页!$B$7+273.15</f>
        <v>388.15</v>
      </c>
      <c r="D560" s="6">
        <f>首页!$B$6+273.15</f>
        <v>293.14999999999998</v>
      </c>
      <c r="E560" s="6">
        <f>首页!$B$5+273.15</f>
        <v>1373.15</v>
      </c>
      <c r="F560" s="6">
        <f t="shared" si="80"/>
        <v>95</v>
      </c>
      <c r="G560" s="6">
        <f t="shared" si="81"/>
        <v>340.65</v>
      </c>
      <c r="H560" s="6">
        <f t="shared" si="82"/>
        <v>1.9926207055139041E-5</v>
      </c>
      <c r="I560" s="7">
        <f t="shared" si="83"/>
        <v>1158916576932337.8</v>
      </c>
      <c r="J560" s="6">
        <f t="shared" si="84"/>
        <v>1.0226038455893147</v>
      </c>
      <c r="K560" s="7">
        <f>J560*H560*首页!$B$12/P560</f>
        <v>0.69532757496605813</v>
      </c>
      <c r="L560" s="6">
        <f>首页!$B$9*0.0000000567*((C560^4-D560^4)/(C560-D560))</f>
        <v>7.7687338005019564</v>
      </c>
      <c r="M560" s="6">
        <f>IF(首页!$B$13="自然对流",IF(首页!$B$14="立式圆筒",首页!$B$10,PI()*B560/2),PI()*B560/2)</f>
        <v>55.2</v>
      </c>
      <c r="N560" s="7">
        <f>IF(首页!$B$13="强制对流",首页!$B$11*M560/H560,0)</f>
        <v>0</v>
      </c>
      <c r="O560" s="7">
        <f>IF(首页!$B$13="自然对流",IF(首页!$B$14="立式圆筒",(0.825+0.3063*I560^(1/6))^2+0.87*(M560/B560),(0.752+0.303*I560^(1/6))^2),0.3+SQRT((0.592*N560^0.5)^2+(0.0262*N560^0.8/(1-0.5/N560^0.1))^2))</f>
        <v>10058.251405373925</v>
      </c>
      <c r="P560" s="6">
        <f t="shared" si="85"/>
        <v>2.9510194925512497E-2</v>
      </c>
      <c r="Q560" s="6">
        <f t="shared" si="86"/>
        <v>5.3771912967825095</v>
      </c>
      <c r="R560" s="6">
        <f t="shared" si="87"/>
        <v>13.145925097284465</v>
      </c>
      <c r="S560" s="6">
        <f>IF($Y$2="按单位面积散热损失 qp",B560*LN(B560/首页!$B$4),LN(B560/首页!$B$4))</f>
        <v>2.8625515778688331</v>
      </c>
      <c r="T560" s="6">
        <f>IF($Y$2="按单位面积散热损失 qp",2*PI()*首页!$B$8*((E560-D560)/$Y$3-1/R560),2*PI()*首页!$B$8*((E560-D560)/$Y$4-1/(PI()*B560*R560)))</f>
        <v>4.079167021827234E-2</v>
      </c>
      <c r="U560" t="str">
        <f t="shared" si="88"/>
        <v>按单位面积散热损失 qp</v>
      </c>
      <c r="V560" s="6">
        <f t="shared" si="89"/>
        <v>2.8217599076505606</v>
      </c>
    </row>
    <row r="561" spans="1:22" x14ac:dyDescent="0.15">
      <c r="A561">
        <v>556</v>
      </c>
      <c r="B561" s="6">
        <f>首页!$B$4+2*A561/1000</f>
        <v>1.2320000000000002</v>
      </c>
      <c r="C561" s="6">
        <f>首页!$B$7+273.15</f>
        <v>388.15</v>
      </c>
      <c r="D561" s="6">
        <f>首页!$B$6+273.15</f>
        <v>293.14999999999998</v>
      </c>
      <c r="E561" s="6">
        <f>首页!$B$5+273.15</f>
        <v>1373.15</v>
      </c>
      <c r="F561" s="6">
        <f t="shared" si="80"/>
        <v>95</v>
      </c>
      <c r="G561" s="6">
        <f t="shared" si="81"/>
        <v>340.65</v>
      </c>
      <c r="H561" s="6">
        <f t="shared" si="82"/>
        <v>1.9926207055139041E-5</v>
      </c>
      <c r="I561" s="7">
        <f t="shared" si="83"/>
        <v>1158916576932337.8</v>
      </c>
      <c r="J561" s="6">
        <f t="shared" si="84"/>
        <v>1.0226038455893147</v>
      </c>
      <c r="K561" s="7">
        <f>J561*H561*首页!$B$12/P561</f>
        <v>0.69532757496605813</v>
      </c>
      <c r="L561" s="6">
        <f>首页!$B$9*0.0000000567*((C561^4-D561^4)/(C561-D561))</f>
        <v>7.7687338005019564</v>
      </c>
      <c r="M561" s="6">
        <f>IF(首页!$B$13="自然对流",IF(首页!$B$14="立式圆筒",首页!$B$10,PI()*B561/2),PI()*B561/2)</f>
        <v>55.2</v>
      </c>
      <c r="N561" s="7">
        <f>IF(首页!$B$13="强制对流",首页!$B$11*M561/H561,0)</f>
        <v>0</v>
      </c>
      <c r="O561" s="7">
        <f>IF(首页!$B$13="自然对流",IF(首页!$B$14="立式圆筒",(0.825+0.3063*I561^(1/6))^2+0.87*(M561/B561),(0.752+0.303*I561^(1/6))^2),0.3+SQRT((0.592*N561^0.5)^2+(0.0262*N561^0.8/(1-0.5/N561^0.1))^2))</f>
        <v>10058.188022415419</v>
      </c>
      <c r="P561" s="6">
        <f t="shared" si="85"/>
        <v>2.9510194925512497E-2</v>
      </c>
      <c r="Q561" s="6">
        <f t="shared" si="86"/>
        <v>5.3771574119372119</v>
      </c>
      <c r="R561" s="6">
        <f t="shared" si="87"/>
        <v>13.145891212439167</v>
      </c>
      <c r="S561" s="6">
        <f>IF($Y$2="按单位面积散热损失 qp",B561*LN(B561/首页!$B$4),LN(B561/首页!$B$4))</f>
        <v>2.8692077584156692</v>
      </c>
      <c r="T561" s="6">
        <f>IF($Y$2="按单位面积散热损失 qp",2*PI()*首页!$B$8*((E561-D561)/$Y$3-1/R561),2*PI()*首页!$B$8*((E561-D561)/$Y$4-1/(PI()*B561*R561)))</f>
        <v>4.0791614779104611E-2</v>
      </c>
      <c r="U561" t="str">
        <f t="shared" si="88"/>
        <v>按单位面积散热损失 qp</v>
      </c>
      <c r="V561" s="6">
        <f t="shared" si="89"/>
        <v>2.8284161436365647</v>
      </c>
    </row>
    <row r="562" spans="1:22" x14ac:dyDescent="0.15">
      <c r="A562">
        <v>557</v>
      </c>
      <c r="B562" s="6">
        <f>首页!$B$4+2*A562/1000</f>
        <v>1.234</v>
      </c>
      <c r="C562" s="6">
        <f>首页!$B$7+273.15</f>
        <v>388.15</v>
      </c>
      <c r="D562" s="6">
        <f>首页!$B$6+273.15</f>
        <v>293.14999999999998</v>
      </c>
      <c r="E562" s="6">
        <f>首页!$B$5+273.15</f>
        <v>1373.15</v>
      </c>
      <c r="F562" s="6">
        <f t="shared" si="80"/>
        <v>95</v>
      </c>
      <c r="G562" s="6">
        <f t="shared" si="81"/>
        <v>340.65</v>
      </c>
      <c r="H562" s="6">
        <f t="shared" si="82"/>
        <v>1.9926207055139041E-5</v>
      </c>
      <c r="I562" s="7">
        <f t="shared" si="83"/>
        <v>1158916576932337.8</v>
      </c>
      <c r="J562" s="6">
        <f t="shared" si="84"/>
        <v>1.0226038455893147</v>
      </c>
      <c r="K562" s="7">
        <f>J562*H562*首页!$B$12/P562</f>
        <v>0.69532757496605813</v>
      </c>
      <c r="L562" s="6">
        <f>首页!$B$9*0.0000000567*((C562^4-D562^4)/(C562-D562))</f>
        <v>7.7687338005019564</v>
      </c>
      <c r="M562" s="6">
        <f>IF(首页!$B$13="自然对流",IF(首页!$B$14="立式圆筒",首页!$B$10,PI()*B562/2),PI()*B562/2)</f>
        <v>55.2</v>
      </c>
      <c r="N562" s="7">
        <f>IF(首页!$B$13="强制对流",首页!$B$11*M562/H562,0)</f>
        <v>0</v>
      </c>
      <c r="O562" s="7">
        <f>IF(首页!$B$13="自然对流",IF(首页!$B$14="立式圆筒",(0.825+0.3063*I562^(1/6))^2+0.87*(M562/B562),(0.752+0.303*I562^(1/6))^2),0.3+SQRT((0.592*N562^0.5)^2+(0.0262*N562^0.8/(1-0.5/N562^0.1))^2))</f>
        <v>10058.124844912209</v>
      </c>
      <c r="P562" s="6">
        <f t="shared" si="85"/>
        <v>2.9510194925512497E-2</v>
      </c>
      <c r="Q562" s="6">
        <f t="shared" si="86"/>
        <v>5.3771236369293369</v>
      </c>
      <c r="R562" s="6">
        <f t="shared" si="87"/>
        <v>13.145857437431292</v>
      </c>
      <c r="S562" s="6">
        <f>IF($Y$2="按单位面积散热损失 qp",B562*LN(B562/首页!$B$4),LN(B562/首页!$B$4))</f>
        <v>2.8758671857171763</v>
      </c>
      <c r="T562" s="6">
        <f>IF($Y$2="按单位面积散热损失 qp",2*PI()*首页!$B$8*((E562-D562)/$Y$3-1/R562),2*PI()*首页!$B$8*((E562-D562)/$Y$4-1/(PI()*B562*R562)))</f>
        <v>4.0791559519358034E-2</v>
      </c>
      <c r="U562" t="str">
        <f t="shared" si="88"/>
        <v>按单位面积散热损失 qp</v>
      </c>
      <c r="V562" s="6">
        <f t="shared" si="89"/>
        <v>2.8350756261978183</v>
      </c>
    </row>
    <row r="563" spans="1:22" x14ac:dyDescent="0.15">
      <c r="A563">
        <v>558</v>
      </c>
      <c r="B563" s="6">
        <f>首页!$B$4+2*A563/1000</f>
        <v>1.2360000000000002</v>
      </c>
      <c r="C563" s="6">
        <f>首页!$B$7+273.15</f>
        <v>388.15</v>
      </c>
      <c r="D563" s="6">
        <f>首页!$B$6+273.15</f>
        <v>293.14999999999998</v>
      </c>
      <c r="E563" s="6">
        <f>首页!$B$5+273.15</f>
        <v>1373.15</v>
      </c>
      <c r="F563" s="6">
        <f t="shared" si="80"/>
        <v>95</v>
      </c>
      <c r="G563" s="6">
        <f t="shared" si="81"/>
        <v>340.65</v>
      </c>
      <c r="H563" s="6">
        <f t="shared" si="82"/>
        <v>1.9926207055139041E-5</v>
      </c>
      <c r="I563" s="7">
        <f t="shared" si="83"/>
        <v>1158916576932337.8</v>
      </c>
      <c r="J563" s="6">
        <f t="shared" si="84"/>
        <v>1.0226038455893147</v>
      </c>
      <c r="K563" s="7">
        <f>J563*H563*首页!$B$12/P563</f>
        <v>0.69532757496605813</v>
      </c>
      <c r="L563" s="6">
        <f>首页!$B$9*0.0000000567*((C563^4-D563^4)/(C563-D563))</f>
        <v>7.7687338005019564</v>
      </c>
      <c r="M563" s="6">
        <f>IF(首页!$B$13="自然对流",IF(首页!$B$14="立式圆筒",首页!$B$10,PI()*B563/2),PI()*B563/2)</f>
        <v>55.2</v>
      </c>
      <c r="N563" s="7">
        <f>IF(首页!$B$13="强制对流",首页!$B$11*M563/H563,0)</f>
        <v>0</v>
      </c>
      <c r="O563" s="7">
        <f>IF(首页!$B$13="自然对流",IF(首页!$B$14="立式圆筒",(0.825+0.3063*I563^(1/6))^2+0.87*(M563/B563),(0.752+0.303*I563^(1/6))^2),0.3+SQRT((0.592*N563^0.5)^2+(0.0262*N563^0.8/(1-0.5/N563^0.1))^2))</f>
        <v>10058.061871866939</v>
      </c>
      <c r="P563" s="6">
        <f t="shared" si="85"/>
        <v>2.9510194925512497E-2</v>
      </c>
      <c r="Q563" s="6">
        <f t="shared" si="86"/>
        <v>5.377089971225697</v>
      </c>
      <c r="R563" s="6">
        <f t="shared" si="87"/>
        <v>13.145823771727652</v>
      </c>
      <c r="S563" s="6">
        <f>IF($Y$2="按单位面积散热损失 qp",B563*LN(B563/首页!$B$4),LN(B563/首页!$B$4))</f>
        <v>2.8825298545111901</v>
      </c>
      <c r="T563" s="6">
        <f>IF($Y$2="按单位面积散热损失 qp",2*PI()*首页!$B$8*((E563-D563)/$Y$3-1/R563),2*PI()*首页!$B$8*((E563-D563)/$Y$4-1/(PI()*B563*R563)))</f>
        <v>4.0791504438163012E-2</v>
      </c>
      <c r="U563" t="str">
        <f t="shared" si="88"/>
        <v>按单位面积散热损失 qp</v>
      </c>
      <c r="V563" s="6">
        <f t="shared" si="89"/>
        <v>2.8417383500730273</v>
      </c>
    </row>
    <row r="564" spans="1:22" x14ac:dyDescent="0.15">
      <c r="A564">
        <v>559</v>
      </c>
      <c r="B564" s="6">
        <f>首页!$B$4+2*A564/1000</f>
        <v>1.238</v>
      </c>
      <c r="C564" s="6">
        <f>首页!$B$7+273.15</f>
        <v>388.15</v>
      </c>
      <c r="D564" s="6">
        <f>首页!$B$6+273.15</f>
        <v>293.14999999999998</v>
      </c>
      <c r="E564" s="6">
        <f>首页!$B$5+273.15</f>
        <v>1373.15</v>
      </c>
      <c r="F564" s="6">
        <f t="shared" si="80"/>
        <v>95</v>
      </c>
      <c r="G564" s="6">
        <f t="shared" si="81"/>
        <v>340.65</v>
      </c>
      <c r="H564" s="6">
        <f t="shared" si="82"/>
        <v>1.9926207055139041E-5</v>
      </c>
      <c r="I564" s="7">
        <f t="shared" si="83"/>
        <v>1158916576932337.8</v>
      </c>
      <c r="J564" s="6">
        <f t="shared" si="84"/>
        <v>1.0226038455893147</v>
      </c>
      <c r="K564" s="7">
        <f>J564*H564*首页!$B$12/P564</f>
        <v>0.69532757496605813</v>
      </c>
      <c r="L564" s="6">
        <f>首页!$B$9*0.0000000567*((C564^4-D564^4)/(C564-D564))</f>
        <v>7.7687338005019564</v>
      </c>
      <c r="M564" s="6">
        <f>IF(首页!$B$13="自然对流",IF(首页!$B$14="立式圆筒",首页!$B$10,PI()*B564/2),PI()*B564/2)</f>
        <v>55.2</v>
      </c>
      <c r="N564" s="7">
        <f>IF(首页!$B$13="强制对流",首页!$B$11*M564/H564,0)</f>
        <v>0</v>
      </c>
      <c r="O564" s="7">
        <f>IF(首页!$B$13="自然对流",IF(首页!$B$14="立式圆筒",(0.825+0.3063*I564^(1/6))^2+0.87*(M564/B564),(0.752+0.303*I564^(1/6))^2),0.3+SQRT((0.592*N564^0.5)^2+(0.0262*N564^0.8/(1-0.5/N564^0.1))^2))</f>
        <v>10057.999102288697</v>
      </c>
      <c r="P564" s="6">
        <f t="shared" si="85"/>
        <v>2.9510194925512497E-2</v>
      </c>
      <c r="Q564" s="6">
        <f t="shared" si="86"/>
        <v>5.3770564142965425</v>
      </c>
      <c r="R564" s="6">
        <f t="shared" si="87"/>
        <v>13.145790214798499</v>
      </c>
      <c r="S564" s="6">
        <f>IF($Y$2="按单位面积散热损失 qp",B564*LN(B564/首页!$B$4),LN(B564/首页!$B$4))</f>
        <v>2.8891957595525692</v>
      </c>
      <c r="T564" s="6">
        <f>IF($Y$2="按单位面积散热损失 qp",2*PI()*首页!$B$8*((E564-D564)/$Y$3-1/R564),2*PI()*首页!$B$8*((E564-D564)/$Y$4-1/(PI()*B564*R564)))</f>
        <v>4.0791449534655556E-2</v>
      </c>
      <c r="U564" t="str">
        <f t="shared" si="88"/>
        <v>按单位面积散热损失 qp</v>
      </c>
      <c r="V564" s="6">
        <f t="shared" si="89"/>
        <v>2.8484043100179135</v>
      </c>
    </row>
    <row r="565" spans="1:22" x14ac:dyDescent="0.15">
      <c r="A565">
        <v>560</v>
      </c>
      <c r="B565" s="6">
        <f>首页!$B$4+2*A565/1000</f>
        <v>1.2400000000000002</v>
      </c>
      <c r="C565" s="6">
        <f>首页!$B$7+273.15</f>
        <v>388.15</v>
      </c>
      <c r="D565" s="6">
        <f>首页!$B$6+273.15</f>
        <v>293.14999999999998</v>
      </c>
      <c r="E565" s="6">
        <f>首页!$B$5+273.15</f>
        <v>1373.15</v>
      </c>
      <c r="F565" s="6">
        <f t="shared" si="80"/>
        <v>95</v>
      </c>
      <c r="G565" s="6">
        <f t="shared" si="81"/>
        <v>340.65</v>
      </c>
      <c r="H565" s="6">
        <f t="shared" si="82"/>
        <v>1.9926207055139041E-5</v>
      </c>
      <c r="I565" s="7">
        <f t="shared" si="83"/>
        <v>1158916576932337.8</v>
      </c>
      <c r="J565" s="6">
        <f t="shared" si="84"/>
        <v>1.0226038455893147</v>
      </c>
      <c r="K565" s="7">
        <f>J565*H565*首页!$B$12/P565</f>
        <v>0.69532757496605813</v>
      </c>
      <c r="L565" s="6">
        <f>首页!$B$9*0.0000000567*((C565^4-D565^4)/(C565-D565))</f>
        <v>7.7687338005019564</v>
      </c>
      <c r="M565" s="6">
        <f>IF(首页!$B$13="自然对流",IF(首页!$B$14="立式圆筒",首页!$B$10,PI()*B565/2),PI()*B565/2)</f>
        <v>55.2</v>
      </c>
      <c r="N565" s="7">
        <f>IF(首页!$B$13="强制对流",首页!$B$11*M565/H565,0)</f>
        <v>0</v>
      </c>
      <c r="O565" s="7">
        <f>IF(首页!$B$13="自然对流",IF(首页!$B$14="立式圆筒",(0.825+0.3063*I565^(1/6))^2+0.87*(M565/B565),(0.752+0.303*I565^(1/6))^2),0.3+SQRT((0.592*N565^0.5)^2+(0.0262*N565^0.8/(1-0.5/N565^0.1))^2))</f>
        <v>10057.936535192965</v>
      </c>
      <c r="P565" s="6">
        <f t="shared" si="85"/>
        <v>2.9510194925512497E-2</v>
      </c>
      <c r="Q565" s="6">
        <f t="shared" si="86"/>
        <v>5.3770229656155459</v>
      </c>
      <c r="R565" s="6">
        <f t="shared" si="87"/>
        <v>13.145756766117502</v>
      </c>
      <c r="S565" s="6">
        <f>IF($Y$2="按单位面积散热损失 qp",B565*LN(B565/首页!$B$4),LN(B565/首页!$B$4))</f>
        <v>2.8958648956131259</v>
      </c>
      <c r="T565" s="6">
        <f>IF($Y$2="按单位面积散热损失 qp",2*PI()*首页!$B$8*((E565-D565)/$Y$3-1/R565),2*PI()*首页!$B$8*((E565-D565)/$Y$4-1/(PI()*B565*R565)))</f>
        <v>4.0791394807977249E-2</v>
      </c>
      <c r="U565" t="str">
        <f t="shared" si="88"/>
        <v>按单位面积散热损失 qp</v>
      </c>
      <c r="V565" s="6">
        <f t="shared" si="89"/>
        <v>2.8550735008051484</v>
      </c>
    </row>
    <row r="566" spans="1:22" x14ac:dyDescent="0.15">
      <c r="A566">
        <v>561</v>
      </c>
      <c r="B566" s="6">
        <f>首页!$B$4+2*A566/1000</f>
        <v>1.242</v>
      </c>
      <c r="C566" s="6">
        <f>首页!$B$7+273.15</f>
        <v>388.15</v>
      </c>
      <c r="D566" s="6">
        <f>首页!$B$6+273.15</f>
        <v>293.14999999999998</v>
      </c>
      <c r="E566" s="6">
        <f>首页!$B$5+273.15</f>
        <v>1373.15</v>
      </c>
      <c r="F566" s="6">
        <f t="shared" si="80"/>
        <v>95</v>
      </c>
      <c r="G566" s="6">
        <f t="shared" si="81"/>
        <v>340.65</v>
      </c>
      <c r="H566" s="6">
        <f t="shared" si="82"/>
        <v>1.9926207055139041E-5</v>
      </c>
      <c r="I566" s="7">
        <f t="shared" si="83"/>
        <v>1158916576932337.8</v>
      </c>
      <c r="J566" s="6">
        <f t="shared" si="84"/>
        <v>1.0226038455893147</v>
      </c>
      <c r="K566" s="7">
        <f>J566*H566*首页!$B$12/P566</f>
        <v>0.69532757496605813</v>
      </c>
      <c r="L566" s="6">
        <f>首页!$B$9*0.0000000567*((C566^4-D566^4)/(C566-D566))</f>
        <v>7.7687338005019564</v>
      </c>
      <c r="M566" s="6">
        <f>IF(首页!$B$13="自然对流",IF(首页!$B$14="立式圆筒",首页!$B$10,PI()*B566/2),PI()*B566/2)</f>
        <v>55.2</v>
      </c>
      <c r="N566" s="7">
        <f>IF(首页!$B$13="强制对流",首页!$B$11*M566/H566,0)</f>
        <v>0</v>
      </c>
      <c r="O566" s="7">
        <f>IF(首页!$B$13="自然对流",IF(首页!$B$14="立式圆筒",(0.825+0.3063*I566^(1/6))^2+0.87*(M566/B566),(0.752+0.303*I566^(1/6))^2),0.3+SQRT((0.592*N566^0.5)^2+(0.0262*N566^0.8/(1-0.5/N566^0.1))^2))</f>
        <v>10057.874169601566</v>
      </c>
      <c r="P566" s="6">
        <f t="shared" si="85"/>
        <v>2.9510194925512497E-2</v>
      </c>
      <c r="Q566" s="6">
        <f t="shared" si="86"/>
        <v>5.3769896246597702</v>
      </c>
      <c r="R566" s="6">
        <f t="shared" si="87"/>
        <v>13.145723425161727</v>
      </c>
      <c r="S566" s="6">
        <f>IF($Y$2="按单位面积散热损失 qp",B566*LN(B566/首页!$B$4),LN(B566/首页!$B$4))</f>
        <v>2.9025372574815314</v>
      </c>
      <c r="T566" s="6">
        <f>IF($Y$2="按单位面积散热损失 qp",2*PI()*首页!$B$8*((E566-D566)/$Y$3-1/R566),2*PI()*首页!$B$8*((E566-D566)/$Y$4-1/(PI()*B566*R566)))</f>
        <v>4.0791340257275169E-2</v>
      </c>
      <c r="U566" t="str">
        <f t="shared" si="88"/>
        <v>按单位面积散热损失 qp</v>
      </c>
      <c r="V566" s="6">
        <f t="shared" si="89"/>
        <v>2.8617459172242561</v>
      </c>
    </row>
    <row r="567" spans="1:22" x14ac:dyDescent="0.15">
      <c r="A567">
        <v>562</v>
      </c>
      <c r="B567" s="6">
        <f>首页!$B$4+2*A567/1000</f>
        <v>1.2440000000000002</v>
      </c>
      <c r="C567" s="6">
        <f>首页!$B$7+273.15</f>
        <v>388.15</v>
      </c>
      <c r="D567" s="6">
        <f>首页!$B$6+273.15</f>
        <v>293.14999999999998</v>
      </c>
      <c r="E567" s="6">
        <f>首页!$B$5+273.15</f>
        <v>1373.15</v>
      </c>
      <c r="F567" s="6">
        <f t="shared" si="80"/>
        <v>95</v>
      </c>
      <c r="G567" s="6">
        <f t="shared" si="81"/>
        <v>340.65</v>
      </c>
      <c r="H567" s="6">
        <f t="shared" si="82"/>
        <v>1.9926207055139041E-5</v>
      </c>
      <c r="I567" s="7">
        <f t="shared" si="83"/>
        <v>1158916576932337.8</v>
      </c>
      <c r="J567" s="6">
        <f t="shared" si="84"/>
        <v>1.0226038455893147</v>
      </c>
      <c r="K567" s="7">
        <f>J567*H567*首页!$B$12/P567</f>
        <v>0.69532757496605813</v>
      </c>
      <c r="L567" s="6">
        <f>首页!$B$9*0.0000000567*((C567^4-D567^4)/(C567-D567))</f>
        <v>7.7687338005019564</v>
      </c>
      <c r="M567" s="6">
        <f>IF(首页!$B$13="自然对流",IF(首页!$B$14="立式圆筒",首页!$B$10,PI()*B567/2),PI()*B567/2)</f>
        <v>55.2</v>
      </c>
      <c r="N567" s="7">
        <f>IF(首页!$B$13="强制对流",首页!$B$11*M567/H567,0)</f>
        <v>0</v>
      </c>
      <c r="O567" s="7">
        <f>IF(首页!$B$13="自然对流",IF(首页!$B$14="立式圆筒",(0.825+0.3063*I567^(1/6))^2+0.87*(M567/B567),(0.752+0.303*I567^(1/6))^2),0.3+SQRT((0.592*N567^0.5)^2+(0.0262*N567^0.8/(1-0.5/N567^0.1))^2))</f>
        <v>10057.812004542617</v>
      </c>
      <c r="P567" s="6">
        <f t="shared" si="85"/>
        <v>2.9510194925512497E-2</v>
      </c>
      <c r="Q567" s="6">
        <f t="shared" si="86"/>
        <v>5.3769563909096414</v>
      </c>
      <c r="R567" s="6">
        <f t="shared" si="87"/>
        <v>13.145690191411598</v>
      </c>
      <c r="S567" s="6">
        <f>IF($Y$2="按单位面积散热损失 qp",B567*LN(B567/首页!$B$4),LN(B567/首页!$B$4))</f>
        <v>2.9092128399632466</v>
      </c>
      <c r="T567" s="6">
        <f>IF($Y$2="按单位面积散热损失 qp",2*PI()*首页!$B$8*((E567-D567)/$Y$3-1/R567),2*PI()*首页!$B$8*((E567-D567)/$Y$4-1/(PI()*B567*R567)))</f>
        <v>4.0791285881701903E-2</v>
      </c>
      <c r="U567" t="str">
        <f t="shared" si="88"/>
        <v>按单位面积散热损失 qp</v>
      </c>
      <c r="V567" s="6">
        <f t="shared" si="89"/>
        <v>2.8684215540815448</v>
      </c>
    </row>
    <row r="568" spans="1:22" x14ac:dyDescent="0.15">
      <c r="A568">
        <v>563</v>
      </c>
      <c r="B568" s="6">
        <f>首页!$B$4+2*A568/1000</f>
        <v>1.246</v>
      </c>
      <c r="C568" s="6">
        <f>首页!$B$7+273.15</f>
        <v>388.15</v>
      </c>
      <c r="D568" s="6">
        <f>首页!$B$6+273.15</f>
        <v>293.14999999999998</v>
      </c>
      <c r="E568" s="6">
        <f>首页!$B$5+273.15</f>
        <v>1373.15</v>
      </c>
      <c r="F568" s="6">
        <f t="shared" si="80"/>
        <v>95</v>
      </c>
      <c r="G568" s="6">
        <f t="shared" si="81"/>
        <v>340.65</v>
      </c>
      <c r="H568" s="6">
        <f t="shared" si="82"/>
        <v>1.9926207055139041E-5</v>
      </c>
      <c r="I568" s="7">
        <f t="shared" si="83"/>
        <v>1158916576932337.8</v>
      </c>
      <c r="J568" s="6">
        <f t="shared" si="84"/>
        <v>1.0226038455893147</v>
      </c>
      <c r="K568" s="7">
        <f>J568*H568*首页!$B$12/P568</f>
        <v>0.69532757496605813</v>
      </c>
      <c r="L568" s="6">
        <f>首页!$B$9*0.0000000567*((C568^4-D568^4)/(C568-D568))</f>
        <v>7.7687338005019564</v>
      </c>
      <c r="M568" s="6">
        <f>IF(首页!$B$13="自然对流",IF(首页!$B$14="立式圆筒",首页!$B$10,PI()*B568/2),PI()*B568/2)</f>
        <v>55.2</v>
      </c>
      <c r="N568" s="7">
        <f>IF(首页!$B$13="强制对流",首页!$B$11*M568/H568,0)</f>
        <v>0</v>
      </c>
      <c r="O568" s="7">
        <f>IF(首页!$B$13="自然对流",IF(首页!$B$14="立式圆筒",(0.825+0.3063*I568^(1/6))^2+0.87*(M568/B568),(0.752+0.303*I568^(1/6))^2),0.3+SQRT((0.592*N568^0.5)^2+(0.0262*N568^0.8/(1-0.5/N568^0.1))^2))</f>
        <v>10057.75003905047</v>
      </c>
      <c r="P568" s="6">
        <f t="shared" si="85"/>
        <v>2.9510194925512497E-2</v>
      </c>
      <c r="Q568" s="6">
        <f t="shared" si="86"/>
        <v>5.3769232638489184</v>
      </c>
      <c r="R568" s="6">
        <f t="shared" si="87"/>
        <v>13.145657064350875</v>
      </c>
      <c r="S568" s="6">
        <f>IF($Y$2="按单位面积散热损失 qp",B568*LN(B568/首页!$B$4),LN(B568/首页!$B$4))</f>
        <v>2.9158916378804287</v>
      </c>
      <c r="T568" s="6">
        <f>IF($Y$2="按单位面积散热损失 qp",2*PI()*首页!$B$8*((E568-D568)/$Y$3-1/R568),2*PI()*首页!$B$8*((E568-D568)/$Y$4-1/(PI()*B568*R568)))</f>
        <v>4.079123168041545E-2</v>
      </c>
      <c r="U568" t="str">
        <f t="shared" si="88"/>
        <v>按单位面积散热损失 qp</v>
      </c>
      <c r="V568" s="6">
        <f t="shared" si="89"/>
        <v>2.8751004062000134</v>
      </c>
    </row>
    <row r="569" spans="1:22" x14ac:dyDescent="0.15">
      <c r="A569">
        <v>564</v>
      </c>
      <c r="B569" s="6">
        <f>首页!$B$4+2*A569/1000</f>
        <v>1.2479999999999998</v>
      </c>
      <c r="C569" s="6">
        <f>首页!$B$7+273.15</f>
        <v>388.15</v>
      </c>
      <c r="D569" s="6">
        <f>首页!$B$6+273.15</f>
        <v>293.14999999999998</v>
      </c>
      <c r="E569" s="6">
        <f>首页!$B$5+273.15</f>
        <v>1373.15</v>
      </c>
      <c r="F569" s="6">
        <f t="shared" si="80"/>
        <v>95</v>
      </c>
      <c r="G569" s="6">
        <f t="shared" si="81"/>
        <v>340.65</v>
      </c>
      <c r="H569" s="6">
        <f t="shared" si="82"/>
        <v>1.9926207055139041E-5</v>
      </c>
      <c r="I569" s="7">
        <f t="shared" si="83"/>
        <v>1158916576932337.8</v>
      </c>
      <c r="J569" s="6">
        <f t="shared" si="84"/>
        <v>1.0226038455893147</v>
      </c>
      <c r="K569" s="7">
        <f>J569*H569*首页!$B$12/P569</f>
        <v>0.69532757496605813</v>
      </c>
      <c r="L569" s="6">
        <f>首页!$B$9*0.0000000567*((C569^4-D569^4)/(C569-D569))</f>
        <v>7.7687338005019564</v>
      </c>
      <c r="M569" s="6">
        <f>IF(首页!$B$13="自然对流",IF(首页!$B$14="立式圆筒",首页!$B$10,PI()*B569/2),PI()*B569/2)</f>
        <v>55.2</v>
      </c>
      <c r="N569" s="7">
        <f>IF(首页!$B$13="强制对流",首页!$B$11*M569/H569,0)</f>
        <v>0</v>
      </c>
      <c r="O569" s="7">
        <f>IF(首页!$B$13="自然对流",IF(首页!$B$14="立式圆筒",(0.825+0.3063*I569^(1/6))^2+0.87*(M569/B569),(0.752+0.303*I569^(1/6))^2),0.3+SQRT((0.592*N569^0.5)^2+(0.0262*N569^0.8/(1-0.5/N569^0.1))^2))</f>
        <v>10057.688272165669</v>
      </c>
      <c r="P569" s="6">
        <f t="shared" si="85"/>
        <v>2.9510194925512497E-2</v>
      </c>
      <c r="Q569" s="6">
        <f t="shared" si="86"/>
        <v>5.3768902429646719</v>
      </c>
      <c r="R569" s="6">
        <f t="shared" si="87"/>
        <v>13.145624043466629</v>
      </c>
      <c r="S569" s="6">
        <f>IF($Y$2="按单位面积散热损失 qp",B569*LN(B569/首页!$B$4),LN(B569/首页!$B$4))</f>
        <v>2.9225736460718634</v>
      </c>
      <c r="T569" s="6">
        <f>IF($Y$2="按单位面积散热损失 qp",2*PI()*首页!$B$8*((E569-D569)/$Y$3-1/R569),2*PI()*首页!$B$8*((E569-D569)/$Y$4-1/(PI()*B569*R569)))</f>
        <v>4.0791177652579204E-2</v>
      </c>
      <c r="U569" t="str">
        <f t="shared" si="88"/>
        <v>按单位面积散热损失 qp</v>
      </c>
      <c r="V569" s="6">
        <f t="shared" si="89"/>
        <v>2.8817824684192841</v>
      </c>
    </row>
    <row r="570" spans="1:22" x14ac:dyDescent="0.15">
      <c r="A570">
        <v>565</v>
      </c>
      <c r="B570" s="6">
        <f>首页!$B$4+2*A570/1000</f>
        <v>1.25</v>
      </c>
      <c r="C570" s="6">
        <f>首页!$B$7+273.15</f>
        <v>388.15</v>
      </c>
      <c r="D570" s="6">
        <f>首页!$B$6+273.15</f>
        <v>293.14999999999998</v>
      </c>
      <c r="E570" s="6">
        <f>首页!$B$5+273.15</f>
        <v>1373.15</v>
      </c>
      <c r="F570" s="6">
        <f t="shared" si="80"/>
        <v>95</v>
      </c>
      <c r="G570" s="6">
        <f t="shared" si="81"/>
        <v>340.65</v>
      </c>
      <c r="H570" s="6">
        <f t="shared" si="82"/>
        <v>1.9926207055139041E-5</v>
      </c>
      <c r="I570" s="7">
        <f t="shared" si="83"/>
        <v>1158916576932337.8</v>
      </c>
      <c r="J570" s="6">
        <f t="shared" si="84"/>
        <v>1.0226038455893147</v>
      </c>
      <c r="K570" s="7">
        <f>J570*H570*首页!$B$12/P570</f>
        <v>0.69532757496605813</v>
      </c>
      <c r="L570" s="6">
        <f>首页!$B$9*0.0000000567*((C570^4-D570^4)/(C570-D570))</f>
        <v>7.7687338005019564</v>
      </c>
      <c r="M570" s="6">
        <f>IF(首页!$B$13="自然对流",IF(首页!$B$14="立式圆筒",首页!$B$10,PI()*B570/2),PI()*B570/2)</f>
        <v>55.2</v>
      </c>
      <c r="N570" s="7">
        <f>IF(首页!$B$13="强制对流",首页!$B$11*M570/H570,0)</f>
        <v>0</v>
      </c>
      <c r="O570" s="7">
        <f>IF(首页!$B$13="自然对流",IF(首页!$B$14="立式圆筒",(0.825+0.3063*I570^(1/6))^2+0.87*(M570/B570),(0.752+0.303*I570^(1/6))^2),0.3+SQRT((0.592*N570^0.5)^2+(0.0262*N570^0.8/(1-0.5/N570^0.1))^2))</f>
        <v>10057.6267029349</v>
      </c>
      <c r="P570" s="6">
        <f t="shared" si="85"/>
        <v>2.9510194925512497E-2</v>
      </c>
      <c r="Q570" s="6">
        <f t="shared" si="86"/>
        <v>5.3768573277472544</v>
      </c>
      <c r="R570" s="6">
        <f t="shared" si="87"/>
        <v>13.145591128249212</v>
      </c>
      <c r="S570" s="6">
        <f>IF($Y$2="按单位面积散热损失 qp",B570*LN(B570/首页!$B$4),LN(B570/首页!$B$4))</f>
        <v>2.9292588593928759</v>
      </c>
      <c r="T570" s="6">
        <f>IF($Y$2="按单位面积散热损失 qp",2*PI()*首页!$B$8*((E570-D570)/$Y$3-1/R570),2*PI()*首页!$B$8*((E570-D570)/$Y$4-1/(PI()*B570*R570)))</f>
        <v>4.0791123797361911E-2</v>
      </c>
      <c r="U570" t="str">
        <f t="shared" si="88"/>
        <v>按单位面积散热损失 qp</v>
      </c>
      <c r="V570" s="6">
        <f t="shared" si="89"/>
        <v>2.8884677355955142</v>
      </c>
    </row>
    <row r="571" spans="1:22" x14ac:dyDescent="0.15">
      <c r="A571">
        <v>566</v>
      </c>
      <c r="B571" s="6">
        <f>首页!$B$4+2*A571/1000</f>
        <v>1.2519999999999998</v>
      </c>
      <c r="C571" s="6">
        <f>首页!$B$7+273.15</f>
        <v>388.15</v>
      </c>
      <c r="D571" s="6">
        <f>首页!$B$6+273.15</f>
        <v>293.14999999999998</v>
      </c>
      <c r="E571" s="6">
        <f>首页!$B$5+273.15</f>
        <v>1373.15</v>
      </c>
      <c r="F571" s="6">
        <f t="shared" si="80"/>
        <v>95</v>
      </c>
      <c r="G571" s="6">
        <f t="shared" si="81"/>
        <v>340.65</v>
      </c>
      <c r="H571" s="6">
        <f t="shared" si="82"/>
        <v>1.9926207055139041E-5</v>
      </c>
      <c r="I571" s="7">
        <f t="shared" si="83"/>
        <v>1158916576932337.8</v>
      </c>
      <c r="J571" s="6">
        <f t="shared" si="84"/>
        <v>1.0226038455893147</v>
      </c>
      <c r="K571" s="7">
        <f>J571*H571*首页!$B$12/P571</f>
        <v>0.69532757496605813</v>
      </c>
      <c r="L571" s="6">
        <f>首页!$B$9*0.0000000567*((C571^4-D571^4)/(C571-D571))</f>
        <v>7.7687338005019564</v>
      </c>
      <c r="M571" s="6">
        <f>IF(首页!$B$13="自然对流",IF(首页!$B$14="立式圆筒",首页!$B$10,PI()*B571/2),PI()*B571/2)</f>
        <v>55.2</v>
      </c>
      <c r="N571" s="7">
        <f>IF(首页!$B$13="强制对流",首页!$B$11*M571/H571,0)</f>
        <v>0</v>
      </c>
      <c r="O571" s="7">
        <f>IF(首页!$B$13="自然对流",IF(首页!$B$14="立式圆筒",(0.825+0.3063*I571^(1/6))^2+0.87*(M571/B571),(0.752+0.303*I571^(1/6))^2),0.3+SQRT((0.592*N571^0.5)^2+(0.0262*N571^0.8/(1-0.5/N571^0.1))^2))</f>
        <v>10057.565330410938</v>
      </c>
      <c r="P571" s="6">
        <f t="shared" si="85"/>
        <v>2.9510194925512497E-2</v>
      </c>
      <c r="Q571" s="6">
        <f t="shared" si="86"/>
        <v>5.3768245176902765</v>
      </c>
      <c r="R571" s="6">
        <f t="shared" si="87"/>
        <v>13.145558318192233</v>
      </c>
      <c r="S571" s="6">
        <f>IF($Y$2="按单位面积散热损失 qp",B571*LN(B571/首页!$B$4),LN(B571/首页!$B$4))</f>
        <v>2.9359472727152522</v>
      </c>
      <c r="T571" s="6">
        <f>IF($Y$2="按单位面积散热损失 qp",2*PI()*首页!$B$8*((E571-D571)/$Y$3-1/R571),2*PI()*首页!$B$8*((E571-D571)/$Y$4-1/(PI()*B571*R571)))</f>
        <v>4.0791070113937608E-2</v>
      </c>
      <c r="U571" t="str">
        <f t="shared" si="88"/>
        <v>按单位面积散热损失 qp</v>
      </c>
      <c r="V571" s="6">
        <f t="shared" si="89"/>
        <v>2.8951562026013145</v>
      </c>
    </row>
    <row r="572" spans="1:22" x14ac:dyDescent="0.15">
      <c r="A572">
        <v>567</v>
      </c>
      <c r="B572" s="6">
        <f>首页!$B$4+2*A572/1000</f>
        <v>1.254</v>
      </c>
      <c r="C572" s="6">
        <f>首页!$B$7+273.15</f>
        <v>388.15</v>
      </c>
      <c r="D572" s="6">
        <f>首页!$B$6+273.15</f>
        <v>293.14999999999998</v>
      </c>
      <c r="E572" s="6">
        <f>首页!$B$5+273.15</f>
        <v>1373.15</v>
      </c>
      <c r="F572" s="6">
        <f t="shared" si="80"/>
        <v>95</v>
      </c>
      <c r="G572" s="6">
        <f t="shared" si="81"/>
        <v>340.65</v>
      </c>
      <c r="H572" s="6">
        <f t="shared" si="82"/>
        <v>1.9926207055139041E-5</v>
      </c>
      <c r="I572" s="7">
        <f t="shared" si="83"/>
        <v>1158916576932337.8</v>
      </c>
      <c r="J572" s="6">
        <f t="shared" si="84"/>
        <v>1.0226038455893147</v>
      </c>
      <c r="K572" s="7">
        <f>J572*H572*首页!$B$12/P572</f>
        <v>0.69532757496605813</v>
      </c>
      <c r="L572" s="6">
        <f>首页!$B$9*0.0000000567*((C572^4-D572^4)/(C572-D572))</f>
        <v>7.7687338005019564</v>
      </c>
      <c r="M572" s="6">
        <f>IF(首页!$B$13="自然对流",IF(首页!$B$14="立式圆筒",首页!$B$10,PI()*B572/2),PI()*B572/2)</f>
        <v>55.2</v>
      </c>
      <c r="N572" s="7">
        <f>IF(首页!$B$13="强制对流",首页!$B$11*M572/H572,0)</f>
        <v>0</v>
      </c>
      <c r="O572" s="7">
        <f>IF(首页!$B$13="自然对流",IF(首页!$B$14="立式圆筒",(0.825+0.3063*I572^(1/6))^2+0.87*(M572/B572),(0.752+0.303*I572^(1/6))^2),0.3+SQRT((0.592*N572^0.5)^2+(0.0262*N572^0.8/(1-0.5/N572^0.1))^2))</f>
        <v>10057.504153652602</v>
      </c>
      <c r="P572" s="6">
        <f t="shared" si="85"/>
        <v>2.9510194925512497E-2</v>
      </c>
      <c r="Q572" s="6">
        <f t="shared" si="86"/>
        <v>5.3767918122905778</v>
      </c>
      <c r="R572" s="6">
        <f t="shared" si="87"/>
        <v>13.145525612792534</v>
      </c>
      <c r="S572" s="6">
        <f>IF($Y$2="按单位面积散热损失 qp",B572*LN(B572/首页!$B$4),LN(B572/首页!$B$4))</f>
        <v>2.9426388809271682</v>
      </c>
      <c r="T572" s="6">
        <f>IF($Y$2="按单位面积散热损失 qp",2*PI()*首页!$B$8*((E572-D572)/$Y$3-1/R572),2*PI()*首页!$B$8*((E572-D572)/$Y$4-1/(PI()*B572*R572)))</f>
        <v>4.0791016601485597E-2</v>
      </c>
      <c r="U572" t="str">
        <f t="shared" si="88"/>
        <v>按单位面积散热损失 qp</v>
      </c>
      <c r="V572" s="6">
        <f t="shared" si="89"/>
        <v>2.9018478643256826</v>
      </c>
    </row>
    <row r="573" spans="1:22" x14ac:dyDescent="0.15">
      <c r="A573">
        <v>568</v>
      </c>
      <c r="B573" s="6">
        <f>首页!$B$4+2*A573/1000</f>
        <v>1.2559999999999998</v>
      </c>
      <c r="C573" s="6">
        <f>首页!$B$7+273.15</f>
        <v>388.15</v>
      </c>
      <c r="D573" s="6">
        <f>首页!$B$6+273.15</f>
        <v>293.14999999999998</v>
      </c>
      <c r="E573" s="6">
        <f>首页!$B$5+273.15</f>
        <v>1373.15</v>
      </c>
      <c r="F573" s="6">
        <f t="shared" si="80"/>
        <v>95</v>
      </c>
      <c r="G573" s="6">
        <f t="shared" si="81"/>
        <v>340.65</v>
      </c>
      <c r="H573" s="6">
        <f t="shared" si="82"/>
        <v>1.9926207055139041E-5</v>
      </c>
      <c r="I573" s="7">
        <f t="shared" si="83"/>
        <v>1158916576932337.8</v>
      </c>
      <c r="J573" s="6">
        <f t="shared" si="84"/>
        <v>1.0226038455893147</v>
      </c>
      <c r="K573" s="7">
        <f>J573*H573*首页!$B$12/P573</f>
        <v>0.69532757496605813</v>
      </c>
      <c r="L573" s="6">
        <f>首页!$B$9*0.0000000567*((C573^4-D573^4)/(C573-D573))</f>
        <v>7.7687338005019564</v>
      </c>
      <c r="M573" s="6">
        <f>IF(首页!$B$13="自然对流",IF(首页!$B$14="立式圆筒",首页!$B$10,PI()*B573/2),PI()*B573/2)</f>
        <v>55.2</v>
      </c>
      <c r="N573" s="7">
        <f>IF(首页!$B$13="强制对流",首页!$B$11*M573/H573,0)</f>
        <v>0</v>
      </c>
      <c r="O573" s="7">
        <f>IF(首页!$B$13="自然对流",IF(首页!$B$14="立式圆筒",(0.825+0.3063*I573^(1/6))^2+0.87*(M573/B573),(0.752+0.303*I573^(1/6))^2),0.3+SQRT((0.592*N573^0.5)^2+(0.0262*N573^0.8/(1-0.5/N573^0.1))^2))</f>
        <v>10057.443171724708</v>
      </c>
      <c r="P573" s="6">
        <f t="shared" si="85"/>
        <v>2.9510194925512497E-2</v>
      </c>
      <c r="Q573" s="6">
        <f t="shared" si="86"/>
        <v>5.3767592110482028</v>
      </c>
      <c r="R573" s="6">
        <f t="shared" si="87"/>
        <v>13.145493011550158</v>
      </c>
      <c r="S573" s="6">
        <f>IF($Y$2="按单位面积散热损失 qp",B573*LN(B573/首页!$B$4),LN(B573/首页!$B$4))</f>
        <v>2.9493336789330979</v>
      </c>
      <c r="T573" s="6">
        <f>IF($Y$2="按单位面积散热损失 qp",2*PI()*首页!$B$8*((E573-D573)/$Y$3-1/R573),2*PI()*首页!$B$8*((E573-D573)/$Y$4-1/(PI()*B573*R573)))</f>
        <v>4.0790963259190405E-2</v>
      </c>
      <c r="U573" t="str">
        <f t="shared" si="88"/>
        <v>按单位面积散热损失 qp</v>
      </c>
      <c r="V573" s="6">
        <f t="shared" si="89"/>
        <v>2.9085427156739074</v>
      </c>
    </row>
    <row r="574" spans="1:22" x14ac:dyDescent="0.15">
      <c r="A574">
        <v>569</v>
      </c>
      <c r="B574" s="6">
        <f>首页!$B$4+2*A574/1000</f>
        <v>1.258</v>
      </c>
      <c r="C574" s="6">
        <f>首页!$B$7+273.15</f>
        <v>388.15</v>
      </c>
      <c r="D574" s="6">
        <f>首页!$B$6+273.15</f>
        <v>293.14999999999998</v>
      </c>
      <c r="E574" s="6">
        <f>首页!$B$5+273.15</f>
        <v>1373.15</v>
      </c>
      <c r="F574" s="6">
        <f t="shared" si="80"/>
        <v>95</v>
      </c>
      <c r="G574" s="6">
        <f t="shared" si="81"/>
        <v>340.65</v>
      </c>
      <c r="H574" s="6">
        <f t="shared" si="82"/>
        <v>1.9926207055139041E-5</v>
      </c>
      <c r="I574" s="7">
        <f t="shared" si="83"/>
        <v>1158916576932337.8</v>
      </c>
      <c r="J574" s="6">
        <f t="shared" si="84"/>
        <v>1.0226038455893147</v>
      </c>
      <c r="K574" s="7">
        <f>J574*H574*首页!$B$12/P574</f>
        <v>0.69532757496605813</v>
      </c>
      <c r="L574" s="6">
        <f>首页!$B$9*0.0000000567*((C574^4-D574^4)/(C574-D574))</f>
        <v>7.7687338005019564</v>
      </c>
      <c r="M574" s="6">
        <f>IF(首页!$B$13="自然对流",IF(首页!$B$14="立式圆筒",首页!$B$10,PI()*B574/2),PI()*B574/2)</f>
        <v>55.2</v>
      </c>
      <c r="N574" s="7">
        <f>IF(首页!$B$13="强制对流",首页!$B$11*M574/H574,0)</f>
        <v>0</v>
      </c>
      <c r="O574" s="7">
        <f>IF(首页!$B$13="自然对流",IF(首页!$B$14="立式圆筒",(0.825+0.3063*I574^(1/6))^2+0.87*(M574/B574),(0.752+0.303*I574^(1/6))^2),0.3+SQRT((0.592*N574^0.5)^2+(0.0262*N574^0.8/(1-0.5/N574^0.1))^2))</f>
        <v>10057.382383698015</v>
      </c>
      <c r="P574" s="6">
        <f t="shared" si="85"/>
        <v>2.9510194925512497E-2</v>
      </c>
      <c r="Q574" s="6">
        <f t="shared" si="86"/>
        <v>5.3767267134663754</v>
      </c>
      <c r="R574" s="6">
        <f t="shared" si="87"/>
        <v>13.145460513968331</v>
      </c>
      <c r="S574" s="6">
        <f>IF($Y$2="按单位面积散热损失 qp",B574*LN(B574/首页!$B$4),LN(B574/首页!$B$4))</f>
        <v>2.9560316616537516</v>
      </c>
      <c r="T574" s="6">
        <f>IF($Y$2="按单位面积散热损失 qp",2*PI()*首页!$B$8*((E574-D574)/$Y$3-1/R574),2*PI()*首页!$B$8*((E574-D574)/$Y$4-1/(PI()*B574*R574)))</f>
        <v>4.0790910086241743E-2</v>
      </c>
      <c r="U574" t="str">
        <f t="shared" si="88"/>
        <v>按单位面积散热损失 qp</v>
      </c>
      <c r="V574" s="6">
        <f t="shared" si="89"/>
        <v>2.9152407515675098</v>
      </c>
    </row>
    <row r="575" spans="1:22" x14ac:dyDescent="0.15">
      <c r="A575">
        <v>570</v>
      </c>
      <c r="B575" s="6">
        <f>首页!$B$4+2*A575/1000</f>
        <v>1.2599999999999998</v>
      </c>
      <c r="C575" s="6">
        <f>首页!$B$7+273.15</f>
        <v>388.15</v>
      </c>
      <c r="D575" s="6">
        <f>首页!$B$6+273.15</f>
        <v>293.14999999999998</v>
      </c>
      <c r="E575" s="6">
        <f>首页!$B$5+273.15</f>
        <v>1373.15</v>
      </c>
      <c r="F575" s="6">
        <f t="shared" si="80"/>
        <v>95</v>
      </c>
      <c r="G575" s="6">
        <f t="shared" si="81"/>
        <v>340.65</v>
      </c>
      <c r="H575" s="6">
        <f t="shared" si="82"/>
        <v>1.9926207055139041E-5</v>
      </c>
      <c r="I575" s="7">
        <f t="shared" si="83"/>
        <v>1158916576932337.8</v>
      </c>
      <c r="J575" s="6">
        <f t="shared" si="84"/>
        <v>1.0226038455893147</v>
      </c>
      <c r="K575" s="7">
        <f>J575*H575*首页!$B$12/P575</f>
        <v>0.69532757496605813</v>
      </c>
      <c r="L575" s="6">
        <f>首页!$B$9*0.0000000567*((C575^4-D575^4)/(C575-D575))</f>
        <v>7.7687338005019564</v>
      </c>
      <c r="M575" s="6">
        <f>IF(首页!$B$13="自然对流",IF(首页!$B$14="立式圆筒",首页!$B$10,PI()*B575/2),PI()*B575/2)</f>
        <v>55.2</v>
      </c>
      <c r="N575" s="7">
        <f>IF(首页!$B$13="强制对流",首页!$B$11*M575/H575,0)</f>
        <v>0</v>
      </c>
      <c r="O575" s="7">
        <f>IF(首页!$B$13="自然对流",IF(首页!$B$14="立式圆筒",(0.825+0.3063*I575^(1/6))^2+0.87*(M575/B575),(0.752+0.303*I575^(1/6))^2),0.3+SQRT((0.592*N575^0.5)^2+(0.0262*N575^0.8/(1-0.5/N575^0.1))^2))</f>
        <v>10057.321788649186</v>
      </c>
      <c r="P575" s="6">
        <f t="shared" si="85"/>
        <v>2.9510194925512497E-2</v>
      </c>
      <c r="Q575" s="6">
        <f t="shared" si="86"/>
        <v>5.3766943190514747</v>
      </c>
      <c r="R575" s="6">
        <f t="shared" si="87"/>
        <v>13.145428119553431</v>
      </c>
      <c r="S575" s="6">
        <f>IF($Y$2="按单位面积散热损失 qp",B575*LN(B575/首页!$B$4),LN(B575/首页!$B$4))</f>
        <v>2.9627328240259811</v>
      </c>
      <c r="T575" s="6">
        <f>IF($Y$2="按单位面积散热损失 qp",2*PI()*首页!$B$8*((E575-D575)/$Y$3-1/R575),2*PI()*首页!$B$8*((E575-D575)/$Y$4-1/(PI()*B575*R575)))</f>
        <v>4.0790857081834428E-2</v>
      </c>
      <c r="U575" t="str">
        <f t="shared" si="88"/>
        <v>按单位面积散热损失 qp</v>
      </c>
      <c r="V575" s="6">
        <f t="shared" si="89"/>
        <v>2.9219419669441469</v>
      </c>
    </row>
    <row r="576" spans="1:22" x14ac:dyDescent="0.15">
      <c r="A576">
        <v>571</v>
      </c>
      <c r="B576" s="6">
        <f>首页!$B$4+2*A576/1000</f>
        <v>1.262</v>
      </c>
      <c r="C576" s="6">
        <f>首页!$B$7+273.15</f>
        <v>388.15</v>
      </c>
      <c r="D576" s="6">
        <f>首页!$B$6+273.15</f>
        <v>293.14999999999998</v>
      </c>
      <c r="E576" s="6">
        <f>首页!$B$5+273.15</f>
        <v>1373.15</v>
      </c>
      <c r="F576" s="6">
        <f t="shared" si="80"/>
        <v>95</v>
      </c>
      <c r="G576" s="6">
        <f t="shared" si="81"/>
        <v>340.65</v>
      </c>
      <c r="H576" s="6">
        <f t="shared" si="82"/>
        <v>1.9926207055139041E-5</v>
      </c>
      <c r="I576" s="7">
        <f t="shared" si="83"/>
        <v>1158916576932337.8</v>
      </c>
      <c r="J576" s="6">
        <f t="shared" si="84"/>
        <v>1.0226038455893147</v>
      </c>
      <c r="K576" s="7">
        <f>J576*H576*首页!$B$12/P576</f>
        <v>0.69532757496605813</v>
      </c>
      <c r="L576" s="6">
        <f>首页!$B$9*0.0000000567*((C576^4-D576^4)/(C576-D576))</f>
        <v>7.7687338005019564</v>
      </c>
      <c r="M576" s="6">
        <f>IF(首页!$B$13="自然对流",IF(首页!$B$14="立式圆筒",首页!$B$10,PI()*B576/2),PI()*B576/2)</f>
        <v>55.2</v>
      </c>
      <c r="N576" s="7">
        <f>IF(首页!$B$13="强制对流",首页!$B$11*M576/H576,0)</f>
        <v>0</v>
      </c>
      <c r="O576" s="7">
        <f>IF(首页!$B$13="自然对流",IF(首页!$B$14="立式圆筒",(0.825+0.3063*I576^(1/6))^2+0.87*(M576/B576),(0.752+0.303*I576^(1/6))^2),0.3+SQRT((0.592*N576^0.5)^2+(0.0262*N576^0.8/(1-0.5/N576^0.1))^2))</f>
        <v>10057.261385660731</v>
      </c>
      <c r="P576" s="6">
        <f t="shared" si="85"/>
        <v>2.9510194925512497E-2</v>
      </c>
      <c r="Q576" s="6">
        <f t="shared" si="86"/>
        <v>5.3766620273130084</v>
      </c>
      <c r="R576" s="6">
        <f t="shared" si="87"/>
        <v>13.145395827814966</v>
      </c>
      <c r="S576" s="6">
        <f>IF($Y$2="按单位面积散热损失 qp",B576*LN(B576/首页!$B$4),LN(B576/首页!$B$4))</f>
        <v>2.9694371610027201</v>
      </c>
      <c r="T576" s="6">
        <f>IF($Y$2="按单位面积散热损失 qp",2*PI()*首页!$B$8*((E576-D576)/$Y$3-1/R576),2*PI()*首页!$B$8*((E576-D576)/$Y$4-1/(PI()*B576*R576)))</f>
        <v>4.0790804245168413E-2</v>
      </c>
      <c r="U576" t="str">
        <f t="shared" si="88"/>
        <v>按单位面积散热损失 qp</v>
      </c>
      <c r="V576" s="6">
        <f t="shared" si="89"/>
        <v>2.9286463567575516</v>
      </c>
    </row>
    <row r="577" spans="1:22" x14ac:dyDescent="0.15">
      <c r="A577">
        <v>572</v>
      </c>
      <c r="B577" s="6">
        <f>首页!$B$4+2*A577/1000</f>
        <v>1.2639999999999998</v>
      </c>
      <c r="C577" s="6">
        <f>首页!$B$7+273.15</f>
        <v>388.15</v>
      </c>
      <c r="D577" s="6">
        <f>首页!$B$6+273.15</f>
        <v>293.14999999999998</v>
      </c>
      <c r="E577" s="6">
        <f>首页!$B$5+273.15</f>
        <v>1373.15</v>
      </c>
      <c r="F577" s="6">
        <f t="shared" si="80"/>
        <v>95</v>
      </c>
      <c r="G577" s="6">
        <f t="shared" si="81"/>
        <v>340.65</v>
      </c>
      <c r="H577" s="6">
        <f t="shared" si="82"/>
        <v>1.9926207055139041E-5</v>
      </c>
      <c r="I577" s="7">
        <f t="shared" si="83"/>
        <v>1158916576932337.8</v>
      </c>
      <c r="J577" s="6">
        <f t="shared" si="84"/>
        <v>1.0226038455893147</v>
      </c>
      <c r="K577" s="7">
        <f>J577*H577*首页!$B$12/P577</f>
        <v>0.69532757496605813</v>
      </c>
      <c r="L577" s="6">
        <f>首页!$B$9*0.0000000567*((C577^4-D577^4)/(C577-D577))</f>
        <v>7.7687338005019564</v>
      </c>
      <c r="M577" s="6">
        <f>IF(首页!$B$13="自然对流",IF(首页!$B$14="立式圆筒",首页!$B$10,PI()*B577/2),PI()*B577/2)</f>
        <v>55.2</v>
      </c>
      <c r="N577" s="7">
        <f>IF(首页!$B$13="强制对流",首页!$B$11*M577/H577,0)</f>
        <v>0</v>
      </c>
      <c r="O577" s="7">
        <f>IF(首页!$B$13="自然对流",IF(首页!$B$14="立式圆筒",(0.825+0.3063*I577^(1/6))^2+0.87*(M577/B577),(0.752+0.303*I577^(1/6))^2),0.3+SQRT((0.592*N577^0.5)^2+(0.0262*N577^0.8/(1-0.5/N577^0.1))^2))</f>
        <v>10057.201173820975</v>
      </c>
      <c r="P577" s="6">
        <f t="shared" si="85"/>
        <v>2.9510194925512497E-2</v>
      </c>
      <c r="Q577" s="6">
        <f t="shared" si="86"/>
        <v>5.3766298377635877</v>
      </c>
      <c r="R577" s="6">
        <f t="shared" si="87"/>
        <v>13.145363638265543</v>
      </c>
      <c r="S577" s="6">
        <f>IF($Y$2="按单位面积散热损失 qp",B577*LN(B577/首页!$B$4),LN(B577/首页!$B$4))</f>
        <v>2.9761446675528918</v>
      </c>
      <c r="T577" s="6">
        <f>IF($Y$2="按单位面积散热损失 qp",2*PI()*首页!$B$8*((E577-D577)/$Y$3-1/R577),2*PI()*首页!$B$8*((E577-D577)/$Y$4-1/(PI()*B577*R577)))</f>
        <v>4.0790751575448668E-2</v>
      </c>
      <c r="U577" t="str">
        <f t="shared" si="88"/>
        <v>按单位面积散热损失 qp</v>
      </c>
      <c r="V577" s="6">
        <f t="shared" si="89"/>
        <v>2.9353539159774429</v>
      </c>
    </row>
    <row r="578" spans="1:22" x14ac:dyDescent="0.15">
      <c r="A578">
        <v>573</v>
      </c>
      <c r="B578" s="6">
        <f>首页!$B$4+2*A578/1000</f>
        <v>1.266</v>
      </c>
      <c r="C578" s="6">
        <f>首页!$B$7+273.15</f>
        <v>388.15</v>
      </c>
      <c r="D578" s="6">
        <f>首页!$B$6+273.15</f>
        <v>293.14999999999998</v>
      </c>
      <c r="E578" s="6">
        <f>首页!$B$5+273.15</f>
        <v>1373.15</v>
      </c>
      <c r="F578" s="6">
        <f t="shared" si="80"/>
        <v>95</v>
      </c>
      <c r="G578" s="6">
        <f t="shared" si="81"/>
        <v>340.65</v>
      </c>
      <c r="H578" s="6">
        <f t="shared" si="82"/>
        <v>1.9926207055139041E-5</v>
      </c>
      <c r="I578" s="7">
        <f t="shared" si="83"/>
        <v>1158916576932337.8</v>
      </c>
      <c r="J578" s="6">
        <f t="shared" si="84"/>
        <v>1.0226038455893147</v>
      </c>
      <c r="K578" s="7">
        <f>J578*H578*首页!$B$12/P578</f>
        <v>0.69532757496605813</v>
      </c>
      <c r="L578" s="6">
        <f>首页!$B$9*0.0000000567*((C578^4-D578^4)/(C578-D578))</f>
        <v>7.7687338005019564</v>
      </c>
      <c r="M578" s="6">
        <f>IF(首页!$B$13="自然对流",IF(首页!$B$14="立式圆筒",首页!$B$10,PI()*B578/2),PI()*B578/2)</f>
        <v>55.2</v>
      </c>
      <c r="N578" s="7">
        <f>IF(首页!$B$13="强制对流",首页!$B$11*M578/H578,0)</f>
        <v>0</v>
      </c>
      <c r="O578" s="7">
        <f>IF(首页!$B$13="自然对流",IF(首页!$B$14="立式圆筒",(0.825+0.3063*I578^(1/6))^2+0.87*(M578/B578),(0.752+0.303*I578^(1/6))^2),0.3+SQRT((0.592*N578^0.5)^2+(0.0262*N578^0.8/(1-0.5/N578^0.1))^2))</f>
        <v>10057.141152224</v>
      </c>
      <c r="P578" s="6">
        <f t="shared" si="85"/>
        <v>2.9510194925512497E-2</v>
      </c>
      <c r="Q578" s="6">
        <f t="shared" si="86"/>
        <v>5.376597749918905</v>
      </c>
      <c r="R578" s="6">
        <f t="shared" si="87"/>
        <v>13.145331550420861</v>
      </c>
      <c r="S578" s="6">
        <f>IF($Y$2="按单位面积散热损失 qp",B578*LN(B578/首页!$B$4),LN(B578/首页!$B$4))</f>
        <v>2.9828553386613472</v>
      </c>
      <c r="T578" s="6">
        <f>IF($Y$2="按单位面积散热损失 qp",2*PI()*首页!$B$8*((E578-D578)/$Y$3-1/R578),2*PI()*首页!$B$8*((E578-D578)/$Y$4-1/(PI()*B578*R578)))</f>
        <v>4.0790699071885234E-2</v>
      </c>
      <c r="U578" t="str">
        <f t="shared" si="88"/>
        <v>按单位面积散热损失 qp</v>
      </c>
      <c r="V578" s="6">
        <f t="shared" si="89"/>
        <v>2.9420646395894621</v>
      </c>
    </row>
    <row r="579" spans="1:22" x14ac:dyDescent="0.15">
      <c r="A579">
        <v>574</v>
      </c>
      <c r="B579" s="6">
        <f>首页!$B$4+2*A579/1000</f>
        <v>1.2679999999999998</v>
      </c>
      <c r="C579" s="6">
        <f>首页!$B$7+273.15</f>
        <v>388.15</v>
      </c>
      <c r="D579" s="6">
        <f>首页!$B$6+273.15</f>
        <v>293.14999999999998</v>
      </c>
      <c r="E579" s="6">
        <f>首页!$B$5+273.15</f>
        <v>1373.15</v>
      </c>
      <c r="F579" s="6">
        <f t="shared" si="80"/>
        <v>95</v>
      </c>
      <c r="G579" s="6">
        <f t="shared" si="81"/>
        <v>340.65</v>
      </c>
      <c r="H579" s="6">
        <f t="shared" si="82"/>
        <v>1.9926207055139041E-5</v>
      </c>
      <c r="I579" s="7">
        <f t="shared" si="83"/>
        <v>1158916576932337.8</v>
      </c>
      <c r="J579" s="6">
        <f t="shared" si="84"/>
        <v>1.0226038455893147</v>
      </c>
      <c r="K579" s="7">
        <f>J579*H579*首页!$B$12/P579</f>
        <v>0.69532757496605813</v>
      </c>
      <c r="L579" s="6">
        <f>首页!$B$9*0.0000000567*((C579^4-D579^4)/(C579-D579))</f>
        <v>7.7687338005019564</v>
      </c>
      <c r="M579" s="6">
        <f>IF(首页!$B$13="自然对流",IF(首页!$B$14="立式圆筒",首页!$B$10,PI()*B579/2),PI()*B579/2)</f>
        <v>55.2</v>
      </c>
      <c r="N579" s="7">
        <f>IF(首页!$B$13="强制对流",首页!$B$11*M579/H579,0)</f>
        <v>0</v>
      </c>
      <c r="O579" s="7">
        <f>IF(首页!$B$13="自然对流",IF(首页!$B$14="立式圆筒",(0.825+0.3063*I579^(1/6))^2+0.87*(M579/B579),(0.752+0.303*I579^(1/6))^2),0.3+SQRT((0.592*N579^0.5)^2+(0.0262*N579^0.8/(1-0.5/N579^0.1))^2))</f>
        <v>10057.0813199696</v>
      </c>
      <c r="P579" s="6">
        <f t="shared" si="85"/>
        <v>2.9510194925512497E-2</v>
      </c>
      <c r="Q579" s="6">
        <f t="shared" si="86"/>
        <v>5.3765657632977071</v>
      </c>
      <c r="R579" s="6">
        <f t="shared" si="87"/>
        <v>13.145299563799664</v>
      </c>
      <c r="S579" s="6">
        <f>IF($Y$2="按单位面积散热损失 qp",B579*LN(B579/首页!$B$4),LN(B579/首页!$B$4))</f>
        <v>2.989569169328778</v>
      </c>
      <c r="T579" s="6">
        <f>IF($Y$2="按单位面积散热损失 qp",2*PI()*首页!$B$8*((E579-D579)/$Y$3-1/R579),2*PI()*首页!$B$8*((E579-D579)/$Y$4-1/(PI()*B579*R579)))</f>
        <v>4.0790646733693064E-2</v>
      </c>
      <c r="U579" t="str">
        <f t="shared" si="88"/>
        <v>按单位面积散热损失 qp</v>
      </c>
      <c r="V579" s="6">
        <f t="shared" si="89"/>
        <v>2.9487785225950849</v>
      </c>
    </row>
    <row r="580" spans="1:22" x14ac:dyDescent="0.15">
      <c r="A580">
        <v>575</v>
      </c>
      <c r="B580" s="6">
        <f>首页!$B$4+2*A580/1000</f>
        <v>1.27</v>
      </c>
      <c r="C580" s="6">
        <f>首页!$B$7+273.15</f>
        <v>388.15</v>
      </c>
      <c r="D580" s="6">
        <f>首页!$B$6+273.15</f>
        <v>293.14999999999998</v>
      </c>
      <c r="E580" s="6">
        <f>首页!$B$5+273.15</f>
        <v>1373.15</v>
      </c>
      <c r="F580" s="6">
        <f t="shared" si="80"/>
        <v>95</v>
      </c>
      <c r="G580" s="6">
        <f t="shared" si="81"/>
        <v>340.65</v>
      </c>
      <c r="H580" s="6">
        <f t="shared" si="82"/>
        <v>1.9926207055139041E-5</v>
      </c>
      <c r="I580" s="7">
        <f t="shared" si="83"/>
        <v>1158916576932337.8</v>
      </c>
      <c r="J580" s="6">
        <f t="shared" si="84"/>
        <v>1.0226038455893147</v>
      </c>
      <c r="K580" s="7">
        <f>J580*H580*首页!$B$12/P580</f>
        <v>0.69532757496605813</v>
      </c>
      <c r="L580" s="6">
        <f>首页!$B$9*0.0000000567*((C580^4-D580^4)/(C580-D580))</f>
        <v>7.7687338005019564</v>
      </c>
      <c r="M580" s="6">
        <f>IF(首页!$B$13="自然对流",IF(首页!$B$14="立式圆筒",首页!$B$10,PI()*B580/2),PI()*B580/2)</f>
        <v>55.2</v>
      </c>
      <c r="N580" s="7">
        <f>IF(首页!$B$13="强制对流",首页!$B$11*M580/H580,0)</f>
        <v>0</v>
      </c>
      <c r="O580" s="7">
        <f>IF(首页!$B$13="自然对流",IF(首页!$B$14="立式圆筒",(0.825+0.3063*I580^(1/6))^2+0.87*(M580/B580),(0.752+0.303*I580^(1/6))^2),0.3+SQRT((0.592*N580^0.5)^2+(0.0262*N580^0.8/(1-0.5/N580^0.1))^2))</f>
        <v>10057.021676163246</v>
      </c>
      <c r="P580" s="6">
        <f t="shared" si="85"/>
        <v>2.9510194925512497E-2</v>
      </c>
      <c r="Q580" s="6">
        <f t="shared" si="86"/>
        <v>5.376533877421771</v>
      </c>
      <c r="R580" s="6">
        <f t="shared" si="87"/>
        <v>13.145267677923727</v>
      </c>
      <c r="S580" s="6">
        <f>IF($Y$2="按单位面积散热损失 qp",B580*LN(B580/首页!$B$4),LN(B580/首页!$B$4))</f>
        <v>2.9962861545716506</v>
      </c>
      <c r="T580" s="6">
        <f>IF($Y$2="按单位面积散热损失 qp",2*PI()*首页!$B$8*((E580-D580)/$Y$3-1/R580),2*PI()*首页!$B$8*((E580-D580)/$Y$4-1/(PI()*B580*R580)))</f>
        <v>4.0790594560092069E-2</v>
      </c>
      <c r="U580" t="str">
        <f t="shared" si="88"/>
        <v>按单位面积散热损失 qp</v>
      </c>
      <c r="V580" s="6">
        <f t="shared" si="89"/>
        <v>2.9554955600115584</v>
      </c>
    </row>
    <row r="581" spans="1:22" x14ac:dyDescent="0.15">
      <c r="A581">
        <v>576</v>
      </c>
      <c r="B581" s="6">
        <f>首页!$B$4+2*A581/1000</f>
        <v>1.2719999999999998</v>
      </c>
      <c r="C581" s="6">
        <f>首页!$B$7+273.15</f>
        <v>388.15</v>
      </c>
      <c r="D581" s="6">
        <f>首页!$B$6+273.15</f>
        <v>293.14999999999998</v>
      </c>
      <c r="E581" s="6">
        <f>首页!$B$5+273.15</f>
        <v>1373.15</v>
      </c>
      <c r="F581" s="6">
        <f t="shared" ref="F581:F644" si="90">C581-D581</f>
        <v>95</v>
      </c>
      <c r="G581" s="6">
        <f t="shared" ref="G581:G644" si="91">(C581+D581)/2</f>
        <v>340.65</v>
      </c>
      <c r="H581" s="6">
        <f t="shared" ref="H581:H644" si="92">0.0000000042113*G581^2.5/(112+G581)</f>
        <v>1.9926207055139041E-5</v>
      </c>
      <c r="I581" s="7">
        <f t="shared" ref="I581:I644" si="93">9.81*M581^3*F581/(H581^2*G581)</f>
        <v>1158916576932337.8</v>
      </c>
      <c r="J581" s="6">
        <f t="shared" ref="J581:J644" si="94">348.35/G581</f>
        <v>1.0226038455893147</v>
      </c>
      <c r="K581" s="7">
        <f>J581*H581*首页!$B$12/P581</f>
        <v>0.69532757496605813</v>
      </c>
      <c r="L581" s="6">
        <f>首页!$B$9*0.0000000567*((C581^4-D581^4)/(C581-D581))</f>
        <v>7.7687338005019564</v>
      </c>
      <c r="M581" s="6">
        <f>IF(首页!$B$13="自然对流",IF(首页!$B$14="立式圆筒",首页!$B$10,PI()*B581/2),PI()*B581/2)</f>
        <v>55.2</v>
      </c>
      <c r="N581" s="7">
        <f>IF(首页!$B$13="强制对流",首页!$B$11*M581/H581,0)</f>
        <v>0</v>
      </c>
      <c r="O581" s="7">
        <f>IF(首页!$B$13="自然对流",IF(首页!$B$14="立式圆筒",(0.825+0.3063*I581^(1/6))^2+0.87*(M581/B581),(0.752+0.303*I581^(1/6))^2),0.3+SQRT((0.592*N581^0.5)^2+(0.0262*N581^0.8/(1-0.5/N581^0.1))^2))</f>
        <v>10056.962219916031</v>
      </c>
      <c r="P581" s="6">
        <f t="shared" ref="P581:P644" si="95">0.0243+0.000078421*(G581-273)-0.000000020755*(G581-273)^2</f>
        <v>2.9510194925512497E-2</v>
      </c>
      <c r="Q581" s="6">
        <f t="shared" ref="Q581:Q644" si="96">O581*P581/M581</f>
        <v>5.3765020918158868</v>
      </c>
      <c r="R581" s="6">
        <f t="shared" ref="R581:R644" si="97">L581+Q581</f>
        <v>13.145235892317842</v>
      </c>
      <c r="S581" s="6">
        <f>IF($Y$2="按单位面积散热损失 qp",B581*LN(B581/首页!$B$4),LN(B581/首页!$B$4))</f>
        <v>3.0030062894221228</v>
      </c>
      <c r="T581" s="6">
        <f>IF($Y$2="按单位面积散热损失 qp",2*PI()*首页!$B$8*((E581-D581)/$Y$3-1/R581),2*PI()*首页!$B$8*((E581-D581)/$Y$4-1/(PI()*B581*R581)))</f>
        <v>4.0790542550307098E-2</v>
      </c>
      <c r="U581" t="str">
        <f t="shared" ref="U581:U644" si="98">IF($Y$2="按单位面积散热损失 qp","按单位面积散热损失 qp","按单位长度散热损失 ql")</f>
        <v>按单位面积散热损失 qp</v>
      </c>
      <c r="V581" s="6">
        <f t="shared" ref="V581:V644" si="99">ABS(S581-T581)</f>
        <v>2.9622157468718155</v>
      </c>
    </row>
    <row r="582" spans="1:22" x14ac:dyDescent="0.15">
      <c r="A582">
        <v>577</v>
      </c>
      <c r="B582" s="6">
        <f>首页!$B$4+2*A582/1000</f>
        <v>1.274</v>
      </c>
      <c r="C582" s="6">
        <f>首页!$B$7+273.15</f>
        <v>388.15</v>
      </c>
      <c r="D582" s="6">
        <f>首页!$B$6+273.15</f>
        <v>293.14999999999998</v>
      </c>
      <c r="E582" s="6">
        <f>首页!$B$5+273.15</f>
        <v>1373.15</v>
      </c>
      <c r="F582" s="6">
        <f t="shared" si="90"/>
        <v>95</v>
      </c>
      <c r="G582" s="6">
        <f t="shared" si="91"/>
        <v>340.65</v>
      </c>
      <c r="H582" s="6">
        <f t="shared" si="92"/>
        <v>1.9926207055139041E-5</v>
      </c>
      <c r="I582" s="7">
        <f t="shared" si="93"/>
        <v>1158916576932337.8</v>
      </c>
      <c r="J582" s="6">
        <f t="shared" si="94"/>
        <v>1.0226038455893147</v>
      </c>
      <c r="K582" s="7">
        <f>J582*H582*首页!$B$12/P582</f>
        <v>0.69532757496605813</v>
      </c>
      <c r="L582" s="6">
        <f>首页!$B$9*0.0000000567*((C582^4-D582^4)/(C582-D582))</f>
        <v>7.7687338005019564</v>
      </c>
      <c r="M582" s="6">
        <f>IF(首页!$B$13="自然对流",IF(首页!$B$14="立式圆筒",首页!$B$10,PI()*B582/2),PI()*B582/2)</f>
        <v>55.2</v>
      </c>
      <c r="N582" s="7">
        <f>IF(首页!$B$13="强制对流",首页!$B$11*M582/H582,0)</f>
        <v>0</v>
      </c>
      <c r="O582" s="7">
        <f>IF(首页!$B$13="自然对流",IF(首页!$B$14="立式圆筒",(0.825+0.3063*I582^(1/6))^2+0.87*(M582/B582),(0.752+0.303*I582^(1/6))^2),0.3+SQRT((0.592*N582^0.5)^2+(0.0262*N582^0.8/(1-0.5/N582^0.1))^2))</f>
        <v>10056.902950344633</v>
      </c>
      <c r="P582" s="6">
        <f t="shared" si="95"/>
        <v>2.9510194925512497E-2</v>
      </c>
      <c r="Q582" s="6">
        <f t="shared" si="96"/>
        <v>5.3764704060078223</v>
      </c>
      <c r="R582" s="6">
        <f t="shared" si="97"/>
        <v>13.145204206509778</v>
      </c>
      <c r="S582" s="6">
        <f>IF($Y$2="按单位面积散热损失 qp",B582*LN(B582/首页!$B$4),LN(B582/首页!$B$4))</f>
        <v>3.0097295689279799</v>
      </c>
      <c r="T582" s="6">
        <f>IF($Y$2="按单位面积散热损失 qp",2*PI()*首页!$B$8*((E582-D582)/$Y$3-1/R582),2*PI()*首页!$B$8*((E582-D582)/$Y$4-1/(PI()*B582*R582)))</f>
        <v>4.0790490703567807E-2</v>
      </c>
      <c r="U582" t="str">
        <f t="shared" si="98"/>
        <v>按单位面积散热损失 qp</v>
      </c>
      <c r="V582" s="6">
        <f t="shared" si="99"/>
        <v>2.9689390782244121</v>
      </c>
    </row>
    <row r="583" spans="1:22" x14ac:dyDescent="0.15">
      <c r="A583">
        <v>578</v>
      </c>
      <c r="B583" s="6">
        <f>首页!$B$4+2*A583/1000</f>
        <v>1.2759999999999998</v>
      </c>
      <c r="C583" s="6">
        <f>首页!$B$7+273.15</f>
        <v>388.15</v>
      </c>
      <c r="D583" s="6">
        <f>首页!$B$6+273.15</f>
        <v>293.14999999999998</v>
      </c>
      <c r="E583" s="6">
        <f>首页!$B$5+273.15</f>
        <v>1373.15</v>
      </c>
      <c r="F583" s="6">
        <f t="shared" si="90"/>
        <v>95</v>
      </c>
      <c r="G583" s="6">
        <f t="shared" si="91"/>
        <v>340.65</v>
      </c>
      <c r="H583" s="6">
        <f t="shared" si="92"/>
        <v>1.9926207055139041E-5</v>
      </c>
      <c r="I583" s="7">
        <f t="shared" si="93"/>
        <v>1158916576932337.8</v>
      </c>
      <c r="J583" s="6">
        <f t="shared" si="94"/>
        <v>1.0226038455893147</v>
      </c>
      <c r="K583" s="7">
        <f>J583*H583*首页!$B$12/P583</f>
        <v>0.69532757496605813</v>
      </c>
      <c r="L583" s="6">
        <f>首页!$B$9*0.0000000567*((C583^4-D583^4)/(C583-D583))</f>
        <v>7.7687338005019564</v>
      </c>
      <c r="M583" s="6">
        <f>IF(首页!$B$13="自然对流",IF(首页!$B$14="立式圆筒",首页!$B$10,PI()*B583/2),PI()*B583/2)</f>
        <v>55.2</v>
      </c>
      <c r="N583" s="7">
        <f>IF(首页!$B$13="强制对流",首页!$B$11*M583/H583,0)</f>
        <v>0</v>
      </c>
      <c r="O583" s="7">
        <f>IF(首页!$B$13="自然对流",IF(首页!$B$14="立式圆筒",(0.825+0.3063*I583^(1/6))^2+0.87*(M583/B583),(0.752+0.303*I583^(1/6))^2),0.3+SQRT((0.592*N583^0.5)^2+(0.0262*N583^0.8/(1-0.5/N583^0.1))^2))</f>
        <v>10056.843866571264</v>
      </c>
      <c r="P583" s="6">
        <f t="shared" si="95"/>
        <v>2.9510194925512497E-2</v>
      </c>
      <c r="Q583" s="6">
        <f t="shared" si="96"/>
        <v>5.3764388195283113</v>
      </c>
      <c r="R583" s="6">
        <f t="shared" si="97"/>
        <v>13.145172620030268</v>
      </c>
      <c r="S583" s="6">
        <f>IF($Y$2="按单位面积散热损失 qp",B583*LN(B583/首页!$B$4),LN(B583/首页!$B$4))</f>
        <v>3.016455988152551</v>
      </c>
      <c r="T583" s="6">
        <f>IF($Y$2="按单位面积散热损失 qp",2*PI()*首页!$B$8*((E583-D583)/$Y$3-1/R583),2*PI()*首页!$B$8*((E583-D583)/$Y$4-1/(PI()*B583*R583)))</f>
        <v>4.0790439019108705E-2</v>
      </c>
      <c r="U583" t="str">
        <f t="shared" si="98"/>
        <v>按单位面积散热损失 qp</v>
      </c>
      <c r="V583" s="6">
        <f t="shared" si="99"/>
        <v>2.9756655491334425</v>
      </c>
    </row>
    <row r="584" spans="1:22" x14ac:dyDescent="0.15">
      <c r="A584">
        <v>579</v>
      </c>
      <c r="B584" s="6">
        <f>首页!$B$4+2*A584/1000</f>
        <v>1.278</v>
      </c>
      <c r="C584" s="6">
        <f>首页!$B$7+273.15</f>
        <v>388.15</v>
      </c>
      <c r="D584" s="6">
        <f>首页!$B$6+273.15</f>
        <v>293.14999999999998</v>
      </c>
      <c r="E584" s="6">
        <f>首页!$B$5+273.15</f>
        <v>1373.15</v>
      </c>
      <c r="F584" s="6">
        <f t="shared" si="90"/>
        <v>95</v>
      </c>
      <c r="G584" s="6">
        <f t="shared" si="91"/>
        <v>340.65</v>
      </c>
      <c r="H584" s="6">
        <f t="shared" si="92"/>
        <v>1.9926207055139041E-5</v>
      </c>
      <c r="I584" s="7">
        <f t="shared" si="93"/>
        <v>1158916576932337.8</v>
      </c>
      <c r="J584" s="6">
        <f t="shared" si="94"/>
        <v>1.0226038455893147</v>
      </c>
      <c r="K584" s="7">
        <f>J584*H584*首页!$B$12/P584</f>
        <v>0.69532757496605813</v>
      </c>
      <c r="L584" s="6">
        <f>首页!$B$9*0.0000000567*((C584^4-D584^4)/(C584-D584))</f>
        <v>7.7687338005019564</v>
      </c>
      <c r="M584" s="6">
        <f>IF(首页!$B$13="自然对流",IF(首页!$B$14="立式圆筒",首页!$B$10,PI()*B584/2),PI()*B584/2)</f>
        <v>55.2</v>
      </c>
      <c r="N584" s="7">
        <f>IF(首页!$B$13="强制对流",首页!$B$11*M584/H584,0)</f>
        <v>0</v>
      </c>
      <c r="O584" s="7">
        <f>IF(首页!$B$13="自然对流",IF(首页!$B$14="立式圆筒",(0.825+0.3063*I584^(1/6))^2+0.87*(M584/B584),(0.752+0.303*I584^(1/6))^2),0.3+SQRT((0.592*N584^0.5)^2+(0.0262*N584^0.8/(1-0.5/N584^0.1))^2))</f>
        <v>10056.784967723632</v>
      </c>
      <c r="P584" s="6">
        <f t="shared" si="95"/>
        <v>2.9510194925512497E-2</v>
      </c>
      <c r="Q584" s="6">
        <f t="shared" si="96"/>
        <v>5.3764073319110199</v>
      </c>
      <c r="R584" s="6">
        <f t="shared" si="97"/>
        <v>13.145141132412977</v>
      </c>
      <c r="S584" s="6">
        <f>IF($Y$2="按单位面积散热损失 qp",B584*LN(B584/首页!$B$4),LN(B584/首页!$B$4))</f>
        <v>3.023185542174645</v>
      </c>
      <c r="T584" s="6">
        <f>IF($Y$2="按单位面积散热损失 qp",2*PI()*首页!$B$8*((E584-D584)/$Y$3-1/R584),2*PI()*首页!$B$8*((E584-D584)/$Y$4-1/(PI()*B584*R584)))</f>
        <v>4.0790387496169096E-2</v>
      </c>
      <c r="U584" t="str">
        <f t="shared" si="98"/>
        <v>按单位面积散热损失 qp</v>
      </c>
      <c r="V584" s="6">
        <f t="shared" si="99"/>
        <v>2.9823951546784757</v>
      </c>
    </row>
    <row r="585" spans="1:22" x14ac:dyDescent="0.15">
      <c r="A585">
        <v>580</v>
      </c>
      <c r="B585" s="6">
        <f>首页!$B$4+2*A585/1000</f>
        <v>1.2799999999999998</v>
      </c>
      <c r="C585" s="6">
        <f>首页!$B$7+273.15</f>
        <v>388.15</v>
      </c>
      <c r="D585" s="6">
        <f>首页!$B$6+273.15</f>
        <v>293.14999999999998</v>
      </c>
      <c r="E585" s="6">
        <f>首页!$B$5+273.15</f>
        <v>1373.15</v>
      </c>
      <c r="F585" s="6">
        <f t="shared" si="90"/>
        <v>95</v>
      </c>
      <c r="G585" s="6">
        <f t="shared" si="91"/>
        <v>340.65</v>
      </c>
      <c r="H585" s="6">
        <f t="shared" si="92"/>
        <v>1.9926207055139041E-5</v>
      </c>
      <c r="I585" s="7">
        <f t="shared" si="93"/>
        <v>1158916576932337.8</v>
      </c>
      <c r="J585" s="6">
        <f t="shared" si="94"/>
        <v>1.0226038455893147</v>
      </c>
      <c r="K585" s="7">
        <f>J585*H585*首页!$B$12/P585</f>
        <v>0.69532757496605813</v>
      </c>
      <c r="L585" s="6">
        <f>首页!$B$9*0.0000000567*((C585^4-D585^4)/(C585-D585))</f>
        <v>7.7687338005019564</v>
      </c>
      <c r="M585" s="6">
        <f>IF(首页!$B$13="自然对流",IF(首页!$B$14="立式圆筒",首页!$B$10,PI()*B585/2),PI()*B585/2)</f>
        <v>55.2</v>
      </c>
      <c r="N585" s="7">
        <f>IF(首页!$B$13="强制对流",首页!$B$11*M585/H585,0)</f>
        <v>0</v>
      </c>
      <c r="O585" s="7">
        <f>IF(首页!$B$13="自然对流",IF(首页!$B$14="立式圆筒",(0.825+0.3063*I585^(1/6))^2+0.87*(M585/B585),(0.752+0.303*I585^(1/6))^2),0.3+SQRT((0.592*N585^0.5)^2+(0.0262*N585^0.8/(1-0.5/N585^0.1))^2))</f>
        <v>10056.726252934899</v>
      </c>
      <c r="P585" s="6">
        <f t="shared" si="95"/>
        <v>2.9510194925512497E-2</v>
      </c>
      <c r="Q585" s="6">
        <f t="shared" si="96"/>
        <v>5.3763759426925315</v>
      </c>
      <c r="R585" s="6">
        <f t="shared" si="97"/>
        <v>13.145109743194489</v>
      </c>
      <c r="S585" s="6">
        <f>IF($Y$2="按单位面积散热损失 qp",B585*LN(B585/首页!$B$4),LN(B585/首页!$B$4))</f>
        <v>3.0299182260884692</v>
      </c>
      <c r="T585" s="6">
        <f>IF($Y$2="按单位面积散热损失 qp",2*PI()*首页!$B$8*((E585-D585)/$Y$3-1/R585),2*PI()*首页!$B$8*((E585-D585)/$Y$4-1/(PI()*B585*R585)))</f>
        <v>4.079033613399298E-2</v>
      </c>
      <c r="U585" t="str">
        <f t="shared" si="98"/>
        <v>按单位面积散热损失 qp</v>
      </c>
      <c r="V585" s="6">
        <f t="shared" si="99"/>
        <v>2.9891278899544762</v>
      </c>
    </row>
    <row r="586" spans="1:22" x14ac:dyDescent="0.15">
      <c r="A586">
        <v>581</v>
      </c>
      <c r="B586" s="6">
        <f>首页!$B$4+2*A586/1000</f>
        <v>1.282</v>
      </c>
      <c r="C586" s="6">
        <f>首页!$B$7+273.15</f>
        <v>388.15</v>
      </c>
      <c r="D586" s="6">
        <f>首页!$B$6+273.15</f>
        <v>293.14999999999998</v>
      </c>
      <c r="E586" s="6">
        <f>首页!$B$5+273.15</f>
        <v>1373.15</v>
      </c>
      <c r="F586" s="6">
        <f t="shared" si="90"/>
        <v>95</v>
      </c>
      <c r="G586" s="6">
        <f t="shared" si="91"/>
        <v>340.65</v>
      </c>
      <c r="H586" s="6">
        <f t="shared" si="92"/>
        <v>1.9926207055139041E-5</v>
      </c>
      <c r="I586" s="7">
        <f t="shared" si="93"/>
        <v>1158916576932337.8</v>
      </c>
      <c r="J586" s="6">
        <f t="shared" si="94"/>
        <v>1.0226038455893147</v>
      </c>
      <c r="K586" s="7">
        <f>J586*H586*首页!$B$12/P586</f>
        <v>0.69532757496605813</v>
      </c>
      <c r="L586" s="6">
        <f>首页!$B$9*0.0000000567*((C586^4-D586^4)/(C586-D586))</f>
        <v>7.7687338005019564</v>
      </c>
      <c r="M586" s="6">
        <f>IF(首页!$B$13="自然对流",IF(首页!$B$14="立式圆筒",首页!$B$10,PI()*B586/2),PI()*B586/2)</f>
        <v>55.2</v>
      </c>
      <c r="N586" s="7">
        <f>IF(首页!$B$13="强制对流",首页!$B$11*M586/H586,0)</f>
        <v>0</v>
      </c>
      <c r="O586" s="7">
        <f>IF(首页!$B$13="自然对流",IF(首页!$B$14="立式圆筒",(0.825+0.3063*I586^(1/6))^2+0.87*(M586/B586),(0.752+0.303*I586^(1/6))^2),0.3+SQRT((0.592*N586^0.5)^2+(0.0262*N586^0.8/(1-0.5/N586^0.1))^2))</f>
        <v>10056.667721343636</v>
      </c>
      <c r="P586" s="6">
        <f t="shared" si="95"/>
        <v>2.9510194925512497E-2</v>
      </c>
      <c r="Q586" s="6">
        <f t="shared" si="96"/>
        <v>5.3763446514123236</v>
      </c>
      <c r="R586" s="6">
        <f t="shared" si="97"/>
        <v>13.14507845191428</v>
      </c>
      <c r="S586" s="6">
        <f>IF($Y$2="按单位面积散热损失 qp",B586*LN(B586/首页!$B$4),LN(B586/首页!$B$4))</f>
        <v>3.0366540350035662</v>
      </c>
      <c r="T586" s="6">
        <f>IF($Y$2="按单位面积散热损失 qp",2*PI()*首页!$B$8*((E586-D586)/$Y$3-1/R586),2*PI()*首页!$B$8*((E586-D586)/$Y$4-1/(PI()*B586*R586)))</f>
        <v>4.0790284931829103E-2</v>
      </c>
      <c r="U586" t="str">
        <f t="shared" si="98"/>
        <v>按单位面积散热损失 qp</v>
      </c>
      <c r="V586" s="6">
        <f t="shared" si="99"/>
        <v>2.9958637500717371</v>
      </c>
    </row>
    <row r="587" spans="1:22" x14ac:dyDescent="0.15">
      <c r="A587">
        <v>582</v>
      </c>
      <c r="B587" s="6">
        <f>首页!$B$4+2*A587/1000</f>
        <v>1.2839999999999998</v>
      </c>
      <c r="C587" s="6">
        <f>首页!$B$7+273.15</f>
        <v>388.15</v>
      </c>
      <c r="D587" s="6">
        <f>首页!$B$6+273.15</f>
        <v>293.14999999999998</v>
      </c>
      <c r="E587" s="6">
        <f>首页!$B$5+273.15</f>
        <v>1373.15</v>
      </c>
      <c r="F587" s="6">
        <f t="shared" si="90"/>
        <v>95</v>
      </c>
      <c r="G587" s="6">
        <f t="shared" si="91"/>
        <v>340.65</v>
      </c>
      <c r="H587" s="6">
        <f t="shared" si="92"/>
        <v>1.9926207055139041E-5</v>
      </c>
      <c r="I587" s="7">
        <f t="shared" si="93"/>
        <v>1158916576932337.8</v>
      </c>
      <c r="J587" s="6">
        <f t="shared" si="94"/>
        <v>1.0226038455893147</v>
      </c>
      <c r="K587" s="7">
        <f>J587*H587*首页!$B$12/P587</f>
        <v>0.69532757496605813</v>
      </c>
      <c r="L587" s="6">
        <f>首页!$B$9*0.0000000567*((C587^4-D587^4)/(C587-D587))</f>
        <v>7.7687338005019564</v>
      </c>
      <c r="M587" s="6">
        <f>IF(首页!$B$13="自然对流",IF(首页!$B$14="立式圆筒",首页!$B$10,PI()*B587/2),PI()*B587/2)</f>
        <v>55.2</v>
      </c>
      <c r="N587" s="7">
        <f>IF(首页!$B$13="强制对流",首页!$B$11*M587/H587,0)</f>
        <v>0</v>
      </c>
      <c r="O587" s="7">
        <f>IF(首页!$B$13="自然对流",IF(首页!$B$14="立式圆筒",(0.825+0.3063*I587^(1/6))^2+0.87*(M587/B587),(0.752+0.303*I587^(1/6))^2),0.3+SQRT((0.592*N587^0.5)^2+(0.0262*N587^0.8/(1-0.5/N587^0.1))^2))</f>
        <v>10056.609372093779</v>
      </c>
      <c r="P587" s="6">
        <f t="shared" si="95"/>
        <v>2.9510194925512497E-2</v>
      </c>
      <c r="Q587" s="6">
        <f t="shared" si="96"/>
        <v>5.3763134576127403</v>
      </c>
      <c r="R587" s="6">
        <f t="shared" si="97"/>
        <v>13.145047258114698</v>
      </c>
      <c r="S587" s="6">
        <f>IF($Y$2="按单位面积散热损失 qp",B587*LN(B587/首页!$B$4),LN(B587/首页!$B$4))</f>
        <v>3.0433929640447324</v>
      </c>
      <c r="T587" s="6">
        <f>IF($Y$2="按单位面积散热损失 qp",2*PI()*首页!$B$8*((E587-D587)/$Y$3-1/R587),2*PI()*首页!$B$8*((E587-D587)/$Y$4-1/(PI()*B587*R587)))</f>
        <v>4.0790233888930917E-2</v>
      </c>
      <c r="U587" t="str">
        <f t="shared" si="98"/>
        <v>按单位面积散热损失 qp</v>
      </c>
      <c r="V587" s="6">
        <f t="shared" si="99"/>
        <v>3.0026027301558016</v>
      </c>
    </row>
    <row r="588" spans="1:22" x14ac:dyDescent="0.15">
      <c r="A588">
        <v>583</v>
      </c>
      <c r="B588" s="6">
        <f>首页!$B$4+2*A588/1000</f>
        <v>1.286</v>
      </c>
      <c r="C588" s="6">
        <f>首页!$B$7+273.15</f>
        <v>388.15</v>
      </c>
      <c r="D588" s="6">
        <f>首页!$B$6+273.15</f>
        <v>293.14999999999998</v>
      </c>
      <c r="E588" s="6">
        <f>首页!$B$5+273.15</f>
        <v>1373.15</v>
      </c>
      <c r="F588" s="6">
        <f t="shared" si="90"/>
        <v>95</v>
      </c>
      <c r="G588" s="6">
        <f t="shared" si="91"/>
        <v>340.65</v>
      </c>
      <c r="H588" s="6">
        <f t="shared" si="92"/>
        <v>1.9926207055139041E-5</v>
      </c>
      <c r="I588" s="7">
        <f t="shared" si="93"/>
        <v>1158916576932337.8</v>
      </c>
      <c r="J588" s="6">
        <f t="shared" si="94"/>
        <v>1.0226038455893147</v>
      </c>
      <c r="K588" s="7">
        <f>J588*H588*首页!$B$12/P588</f>
        <v>0.69532757496605813</v>
      </c>
      <c r="L588" s="6">
        <f>首页!$B$9*0.0000000567*((C588^4-D588^4)/(C588-D588))</f>
        <v>7.7687338005019564</v>
      </c>
      <c r="M588" s="6">
        <f>IF(首页!$B$13="自然对流",IF(首页!$B$14="立式圆筒",首页!$B$10,PI()*B588/2),PI()*B588/2)</f>
        <v>55.2</v>
      </c>
      <c r="N588" s="7">
        <f>IF(首页!$B$13="强制对流",首页!$B$11*M588/H588,0)</f>
        <v>0</v>
      </c>
      <c r="O588" s="7">
        <f>IF(首页!$B$13="自然对流",IF(首页!$B$14="立式圆筒",(0.825+0.3063*I588^(1/6))^2+0.87*(M588/B588),(0.752+0.303*I588^(1/6))^2),0.3+SQRT((0.592*N588^0.5)^2+(0.0262*N588^0.8/(1-0.5/N588^0.1))^2))</f>
        <v>10056.551204334588</v>
      </c>
      <c r="P588" s="6">
        <f t="shared" si="95"/>
        <v>2.9510194925512497E-2</v>
      </c>
      <c r="Q588" s="6">
        <f t="shared" si="96"/>
        <v>5.37628236083897</v>
      </c>
      <c r="R588" s="6">
        <f t="shared" si="97"/>
        <v>13.145016161340926</v>
      </c>
      <c r="S588" s="6">
        <f>IF($Y$2="按单位面积散热损失 qp",B588*LN(B588/首页!$B$4),LN(B588/首页!$B$4))</f>
        <v>3.0501350083519569</v>
      </c>
      <c r="T588" s="6">
        <f>IF($Y$2="按单位面积散热损失 qp",2*PI()*首页!$B$8*((E588-D588)/$Y$3-1/R588),2*PI()*首页!$B$8*((E588-D588)/$Y$4-1/(PI()*B588*R588)))</f>
        <v>4.0790183004556425E-2</v>
      </c>
      <c r="U588" t="str">
        <f t="shared" si="98"/>
        <v>按单位面积散热损失 qp</v>
      </c>
      <c r="V588" s="6">
        <f t="shared" si="99"/>
        <v>3.0093448253474007</v>
      </c>
    </row>
    <row r="589" spans="1:22" x14ac:dyDescent="0.15">
      <c r="A589">
        <v>584</v>
      </c>
      <c r="B589" s="6">
        <f>首页!$B$4+2*A589/1000</f>
        <v>1.2879999999999998</v>
      </c>
      <c r="C589" s="6">
        <f>首页!$B$7+273.15</f>
        <v>388.15</v>
      </c>
      <c r="D589" s="6">
        <f>首页!$B$6+273.15</f>
        <v>293.14999999999998</v>
      </c>
      <c r="E589" s="6">
        <f>首页!$B$5+273.15</f>
        <v>1373.15</v>
      </c>
      <c r="F589" s="6">
        <f t="shared" si="90"/>
        <v>95</v>
      </c>
      <c r="G589" s="6">
        <f t="shared" si="91"/>
        <v>340.65</v>
      </c>
      <c r="H589" s="6">
        <f t="shared" si="92"/>
        <v>1.9926207055139041E-5</v>
      </c>
      <c r="I589" s="7">
        <f t="shared" si="93"/>
        <v>1158916576932337.8</v>
      </c>
      <c r="J589" s="6">
        <f t="shared" si="94"/>
        <v>1.0226038455893147</v>
      </c>
      <c r="K589" s="7">
        <f>J589*H589*首页!$B$12/P589</f>
        <v>0.69532757496605813</v>
      </c>
      <c r="L589" s="6">
        <f>首页!$B$9*0.0000000567*((C589^4-D589^4)/(C589-D589))</f>
        <v>7.7687338005019564</v>
      </c>
      <c r="M589" s="6">
        <f>IF(首页!$B$13="自然对流",IF(首页!$B$14="立式圆筒",首页!$B$10,PI()*B589/2),PI()*B589/2)</f>
        <v>55.2</v>
      </c>
      <c r="N589" s="7">
        <f>IF(首页!$B$13="强制对流",首页!$B$11*M589/H589,0)</f>
        <v>0</v>
      </c>
      <c r="O589" s="7">
        <f>IF(首页!$B$13="自然对流",IF(首页!$B$14="立式圆筒",(0.825+0.3063*I589^(1/6))^2+0.87*(M589/B589),(0.752+0.303*I589^(1/6))^2),0.3+SQRT((0.592*N589^0.5)^2+(0.0262*N589^0.8/(1-0.5/N589^0.1))^2))</f>
        <v>10056.493217220614</v>
      </c>
      <c r="P589" s="6">
        <f t="shared" si="95"/>
        <v>2.9510194925512497E-2</v>
      </c>
      <c r="Q589" s="6">
        <f t="shared" si="96"/>
        <v>5.3762513606390323</v>
      </c>
      <c r="R589" s="6">
        <f t="shared" si="97"/>
        <v>13.144985161140989</v>
      </c>
      <c r="S589" s="6">
        <f>IF($Y$2="按单位面积散热损失 qp",B589*LN(B589/首页!$B$4),LN(B589/首页!$B$4))</f>
        <v>3.0568801630803417</v>
      </c>
      <c r="T589" s="6">
        <f>IF($Y$2="按单位面积散热损失 qp",2*PI()*首页!$B$8*((E589-D589)/$Y$3-1/R589),2*PI()*首页!$B$8*((E589-D589)/$Y$4-1/(PI()*B589*R589)))</f>
        <v>4.0790132277968336E-2</v>
      </c>
      <c r="U589" t="str">
        <f t="shared" si="98"/>
        <v>按单位面积散热损失 qp</v>
      </c>
      <c r="V589" s="6">
        <f t="shared" si="99"/>
        <v>3.0160900308023733</v>
      </c>
    </row>
    <row r="590" spans="1:22" x14ac:dyDescent="0.15">
      <c r="A590">
        <v>585</v>
      </c>
      <c r="B590" s="6">
        <f>首页!$B$4+2*A590/1000</f>
        <v>1.29</v>
      </c>
      <c r="C590" s="6">
        <f>首页!$B$7+273.15</f>
        <v>388.15</v>
      </c>
      <c r="D590" s="6">
        <f>首页!$B$6+273.15</f>
        <v>293.14999999999998</v>
      </c>
      <c r="E590" s="6">
        <f>首页!$B$5+273.15</f>
        <v>1373.15</v>
      </c>
      <c r="F590" s="6">
        <f t="shared" si="90"/>
        <v>95</v>
      </c>
      <c r="G590" s="6">
        <f t="shared" si="91"/>
        <v>340.65</v>
      </c>
      <c r="H590" s="6">
        <f t="shared" si="92"/>
        <v>1.9926207055139041E-5</v>
      </c>
      <c r="I590" s="7">
        <f t="shared" si="93"/>
        <v>1158916576932337.8</v>
      </c>
      <c r="J590" s="6">
        <f t="shared" si="94"/>
        <v>1.0226038455893147</v>
      </c>
      <c r="K590" s="7">
        <f>J590*H590*首页!$B$12/P590</f>
        <v>0.69532757496605813</v>
      </c>
      <c r="L590" s="6">
        <f>首页!$B$9*0.0000000567*((C590^4-D590^4)/(C590-D590))</f>
        <v>7.7687338005019564</v>
      </c>
      <c r="M590" s="6">
        <f>IF(首页!$B$13="自然对流",IF(首页!$B$14="立式圆筒",首页!$B$10,PI()*B590/2),PI()*B590/2)</f>
        <v>55.2</v>
      </c>
      <c r="N590" s="7">
        <f>IF(首页!$B$13="强制对流",首页!$B$11*M590/H590,0)</f>
        <v>0</v>
      </c>
      <c r="O590" s="7">
        <f>IF(首页!$B$13="自然对流",IF(首页!$B$14="立式圆筒",(0.825+0.3063*I590^(1/6))^2+0.87*(M590/B590),(0.752+0.303*I590^(1/6))^2),0.3+SQRT((0.592*N590^0.5)^2+(0.0262*N590^0.8/(1-0.5/N590^0.1))^2))</f>
        <v>10056.435409911644</v>
      </c>
      <c r="P590" s="6">
        <f t="shared" si="95"/>
        <v>2.9510194925512497E-2</v>
      </c>
      <c r="Q590" s="6">
        <f t="shared" si="96"/>
        <v>5.3762204565637459</v>
      </c>
      <c r="R590" s="6">
        <f t="shared" si="97"/>
        <v>13.144954257065702</v>
      </c>
      <c r="S590" s="6">
        <f>IF($Y$2="按单位面积散热损失 qp",B590*LN(B590/首页!$B$4),LN(B590/首页!$B$4))</f>
        <v>3.0636284234000364</v>
      </c>
      <c r="T590" s="6">
        <f>IF($Y$2="按单位面积散热损失 qp",2*PI()*首页!$B$8*((E590-D590)/$Y$3-1/R590),2*PI()*首页!$B$8*((E590-D590)/$Y$4-1/(PI()*B590*R590)))</f>
        <v>4.0790081708433831E-2</v>
      </c>
      <c r="U590" t="str">
        <f t="shared" si="98"/>
        <v>按单位面积散热损失 qp</v>
      </c>
      <c r="V590" s="6">
        <f t="shared" si="99"/>
        <v>3.0228383416916027</v>
      </c>
    </row>
    <row r="591" spans="1:22" x14ac:dyDescent="0.15">
      <c r="A591">
        <v>586</v>
      </c>
      <c r="B591" s="6">
        <f>首页!$B$4+2*A591/1000</f>
        <v>1.2919999999999998</v>
      </c>
      <c r="C591" s="6">
        <f>首页!$B$7+273.15</f>
        <v>388.15</v>
      </c>
      <c r="D591" s="6">
        <f>首页!$B$6+273.15</f>
        <v>293.14999999999998</v>
      </c>
      <c r="E591" s="6">
        <f>首页!$B$5+273.15</f>
        <v>1373.15</v>
      </c>
      <c r="F591" s="6">
        <f t="shared" si="90"/>
        <v>95</v>
      </c>
      <c r="G591" s="6">
        <f t="shared" si="91"/>
        <v>340.65</v>
      </c>
      <c r="H591" s="6">
        <f t="shared" si="92"/>
        <v>1.9926207055139041E-5</v>
      </c>
      <c r="I591" s="7">
        <f t="shared" si="93"/>
        <v>1158916576932337.8</v>
      </c>
      <c r="J591" s="6">
        <f t="shared" si="94"/>
        <v>1.0226038455893147</v>
      </c>
      <c r="K591" s="7">
        <f>J591*H591*首页!$B$12/P591</f>
        <v>0.69532757496605813</v>
      </c>
      <c r="L591" s="6">
        <f>首页!$B$9*0.0000000567*((C591^4-D591^4)/(C591-D591))</f>
        <v>7.7687338005019564</v>
      </c>
      <c r="M591" s="6">
        <f>IF(首页!$B$13="自然对流",IF(首页!$B$14="立式圆筒",首页!$B$10,PI()*B591/2),PI()*B591/2)</f>
        <v>55.2</v>
      </c>
      <c r="N591" s="7">
        <f>IF(首页!$B$13="强制对流",首页!$B$11*M591/H591,0)</f>
        <v>0</v>
      </c>
      <c r="O591" s="7">
        <f>IF(首页!$B$13="自然对流",IF(首页!$B$14="立式圆筒",(0.825+0.3063*I591^(1/6))^2+0.87*(M591/B591),(0.752+0.303*I591^(1/6))^2),0.3+SQRT((0.592*N591^0.5)^2+(0.0262*N591^0.8/(1-0.5/N591^0.1))^2))</f>
        <v>10056.37778157267</v>
      </c>
      <c r="P591" s="6">
        <f t="shared" si="95"/>
        <v>2.9510194925512497E-2</v>
      </c>
      <c r="Q591" s="6">
        <f t="shared" si="96"/>
        <v>5.3761896481667106</v>
      </c>
      <c r="R591" s="6">
        <f t="shared" si="97"/>
        <v>13.144923448668667</v>
      </c>
      <c r="S591" s="6">
        <f>IF($Y$2="按单位面积散热损失 qp",B591*LN(B591/首页!$B$4),LN(B591/首页!$B$4))</f>
        <v>3.0703797844961667</v>
      </c>
      <c r="T591" s="6">
        <f>IF($Y$2="按单位面积散热损失 qp",2*PI()*首页!$B$8*((E591-D591)/$Y$3-1/R591),2*PI()*首页!$B$8*((E591-D591)/$Y$4-1/(PI()*B591*R591)))</f>
        <v>4.0790031295224669E-2</v>
      </c>
      <c r="U591" t="str">
        <f t="shared" si="98"/>
        <v>按单位面积散热损失 qp</v>
      </c>
      <c r="V591" s="6">
        <f t="shared" si="99"/>
        <v>3.0295897532009421</v>
      </c>
    </row>
    <row r="592" spans="1:22" x14ac:dyDescent="0.15">
      <c r="A592">
        <v>587</v>
      </c>
      <c r="B592" s="6">
        <f>首页!$B$4+2*A592/1000</f>
        <v>1.294</v>
      </c>
      <c r="C592" s="6">
        <f>首页!$B$7+273.15</f>
        <v>388.15</v>
      </c>
      <c r="D592" s="6">
        <f>首页!$B$6+273.15</f>
        <v>293.14999999999998</v>
      </c>
      <c r="E592" s="6">
        <f>首页!$B$5+273.15</f>
        <v>1373.15</v>
      </c>
      <c r="F592" s="6">
        <f t="shared" si="90"/>
        <v>95</v>
      </c>
      <c r="G592" s="6">
        <f t="shared" si="91"/>
        <v>340.65</v>
      </c>
      <c r="H592" s="6">
        <f t="shared" si="92"/>
        <v>1.9926207055139041E-5</v>
      </c>
      <c r="I592" s="7">
        <f t="shared" si="93"/>
        <v>1158916576932337.8</v>
      </c>
      <c r="J592" s="6">
        <f t="shared" si="94"/>
        <v>1.0226038455893147</v>
      </c>
      <c r="K592" s="7">
        <f>J592*H592*首页!$B$12/P592</f>
        <v>0.69532757496605813</v>
      </c>
      <c r="L592" s="6">
        <f>首页!$B$9*0.0000000567*((C592^4-D592^4)/(C592-D592))</f>
        <v>7.7687338005019564</v>
      </c>
      <c r="M592" s="6">
        <f>IF(首页!$B$13="自然对流",IF(首页!$B$14="立式圆筒",首页!$B$10,PI()*B592/2),PI()*B592/2)</f>
        <v>55.2</v>
      </c>
      <c r="N592" s="7">
        <f>IF(首页!$B$13="强制对流",首页!$B$11*M592/H592,0)</f>
        <v>0</v>
      </c>
      <c r="O592" s="7">
        <f>IF(首页!$B$13="自然对流",IF(首页!$B$14="立式圆筒",(0.825+0.3063*I592^(1/6))^2+0.87*(M592/B592),(0.752+0.303*I592^(1/6))^2),0.3+SQRT((0.592*N592^0.5)^2+(0.0262*N592^0.8/(1-0.5/N592^0.1))^2))</f>
        <v>10056.320331373849</v>
      </c>
      <c r="P592" s="6">
        <f t="shared" si="95"/>
        <v>2.9510194925512497E-2</v>
      </c>
      <c r="Q592" s="6">
        <f t="shared" si="96"/>
        <v>5.3761589350042875</v>
      </c>
      <c r="R592" s="6">
        <f t="shared" si="97"/>
        <v>13.144892735506243</v>
      </c>
      <c r="S592" s="6">
        <f>IF($Y$2="按单位面积散热损失 qp",B592*LN(B592/首页!$B$4),LN(B592/首页!$B$4))</f>
        <v>3.0771342415687672</v>
      </c>
      <c r="T592" s="6">
        <f>IF($Y$2="按单位面积散热损失 qp",2*PI()*首页!$B$8*((E592-D592)/$Y$3-1/R592),2*PI()*首页!$B$8*((E592-D592)/$Y$4-1/(PI()*B592*R592)))</f>
        <v>4.0789981037617114E-2</v>
      </c>
      <c r="U592" t="str">
        <f t="shared" si="98"/>
        <v>按单位面积散热损失 qp</v>
      </c>
      <c r="V592" s="6">
        <f t="shared" si="99"/>
        <v>3.0363442605311501</v>
      </c>
    </row>
    <row r="593" spans="1:22" x14ac:dyDescent="0.15">
      <c r="A593">
        <v>588</v>
      </c>
      <c r="B593" s="6">
        <f>首页!$B$4+2*A593/1000</f>
        <v>1.2959999999999998</v>
      </c>
      <c r="C593" s="6">
        <f>首页!$B$7+273.15</f>
        <v>388.15</v>
      </c>
      <c r="D593" s="6">
        <f>首页!$B$6+273.15</f>
        <v>293.14999999999998</v>
      </c>
      <c r="E593" s="6">
        <f>首页!$B$5+273.15</f>
        <v>1373.15</v>
      </c>
      <c r="F593" s="6">
        <f t="shared" si="90"/>
        <v>95</v>
      </c>
      <c r="G593" s="6">
        <f t="shared" si="91"/>
        <v>340.65</v>
      </c>
      <c r="H593" s="6">
        <f t="shared" si="92"/>
        <v>1.9926207055139041E-5</v>
      </c>
      <c r="I593" s="7">
        <f t="shared" si="93"/>
        <v>1158916576932337.8</v>
      </c>
      <c r="J593" s="6">
        <f t="shared" si="94"/>
        <v>1.0226038455893147</v>
      </c>
      <c r="K593" s="7">
        <f>J593*H593*首页!$B$12/P593</f>
        <v>0.69532757496605813</v>
      </c>
      <c r="L593" s="6">
        <f>首页!$B$9*0.0000000567*((C593^4-D593^4)/(C593-D593))</f>
        <v>7.7687338005019564</v>
      </c>
      <c r="M593" s="6">
        <f>IF(首页!$B$13="自然对流",IF(首页!$B$14="立式圆筒",首页!$B$10,PI()*B593/2),PI()*B593/2)</f>
        <v>55.2</v>
      </c>
      <c r="N593" s="7">
        <f>IF(首页!$B$13="强制对流",首页!$B$11*M593/H593,0)</f>
        <v>0</v>
      </c>
      <c r="O593" s="7">
        <f>IF(首页!$B$13="自然对流",IF(首页!$B$14="立式圆筒",(0.825+0.3063*I593^(1/6))^2+0.87*(M593/B593),(0.752+0.303*I593^(1/6))^2),0.3+SQRT((0.592*N593^0.5)^2+(0.0262*N593^0.8/(1-0.5/N593^0.1))^2))</f>
        <v>10056.263058490455</v>
      </c>
      <c r="P593" s="6">
        <f t="shared" si="95"/>
        <v>2.9510194925512497E-2</v>
      </c>
      <c r="Q593" s="6">
        <f t="shared" si="96"/>
        <v>5.376128316635576</v>
      </c>
      <c r="R593" s="6">
        <f t="shared" si="97"/>
        <v>13.144862117137531</v>
      </c>
      <c r="S593" s="6">
        <f>IF($Y$2="按单位面积散热损失 qp",B593*LN(B593/首页!$B$4),LN(B593/首页!$B$4))</f>
        <v>3.083891789832705</v>
      </c>
      <c r="T593" s="6">
        <f>IF($Y$2="按单位面积散热损失 qp",2*PI()*首页!$B$8*((E593-D593)/$Y$3-1/R593),2*PI()*首页!$B$8*((E593-D593)/$Y$4-1/(PI()*B593*R593)))</f>
        <v>4.0789930934891853E-2</v>
      </c>
      <c r="U593" t="str">
        <f t="shared" si="98"/>
        <v>按单位面积散热损失 qp</v>
      </c>
      <c r="V593" s="6">
        <f t="shared" si="99"/>
        <v>3.0431018588978129</v>
      </c>
    </row>
    <row r="594" spans="1:22" x14ac:dyDescent="0.15">
      <c r="A594">
        <v>589</v>
      </c>
      <c r="B594" s="6">
        <f>首页!$B$4+2*A594/1000</f>
        <v>1.298</v>
      </c>
      <c r="C594" s="6">
        <f>首页!$B$7+273.15</f>
        <v>388.15</v>
      </c>
      <c r="D594" s="6">
        <f>首页!$B$6+273.15</f>
        <v>293.14999999999998</v>
      </c>
      <c r="E594" s="6">
        <f>首页!$B$5+273.15</f>
        <v>1373.15</v>
      </c>
      <c r="F594" s="6">
        <f t="shared" si="90"/>
        <v>95</v>
      </c>
      <c r="G594" s="6">
        <f t="shared" si="91"/>
        <v>340.65</v>
      </c>
      <c r="H594" s="6">
        <f t="shared" si="92"/>
        <v>1.9926207055139041E-5</v>
      </c>
      <c r="I594" s="7">
        <f t="shared" si="93"/>
        <v>1158916576932337.8</v>
      </c>
      <c r="J594" s="6">
        <f t="shared" si="94"/>
        <v>1.0226038455893147</v>
      </c>
      <c r="K594" s="7">
        <f>J594*H594*首页!$B$12/P594</f>
        <v>0.69532757496605813</v>
      </c>
      <c r="L594" s="6">
        <f>首页!$B$9*0.0000000567*((C594^4-D594^4)/(C594-D594))</f>
        <v>7.7687338005019564</v>
      </c>
      <c r="M594" s="6">
        <f>IF(首页!$B$13="自然对流",IF(首页!$B$14="立式圆筒",首页!$B$10,PI()*B594/2),PI()*B594/2)</f>
        <v>55.2</v>
      </c>
      <c r="N594" s="7">
        <f>IF(首页!$B$13="强制对流",首页!$B$11*M594/H594,0)</f>
        <v>0</v>
      </c>
      <c r="O594" s="7">
        <f>IF(首页!$B$13="自然对流",IF(首页!$B$14="立式圆筒",(0.825+0.3063*I594^(1/6))^2+0.87*(M594/B594),(0.752+0.303*I594^(1/6))^2),0.3+SQRT((0.592*N594^0.5)^2+(0.0262*N594^0.8/(1-0.5/N594^0.1))^2))</f>
        <v>10056.205962102851</v>
      </c>
      <c r="P594" s="6">
        <f t="shared" si="95"/>
        <v>2.9510194925512497E-2</v>
      </c>
      <c r="Q594" s="6">
        <f t="shared" si="96"/>
        <v>5.3760977926223923</v>
      </c>
      <c r="R594" s="6">
        <f t="shared" si="97"/>
        <v>13.144831593124348</v>
      </c>
      <c r="S594" s="6">
        <f>IF($Y$2="按单位面积散热损失 qp",B594*LN(B594/首页!$B$4),LN(B594/首页!$B$4))</f>
        <v>3.0906524245176223</v>
      </c>
      <c r="T594" s="6">
        <f>IF($Y$2="按单位面积散热损失 qp",2*PI()*首页!$B$8*((E594-D594)/$Y$3-1/R594),2*PI()*首页!$B$8*((E594-D594)/$Y$4-1/(PI()*B594*R594)))</f>
        <v>4.0789880986334036E-2</v>
      </c>
      <c r="U594" t="str">
        <f t="shared" si="98"/>
        <v>按单位面积散热损失 qp</v>
      </c>
      <c r="V594" s="6">
        <f t="shared" si="99"/>
        <v>3.0498625435312885</v>
      </c>
    </row>
    <row r="595" spans="1:22" x14ac:dyDescent="0.15">
      <c r="A595">
        <v>590</v>
      </c>
      <c r="B595" s="6">
        <f>首页!$B$4+2*A595/1000</f>
        <v>1.2999999999999998</v>
      </c>
      <c r="C595" s="6">
        <f>首页!$B$7+273.15</f>
        <v>388.15</v>
      </c>
      <c r="D595" s="6">
        <f>首页!$B$6+273.15</f>
        <v>293.14999999999998</v>
      </c>
      <c r="E595" s="6">
        <f>首页!$B$5+273.15</f>
        <v>1373.15</v>
      </c>
      <c r="F595" s="6">
        <f t="shared" si="90"/>
        <v>95</v>
      </c>
      <c r="G595" s="6">
        <f t="shared" si="91"/>
        <v>340.65</v>
      </c>
      <c r="H595" s="6">
        <f t="shared" si="92"/>
        <v>1.9926207055139041E-5</v>
      </c>
      <c r="I595" s="7">
        <f t="shared" si="93"/>
        <v>1158916576932337.8</v>
      </c>
      <c r="J595" s="6">
        <f t="shared" si="94"/>
        <v>1.0226038455893147</v>
      </c>
      <c r="K595" s="7">
        <f>J595*H595*首页!$B$12/P595</f>
        <v>0.69532757496605813</v>
      </c>
      <c r="L595" s="6">
        <f>首页!$B$9*0.0000000567*((C595^4-D595^4)/(C595-D595))</f>
        <v>7.7687338005019564</v>
      </c>
      <c r="M595" s="6">
        <f>IF(首页!$B$13="自然对流",IF(首页!$B$14="立式圆筒",首页!$B$10,PI()*B595/2),PI()*B595/2)</f>
        <v>55.2</v>
      </c>
      <c r="N595" s="7">
        <f>IF(首页!$B$13="强制对流",首页!$B$11*M595/H595,0)</f>
        <v>0</v>
      </c>
      <c r="O595" s="7">
        <f>IF(首页!$B$13="自然对流",IF(首页!$B$14="立式圆筒",(0.825+0.3063*I595^(1/6))^2+0.87*(M595/B595),(0.752+0.303*I595^(1/6))^2),0.3+SQRT((0.592*N595^0.5)^2+(0.0262*N595^0.8/(1-0.5/N595^0.1))^2))</f>
        <v>10056.149041396438</v>
      </c>
      <c r="P595" s="6">
        <f t="shared" si="95"/>
        <v>2.9510194925512497E-2</v>
      </c>
      <c r="Q595" s="6">
        <f t="shared" si="96"/>
        <v>5.3760673625292492</v>
      </c>
      <c r="R595" s="6">
        <f t="shared" si="97"/>
        <v>13.144801163031206</v>
      </c>
      <c r="S595" s="6">
        <f>IF($Y$2="按单位面积散热损失 qp",B595*LN(B595/首页!$B$4),LN(B595/首页!$B$4))</f>
        <v>3.097416140867856</v>
      </c>
      <c r="T595" s="6">
        <f>IF($Y$2="按单位面积散热损失 qp",2*PI()*首页!$B$8*((E595-D595)/$Y$3-1/R595),2*PI()*首页!$B$8*((E595-D595)/$Y$4-1/(PI()*B595*R595)))</f>
        <v>4.0789831191233188E-2</v>
      </c>
      <c r="U595" t="str">
        <f t="shared" si="98"/>
        <v>按单位面积散热损失 qp</v>
      </c>
      <c r="V595" s="6">
        <f t="shared" si="99"/>
        <v>3.0566263096766226</v>
      </c>
    </row>
    <row r="596" spans="1:22" x14ac:dyDescent="0.15">
      <c r="A596">
        <v>591</v>
      </c>
      <c r="B596" s="6">
        <f>首页!$B$4+2*A596/1000</f>
        <v>1.302</v>
      </c>
      <c r="C596" s="6">
        <f>首页!$B$7+273.15</f>
        <v>388.15</v>
      </c>
      <c r="D596" s="6">
        <f>首页!$B$6+273.15</f>
        <v>293.14999999999998</v>
      </c>
      <c r="E596" s="6">
        <f>首页!$B$5+273.15</f>
        <v>1373.15</v>
      </c>
      <c r="F596" s="6">
        <f t="shared" si="90"/>
        <v>95</v>
      </c>
      <c r="G596" s="6">
        <f t="shared" si="91"/>
        <v>340.65</v>
      </c>
      <c r="H596" s="6">
        <f t="shared" si="92"/>
        <v>1.9926207055139041E-5</v>
      </c>
      <c r="I596" s="7">
        <f t="shared" si="93"/>
        <v>1158916576932337.8</v>
      </c>
      <c r="J596" s="6">
        <f t="shared" si="94"/>
        <v>1.0226038455893147</v>
      </c>
      <c r="K596" s="7">
        <f>J596*H596*首页!$B$12/P596</f>
        <v>0.69532757496605813</v>
      </c>
      <c r="L596" s="6">
        <f>首页!$B$9*0.0000000567*((C596^4-D596^4)/(C596-D596))</f>
        <v>7.7687338005019564</v>
      </c>
      <c r="M596" s="6">
        <f>IF(首页!$B$13="自然对流",IF(首页!$B$14="立式圆筒",首页!$B$10,PI()*B596/2),PI()*B596/2)</f>
        <v>55.2</v>
      </c>
      <c r="N596" s="7">
        <f>IF(首页!$B$13="强制对流",首页!$B$11*M596/H596,0)</f>
        <v>0</v>
      </c>
      <c r="O596" s="7">
        <f>IF(首页!$B$13="自然对流",IF(首页!$B$14="立式圆筒",(0.825+0.3063*I596^(1/6))^2+0.87*(M596/B596),(0.752+0.303*I596^(1/6))^2),0.3+SQRT((0.592*N596^0.5)^2+(0.0262*N596^0.8/(1-0.5/N596^0.1))^2))</f>
        <v>10056.092295561628</v>
      </c>
      <c r="P596" s="6">
        <f t="shared" si="95"/>
        <v>2.9510194925512497E-2</v>
      </c>
      <c r="Q596" s="6">
        <f t="shared" si="96"/>
        <v>5.3760370259233339</v>
      </c>
      <c r="R596" s="6">
        <f t="shared" si="97"/>
        <v>13.14477082642529</v>
      </c>
      <c r="S596" s="6">
        <f>IF($Y$2="按单位面积散热损失 qp",B596*LN(B596/首页!$B$4),LN(B596/首页!$B$4))</f>
        <v>3.1041829341423828</v>
      </c>
      <c r="T596" s="6">
        <f>IF($Y$2="按单位面积散热损失 qp",2*PI()*首页!$B$8*((E596-D596)/$Y$3-1/R596),2*PI()*首页!$B$8*((E596-D596)/$Y$4-1/(PI()*B596*R596)))</f>
        <v>4.0789781548883179E-2</v>
      </c>
      <c r="U596" t="str">
        <f t="shared" si="98"/>
        <v>按单位面积散热损失 qp</v>
      </c>
      <c r="V596" s="6">
        <f t="shared" si="99"/>
        <v>3.0633931525934996</v>
      </c>
    </row>
    <row r="597" spans="1:22" x14ac:dyDescent="0.15">
      <c r="A597">
        <v>592</v>
      </c>
      <c r="B597" s="6">
        <f>首页!$B$4+2*A597/1000</f>
        <v>1.3039999999999998</v>
      </c>
      <c r="C597" s="6">
        <f>首页!$B$7+273.15</f>
        <v>388.15</v>
      </c>
      <c r="D597" s="6">
        <f>首页!$B$6+273.15</f>
        <v>293.14999999999998</v>
      </c>
      <c r="E597" s="6">
        <f>首页!$B$5+273.15</f>
        <v>1373.15</v>
      </c>
      <c r="F597" s="6">
        <f t="shared" si="90"/>
        <v>95</v>
      </c>
      <c r="G597" s="6">
        <f t="shared" si="91"/>
        <v>340.65</v>
      </c>
      <c r="H597" s="6">
        <f t="shared" si="92"/>
        <v>1.9926207055139041E-5</v>
      </c>
      <c r="I597" s="7">
        <f t="shared" si="93"/>
        <v>1158916576932337.8</v>
      </c>
      <c r="J597" s="6">
        <f t="shared" si="94"/>
        <v>1.0226038455893147</v>
      </c>
      <c r="K597" s="7">
        <f>J597*H597*首页!$B$12/P597</f>
        <v>0.69532757496605813</v>
      </c>
      <c r="L597" s="6">
        <f>首页!$B$9*0.0000000567*((C597^4-D597^4)/(C597-D597))</f>
        <v>7.7687338005019564</v>
      </c>
      <c r="M597" s="6">
        <f>IF(首页!$B$13="自然对流",IF(首页!$B$14="立式圆筒",首页!$B$10,PI()*B597/2),PI()*B597/2)</f>
        <v>55.2</v>
      </c>
      <c r="N597" s="7">
        <f>IF(首页!$B$13="强制对流",首页!$B$11*M597/H597,0)</f>
        <v>0</v>
      </c>
      <c r="O597" s="7">
        <f>IF(首页!$B$13="自然对流",IF(首页!$B$14="立式圆筒",(0.825+0.3063*I597^(1/6))^2+0.87*(M597/B597),(0.752+0.303*I597^(1/6))^2),0.3+SQRT((0.592*N597^0.5)^2+(0.0262*N597^0.8/(1-0.5/N597^0.1))^2))</f>
        <v>10056.035723793795</v>
      </c>
      <c r="P597" s="6">
        <f t="shared" si="95"/>
        <v>2.9510194925512497E-2</v>
      </c>
      <c r="Q597" s="6">
        <f t="shared" si="96"/>
        <v>5.3760067823744935</v>
      </c>
      <c r="R597" s="6">
        <f t="shared" si="97"/>
        <v>13.14474058287645</v>
      </c>
      <c r="S597" s="6">
        <f>IF($Y$2="按单位面积散热损失 qp",B597*LN(B597/首页!$B$4),LN(B597/首页!$B$4))</f>
        <v>3.1109527996147359</v>
      </c>
      <c r="T597" s="6">
        <f>IF($Y$2="按单位面积散热损失 qp",2*PI()*首页!$B$8*((E597-D597)/$Y$3-1/R597),2*PI()*首页!$B$8*((E597-D597)/$Y$4-1/(PI()*B597*R597)))</f>
        <v>4.0789732058582245E-2</v>
      </c>
      <c r="U597" t="str">
        <f t="shared" si="98"/>
        <v>按单位面积散热损失 qp</v>
      </c>
      <c r="V597" s="6">
        <f t="shared" si="99"/>
        <v>3.0701630675561535</v>
      </c>
    </row>
    <row r="598" spans="1:22" x14ac:dyDescent="0.15">
      <c r="A598">
        <v>593</v>
      </c>
      <c r="B598" s="6">
        <f>首页!$B$4+2*A598/1000</f>
        <v>1.306</v>
      </c>
      <c r="C598" s="6">
        <f>首页!$B$7+273.15</f>
        <v>388.15</v>
      </c>
      <c r="D598" s="6">
        <f>首页!$B$6+273.15</f>
        <v>293.14999999999998</v>
      </c>
      <c r="E598" s="6">
        <f>首页!$B$5+273.15</f>
        <v>1373.15</v>
      </c>
      <c r="F598" s="6">
        <f t="shared" si="90"/>
        <v>95</v>
      </c>
      <c r="G598" s="6">
        <f t="shared" si="91"/>
        <v>340.65</v>
      </c>
      <c r="H598" s="6">
        <f t="shared" si="92"/>
        <v>1.9926207055139041E-5</v>
      </c>
      <c r="I598" s="7">
        <f t="shared" si="93"/>
        <v>1158916576932337.8</v>
      </c>
      <c r="J598" s="6">
        <f t="shared" si="94"/>
        <v>1.0226038455893147</v>
      </c>
      <c r="K598" s="7">
        <f>J598*H598*首页!$B$12/P598</f>
        <v>0.69532757496605813</v>
      </c>
      <c r="L598" s="6">
        <f>首页!$B$9*0.0000000567*((C598^4-D598^4)/(C598-D598))</f>
        <v>7.7687338005019564</v>
      </c>
      <c r="M598" s="6">
        <f>IF(首页!$B$13="自然对流",IF(首页!$B$14="立式圆筒",首页!$B$10,PI()*B598/2),PI()*B598/2)</f>
        <v>55.2</v>
      </c>
      <c r="N598" s="7">
        <f>IF(首页!$B$13="强制对流",首页!$B$11*M598/H598,0)</f>
        <v>0</v>
      </c>
      <c r="O598" s="7">
        <f>IF(首页!$B$13="自然对流",IF(首页!$B$14="立式圆筒",(0.825+0.3063*I598^(1/6))^2+0.87*(M598/B598),(0.752+0.303*I598^(1/6))^2),0.3+SQRT((0.592*N598^0.5)^2+(0.0262*N598^0.8/(1-0.5/N598^0.1))^2))</f>
        <v>10055.979325293247</v>
      </c>
      <c r="P598" s="6">
        <f t="shared" si="95"/>
        <v>2.9510194925512497E-2</v>
      </c>
      <c r="Q598" s="6">
        <f t="shared" si="96"/>
        <v>5.3759766314552051</v>
      </c>
      <c r="R598" s="6">
        <f t="shared" si="97"/>
        <v>13.144710431957161</v>
      </c>
      <c r="S598" s="6">
        <f>IF($Y$2="按单位面积散热损失 qp",B598*LN(B598/首页!$B$4),LN(B598/首页!$B$4))</f>
        <v>3.1177257325729557</v>
      </c>
      <c r="T598" s="6">
        <f>IF($Y$2="按单位面积散热损失 qp",2*PI()*首页!$B$8*((E598-D598)/$Y$3-1/R598),2*PI()*首页!$B$8*((E598-D598)/$Y$4-1/(PI()*B598*R598)))</f>
        <v>4.0789682719632868E-2</v>
      </c>
      <c r="U598" t="str">
        <f t="shared" si="98"/>
        <v>按单位面积散热损失 qp</v>
      </c>
      <c r="V598" s="6">
        <f t="shared" si="99"/>
        <v>3.0769360498533227</v>
      </c>
    </row>
    <row r="599" spans="1:22" x14ac:dyDescent="0.15">
      <c r="A599">
        <v>594</v>
      </c>
      <c r="B599" s="6">
        <f>首页!$B$4+2*A599/1000</f>
        <v>1.3079999999999998</v>
      </c>
      <c r="C599" s="6">
        <f>首页!$B$7+273.15</f>
        <v>388.15</v>
      </c>
      <c r="D599" s="6">
        <f>首页!$B$6+273.15</f>
        <v>293.14999999999998</v>
      </c>
      <c r="E599" s="6">
        <f>首页!$B$5+273.15</f>
        <v>1373.15</v>
      </c>
      <c r="F599" s="6">
        <f t="shared" si="90"/>
        <v>95</v>
      </c>
      <c r="G599" s="6">
        <f t="shared" si="91"/>
        <v>340.65</v>
      </c>
      <c r="H599" s="6">
        <f t="shared" si="92"/>
        <v>1.9926207055139041E-5</v>
      </c>
      <c r="I599" s="7">
        <f t="shared" si="93"/>
        <v>1158916576932337.8</v>
      </c>
      <c r="J599" s="6">
        <f t="shared" si="94"/>
        <v>1.0226038455893147</v>
      </c>
      <c r="K599" s="7">
        <f>J599*H599*首页!$B$12/P599</f>
        <v>0.69532757496605813</v>
      </c>
      <c r="L599" s="6">
        <f>首页!$B$9*0.0000000567*((C599^4-D599^4)/(C599-D599))</f>
        <v>7.7687338005019564</v>
      </c>
      <c r="M599" s="6">
        <f>IF(首页!$B$13="自然对流",IF(首页!$B$14="立式圆筒",首页!$B$10,PI()*B599/2),PI()*B599/2)</f>
        <v>55.2</v>
      </c>
      <c r="N599" s="7">
        <f>IF(首页!$B$13="强制对流",首页!$B$11*M599/H599,0)</f>
        <v>0</v>
      </c>
      <c r="O599" s="7">
        <f>IF(首页!$B$13="自然对流",IF(首页!$B$14="立式圆筒",(0.825+0.3063*I599^(1/6))^2+0.87*(M599/B599),(0.752+0.303*I599^(1/6))^2),0.3+SQRT((0.592*N599^0.5)^2+(0.0262*N599^0.8/(1-0.5/N599^0.1))^2))</f>
        <v>10055.923099265176</v>
      </c>
      <c r="P599" s="6">
        <f t="shared" si="95"/>
        <v>2.9510194925512497E-2</v>
      </c>
      <c r="Q599" s="6">
        <f t="shared" si="96"/>
        <v>5.3759465727405624</v>
      </c>
      <c r="R599" s="6">
        <f t="shared" si="97"/>
        <v>13.144680373242519</v>
      </c>
      <c r="S599" s="6">
        <f>IF($Y$2="按单位面积散热损失 qp",B599*LN(B599/首页!$B$4),LN(B599/首页!$B$4))</f>
        <v>3.1245017283195078</v>
      </c>
      <c r="T599" s="6">
        <f>IF($Y$2="按单位面积散热损失 qp",2*PI()*首页!$B$8*((E599-D599)/$Y$3-1/R599),2*PI()*首页!$B$8*((E599-D599)/$Y$4-1/(PI()*B599*R599)))</f>
        <v>4.0789633531341837E-2</v>
      </c>
      <c r="U599" t="str">
        <f t="shared" si="98"/>
        <v>按单位面积散热损失 qp</v>
      </c>
      <c r="V599" s="6">
        <f t="shared" si="99"/>
        <v>3.083712094788166</v>
      </c>
    </row>
    <row r="600" spans="1:22" x14ac:dyDescent="0.15">
      <c r="A600">
        <v>595</v>
      </c>
      <c r="B600" s="6">
        <f>首页!$B$4+2*A600/1000</f>
        <v>1.31</v>
      </c>
      <c r="C600" s="6">
        <f>首页!$B$7+273.15</f>
        <v>388.15</v>
      </c>
      <c r="D600" s="6">
        <f>首页!$B$6+273.15</f>
        <v>293.14999999999998</v>
      </c>
      <c r="E600" s="6">
        <f>首页!$B$5+273.15</f>
        <v>1373.15</v>
      </c>
      <c r="F600" s="6">
        <f t="shared" si="90"/>
        <v>95</v>
      </c>
      <c r="G600" s="6">
        <f t="shared" si="91"/>
        <v>340.65</v>
      </c>
      <c r="H600" s="6">
        <f t="shared" si="92"/>
        <v>1.9926207055139041E-5</v>
      </c>
      <c r="I600" s="7">
        <f t="shared" si="93"/>
        <v>1158916576932337.8</v>
      </c>
      <c r="J600" s="6">
        <f t="shared" si="94"/>
        <v>1.0226038455893147</v>
      </c>
      <c r="K600" s="7">
        <f>J600*H600*首页!$B$12/P600</f>
        <v>0.69532757496605813</v>
      </c>
      <c r="L600" s="6">
        <f>首页!$B$9*0.0000000567*((C600^4-D600^4)/(C600-D600))</f>
        <v>7.7687338005019564</v>
      </c>
      <c r="M600" s="6">
        <f>IF(首页!$B$13="自然对流",IF(首页!$B$14="立式圆筒",首页!$B$10,PI()*B600/2),PI()*B600/2)</f>
        <v>55.2</v>
      </c>
      <c r="N600" s="7">
        <f>IF(首页!$B$13="强制对流",首页!$B$11*M600/H600,0)</f>
        <v>0</v>
      </c>
      <c r="O600" s="7">
        <f>IF(首页!$B$13="自然对流",IF(首页!$B$14="立式圆筒",(0.825+0.3063*I600^(1/6))^2+0.87*(M600/B600),(0.752+0.303*I600^(1/6))^2),0.3+SQRT((0.592*N600^0.5)^2+(0.0262*N600^0.8/(1-0.5/N600^0.1))^2))</f>
        <v>10055.867044919632</v>
      </c>
      <c r="P600" s="6">
        <f t="shared" si="95"/>
        <v>2.9510194925512497E-2</v>
      </c>
      <c r="Q600" s="6">
        <f t="shared" si="96"/>
        <v>5.3759166058082553</v>
      </c>
      <c r="R600" s="6">
        <f t="shared" si="97"/>
        <v>13.144650406310213</v>
      </c>
      <c r="S600" s="6">
        <f>IF($Y$2="按单位面积散热损失 qp",B600*LN(B600/首页!$B$4),LN(B600/首页!$B$4))</f>
        <v>3.1312807821712281</v>
      </c>
      <c r="T600" s="6">
        <f>IF($Y$2="按单位面积散热损失 qp",2*PI()*首页!$B$8*((E600-D600)/$Y$3-1/R600),2*PI()*首页!$B$8*((E600-D600)/$Y$4-1/(PI()*B600*R600)))</f>
        <v>4.0789584493020108E-2</v>
      </c>
      <c r="U600" t="str">
        <f t="shared" si="98"/>
        <v>按单位面积散热损失 qp</v>
      </c>
      <c r="V600" s="6">
        <f t="shared" si="99"/>
        <v>3.0904911976782081</v>
      </c>
    </row>
    <row r="601" spans="1:22" x14ac:dyDescent="0.15">
      <c r="A601">
        <v>596</v>
      </c>
      <c r="B601" s="6">
        <f>首页!$B$4+2*A601/1000</f>
        <v>1.3119999999999998</v>
      </c>
      <c r="C601" s="6">
        <f>首页!$B$7+273.15</f>
        <v>388.15</v>
      </c>
      <c r="D601" s="6">
        <f>首页!$B$6+273.15</f>
        <v>293.14999999999998</v>
      </c>
      <c r="E601" s="6">
        <f>首页!$B$5+273.15</f>
        <v>1373.15</v>
      </c>
      <c r="F601" s="6">
        <f t="shared" si="90"/>
        <v>95</v>
      </c>
      <c r="G601" s="6">
        <f t="shared" si="91"/>
        <v>340.65</v>
      </c>
      <c r="H601" s="6">
        <f t="shared" si="92"/>
        <v>1.9926207055139041E-5</v>
      </c>
      <c r="I601" s="7">
        <f t="shared" si="93"/>
        <v>1158916576932337.8</v>
      </c>
      <c r="J601" s="6">
        <f t="shared" si="94"/>
        <v>1.0226038455893147</v>
      </c>
      <c r="K601" s="7">
        <f>J601*H601*首页!$B$12/P601</f>
        <v>0.69532757496605813</v>
      </c>
      <c r="L601" s="6">
        <f>首页!$B$9*0.0000000567*((C601^4-D601^4)/(C601-D601))</f>
        <v>7.7687338005019564</v>
      </c>
      <c r="M601" s="6">
        <f>IF(首页!$B$13="自然对流",IF(首页!$B$14="立式圆筒",首页!$B$10,PI()*B601/2),PI()*B601/2)</f>
        <v>55.2</v>
      </c>
      <c r="N601" s="7">
        <f>IF(首页!$B$13="强制对流",首页!$B$11*M601/H601,0)</f>
        <v>0</v>
      </c>
      <c r="O601" s="7">
        <f>IF(首页!$B$13="自然对流",IF(首页!$B$14="立式圆筒",(0.825+0.3063*I601^(1/6))^2+0.87*(M601/B601),(0.752+0.303*I601^(1/6))^2),0.3+SQRT((0.592*N601^0.5)^2+(0.0262*N601^0.8/(1-0.5/N601^0.1))^2))</f>
        <v>10055.811161471485</v>
      </c>
      <c r="P601" s="6">
        <f t="shared" si="95"/>
        <v>2.9510194925512497E-2</v>
      </c>
      <c r="Q601" s="6">
        <f t="shared" si="96"/>
        <v>5.3758867302385456</v>
      </c>
      <c r="R601" s="6">
        <f t="shared" si="97"/>
        <v>13.144620530740502</v>
      </c>
      <c r="S601" s="6">
        <f>IF($Y$2="按单位面积散热损失 qp",B601*LN(B601/首页!$B$4),LN(B601/首页!$B$4))</f>
        <v>3.1380628894592482</v>
      </c>
      <c r="T601" s="6">
        <f>IF($Y$2="按单位面积散热损失 qp",2*PI()*首页!$B$8*((E601-D601)/$Y$3-1/R601),2*PI()*首页!$B$8*((E601-D601)/$Y$4-1/(PI()*B601*R601)))</f>
        <v>4.0789535603982893E-2</v>
      </c>
      <c r="U601" t="str">
        <f t="shared" si="98"/>
        <v>按单位面积散热损失 qp</v>
      </c>
      <c r="V601" s="6">
        <f t="shared" si="99"/>
        <v>3.0972733538552655</v>
      </c>
    </row>
    <row r="602" spans="1:22" x14ac:dyDescent="0.15">
      <c r="A602">
        <v>597</v>
      </c>
      <c r="B602" s="6">
        <f>首页!$B$4+2*A602/1000</f>
        <v>1.3140000000000001</v>
      </c>
      <c r="C602" s="6">
        <f>首页!$B$7+273.15</f>
        <v>388.15</v>
      </c>
      <c r="D602" s="6">
        <f>首页!$B$6+273.15</f>
        <v>293.14999999999998</v>
      </c>
      <c r="E602" s="6">
        <f>首页!$B$5+273.15</f>
        <v>1373.15</v>
      </c>
      <c r="F602" s="6">
        <f t="shared" si="90"/>
        <v>95</v>
      </c>
      <c r="G602" s="6">
        <f t="shared" si="91"/>
        <v>340.65</v>
      </c>
      <c r="H602" s="6">
        <f t="shared" si="92"/>
        <v>1.9926207055139041E-5</v>
      </c>
      <c r="I602" s="7">
        <f t="shared" si="93"/>
        <v>1158916576932337.8</v>
      </c>
      <c r="J602" s="6">
        <f t="shared" si="94"/>
        <v>1.0226038455893147</v>
      </c>
      <c r="K602" s="7">
        <f>J602*H602*首页!$B$12/P602</f>
        <v>0.69532757496605813</v>
      </c>
      <c r="L602" s="6">
        <f>首页!$B$9*0.0000000567*((C602^4-D602^4)/(C602-D602))</f>
        <v>7.7687338005019564</v>
      </c>
      <c r="M602" s="6">
        <f>IF(首页!$B$13="自然对流",IF(首页!$B$14="立式圆筒",首页!$B$10,PI()*B602/2),PI()*B602/2)</f>
        <v>55.2</v>
      </c>
      <c r="N602" s="7">
        <f>IF(首页!$B$13="强制对流",首页!$B$11*M602/H602,0)</f>
        <v>0</v>
      </c>
      <c r="O602" s="7">
        <f>IF(首页!$B$13="自然对流",IF(首页!$B$14="立式圆筒",(0.825+0.3063*I602^(1/6))^2+0.87*(M602/B602),(0.752+0.303*I602^(1/6))^2),0.3+SQRT((0.592*N602^0.5)^2+(0.0262*N602^0.8/(1-0.5/N602^0.1))^2))</f>
        <v>10055.755448140379</v>
      </c>
      <c r="P602" s="6">
        <f t="shared" si="95"/>
        <v>2.9510194925512497E-2</v>
      </c>
      <c r="Q602" s="6">
        <f t="shared" si="96"/>
        <v>5.3758569456142533</v>
      </c>
      <c r="R602" s="6">
        <f t="shared" si="97"/>
        <v>13.14459074611621</v>
      </c>
      <c r="S602" s="6">
        <f>IF($Y$2="按单位面积散热损失 qp",B602*LN(B602/首页!$B$4),LN(B602/首页!$B$4))</f>
        <v>3.1448480455289385</v>
      </c>
      <c r="T602" s="6">
        <f>IF($Y$2="按单位面积散热损失 qp",2*PI()*首页!$B$8*((E602-D602)/$Y$3-1/R602),2*PI()*首页!$B$8*((E602-D602)/$Y$4-1/(PI()*B602*R602)))</f>
        <v>4.0789486863549523E-2</v>
      </c>
      <c r="U602" t="str">
        <f t="shared" si="98"/>
        <v>按单位面积散热损失 qp</v>
      </c>
      <c r="V602" s="6">
        <f t="shared" si="99"/>
        <v>3.1040585586653888</v>
      </c>
    </row>
    <row r="603" spans="1:22" x14ac:dyDescent="0.15">
      <c r="A603">
        <v>598</v>
      </c>
      <c r="B603" s="6">
        <f>首页!$B$4+2*A603/1000</f>
        <v>1.3159999999999998</v>
      </c>
      <c r="C603" s="6">
        <f>首页!$B$7+273.15</f>
        <v>388.15</v>
      </c>
      <c r="D603" s="6">
        <f>首页!$B$6+273.15</f>
        <v>293.14999999999998</v>
      </c>
      <c r="E603" s="6">
        <f>首页!$B$5+273.15</f>
        <v>1373.15</v>
      </c>
      <c r="F603" s="6">
        <f t="shared" si="90"/>
        <v>95</v>
      </c>
      <c r="G603" s="6">
        <f t="shared" si="91"/>
        <v>340.65</v>
      </c>
      <c r="H603" s="6">
        <f t="shared" si="92"/>
        <v>1.9926207055139041E-5</v>
      </c>
      <c r="I603" s="7">
        <f t="shared" si="93"/>
        <v>1158916576932337.8</v>
      </c>
      <c r="J603" s="6">
        <f t="shared" si="94"/>
        <v>1.0226038455893147</v>
      </c>
      <c r="K603" s="7">
        <f>J603*H603*首页!$B$12/P603</f>
        <v>0.69532757496605813</v>
      </c>
      <c r="L603" s="6">
        <f>首页!$B$9*0.0000000567*((C603^4-D603^4)/(C603-D603))</f>
        <v>7.7687338005019564</v>
      </c>
      <c r="M603" s="6">
        <f>IF(首页!$B$13="自然对流",IF(首页!$B$14="立式圆筒",首页!$B$10,PI()*B603/2),PI()*B603/2)</f>
        <v>55.2</v>
      </c>
      <c r="N603" s="7">
        <f>IF(首页!$B$13="强制对流",首页!$B$11*M603/H603,0)</f>
        <v>0</v>
      </c>
      <c r="O603" s="7">
        <f>IF(首页!$B$13="自然对流",IF(首页!$B$14="立式圆筒",(0.825+0.3063*I603^(1/6))^2+0.87*(M603/B603),(0.752+0.303*I603^(1/6))^2),0.3+SQRT((0.592*N603^0.5)^2+(0.0262*N603^0.8/(1-0.5/N603^0.1))^2))</f>
        <v>10055.699904150706</v>
      </c>
      <c r="P603" s="6">
        <f t="shared" si="95"/>
        <v>2.9510194925512497E-2</v>
      </c>
      <c r="Q603" s="6">
        <f t="shared" si="96"/>
        <v>5.3758272515207368</v>
      </c>
      <c r="R603" s="6">
        <f t="shared" si="97"/>
        <v>13.144561052022693</v>
      </c>
      <c r="S603" s="6">
        <f>IF($Y$2="按单位面积散热损失 qp",B603*LN(B603/首页!$B$4),LN(B603/首页!$B$4))</f>
        <v>3.1516362457398324</v>
      </c>
      <c r="T603" s="6">
        <f>IF($Y$2="按单位面积散热损失 qp",2*PI()*首页!$B$8*((E603-D603)/$Y$3-1/R603),2*PI()*首页!$B$8*((E603-D603)/$Y$4-1/(PI()*B603*R603)))</f>
        <v>4.0789438271043497E-2</v>
      </c>
      <c r="U603" t="str">
        <f t="shared" si="98"/>
        <v>按单位面积散热损失 qp</v>
      </c>
      <c r="V603" s="6">
        <f t="shared" si="99"/>
        <v>3.1108468074687887</v>
      </c>
    </row>
    <row r="604" spans="1:22" x14ac:dyDescent="0.15">
      <c r="A604">
        <v>599</v>
      </c>
      <c r="B604" s="6">
        <f>首页!$B$4+2*A604/1000</f>
        <v>1.3180000000000001</v>
      </c>
      <c r="C604" s="6">
        <f>首页!$B$7+273.15</f>
        <v>388.15</v>
      </c>
      <c r="D604" s="6">
        <f>首页!$B$6+273.15</f>
        <v>293.14999999999998</v>
      </c>
      <c r="E604" s="6">
        <f>首页!$B$5+273.15</f>
        <v>1373.15</v>
      </c>
      <c r="F604" s="6">
        <f t="shared" si="90"/>
        <v>95</v>
      </c>
      <c r="G604" s="6">
        <f t="shared" si="91"/>
        <v>340.65</v>
      </c>
      <c r="H604" s="6">
        <f t="shared" si="92"/>
        <v>1.9926207055139041E-5</v>
      </c>
      <c r="I604" s="7">
        <f t="shared" si="93"/>
        <v>1158916576932337.8</v>
      </c>
      <c r="J604" s="6">
        <f t="shared" si="94"/>
        <v>1.0226038455893147</v>
      </c>
      <c r="K604" s="7">
        <f>J604*H604*首页!$B$12/P604</f>
        <v>0.69532757496605813</v>
      </c>
      <c r="L604" s="6">
        <f>首页!$B$9*0.0000000567*((C604^4-D604^4)/(C604-D604))</f>
        <v>7.7687338005019564</v>
      </c>
      <c r="M604" s="6">
        <f>IF(首页!$B$13="自然对流",IF(首页!$B$14="立式圆筒",首页!$B$10,PI()*B604/2),PI()*B604/2)</f>
        <v>55.2</v>
      </c>
      <c r="N604" s="7">
        <f>IF(首页!$B$13="强制对流",首页!$B$11*M604/H604,0)</f>
        <v>0</v>
      </c>
      <c r="O604" s="7">
        <f>IF(首页!$B$13="自然对流",IF(首页!$B$14="立式圆筒",(0.825+0.3063*I604^(1/6))^2+0.87*(M604/B604),(0.752+0.303*I604^(1/6))^2),0.3+SQRT((0.592*N604^0.5)^2+(0.0262*N604^0.8/(1-0.5/N604^0.1))^2))</f>
        <v>10055.644528731562</v>
      </c>
      <c r="P604" s="6">
        <f t="shared" si="95"/>
        <v>2.9510194925512497E-2</v>
      </c>
      <c r="Q604" s="6">
        <f t="shared" si="96"/>
        <v>5.3757976475458626</v>
      </c>
      <c r="R604" s="6">
        <f t="shared" si="97"/>
        <v>13.144531448047818</v>
      </c>
      <c r="S604" s="6">
        <f>IF($Y$2="按单位面积散热损失 qp",B604*LN(B604/首页!$B$4),LN(B604/首页!$B$4))</f>
        <v>3.1584274854655763</v>
      </c>
      <c r="T604" s="6">
        <f>IF($Y$2="按单位面积散热损失 qp",2*PI()*首页!$B$8*((E604-D604)/$Y$3-1/R604),2*PI()*首页!$B$8*((E604-D604)/$Y$4-1/(PI()*B604*R604)))</f>
        <v>4.0789389825792395E-2</v>
      </c>
      <c r="U604" t="str">
        <f t="shared" si="98"/>
        <v>按单位面积散热损失 qp</v>
      </c>
      <c r="V604" s="6">
        <f t="shared" si="99"/>
        <v>3.117638095639784</v>
      </c>
    </row>
    <row r="605" spans="1:22" x14ac:dyDescent="0.15">
      <c r="A605">
        <v>600</v>
      </c>
      <c r="B605" s="6">
        <f>首页!$B$4+2*A605/1000</f>
        <v>1.3199999999999998</v>
      </c>
      <c r="C605" s="6">
        <f>首页!$B$7+273.15</f>
        <v>388.15</v>
      </c>
      <c r="D605" s="6">
        <f>首页!$B$6+273.15</f>
        <v>293.14999999999998</v>
      </c>
      <c r="E605" s="6">
        <f>首页!$B$5+273.15</f>
        <v>1373.15</v>
      </c>
      <c r="F605" s="6">
        <f t="shared" si="90"/>
        <v>95</v>
      </c>
      <c r="G605" s="6">
        <f t="shared" si="91"/>
        <v>340.65</v>
      </c>
      <c r="H605" s="6">
        <f t="shared" si="92"/>
        <v>1.9926207055139041E-5</v>
      </c>
      <c r="I605" s="7">
        <f t="shared" si="93"/>
        <v>1158916576932337.8</v>
      </c>
      <c r="J605" s="6">
        <f t="shared" si="94"/>
        <v>1.0226038455893147</v>
      </c>
      <c r="K605" s="7">
        <f>J605*H605*首页!$B$12/P605</f>
        <v>0.69532757496605813</v>
      </c>
      <c r="L605" s="6">
        <f>首页!$B$9*0.0000000567*((C605^4-D605^4)/(C605-D605))</f>
        <v>7.7687338005019564</v>
      </c>
      <c r="M605" s="6">
        <f>IF(首页!$B$13="自然对流",IF(首页!$B$14="立式圆筒",首页!$B$10,PI()*B605/2),PI()*B605/2)</f>
        <v>55.2</v>
      </c>
      <c r="N605" s="7">
        <f>IF(首页!$B$13="强制对流",首页!$B$11*M605/H605,0)</f>
        <v>0</v>
      </c>
      <c r="O605" s="7">
        <f>IF(首页!$B$13="自然对流",IF(首页!$B$14="立式圆筒",(0.825+0.3063*I605^(1/6))^2+0.87*(M605/B605),(0.752+0.303*I605^(1/6))^2),0.3+SQRT((0.592*N605^0.5)^2+(0.0262*N605^0.8/(1-0.5/N605^0.1))^2))</f>
        <v>10055.589321116719</v>
      </c>
      <c r="P605" s="6">
        <f t="shared" si="95"/>
        <v>2.9510194925512497E-2</v>
      </c>
      <c r="Q605" s="6">
        <f t="shared" si="96"/>
        <v>5.3757681332800038</v>
      </c>
      <c r="R605" s="6">
        <f t="shared" si="97"/>
        <v>13.14450193378196</v>
      </c>
      <c r="S605" s="6">
        <f>IF($Y$2="按单位面积散热损失 qp",B605*LN(B605/首页!$B$4),LN(B605/首页!$B$4))</f>
        <v>3.1652217600938481</v>
      </c>
      <c r="T605" s="6">
        <f>IF($Y$2="按单位面积散热损失 qp",2*PI()*首页!$B$8*((E605-D605)/$Y$3-1/R605),2*PI()*首页!$B$8*((E605-D605)/$Y$4-1/(PI()*B605*R605)))</f>
        <v>4.0789341527127848E-2</v>
      </c>
      <c r="U605" t="str">
        <f t="shared" si="98"/>
        <v>按单位面积散热损失 qp</v>
      </c>
      <c r="V605" s="6">
        <f t="shared" si="99"/>
        <v>3.1244324185667205</v>
      </c>
    </row>
    <row r="606" spans="1:22" x14ac:dyDescent="0.15">
      <c r="A606">
        <v>601</v>
      </c>
      <c r="B606" s="6">
        <f>首页!$B$4+2*A606/1000</f>
        <v>1.3220000000000001</v>
      </c>
      <c r="C606" s="6">
        <f>首页!$B$7+273.15</f>
        <v>388.15</v>
      </c>
      <c r="D606" s="6">
        <f>首页!$B$6+273.15</f>
        <v>293.14999999999998</v>
      </c>
      <c r="E606" s="6">
        <f>首页!$B$5+273.15</f>
        <v>1373.15</v>
      </c>
      <c r="F606" s="6">
        <f t="shared" si="90"/>
        <v>95</v>
      </c>
      <c r="G606" s="6">
        <f t="shared" si="91"/>
        <v>340.65</v>
      </c>
      <c r="H606" s="6">
        <f t="shared" si="92"/>
        <v>1.9926207055139041E-5</v>
      </c>
      <c r="I606" s="7">
        <f t="shared" si="93"/>
        <v>1158916576932337.8</v>
      </c>
      <c r="J606" s="6">
        <f t="shared" si="94"/>
        <v>1.0226038455893147</v>
      </c>
      <c r="K606" s="7">
        <f>J606*H606*首页!$B$12/P606</f>
        <v>0.69532757496605813</v>
      </c>
      <c r="L606" s="6">
        <f>首页!$B$9*0.0000000567*((C606^4-D606^4)/(C606-D606))</f>
        <v>7.7687338005019564</v>
      </c>
      <c r="M606" s="6">
        <f>IF(首页!$B$13="自然对流",IF(首页!$B$14="立式圆筒",首页!$B$10,PI()*B606/2),PI()*B606/2)</f>
        <v>55.2</v>
      </c>
      <c r="N606" s="7">
        <f>IF(首页!$B$13="强制对流",首页!$B$11*M606/H606,0)</f>
        <v>0</v>
      </c>
      <c r="O606" s="7">
        <f>IF(首页!$B$13="自然对流",IF(首页!$B$14="立式圆筒",(0.825+0.3063*I606^(1/6))^2+0.87*(M606/B606),(0.752+0.303*I606^(1/6))^2),0.3+SQRT((0.592*N606^0.5)^2+(0.0262*N606^0.8/(1-0.5/N606^0.1))^2))</f>
        <v>10055.534280544582</v>
      </c>
      <c r="P606" s="6">
        <f t="shared" si="95"/>
        <v>2.9510194925512497E-2</v>
      </c>
      <c r="Q606" s="6">
        <f t="shared" si="96"/>
        <v>5.3757387083160086</v>
      </c>
      <c r="R606" s="6">
        <f t="shared" si="97"/>
        <v>13.144472508817966</v>
      </c>
      <c r="S606" s="6">
        <f>IF($Y$2="按单位面积散热损失 qp",B606*LN(B606/首页!$B$4),LN(B606/首页!$B$4))</f>
        <v>3.1720190650263125</v>
      </c>
      <c r="T606" s="6">
        <f>IF($Y$2="按单位面积散热损失 qp",2*PI()*首页!$B$8*((E606-D606)/$Y$3-1/R606),2*PI()*首页!$B$8*((E606-D606)/$Y$4-1/(PI()*B606*R606)))</f>
        <v>4.0789293374385555E-2</v>
      </c>
      <c r="U606" t="str">
        <f t="shared" si="98"/>
        <v>按单位面积散热损失 qp</v>
      </c>
      <c r="V606" s="6">
        <f t="shared" si="99"/>
        <v>3.1312297716519271</v>
      </c>
    </row>
    <row r="607" spans="1:22" x14ac:dyDescent="0.15">
      <c r="A607">
        <v>602</v>
      </c>
      <c r="B607" s="6">
        <f>首页!$B$4+2*A607/1000</f>
        <v>1.3239999999999998</v>
      </c>
      <c r="C607" s="6">
        <f>首页!$B$7+273.15</f>
        <v>388.15</v>
      </c>
      <c r="D607" s="6">
        <f>首页!$B$6+273.15</f>
        <v>293.14999999999998</v>
      </c>
      <c r="E607" s="6">
        <f>首页!$B$5+273.15</f>
        <v>1373.15</v>
      </c>
      <c r="F607" s="6">
        <f t="shared" si="90"/>
        <v>95</v>
      </c>
      <c r="G607" s="6">
        <f t="shared" si="91"/>
        <v>340.65</v>
      </c>
      <c r="H607" s="6">
        <f t="shared" si="92"/>
        <v>1.9926207055139041E-5</v>
      </c>
      <c r="I607" s="7">
        <f t="shared" si="93"/>
        <v>1158916576932337.8</v>
      </c>
      <c r="J607" s="6">
        <f t="shared" si="94"/>
        <v>1.0226038455893147</v>
      </c>
      <c r="K607" s="7">
        <f>J607*H607*首页!$B$12/P607</f>
        <v>0.69532757496605813</v>
      </c>
      <c r="L607" s="6">
        <f>首页!$B$9*0.0000000567*((C607^4-D607^4)/(C607-D607))</f>
        <v>7.7687338005019564</v>
      </c>
      <c r="M607" s="6">
        <f>IF(首页!$B$13="自然对流",IF(首页!$B$14="立式圆筒",首页!$B$10,PI()*B607/2),PI()*B607/2)</f>
        <v>55.2</v>
      </c>
      <c r="N607" s="7">
        <f>IF(首页!$B$13="强制对流",首页!$B$11*M607/H607,0)</f>
        <v>0</v>
      </c>
      <c r="O607" s="7">
        <f>IF(首页!$B$13="自然对流",IF(首页!$B$14="立式圆筒",(0.825+0.3063*I607^(1/6))^2+0.87*(M607/B607),(0.752+0.303*I607^(1/6))^2),0.3+SQRT((0.592*N607^0.5)^2+(0.0262*N607^0.8/(1-0.5/N607^0.1))^2))</f>
        <v>10055.479406258162</v>
      </c>
      <c r="P607" s="6">
        <f t="shared" si="95"/>
        <v>2.9510194925512497E-2</v>
      </c>
      <c r="Q607" s="6">
        <f t="shared" si="96"/>
        <v>5.3757093722491849</v>
      </c>
      <c r="R607" s="6">
        <f t="shared" si="97"/>
        <v>13.144443172751142</v>
      </c>
      <c r="S607" s="6">
        <f>IF($Y$2="按单位面积散热损失 qp",B607*LN(B607/首页!$B$4),LN(B607/首页!$B$4))</f>
        <v>3.1788193956785369</v>
      </c>
      <c r="T607" s="6">
        <f>IF($Y$2="按单位面积散热损失 qp",2*PI()*首页!$B$8*((E607-D607)/$Y$3-1/R607),2*PI()*首页!$B$8*((E607-D607)/$Y$4-1/(PI()*B607*R607)))</f>
        <v>4.0789245366905223E-2</v>
      </c>
      <c r="U607" t="str">
        <f t="shared" si="98"/>
        <v>按单位面积散热损失 qp</v>
      </c>
      <c r="V607" s="6">
        <f t="shared" si="99"/>
        <v>3.1380301503116317</v>
      </c>
    </row>
    <row r="608" spans="1:22" x14ac:dyDescent="0.15">
      <c r="A608">
        <v>603</v>
      </c>
      <c r="B608" s="6">
        <f>首页!$B$4+2*A608/1000</f>
        <v>1.3260000000000001</v>
      </c>
      <c r="C608" s="6">
        <f>首页!$B$7+273.15</f>
        <v>388.15</v>
      </c>
      <c r="D608" s="6">
        <f>首页!$B$6+273.15</f>
        <v>293.14999999999998</v>
      </c>
      <c r="E608" s="6">
        <f>首页!$B$5+273.15</f>
        <v>1373.15</v>
      </c>
      <c r="F608" s="6">
        <f t="shared" si="90"/>
        <v>95</v>
      </c>
      <c r="G608" s="6">
        <f t="shared" si="91"/>
        <v>340.65</v>
      </c>
      <c r="H608" s="6">
        <f t="shared" si="92"/>
        <v>1.9926207055139041E-5</v>
      </c>
      <c r="I608" s="7">
        <f t="shared" si="93"/>
        <v>1158916576932337.8</v>
      </c>
      <c r="J608" s="6">
        <f t="shared" si="94"/>
        <v>1.0226038455893147</v>
      </c>
      <c r="K608" s="7">
        <f>J608*H608*首页!$B$12/P608</f>
        <v>0.69532757496605813</v>
      </c>
      <c r="L608" s="6">
        <f>首页!$B$9*0.0000000567*((C608^4-D608^4)/(C608-D608))</f>
        <v>7.7687338005019564</v>
      </c>
      <c r="M608" s="6">
        <f>IF(首页!$B$13="自然对流",IF(首页!$B$14="立式圆筒",首页!$B$10,PI()*B608/2),PI()*B608/2)</f>
        <v>55.2</v>
      </c>
      <c r="N608" s="7">
        <f>IF(首页!$B$13="强制对流",首页!$B$11*M608/H608,0)</f>
        <v>0</v>
      </c>
      <c r="O608" s="7">
        <f>IF(首页!$B$13="自然对流",IF(首页!$B$14="立式圆筒",(0.825+0.3063*I608^(1/6))^2+0.87*(M608/B608),(0.752+0.303*I608^(1/6))^2),0.3+SQRT((0.592*N608^0.5)^2+(0.0262*N608^0.8/(1-0.5/N608^0.1))^2))</f>
        <v>10055.424697505036</v>
      </c>
      <c r="P608" s="6">
        <f t="shared" si="95"/>
        <v>2.9510194925512497E-2</v>
      </c>
      <c r="Q608" s="6">
        <f t="shared" si="96"/>
        <v>5.3756801246772845</v>
      </c>
      <c r="R608" s="6">
        <f t="shared" si="97"/>
        <v>13.14441392517924</v>
      </c>
      <c r="S608" s="6">
        <f>IF($Y$2="按单位面积散热损失 qp",B608*LN(B608/首页!$B$4),LN(B608/首页!$B$4))</f>
        <v>3.1856227474799486</v>
      </c>
      <c r="T608" s="6">
        <f>IF($Y$2="按单位面积散热损失 qp",2*PI()*首页!$B$8*((E608-D608)/$Y$3-1/R608),2*PI()*首页!$B$8*((E608-D608)/$Y$4-1/(PI()*B608*R608)))</f>
        <v>4.0789197504030497E-2</v>
      </c>
      <c r="U608" t="str">
        <f t="shared" si="98"/>
        <v>按单位面积散热损失 qp</v>
      </c>
      <c r="V608" s="6">
        <f t="shared" si="99"/>
        <v>3.1448335499759179</v>
      </c>
    </row>
    <row r="609" spans="1:22" x14ac:dyDescent="0.15">
      <c r="A609">
        <v>604</v>
      </c>
      <c r="B609" s="6">
        <f>首页!$B$4+2*A609/1000</f>
        <v>1.3279999999999998</v>
      </c>
      <c r="C609" s="6">
        <f>首页!$B$7+273.15</f>
        <v>388.15</v>
      </c>
      <c r="D609" s="6">
        <f>首页!$B$6+273.15</f>
        <v>293.14999999999998</v>
      </c>
      <c r="E609" s="6">
        <f>首页!$B$5+273.15</f>
        <v>1373.15</v>
      </c>
      <c r="F609" s="6">
        <f t="shared" si="90"/>
        <v>95</v>
      </c>
      <c r="G609" s="6">
        <f t="shared" si="91"/>
        <v>340.65</v>
      </c>
      <c r="H609" s="6">
        <f t="shared" si="92"/>
        <v>1.9926207055139041E-5</v>
      </c>
      <c r="I609" s="7">
        <f t="shared" si="93"/>
        <v>1158916576932337.8</v>
      </c>
      <c r="J609" s="6">
        <f t="shared" si="94"/>
        <v>1.0226038455893147</v>
      </c>
      <c r="K609" s="7">
        <f>J609*H609*首页!$B$12/P609</f>
        <v>0.69532757496605813</v>
      </c>
      <c r="L609" s="6">
        <f>首页!$B$9*0.0000000567*((C609^4-D609^4)/(C609-D609))</f>
        <v>7.7687338005019564</v>
      </c>
      <c r="M609" s="6">
        <f>IF(首页!$B$13="自然对流",IF(首页!$B$14="立式圆筒",首页!$B$10,PI()*B609/2),PI()*B609/2)</f>
        <v>55.2</v>
      </c>
      <c r="N609" s="7">
        <f>IF(首页!$B$13="强制对流",首页!$B$11*M609/H609,0)</f>
        <v>0</v>
      </c>
      <c r="O609" s="7">
        <f>IF(首页!$B$13="自然对流",IF(首页!$B$14="立式圆筒",(0.825+0.3063*I609^(1/6))^2+0.87*(M609/B609),(0.752+0.303*I609^(1/6))^2),0.3+SQRT((0.592*N609^0.5)^2+(0.0262*N609^0.8/(1-0.5/N609^0.1))^2))</f>
        <v>10055.370153537309</v>
      </c>
      <c r="P609" s="6">
        <f t="shared" si="95"/>
        <v>2.9510194925512497E-2</v>
      </c>
      <c r="Q609" s="6">
        <f t="shared" si="96"/>
        <v>5.3756509652004798</v>
      </c>
      <c r="R609" s="6">
        <f t="shared" si="97"/>
        <v>13.144384765702437</v>
      </c>
      <c r="S609" s="6">
        <f>IF($Y$2="按单位面积散热损失 qp",B609*LN(B609/首页!$B$4),LN(B609/首页!$B$4))</f>
        <v>3.1924291158737539</v>
      </c>
      <c r="T609" s="6">
        <f>IF($Y$2="按单位面积散热损失 qp",2*PI()*首页!$B$8*((E609-D609)/$Y$3-1/R609),2*PI()*首页!$B$8*((E609-D609)/$Y$4-1/(PI()*B609*R609)))</f>
        <v>4.0789149785109037E-2</v>
      </c>
      <c r="U609" t="str">
        <f t="shared" si="98"/>
        <v>按单位面积散热损失 qp</v>
      </c>
      <c r="V609" s="6">
        <f t="shared" si="99"/>
        <v>3.1516399660886449</v>
      </c>
    </row>
    <row r="610" spans="1:22" x14ac:dyDescent="0.15">
      <c r="A610">
        <v>605</v>
      </c>
      <c r="B610" s="6">
        <f>首页!$B$4+2*A610/1000</f>
        <v>1.33</v>
      </c>
      <c r="C610" s="6">
        <f>首页!$B$7+273.15</f>
        <v>388.15</v>
      </c>
      <c r="D610" s="6">
        <f>首页!$B$6+273.15</f>
        <v>293.14999999999998</v>
      </c>
      <c r="E610" s="6">
        <f>首页!$B$5+273.15</f>
        <v>1373.15</v>
      </c>
      <c r="F610" s="6">
        <f t="shared" si="90"/>
        <v>95</v>
      </c>
      <c r="G610" s="6">
        <f t="shared" si="91"/>
        <v>340.65</v>
      </c>
      <c r="H610" s="6">
        <f t="shared" si="92"/>
        <v>1.9926207055139041E-5</v>
      </c>
      <c r="I610" s="7">
        <f t="shared" si="93"/>
        <v>1158916576932337.8</v>
      </c>
      <c r="J610" s="6">
        <f t="shared" si="94"/>
        <v>1.0226038455893147</v>
      </c>
      <c r="K610" s="7">
        <f>J610*H610*首页!$B$12/P610</f>
        <v>0.69532757496605813</v>
      </c>
      <c r="L610" s="6">
        <f>首页!$B$9*0.0000000567*((C610^4-D610^4)/(C610-D610))</f>
        <v>7.7687338005019564</v>
      </c>
      <c r="M610" s="6">
        <f>IF(首页!$B$13="自然对流",IF(首页!$B$14="立式圆筒",首页!$B$10,PI()*B610/2),PI()*B610/2)</f>
        <v>55.2</v>
      </c>
      <c r="N610" s="7">
        <f>IF(首页!$B$13="强制对流",首页!$B$11*M610/H610,0)</f>
        <v>0</v>
      </c>
      <c r="O610" s="7">
        <f>IF(首页!$B$13="自然对流",IF(首页!$B$14="立式圆筒",(0.825+0.3063*I610^(1/6))^2+0.87*(M610/B610),(0.752+0.303*I610^(1/6))^2),0.3+SQRT((0.592*N610^0.5)^2+(0.0262*N610^0.8/(1-0.5/N610^0.1))^2))</f>
        <v>10055.315773611592</v>
      </c>
      <c r="P610" s="6">
        <f t="shared" si="95"/>
        <v>2.9510194925512497E-2</v>
      </c>
      <c r="Q610" s="6">
        <f t="shared" si="96"/>
        <v>5.3756218934213509</v>
      </c>
      <c r="R610" s="6">
        <f t="shared" si="97"/>
        <v>13.144355693923307</v>
      </c>
      <c r="S610" s="6">
        <f>IF($Y$2="按单位面积散热损失 qp",B610*LN(B610/首页!$B$4),LN(B610/首页!$B$4))</f>
        <v>3.1992384963168923</v>
      </c>
      <c r="T610" s="6">
        <f>IF($Y$2="按单位面积散热损失 qp",2*PI()*首页!$B$8*((E610-D610)/$Y$3-1/R610),2*PI()*首页!$B$8*((E610-D610)/$Y$4-1/(PI()*B610*R610)))</f>
        <v>4.0789102209492348E-2</v>
      </c>
      <c r="U610" t="str">
        <f t="shared" si="98"/>
        <v>按单位面积散热损失 qp</v>
      </c>
      <c r="V610" s="6">
        <f t="shared" si="99"/>
        <v>3.1584493941074001</v>
      </c>
    </row>
    <row r="611" spans="1:22" x14ac:dyDescent="0.15">
      <c r="A611">
        <v>606</v>
      </c>
      <c r="B611" s="6">
        <f>首页!$B$4+2*A611/1000</f>
        <v>1.3319999999999999</v>
      </c>
      <c r="C611" s="6">
        <f>首页!$B$7+273.15</f>
        <v>388.15</v>
      </c>
      <c r="D611" s="6">
        <f>首页!$B$6+273.15</f>
        <v>293.14999999999998</v>
      </c>
      <c r="E611" s="6">
        <f>首页!$B$5+273.15</f>
        <v>1373.15</v>
      </c>
      <c r="F611" s="6">
        <f t="shared" si="90"/>
        <v>95</v>
      </c>
      <c r="G611" s="6">
        <f t="shared" si="91"/>
        <v>340.65</v>
      </c>
      <c r="H611" s="6">
        <f t="shared" si="92"/>
        <v>1.9926207055139041E-5</v>
      </c>
      <c r="I611" s="7">
        <f t="shared" si="93"/>
        <v>1158916576932337.8</v>
      </c>
      <c r="J611" s="6">
        <f t="shared" si="94"/>
        <v>1.0226038455893147</v>
      </c>
      <c r="K611" s="7">
        <f>J611*H611*首页!$B$12/P611</f>
        <v>0.69532757496605813</v>
      </c>
      <c r="L611" s="6">
        <f>首页!$B$9*0.0000000567*((C611^4-D611^4)/(C611-D611))</f>
        <v>7.7687338005019564</v>
      </c>
      <c r="M611" s="6">
        <f>IF(首页!$B$13="自然对流",IF(首页!$B$14="立式圆筒",首页!$B$10,PI()*B611/2),PI()*B611/2)</f>
        <v>55.2</v>
      </c>
      <c r="N611" s="7">
        <f>IF(首页!$B$13="强制对流",首页!$B$11*M611/H611,0)</f>
        <v>0</v>
      </c>
      <c r="O611" s="7">
        <f>IF(首页!$B$13="自然对流",IF(首页!$B$14="立式圆筒",(0.825+0.3063*I611^(1/6))^2+0.87*(M611/B611),(0.752+0.303*I611^(1/6))^2),0.3+SQRT((0.592*N611^0.5)^2+(0.0262*N611^0.8/(1-0.5/N611^0.1))^2))</f>
        <v>10055.261556988953</v>
      </c>
      <c r="P611" s="6">
        <f t="shared" si="95"/>
        <v>2.9510194925512497E-2</v>
      </c>
      <c r="Q611" s="6">
        <f t="shared" si="96"/>
        <v>5.37559290894486</v>
      </c>
      <c r="R611" s="6">
        <f t="shared" si="97"/>
        <v>13.144326709446815</v>
      </c>
      <c r="S611" s="6">
        <f>IF($Y$2="按单位面积散热损失 qp",B611*LN(B611/首页!$B$4),LN(B611/首页!$B$4))</f>
        <v>3.2060508842799598</v>
      </c>
      <c r="T611" s="6">
        <f>IF($Y$2="按单位面积散热损失 qp",2*PI()*首页!$B$8*((E611-D611)/$Y$3-1/R611),2*PI()*首页!$B$8*((E611-D611)/$Y$4-1/(PI()*B611*R611)))</f>
        <v>4.0789054776535889E-2</v>
      </c>
      <c r="U611" t="str">
        <f t="shared" si="98"/>
        <v>按单位面积散热损失 qp</v>
      </c>
      <c r="V611" s="6">
        <f t="shared" si="99"/>
        <v>3.1652618295034238</v>
      </c>
    </row>
    <row r="612" spans="1:22" x14ac:dyDescent="0.15">
      <c r="A612">
        <v>607</v>
      </c>
      <c r="B612" s="6">
        <f>首页!$B$4+2*A612/1000</f>
        <v>1.3340000000000001</v>
      </c>
      <c r="C612" s="6">
        <f>首页!$B$7+273.15</f>
        <v>388.15</v>
      </c>
      <c r="D612" s="6">
        <f>首页!$B$6+273.15</f>
        <v>293.14999999999998</v>
      </c>
      <c r="E612" s="6">
        <f>首页!$B$5+273.15</f>
        <v>1373.15</v>
      </c>
      <c r="F612" s="6">
        <f t="shared" si="90"/>
        <v>95</v>
      </c>
      <c r="G612" s="6">
        <f t="shared" si="91"/>
        <v>340.65</v>
      </c>
      <c r="H612" s="6">
        <f t="shared" si="92"/>
        <v>1.9926207055139041E-5</v>
      </c>
      <c r="I612" s="7">
        <f t="shared" si="93"/>
        <v>1158916576932337.8</v>
      </c>
      <c r="J612" s="6">
        <f t="shared" si="94"/>
        <v>1.0226038455893147</v>
      </c>
      <c r="K612" s="7">
        <f>J612*H612*首页!$B$12/P612</f>
        <v>0.69532757496605813</v>
      </c>
      <c r="L612" s="6">
        <f>首页!$B$9*0.0000000567*((C612^4-D612^4)/(C612-D612))</f>
        <v>7.7687338005019564</v>
      </c>
      <c r="M612" s="6">
        <f>IF(首页!$B$13="自然对流",IF(首页!$B$14="立式圆筒",首页!$B$10,PI()*B612/2),PI()*B612/2)</f>
        <v>55.2</v>
      </c>
      <c r="N612" s="7">
        <f>IF(首页!$B$13="强制对流",首页!$B$11*M612/H612,0)</f>
        <v>0</v>
      </c>
      <c r="O612" s="7">
        <f>IF(首页!$B$13="自然对流",IF(首页!$B$14="立式圆筒",(0.825+0.3063*I612^(1/6))^2+0.87*(M612/B612),(0.752+0.303*I612^(1/6))^2),0.3+SQRT((0.592*N612^0.5)^2+(0.0262*N612^0.8/(1-0.5/N612^0.1))^2))</f>
        <v>10055.2075029349</v>
      </c>
      <c r="P612" s="6">
        <f t="shared" si="95"/>
        <v>2.9510194925512497E-2</v>
      </c>
      <c r="Q612" s="6">
        <f t="shared" si="96"/>
        <v>5.3755640113783452</v>
      </c>
      <c r="R612" s="6">
        <f t="shared" si="97"/>
        <v>13.144297811880302</v>
      </c>
      <c r="S612" s="6">
        <f>IF($Y$2="按单位面积散热损失 qp",B612*LN(B612/首页!$B$4),LN(B612/首页!$B$4))</f>
        <v>3.2128662752471597</v>
      </c>
      <c r="T612" s="6">
        <f>IF($Y$2="按单位面积散热损失 qp",2*PI()*首页!$B$8*((E612-D612)/$Y$3-1/R612),2*PI()*首页!$B$8*((E612-D612)/$Y$4-1/(PI()*B612*R612)))</f>
        <v>4.0789007485598938E-2</v>
      </c>
      <c r="U612" t="str">
        <f t="shared" si="98"/>
        <v>按单位面积散热损失 qp</v>
      </c>
      <c r="V612" s="6">
        <f t="shared" si="99"/>
        <v>3.1720772677615607</v>
      </c>
    </row>
    <row r="613" spans="1:22" x14ac:dyDescent="0.15">
      <c r="A613">
        <v>608</v>
      </c>
      <c r="B613" s="6">
        <f>首页!$B$4+2*A613/1000</f>
        <v>1.3359999999999999</v>
      </c>
      <c r="C613" s="6">
        <f>首页!$B$7+273.15</f>
        <v>388.15</v>
      </c>
      <c r="D613" s="6">
        <f>首页!$B$6+273.15</f>
        <v>293.14999999999998</v>
      </c>
      <c r="E613" s="6">
        <f>首页!$B$5+273.15</f>
        <v>1373.15</v>
      </c>
      <c r="F613" s="6">
        <f t="shared" si="90"/>
        <v>95</v>
      </c>
      <c r="G613" s="6">
        <f t="shared" si="91"/>
        <v>340.65</v>
      </c>
      <c r="H613" s="6">
        <f t="shared" si="92"/>
        <v>1.9926207055139041E-5</v>
      </c>
      <c r="I613" s="7">
        <f t="shared" si="93"/>
        <v>1158916576932337.8</v>
      </c>
      <c r="J613" s="6">
        <f t="shared" si="94"/>
        <v>1.0226038455893147</v>
      </c>
      <c r="K613" s="7">
        <f>J613*H613*首页!$B$12/P613</f>
        <v>0.69532757496605813</v>
      </c>
      <c r="L613" s="6">
        <f>首页!$B$9*0.0000000567*((C613^4-D613^4)/(C613-D613))</f>
        <v>7.7687338005019564</v>
      </c>
      <c r="M613" s="6">
        <f>IF(首页!$B$13="自然对流",IF(首页!$B$14="立式圆筒",首页!$B$10,PI()*B613/2),PI()*B613/2)</f>
        <v>55.2</v>
      </c>
      <c r="N613" s="7">
        <f>IF(首页!$B$13="强制对流",首页!$B$11*M613/H613,0)</f>
        <v>0</v>
      </c>
      <c r="O613" s="7">
        <f>IF(首页!$B$13="自然对流",IF(首页!$B$14="立式圆筒",(0.825+0.3063*I613^(1/6))^2+0.87*(M613/B613),(0.752+0.303*I613^(1/6))^2),0.3+SQRT((0.592*N613^0.5)^2+(0.0262*N613^0.8/(1-0.5/N613^0.1))^2))</f>
        <v>10055.153610719331</v>
      </c>
      <c r="P613" s="6">
        <f t="shared" si="95"/>
        <v>2.9510194925512497E-2</v>
      </c>
      <c r="Q613" s="6">
        <f t="shared" si="96"/>
        <v>5.3755352003314893</v>
      </c>
      <c r="R613" s="6">
        <f t="shared" si="97"/>
        <v>13.144269000833447</v>
      </c>
      <c r="S613" s="6">
        <f>IF($Y$2="按单位面积散热损失 qp",B613*LN(B613/首页!$B$4),LN(B613/首页!$B$4))</f>
        <v>3.2196846647162318</v>
      </c>
      <c r="T613" s="6">
        <f>IF($Y$2="按单位面积散热损失 qp",2*PI()*首页!$B$8*((E613-D613)/$Y$3-1/R613),2*PI()*首页!$B$8*((E613-D613)/$Y$4-1/(PI()*B613*R613)))</f>
        <v>4.0788960336044608E-2</v>
      </c>
      <c r="U613" t="str">
        <f t="shared" si="98"/>
        <v>按单位面积散热损失 qp</v>
      </c>
      <c r="V613" s="6">
        <f t="shared" si="99"/>
        <v>3.1788957043801873</v>
      </c>
    </row>
    <row r="614" spans="1:22" x14ac:dyDescent="0.15">
      <c r="A614">
        <v>609</v>
      </c>
      <c r="B614" s="6">
        <f>首页!$B$4+2*A614/1000</f>
        <v>1.3380000000000001</v>
      </c>
      <c r="C614" s="6">
        <f>首页!$B$7+273.15</f>
        <v>388.15</v>
      </c>
      <c r="D614" s="6">
        <f>首页!$B$6+273.15</f>
        <v>293.14999999999998</v>
      </c>
      <c r="E614" s="6">
        <f>首页!$B$5+273.15</f>
        <v>1373.15</v>
      </c>
      <c r="F614" s="6">
        <f t="shared" si="90"/>
        <v>95</v>
      </c>
      <c r="G614" s="6">
        <f t="shared" si="91"/>
        <v>340.65</v>
      </c>
      <c r="H614" s="6">
        <f t="shared" si="92"/>
        <v>1.9926207055139041E-5</v>
      </c>
      <c r="I614" s="7">
        <f t="shared" si="93"/>
        <v>1158916576932337.8</v>
      </c>
      <c r="J614" s="6">
        <f t="shared" si="94"/>
        <v>1.0226038455893147</v>
      </c>
      <c r="K614" s="7">
        <f>J614*H614*首页!$B$12/P614</f>
        <v>0.69532757496605813</v>
      </c>
      <c r="L614" s="6">
        <f>首页!$B$9*0.0000000567*((C614^4-D614^4)/(C614-D614))</f>
        <v>7.7687338005019564</v>
      </c>
      <c r="M614" s="6">
        <f>IF(首页!$B$13="自然对流",IF(首页!$B$14="立式圆筒",首页!$B$10,PI()*B614/2),PI()*B614/2)</f>
        <v>55.2</v>
      </c>
      <c r="N614" s="7">
        <f>IF(首页!$B$13="强制对流",首页!$B$11*M614/H614,0)</f>
        <v>0</v>
      </c>
      <c r="O614" s="7">
        <f>IF(首页!$B$13="自然对流",IF(首页!$B$14="立式圆筒",(0.825+0.3063*I614^(1/6))^2+0.87*(M614/B614),(0.752+0.303*I614^(1/6))^2),0.3+SQRT((0.592*N614^0.5)^2+(0.0262*N614^0.8/(1-0.5/N614^0.1))^2))</f>
        <v>10055.099879616515</v>
      </c>
      <c r="P614" s="6">
        <f t="shared" si="95"/>
        <v>2.9510194925512497E-2</v>
      </c>
      <c r="Q614" s="6">
        <f t="shared" si="96"/>
        <v>5.3755064754163149</v>
      </c>
      <c r="R614" s="6">
        <f t="shared" si="97"/>
        <v>13.144240275918271</v>
      </c>
      <c r="S614" s="6">
        <f>IF($Y$2="按单位面积散热损失 qp",B614*LN(B614/首页!$B$4),LN(B614/首页!$B$4))</f>
        <v>3.2265060481983996</v>
      </c>
      <c r="T614" s="6">
        <f>IF($Y$2="按单位面积散热损失 qp",2*PI()*首页!$B$8*((E614-D614)/$Y$3-1/R614),2*PI()*首页!$B$8*((E614-D614)/$Y$4-1/(PI()*B614*R614)))</f>
        <v>4.0788913327239829E-2</v>
      </c>
      <c r="U614" t="str">
        <f t="shared" si="98"/>
        <v>按单位面积散热损失 qp</v>
      </c>
      <c r="V614" s="6">
        <f t="shared" si="99"/>
        <v>3.1857171348711599</v>
      </c>
    </row>
    <row r="615" spans="1:22" x14ac:dyDescent="0.15">
      <c r="A615">
        <v>610</v>
      </c>
      <c r="B615" s="6">
        <f>首页!$B$4+2*A615/1000</f>
        <v>1.3399999999999999</v>
      </c>
      <c r="C615" s="6">
        <f>首页!$B$7+273.15</f>
        <v>388.15</v>
      </c>
      <c r="D615" s="6">
        <f>首页!$B$6+273.15</f>
        <v>293.14999999999998</v>
      </c>
      <c r="E615" s="6">
        <f>首页!$B$5+273.15</f>
        <v>1373.15</v>
      </c>
      <c r="F615" s="6">
        <f t="shared" si="90"/>
        <v>95</v>
      </c>
      <c r="G615" s="6">
        <f t="shared" si="91"/>
        <v>340.65</v>
      </c>
      <c r="H615" s="6">
        <f t="shared" si="92"/>
        <v>1.9926207055139041E-5</v>
      </c>
      <c r="I615" s="7">
        <f t="shared" si="93"/>
        <v>1158916576932337.8</v>
      </c>
      <c r="J615" s="6">
        <f t="shared" si="94"/>
        <v>1.0226038455893147</v>
      </c>
      <c r="K615" s="7">
        <f>J615*H615*首页!$B$12/P615</f>
        <v>0.69532757496605813</v>
      </c>
      <c r="L615" s="6">
        <f>首页!$B$9*0.0000000567*((C615^4-D615^4)/(C615-D615))</f>
        <v>7.7687338005019564</v>
      </c>
      <c r="M615" s="6">
        <f>IF(首页!$B$13="自然对流",IF(首页!$B$14="立式圆筒",首页!$B$10,PI()*B615/2),PI()*B615/2)</f>
        <v>55.2</v>
      </c>
      <c r="N615" s="7">
        <f>IF(首页!$B$13="强制对流",首页!$B$11*M615/H615,0)</f>
        <v>0</v>
      </c>
      <c r="O615" s="7">
        <f>IF(首页!$B$13="自然对流",IF(首页!$B$14="立式圆筒",(0.825+0.3063*I615^(1/6))^2+0.87*(M615/B615),(0.752+0.303*I615^(1/6))^2),0.3+SQRT((0.592*N615^0.5)^2+(0.0262*N615^0.8/(1-0.5/N615^0.1))^2))</f>
        <v>10055.04630890505</v>
      </c>
      <c r="P615" s="6">
        <f t="shared" si="95"/>
        <v>2.9510194925512497E-2</v>
      </c>
      <c r="Q615" s="6">
        <f t="shared" si="96"/>
        <v>5.3754778362471543</v>
      </c>
      <c r="R615" s="6">
        <f t="shared" si="97"/>
        <v>13.144211636749111</v>
      </c>
      <c r="S615" s="6">
        <f>IF($Y$2="按单位面积散热损失 qp",B615*LN(B615/首页!$B$4),LN(B615/首页!$B$4))</f>
        <v>3.2333304212183007</v>
      </c>
      <c r="T615" s="6">
        <f>IF($Y$2="按单位面积散热损失 qp",2*PI()*首页!$B$8*((E615-D615)/$Y$3-1/R615),2*PI()*首页!$B$8*((E615-D615)/$Y$4-1/(PI()*B615*R615)))</f>
        <v>4.0788866458555298E-2</v>
      </c>
      <c r="U615" t="str">
        <f t="shared" si="98"/>
        <v>按单位面积散热损失 qp</v>
      </c>
      <c r="V615" s="6">
        <f t="shared" si="99"/>
        <v>3.1925415547597455</v>
      </c>
    </row>
    <row r="616" spans="1:22" x14ac:dyDescent="0.15">
      <c r="A616">
        <v>611</v>
      </c>
      <c r="B616" s="6">
        <f>首页!$B$4+2*A616/1000</f>
        <v>1.3420000000000001</v>
      </c>
      <c r="C616" s="6">
        <f>首页!$B$7+273.15</f>
        <v>388.15</v>
      </c>
      <c r="D616" s="6">
        <f>首页!$B$6+273.15</f>
        <v>293.14999999999998</v>
      </c>
      <c r="E616" s="6">
        <f>首页!$B$5+273.15</f>
        <v>1373.15</v>
      </c>
      <c r="F616" s="6">
        <f t="shared" si="90"/>
        <v>95</v>
      </c>
      <c r="G616" s="6">
        <f t="shared" si="91"/>
        <v>340.65</v>
      </c>
      <c r="H616" s="6">
        <f t="shared" si="92"/>
        <v>1.9926207055139041E-5</v>
      </c>
      <c r="I616" s="7">
        <f t="shared" si="93"/>
        <v>1158916576932337.8</v>
      </c>
      <c r="J616" s="6">
        <f t="shared" si="94"/>
        <v>1.0226038455893147</v>
      </c>
      <c r="K616" s="7">
        <f>J616*H616*首页!$B$12/P616</f>
        <v>0.69532757496605813</v>
      </c>
      <c r="L616" s="6">
        <f>首页!$B$9*0.0000000567*((C616^4-D616^4)/(C616-D616))</f>
        <v>7.7687338005019564</v>
      </c>
      <c r="M616" s="6">
        <f>IF(首页!$B$13="自然对流",IF(首页!$B$14="立式圆筒",首页!$B$10,PI()*B616/2),PI()*B616/2)</f>
        <v>55.2</v>
      </c>
      <c r="N616" s="7">
        <f>IF(首页!$B$13="强制对流",首页!$B$11*M616/H616,0)</f>
        <v>0</v>
      </c>
      <c r="O616" s="7">
        <f>IF(首页!$B$13="自然对流",IF(首页!$B$14="立式圆筒",(0.825+0.3063*I616^(1/6))^2+0.87*(M616/B616),(0.752+0.303*I616^(1/6))^2),0.3+SQRT((0.592*N616^0.5)^2+(0.0262*N616^0.8/(1-0.5/N616^0.1))^2))</f>
        <v>10054.992897867836</v>
      </c>
      <c r="P616" s="6">
        <f t="shared" si="95"/>
        <v>2.9510194925512497E-2</v>
      </c>
      <c r="Q616" s="6">
        <f t="shared" si="96"/>
        <v>5.3754492824406448</v>
      </c>
      <c r="R616" s="6">
        <f t="shared" si="97"/>
        <v>13.1441830829426</v>
      </c>
      <c r="S616" s="6">
        <f>IF($Y$2="按单位面积散热损失 qp",B616*LN(B616/首页!$B$4),LN(B616/首页!$B$4))</f>
        <v>3.2401577793139382</v>
      </c>
      <c r="T616" s="6">
        <f>IF($Y$2="按单位面积散热损失 qp",2*PI()*首页!$B$8*((E616-D616)/$Y$3-1/R616),2*PI()*首页!$B$8*((E616-D616)/$Y$4-1/(PI()*B616*R616)))</f>
        <v>4.0788819729365454E-2</v>
      </c>
      <c r="U616" t="str">
        <f t="shared" si="98"/>
        <v>按单位面积散热损失 qp</v>
      </c>
      <c r="V616" s="6">
        <f t="shared" si="99"/>
        <v>3.1993689595845729</v>
      </c>
    </row>
    <row r="617" spans="1:22" x14ac:dyDescent="0.15">
      <c r="A617">
        <v>612</v>
      </c>
      <c r="B617" s="6">
        <f>首页!$B$4+2*A617/1000</f>
        <v>1.3439999999999999</v>
      </c>
      <c r="C617" s="6">
        <f>首页!$B$7+273.15</f>
        <v>388.15</v>
      </c>
      <c r="D617" s="6">
        <f>首页!$B$6+273.15</f>
        <v>293.14999999999998</v>
      </c>
      <c r="E617" s="6">
        <f>首页!$B$5+273.15</f>
        <v>1373.15</v>
      </c>
      <c r="F617" s="6">
        <f t="shared" si="90"/>
        <v>95</v>
      </c>
      <c r="G617" s="6">
        <f t="shared" si="91"/>
        <v>340.65</v>
      </c>
      <c r="H617" s="6">
        <f t="shared" si="92"/>
        <v>1.9926207055139041E-5</v>
      </c>
      <c r="I617" s="7">
        <f t="shared" si="93"/>
        <v>1158916576932337.8</v>
      </c>
      <c r="J617" s="6">
        <f t="shared" si="94"/>
        <v>1.0226038455893147</v>
      </c>
      <c r="K617" s="7">
        <f>J617*H617*首页!$B$12/P617</f>
        <v>0.69532757496605813</v>
      </c>
      <c r="L617" s="6">
        <f>首页!$B$9*0.0000000567*((C617^4-D617^4)/(C617-D617))</f>
        <v>7.7687338005019564</v>
      </c>
      <c r="M617" s="6">
        <f>IF(首页!$B$13="自然对流",IF(首页!$B$14="立式圆筒",首页!$B$10,PI()*B617/2),PI()*B617/2)</f>
        <v>55.2</v>
      </c>
      <c r="N617" s="7">
        <f>IF(首页!$B$13="强制对流",首页!$B$11*M617/H617,0)</f>
        <v>0</v>
      </c>
      <c r="O617" s="7">
        <f>IF(首页!$B$13="自然对流",IF(首页!$B$14="立式圆筒",(0.825+0.3063*I617^(1/6))^2+0.87*(M617/B617),(0.752+0.303*I617^(1/6))^2),0.3+SQRT((0.592*N617^0.5)^2+(0.0262*N617^0.8/(1-0.5/N617^0.1))^2))</f>
        <v>10054.939645792043</v>
      </c>
      <c r="P617" s="6">
        <f t="shared" si="95"/>
        <v>2.9510194925512497E-2</v>
      </c>
      <c r="Q617" s="6">
        <f t="shared" si="96"/>
        <v>5.375420813615702</v>
      </c>
      <c r="R617" s="6">
        <f t="shared" si="97"/>
        <v>13.144154614117658</v>
      </c>
      <c r="S617" s="6">
        <f>IF($Y$2="按单位面积散热损失 qp",B617*LN(B617/首页!$B$4),LN(B617/首页!$B$4))</f>
        <v>3.2469881180366089</v>
      </c>
      <c r="T617" s="6">
        <f>IF($Y$2="按单位面积散热损失 qp",2*PI()*首页!$B$8*((E617-D617)/$Y$3-1/R617),2*PI()*首页!$B$8*((E617-D617)/$Y$4-1/(PI()*B617*R617)))</f>
        <v>4.0788773139048461E-2</v>
      </c>
      <c r="U617" t="str">
        <f t="shared" si="98"/>
        <v>按单位面积散热损失 qp</v>
      </c>
      <c r="V617" s="6">
        <f t="shared" si="99"/>
        <v>3.2061993448975605</v>
      </c>
    </row>
    <row r="618" spans="1:22" x14ac:dyDescent="0.15">
      <c r="A618">
        <v>613</v>
      </c>
      <c r="B618" s="6">
        <f>首页!$B$4+2*A618/1000</f>
        <v>1.3460000000000001</v>
      </c>
      <c r="C618" s="6">
        <f>首页!$B$7+273.15</f>
        <v>388.15</v>
      </c>
      <c r="D618" s="6">
        <f>首页!$B$6+273.15</f>
        <v>293.14999999999998</v>
      </c>
      <c r="E618" s="6">
        <f>首页!$B$5+273.15</f>
        <v>1373.15</v>
      </c>
      <c r="F618" s="6">
        <f t="shared" si="90"/>
        <v>95</v>
      </c>
      <c r="G618" s="6">
        <f t="shared" si="91"/>
        <v>340.65</v>
      </c>
      <c r="H618" s="6">
        <f t="shared" si="92"/>
        <v>1.9926207055139041E-5</v>
      </c>
      <c r="I618" s="7">
        <f t="shared" si="93"/>
        <v>1158916576932337.8</v>
      </c>
      <c r="J618" s="6">
        <f t="shared" si="94"/>
        <v>1.0226038455893147</v>
      </c>
      <c r="K618" s="7">
        <f>J618*H618*首页!$B$12/P618</f>
        <v>0.69532757496605813</v>
      </c>
      <c r="L618" s="6">
        <f>首页!$B$9*0.0000000567*((C618^4-D618^4)/(C618-D618))</f>
        <v>7.7687338005019564</v>
      </c>
      <c r="M618" s="6">
        <f>IF(首页!$B$13="自然对流",IF(首页!$B$14="立式圆筒",首页!$B$10,PI()*B618/2),PI()*B618/2)</f>
        <v>55.2</v>
      </c>
      <c r="N618" s="7">
        <f>IF(首页!$B$13="强制对流",首页!$B$11*M618/H618,0)</f>
        <v>0</v>
      </c>
      <c r="O618" s="7">
        <f>IF(首页!$B$13="自然对流",IF(首页!$B$14="立式圆筒",(0.825+0.3063*I618^(1/6))^2+0.87*(M618/B618),(0.752+0.303*I618^(1/6))^2),0.3+SQRT((0.592*N618^0.5)^2+(0.0262*N618^0.8/(1-0.5/N618^0.1))^2))</f>
        <v>10054.886551969075</v>
      </c>
      <c r="P618" s="6">
        <f t="shared" si="95"/>
        <v>2.9510194925512497E-2</v>
      </c>
      <c r="Q618" s="6">
        <f t="shared" si="96"/>
        <v>5.3753924293935071</v>
      </c>
      <c r="R618" s="6">
        <f t="shared" si="97"/>
        <v>13.144126229895463</v>
      </c>
      <c r="S618" s="6">
        <f>IF($Y$2="按单位面积散热损失 qp",B618*LN(B618/首页!$B$4),LN(B618/首页!$B$4))</f>
        <v>3.2538214329508568</v>
      </c>
      <c r="T618" s="6">
        <f>IF($Y$2="按单位面积散热损失 qp",2*PI()*首页!$B$8*((E618-D618)/$Y$3-1/R618),2*PI()*首页!$B$8*((E618-D618)/$Y$4-1/(PI()*B618*R618)))</f>
        <v>4.0788726686986167E-2</v>
      </c>
      <c r="U618" t="str">
        <f t="shared" si="98"/>
        <v>按单位面积散热损失 qp</v>
      </c>
      <c r="V618" s="6">
        <f t="shared" si="99"/>
        <v>3.2130327062638706</v>
      </c>
    </row>
    <row r="619" spans="1:22" x14ac:dyDescent="0.15">
      <c r="A619">
        <v>614</v>
      </c>
      <c r="B619" s="6">
        <f>首页!$B$4+2*A619/1000</f>
        <v>1.3479999999999999</v>
      </c>
      <c r="C619" s="6">
        <f>首页!$B$7+273.15</f>
        <v>388.15</v>
      </c>
      <c r="D619" s="6">
        <f>首页!$B$6+273.15</f>
        <v>293.14999999999998</v>
      </c>
      <c r="E619" s="6">
        <f>首页!$B$5+273.15</f>
        <v>1373.15</v>
      </c>
      <c r="F619" s="6">
        <f t="shared" si="90"/>
        <v>95</v>
      </c>
      <c r="G619" s="6">
        <f t="shared" si="91"/>
        <v>340.65</v>
      </c>
      <c r="H619" s="6">
        <f t="shared" si="92"/>
        <v>1.9926207055139041E-5</v>
      </c>
      <c r="I619" s="7">
        <f t="shared" si="93"/>
        <v>1158916576932337.8</v>
      </c>
      <c r="J619" s="6">
        <f t="shared" si="94"/>
        <v>1.0226038455893147</v>
      </c>
      <c r="K619" s="7">
        <f>J619*H619*首页!$B$12/P619</f>
        <v>0.69532757496605813</v>
      </c>
      <c r="L619" s="6">
        <f>首页!$B$9*0.0000000567*((C619^4-D619^4)/(C619-D619))</f>
        <v>7.7687338005019564</v>
      </c>
      <c r="M619" s="6">
        <f>IF(首页!$B$13="自然对流",IF(首页!$B$14="立式圆筒",首页!$B$10,PI()*B619/2),PI()*B619/2)</f>
        <v>55.2</v>
      </c>
      <c r="N619" s="7">
        <f>IF(首页!$B$13="强制对流",首页!$B$11*M619/H619,0)</f>
        <v>0</v>
      </c>
      <c r="O619" s="7">
        <f>IF(首页!$B$13="自然对流",IF(首页!$B$14="立式圆筒",(0.825+0.3063*I619^(1/6))^2+0.87*(M619/B619),(0.752+0.303*I619^(1/6))^2),0.3+SQRT((0.592*N619^0.5)^2+(0.0262*N619^0.8/(1-0.5/N619^0.1))^2))</f>
        <v>10054.833615694544</v>
      </c>
      <c r="P619" s="6">
        <f t="shared" si="95"/>
        <v>2.9510194925512497E-2</v>
      </c>
      <c r="Q619" s="6">
        <f t="shared" si="96"/>
        <v>5.375364129397493</v>
      </c>
      <c r="R619" s="6">
        <f t="shared" si="97"/>
        <v>13.144097929899448</v>
      </c>
      <c r="S619" s="6">
        <f>IF($Y$2="按单位面积散热损失 qp",B619*LN(B619/首页!$B$4),LN(B619/首页!$B$4))</f>
        <v>3.2606577196343975</v>
      </c>
      <c r="T619" s="6">
        <f>IF($Y$2="按单位面积散热损失 qp",2*PI()*首页!$B$8*((E619-D619)/$Y$3-1/R619),2*PI()*首页!$B$8*((E619-D619)/$Y$4-1/(PI()*B619*R619)))</f>
        <v>4.0788680372564091E-2</v>
      </c>
      <c r="U619" t="str">
        <f t="shared" si="98"/>
        <v>按单位面积散热损失 qp</v>
      </c>
      <c r="V619" s="6">
        <f t="shared" si="99"/>
        <v>3.2198690392618334</v>
      </c>
    </row>
    <row r="620" spans="1:22" x14ac:dyDescent="0.15">
      <c r="A620">
        <v>615</v>
      </c>
      <c r="B620" s="6">
        <f>首页!$B$4+2*A620/1000</f>
        <v>1.35</v>
      </c>
      <c r="C620" s="6">
        <f>首页!$B$7+273.15</f>
        <v>388.15</v>
      </c>
      <c r="D620" s="6">
        <f>首页!$B$6+273.15</f>
        <v>293.14999999999998</v>
      </c>
      <c r="E620" s="6">
        <f>首页!$B$5+273.15</f>
        <v>1373.15</v>
      </c>
      <c r="F620" s="6">
        <f t="shared" si="90"/>
        <v>95</v>
      </c>
      <c r="G620" s="6">
        <f t="shared" si="91"/>
        <v>340.65</v>
      </c>
      <c r="H620" s="6">
        <f t="shared" si="92"/>
        <v>1.9926207055139041E-5</v>
      </c>
      <c r="I620" s="7">
        <f t="shared" si="93"/>
        <v>1158916576932337.8</v>
      </c>
      <c r="J620" s="6">
        <f t="shared" si="94"/>
        <v>1.0226038455893147</v>
      </c>
      <c r="K620" s="7">
        <f>J620*H620*首页!$B$12/P620</f>
        <v>0.69532757496605813</v>
      </c>
      <c r="L620" s="6">
        <f>首页!$B$9*0.0000000567*((C620^4-D620^4)/(C620-D620))</f>
        <v>7.7687338005019564</v>
      </c>
      <c r="M620" s="6">
        <f>IF(首页!$B$13="自然对流",IF(首页!$B$14="立式圆筒",首页!$B$10,PI()*B620/2),PI()*B620/2)</f>
        <v>55.2</v>
      </c>
      <c r="N620" s="7">
        <f>IF(首页!$B$13="强制对流",首页!$B$11*M620/H620,0)</f>
        <v>0</v>
      </c>
      <c r="O620" s="7">
        <f>IF(首页!$B$13="自然对流",IF(首页!$B$14="立式圆筒",(0.825+0.3063*I620^(1/6))^2+0.87*(M620/B620),(0.752+0.303*I620^(1/6))^2),0.3+SQRT((0.592*N620^0.5)^2+(0.0262*N620^0.8/(1-0.5/N620^0.1))^2))</f>
        <v>10054.780836268234</v>
      </c>
      <c r="P620" s="6">
        <f t="shared" si="95"/>
        <v>2.9510194925512497E-2</v>
      </c>
      <c r="Q620" s="6">
        <f t="shared" si="96"/>
        <v>5.3753359132533172</v>
      </c>
      <c r="R620" s="6">
        <f t="shared" si="97"/>
        <v>13.144069713755274</v>
      </c>
      <c r="S620" s="6">
        <f>IF($Y$2="按单位面积散热损失 qp",B620*LN(B620/首页!$B$4),LN(B620/首页!$B$4))</f>
        <v>3.2674969736780799</v>
      </c>
      <c r="T620" s="6">
        <f>IF($Y$2="按单位面积散热损失 qp",2*PI()*首页!$B$8*((E620-D620)/$Y$3-1/R620),2*PI()*首页!$B$8*((E620-D620)/$Y$4-1/(PI()*B620*R620)))</f>
        <v>4.078863419517139E-2</v>
      </c>
      <c r="U620" t="str">
        <f t="shared" si="98"/>
        <v>按单位面积散热损失 qp</v>
      </c>
      <c r="V620" s="6">
        <f t="shared" si="99"/>
        <v>3.2267083394829084</v>
      </c>
    </row>
    <row r="621" spans="1:22" x14ac:dyDescent="0.15">
      <c r="A621">
        <v>616</v>
      </c>
      <c r="B621" s="6">
        <f>首页!$B$4+2*A621/1000</f>
        <v>1.3519999999999999</v>
      </c>
      <c r="C621" s="6">
        <f>首页!$B$7+273.15</f>
        <v>388.15</v>
      </c>
      <c r="D621" s="6">
        <f>首页!$B$6+273.15</f>
        <v>293.14999999999998</v>
      </c>
      <c r="E621" s="6">
        <f>首页!$B$5+273.15</f>
        <v>1373.15</v>
      </c>
      <c r="F621" s="6">
        <f t="shared" si="90"/>
        <v>95</v>
      </c>
      <c r="G621" s="6">
        <f t="shared" si="91"/>
        <v>340.65</v>
      </c>
      <c r="H621" s="6">
        <f t="shared" si="92"/>
        <v>1.9926207055139041E-5</v>
      </c>
      <c r="I621" s="7">
        <f t="shared" si="93"/>
        <v>1158916576932337.8</v>
      </c>
      <c r="J621" s="6">
        <f t="shared" si="94"/>
        <v>1.0226038455893147</v>
      </c>
      <c r="K621" s="7">
        <f>J621*H621*首页!$B$12/P621</f>
        <v>0.69532757496605813</v>
      </c>
      <c r="L621" s="6">
        <f>首页!$B$9*0.0000000567*((C621^4-D621^4)/(C621-D621))</f>
        <v>7.7687338005019564</v>
      </c>
      <c r="M621" s="6">
        <f>IF(首页!$B$13="自然对流",IF(首页!$B$14="立式圆筒",首页!$B$10,PI()*B621/2),PI()*B621/2)</f>
        <v>55.2</v>
      </c>
      <c r="N621" s="7">
        <f>IF(首页!$B$13="强制对流",首页!$B$11*M621/H621,0)</f>
        <v>0</v>
      </c>
      <c r="O621" s="7">
        <f>IF(首页!$B$13="自然对流",IF(首页!$B$14="立式圆筒",(0.825+0.3063*I621^(1/6))^2+0.87*(M621/B621),(0.752+0.303*I621^(1/6))^2),0.3+SQRT((0.592*N621^0.5)^2+(0.0262*N621^0.8/(1-0.5/N621^0.1))^2))</f>
        <v>10054.728212994072</v>
      </c>
      <c r="P621" s="6">
        <f t="shared" si="95"/>
        <v>2.9510194925512497E-2</v>
      </c>
      <c r="Q621" s="6">
        <f t="shared" si="96"/>
        <v>5.3753077805888587</v>
      </c>
      <c r="R621" s="6">
        <f t="shared" si="97"/>
        <v>13.144041581090814</v>
      </c>
      <c r="S621" s="6">
        <f>IF($Y$2="按单位面积散热损失 qp",B621*LN(B621/首页!$B$4),LN(B621/首页!$B$4))</f>
        <v>3.274339190685807</v>
      </c>
      <c r="T621" s="6">
        <f>IF($Y$2="按单位面积散热损失 qp",2*PI()*首页!$B$8*((E621-D621)/$Y$3-1/R621),2*PI()*首页!$B$8*((E621-D621)/$Y$4-1/(PI()*B621*R621)))</f>
        <v>4.0788588154200799E-2</v>
      </c>
      <c r="U621" t="str">
        <f t="shared" si="98"/>
        <v>按单位面积散热损失 qp</v>
      </c>
      <c r="V621" s="6">
        <f t="shared" si="99"/>
        <v>3.2335506025316061</v>
      </c>
    </row>
    <row r="622" spans="1:22" x14ac:dyDescent="0.15">
      <c r="A622">
        <v>617</v>
      </c>
      <c r="B622" s="6">
        <f>首页!$B$4+2*A622/1000</f>
        <v>1.3540000000000001</v>
      </c>
      <c r="C622" s="6">
        <f>首页!$B$7+273.15</f>
        <v>388.15</v>
      </c>
      <c r="D622" s="6">
        <f>首页!$B$6+273.15</f>
        <v>293.14999999999998</v>
      </c>
      <c r="E622" s="6">
        <f>首页!$B$5+273.15</f>
        <v>1373.15</v>
      </c>
      <c r="F622" s="6">
        <f t="shared" si="90"/>
        <v>95</v>
      </c>
      <c r="G622" s="6">
        <f t="shared" si="91"/>
        <v>340.65</v>
      </c>
      <c r="H622" s="6">
        <f t="shared" si="92"/>
        <v>1.9926207055139041E-5</v>
      </c>
      <c r="I622" s="7">
        <f t="shared" si="93"/>
        <v>1158916576932337.8</v>
      </c>
      <c r="J622" s="6">
        <f t="shared" si="94"/>
        <v>1.0226038455893147</v>
      </c>
      <c r="K622" s="7">
        <f>J622*H622*首页!$B$12/P622</f>
        <v>0.69532757496605813</v>
      </c>
      <c r="L622" s="6">
        <f>首页!$B$9*0.0000000567*((C622^4-D622^4)/(C622-D622))</f>
        <v>7.7687338005019564</v>
      </c>
      <c r="M622" s="6">
        <f>IF(首页!$B$13="自然对流",IF(首页!$B$14="立式圆筒",首页!$B$10,PI()*B622/2),PI()*B622/2)</f>
        <v>55.2</v>
      </c>
      <c r="N622" s="7">
        <f>IF(首页!$B$13="强制对流",首页!$B$11*M622/H622,0)</f>
        <v>0</v>
      </c>
      <c r="O622" s="7">
        <f>IF(首页!$B$13="自然对流",IF(首页!$B$14="立式圆筒",(0.825+0.3063*I622^(1/6))^2+0.87*(M622/B622),(0.752+0.303*I622^(1/6))^2),0.3+SQRT((0.592*N622^0.5)^2+(0.0262*N622^0.8/(1-0.5/N622^0.1))^2))</f>
        <v>10054.675745180099</v>
      </c>
      <c r="P622" s="6">
        <f t="shared" si="95"/>
        <v>2.9510194925512497E-2</v>
      </c>
      <c r="Q622" s="6">
        <f t="shared" si="96"/>
        <v>5.3752797310341904</v>
      </c>
      <c r="R622" s="6">
        <f t="shared" si="97"/>
        <v>13.144013531536146</v>
      </c>
      <c r="S622" s="6">
        <f>IF($Y$2="按单位面积散热损失 qp",B622*LN(B622/首页!$B$4),LN(B622/首页!$B$4))</f>
        <v>3.2811843662744966</v>
      </c>
      <c r="T622" s="6">
        <f>IF($Y$2="按单位面积散热损失 qp",2*PI()*首页!$B$8*((E622-D622)/$Y$3-1/R622),2*PI()*首页!$B$8*((E622-D622)/$Y$4-1/(PI()*B622*R622)))</f>
        <v>4.0788542249048688E-2</v>
      </c>
      <c r="U622" t="str">
        <f t="shared" si="98"/>
        <v>按单位面积散热损失 qp</v>
      </c>
      <c r="V622" s="6">
        <f t="shared" si="99"/>
        <v>3.2403958240254478</v>
      </c>
    </row>
    <row r="623" spans="1:22" x14ac:dyDescent="0.15">
      <c r="A623">
        <v>618</v>
      </c>
      <c r="B623" s="6">
        <f>首页!$B$4+2*A623/1000</f>
        <v>1.3559999999999999</v>
      </c>
      <c r="C623" s="6">
        <f>首页!$B$7+273.15</f>
        <v>388.15</v>
      </c>
      <c r="D623" s="6">
        <f>首页!$B$6+273.15</f>
        <v>293.14999999999998</v>
      </c>
      <c r="E623" s="6">
        <f>首页!$B$5+273.15</f>
        <v>1373.15</v>
      </c>
      <c r="F623" s="6">
        <f t="shared" si="90"/>
        <v>95</v>
      </c>
      <c r="G623" s="6">
        <f t="shared" si="91"/>
        <v>340.65</v>
      </c>
      <c r="H623" s="6">
        <f t="shared" si="92"/>
        <v>1.9926207055139041E-5</v>
      </c>
      <c r="I623" s="7">
        <f t="shared" si="93"/>
        <v>1158916576932337.8</v>
      </c>
      <c r="J623" s="6">
        <f t="shared" si="94"/>
        <v>1.0226038455893147</v>
      </c>
      <c r="K623" s="7">
        <f>J623*H623*首页!$B$12/P623</f>
        <v>0.69532757496605813</v>
      </c>
      <c r="L623" s="6">
        <f>首页!$B$9*0.0000000567*((C623^4-D623^4)/(C623-D623))</f>
        <v>7.7687338005019564</v>
      </c>
      <c r="M623" s="6">
        <f>IF(首页!$B$13="自然对流",IF(首页!$B$14="立式圆筒",首页!$B$10,PI()*B623/2),PI()*B623/2)</f>
        <v>55.2</v>
      </c>
      <c r="N623" s="7">
        <f>IF(首页!$B$13="强制对流",首页!$B$11*M623/H623,0)</f>
        <v>0</v>
      </c>
      <c r="O623" s="7">
        <f>IF(首页!$B$13="自然对流",IF(首页!$B$14="立式圆筒",(0.825+0.3063*I623^(1/6))^2+0.87*(M623/B623),(0.752+0.303*I623^(1/6))^2),0.3+SQRT((0.592*N623^0.5)^2+(0.0262*N623^0.8/(1-0.5/N623^0.1))^2))</f>
        <v>10054.62343213844</v>
      </c>
      <c r="P623" s="6">
        <f t="shared" si="95"/>
        <v>2.9510194925512497E-2</v>
      </c>
      <c r="Q623" s="6">
        <f t="shared" si="96"/>
        <v>5.3752517642215727</v>
      </c>
      <c r="R623" s="6">
        <f t="shared" si="97"/>
        <v>13.143985564723529</v>
      </c>
      <c r="S623" s="6">
        <f>IF($Y$2="按单位面积散热损失 qp",B623*LN(B623/首页!$B$4),LN(B623/首页!$B$4))</f>
        <v>3.2880324960740075</v>
      </c>
      <c r="T623" s="6">
        <f>IF($Y$2="按单位面积散热损失 qp",2*PI()*首页!$B$8*((E623-D623)/$Y$3-1/R623),2*PI()*首页!$B$8*((E623-D623)/$Y$4-1/(PI()*B623*R623)))</f>
        <v>4.078849647911495E-2</v>
      </c>
      <c r="U623" t="str">
        <f t="shared" si="98"/>
        <v>按单位面积散热损失 qp</v>
      </c>
      <c r="V623" s="6">
        <f t="shared" si="99"/>
        <v>3.2472439995948927</v>
      </c>
    </row>
    <row r="624" spans="1:22" x14ac:dyDescent="0.15">
      <c r="A624">
        <v>619</v>
      </c>
      <c r="B624" s="6">
        <f>首页!$B$4+2*A624/1000</f>
        <v>1.3580000000000001</v>
      </c>
      <c r="C624" s="6">
        <f>首页!$B$7+273.15</f>
        <v>388.15</v>
      </c>
      <c r="D624" s="6">
        <f>首页!$B$6+273.15</f>
        <v>293.14999999999998</v>
      </c>
      <c r="E624" s="6">
        <f>首页!$B$5+273.15</f>
        <v>1373.15</v>
      </c>
      <c r="F624" s="6">
        <f t="shared" si="90"/>
        <v>95</v>
      </c>
      <c r="G624" s="6">
        <f t="shared" si="91"/>
        <v>340.65</v>
      </c>
      <c r="H624" s="6">
        <f t="shared" si="92"/>
        <v>1.9926207055139041E-5</v>
      </c>
      <c r="I624" s="7">
        <f t="shared" si="93"/>
        <v>1158916576932337.8</v>
      </c>
      <c r="J624" s="6">
        <f t="shared" si="94"/>
        <v>1.0226038455893147</v>
      </c>
      <c r="K624" s="7">
        <f>J624*H624*首页!$B$12/P624</f>
        <v>0.69532757496605813</v>
      </c>
      <c r="L624" s="6">
        <f>首页!$B$9*0.0000000567*((C624^4-D624^4)/(C624-D624))</f>
        <v>7.7687338005019564</v>
      </c>
      <c r="M624" s="6">
        <f>IF(首页!$B$13="自然对流",IF(首页!$B$14="立式圆筒",首页!$B$10,PI()*B624/2),PI()*B624/2)</f>
        <v>55.2</v>
      </c>
      <c r="N624" s="7">
        <f>IF(首页!$B$13="强制对流",首页!$B$11*M624/H624,0)</f>
        <v>0</v>
      </c>
      <c r="O624" s="7">
        <f>IF(首页!$B$13="自然对流",IF(首页!$B$14="立式圆筒",(0.825+0.3063*I624^(1/6))^2+0.87*(M624/B624),(0.752+0.303*I624^(1/6))^2),0.3+SQRT((0.592*N624^0.5)^2+(0.0262*N624^0.8/(1-0.5/N624^0.1))^2))</f>
        <v>10054.571273185267</v>
      </c>
      <c r="P624" s="6">
        <f t="shared" si="95"/>
        <v>2.9510194925512497E-2</v>
      </c>
      <c r="Q624" s="6">
        <f t="shared" si="96"/>
        <v>5.3752238797854277</v>
      </c>
      <c r="R624" s="6">
        <f t="shared" si="97"/>
        <v>13.143957680287384</v>
      </c>
      <c r="S624" s="6">
        <f>IF($Y$2="按单位面积散热损失 qp",B624*LN(B624/首页!$B$4),LN(B624/首页!$B$4))</f>
        <v>3.2948835757270967</v>
      </c>
      <c r="T624" s="6">
        <f>IF($Y$2="按单位面积散热损失 qp",2*PI()*首页!$B$8*((E624-D624)/$Y$3-1/R624),2*PI()*首页!$B$8*((E624-D624)/$Y$4-1/(PI()*B624*R624)))</f>
        <v>4.0788450843803011E-2</v>
      </c>
      <c r="U624" t="str">
        <f t="shared" si="98"/>
        <v>按单位面积散热损失 qp</v>
      </c>
      <c r="V624" s="6">
        <f t="shared" si="99"/>
        <v>3.2540951248832934</v>
      </c>
    </row>
    <row r="625" spans="1:22" x14ac:dyDescent="0.15">
      <c r="A625">
        <v>620</v>
      </c>
      <c r="B625" s="6">
        <f>首页!$B$4+2*A625/1000</f>
        <v>1.3599999999999999</v>
      </c>
      <c r="C625" s="6">
        <f>首页!$B$7+273.15</f>
        <v>388.15</v>
      </c>
      <c r="D625" s="6">
        <f>首页!$B$6+273.15</f>
        <v>293.14999999999998</v>
      </c>
      <c r="E625" s="6">
        <f>首页!$B$5+273.15</f>
        <v>1373.15</v>
      </c>
      <c r="F625" s="6">
        <f t="shared" si="90"/>
        <v>95</v>
      </c>
      <c r="G625" s="6">
        <f t="shared" si="91"/>
        <v>340.65</v>
      </c>
      <c r="H625" s="6">
        <f t="shared" si="92"/>
        <v>1.9926207055139041E-5</v>
      </c>
      <c r="I625" s="7">
        <f t="shared" si="93"/>
        <v>1158916576932337.8</v>
      </c>
      <c r="J625" s="6">
        <f t="shared" si="94"/>
        <v>1.0226038455893147</v>
      </c>
      <c r="K625" s="7">
        <f>J625*H625*首页!$B$12/P625</f>
        <v>0.69532757496605813</v>
      </c>
      <c r="L625" s="6">
        <f>首页!$B$9*0.0000000567*((C625^4-D625^4)/(C625-D625))</f>
        <v>7.7687338005019564</v>
      </c>
      <c r="M625" s="6">
        <f>IF(首页!$B$13="自然对流",IF(首页!$B$14="立式圆筒",首页!$B$10,PI()*B625/2),PI()*B625/2)</f>
        <v>55.2</v>
      </c>
      <c r="N625" s="7">
        <f>IF(首页!$B$13="强制对流",首页!$B$11*M625/H625,0)</f>
        <v>0</v>
      </c>
      <c r="O625" s="7">
        <f>IF(首页!$B$13="自然对流",IF(首页!$B$14="立式圆筒",(0.825+0.3063*I625^(1/6))^2+0.87*(M625/B625),(0.752+0.303*I625^(1/6))^2),0.3+SQRT((0.592*N625^0.5)^2+(0.0262*N625^0.8/(1-0.5/N625^0.1))^2))</f>
        <v>10054.519267640782</v>
      </c>
      <c r="P625" s="6">
        <f t="shared" si="95"/>
        <v>2.9510194925512497E-2</v>
      </c>
      <c r="Q625" s="6">
        <f t="shared" si="96"/>
        <v>5.3751960773623297</v>
      </c>
      <c r="R625" s="6">
        <f t="shared" si="97"/>
        <v>13.143929877864286</v>
      </c>
      <c r="S625" s="6">
        <f>IF($Y$2="按单位面积散热损失 qp",B625*LN(B625/首页!$B$4),LN(B625/首页!$B$4))</f>
        <v>3.30173760088935</v>
      </c>
      <c r="T625" s="6">
        <f>IF($Y$2="按单位面积散热损失 qp",2*PI()*首页!$B$8*((E625-D625)/$Y$3-1/R625),2*PI()*首页!$B$8*((E625-D625)/$Y$4-1/(PI()*B625*R625)))</f>
        <v>4.0788405342519797E-2</v>
      </c>
      <c r="U625" t="str">
        <f t="shared" si="98"/>
        <v>按单位面积散热损失 qp</v>
      </c>
      <c r="V625" s="6">
        <f t="shared" si="99"/>
        <v>3.2609491955468304</v>
      </c>
    </row>
    <row r="626" spans="1:22" x14ac:dyDescent="0.15">
      <c r="A626">
        <v>621</v>
      </c>
      <c r="B626" s="6">
        <f>首页!$B$4+2*A626/1000</f>
        <v>1.3620000000000001</v>
      </c>
      <c r="C626" s="6">
        <f>首页!$B$7+273.15</f>
        <v>388.15</v>
      </c>
      <c r="D626" s="6">
        <f>首页!$B$6+273.15</f>
        <v>293.14999999999998</v>
      </c>
      <c r="E626" s="6">
        <f>首页!$B$5+273.15</f>
        <v>1373.15</v>
      </c>
      <c r="F626" s="6">
        <f t="shared" si="90"/>
        <v>95</v>
      </c>
      <c r="G626" s="6">
        <f t="shared" si="91"/>
        <v>340.65</v>
      </c>
      <c r="H626" s="6">
        <f t="shared" si="92"/>
        <v>1.9926207055139041E-5</v>
      </c>
      <c r="I626" s="7">
        <f t="shared" si="93"/>
        <v>1158916576932337.8</v>
      </c>
      <c r="J626" s="6">
        <f t="shared" si="94"/>
        <v>1.0226038455893147</v>
      </c>
      <c r="K626" s="7">
        <f>J626*H626*首页!$B$12/P626</f>
        <v>0.69532757496605813</v>
      </c>
      <c r="L626" s="6">
        <f>首页!$B$9*0.0000000567*((C626^4-D626^4)/(C626-D626))</f>
        <v>7.7687338005019564</v>
      </c>
      <c r="M626" s="6">
        <f>IF(首页!$B$13="自然对流",IF(首页!$B$14="立式圆筒",首页!$B$10,PI()*B626/2),PI()*B626/2)</f>
        <v>55.2</v>
      </c>
      <c r="N626" s="7">
        <f>IF(首页!$B$13="强制对流",首页!$B$11*M626/H626,0)</f>
        <v>0</v>
      </c>
      <c r="O626" s="7">
        <f>IF(首页!$B$13="自然对流",IF(首页!$B$14="立式圆筒",(0.825+0.3063*I626^(1/6))^2+0.87*(M626/B626),(0.752+0.303*I626^(1/6))^2),0.3+SQRT((0.592*N626^0.5)^2+(0.0262*N626^0.8/(1-0.5/N626^0.1))^2))</f>
        <v>10054.467414829172</v>
      </c>
      <c r="P626" s="6">
        <f t="shared" si="95"/>
        <v>2.9510194925512497E-2</v>
      </c>
      <c r="Q626" s="6">
        <f t="shared" si="96"/>
        <v>5.3751683565909891</v>
      </c>
      <c r="R626" s="6">
        <f t="shared" si="97"/>
        <v>13.143902157092946</v>
      </c>
      <c r="S626" s="6">
        <f>IF($Y$2="按单位面积散热损失 qp",B626*LN(B626/首页!$B$4),LN(B626/首页!$B$4))</f>
        <v>3.308594567229135</v>
      </c>
      <c r="T626" s="6">
        <f>IF($Y$2="按单位面积散热损失 qp",2*PI()*首页!$B$8*((E626-D626)/$Y$3-1/R626),2*PI()*首页!$B$8*((E626-D626)/$Y$4-1/(PI()*B626*R626)))</f>
        <v>4.0788359974675732E-2</v>
      </c>
      <c r="U626" t="str">
        <f t="shared" si="98"/>
        <v>按单位面积散热损失 qp</v>
      </c>
      <c r="V626" s="6">
        <f t="shared" si="99"/>
        <v>3.2678062072544591</v>
      </c>
    </row>
    <row r="627" spans="1:22" x14ac:dyDescent="0.15">
      <c r="A627">
        <v>622</v>
      </c>
      <c r="B627" s="6">
        <f>首页!$B$4+2*A627/1000</f>
        <v>1.3639999999999999</v>
      </c>
      <c r="C627" s="6">
        <f>首页!$B$7+273.15</f>
        <v>388.15</v>
      </c>
      <c r="D627" s="6">
        <f>首页!$B$6+273.15</f>
        <v>293.14999999999998</v>
      </c>
      <c r="E627" s="6">
        <f>首页!$B$5+273.15</f>
        <v>1373.15</v>
      </c>
      <c r="F627" s="6">
        <f t="shared" si="90"/>
        <v>95</v>
      </c>
      <c r="G627" s="6">
        <f t="shared" si="91"/>
        <v>340.65</v>
      </c>
      <c r="H627" s="6">
        <f t="shared" si="92"/>
        <v>1.9926207055139041E-5</v>
      </c>
      <c r="I627" s="7">
        <f t="shared" si="93"/>
        <v>1158916576932337.8</v>
      </c>
      <c r="J627" s="6">
        <f t="shared" si="94"/>
        <v>1.0226038455893147</v>
      </c>
      <c r="K627" s="7">
        <f>J627*H627*首页!$B$12/P627</f>
        <v>0.69532757496605813</v>
      </c>
      <c r="L627" s="6">
        <f>首页!$B$9*0.0000000567*((C627^4-D627^4)/(C627-D627))</f>
        <v>7.7687338005019564</v>
      </c>
      <c r="M627" s="6">
        <f>IF(首页!$B$13="自然对流",IF(首页!$B$14="立式圆筒",首页!$B$10,PI()*B627/2),PI()*B627/2)</f>
        <v>55.2</v>
      </c>
      <c r="N627" s="7">
        <f>IF(首页!$B$13="强制对流",首页!$B$11*M627/H627,0)</f>
        <v>0</v>
      </c>
      <c r="O627" s="7">
        <f>IF(首页!$B$13="自然对流",IF(首页!$B$14="立式圆筒",(0.825+0.3063*I627^(1/6))^2+0.87*(M627/B627),(0.752+0.303*I627^(1/6))^2),0.3+SQRT((0.592*N627^0.5)^2+(0.0262*N627^0.8/(1-0.5/N627^0.1))^2))</f>
        <v>10054.415714078596</v>
      </c>
      <c r="P627" s="6">
        <f t="shared" si="95"/>
        <v>2.9510194925512497E-2</v>
      </c>
      <c r="Q627" s="6">
        <f t="shared" si="96"/>
        <v>5.3751407171122327</v>
      </c>
      <c r="R627" s="6">
        <f t="shared" si="97"/>
        <v>13.14387451761419</v>
      </c>
      <c r="S627" s="6">
        <f>IF($Y$2="按单位面积散热损失 qp",B627*LN(B627/首页!$B$4),LN(B627/首页!$B$4))</f>
        <v>3.3154544704275368</v>
      </c>
      <c r="T627" s="6">
        <f>IF($Y$2="按单位面积散热损失 qp",2*PI()*首页!$B$8*((E627-D627)/$Y$3-1/R627),2*PI()*首页!$B$8*((E627-D627)/$Y$4-1/(PI()*B627*R627)))</f>
        <v>4.0788314739684667E-2</v>
      </c>
      <c r="U627" t="str">
        <f t="shared" si="98"/>
        <v>按单位面积散热损失 qp</v>
      </c>
      <c r="V627" s="6">
        <f t="shared" si="99"/>
        <v>3.2746661556878522</v>
      </c>
    </row>
    <row r="628" spans="1:22" x14ac:dyDescent="0.15">
      <c r="A628">
        <v>623</v>
      </c>
      <c r="B628" s="6">
        <f>首页!$B$4+2*A628/1000</f>
        <v>1.3660000000000001</v>
      </c>
      <c r="C628" s="6">
        <f>首页!$B$7+273.15</f>
        <v>388.15</v>
      </c>
      <c r="D628" s="6">
        <f>首页!$B$6+273.15</f>
        <v>293.14999999999998</v>
      </c>
      <c r="E628" s="6">
        <f>首页!$B$5+273.15</f>
        <v>1373.15</v>
      </c>
      <c r="F628" s="6">
        <f t="shared" si="90"/>
        <v>95</v>
      </c>
      <c r="G628" s="6">
        <f t="shared" si="91"/>
        <v>340.65</v>
      </c>
      <c r="H628" s="6">
        <f t="shared" si="92"/>
        <v>1.9926207055139041E-5</v>
      </c>
      <c r="I628" s="7">
        <f t="shared" si="93"/>
        <v>1158916576932337.8</v>
      </c>
      <c r="J628" s="6">
        <f t="shared" si="94"/>
        <v>1.0226038455893147</v>
      </c>
      <c r="K628" s="7">
        <f>J628*H628*首页!$B$12/P628</f>
        <v>0.69532757496605813</v>
      </c>
      <c r="L628" s="6">
        <f>首页!$B$9*0.0000000567*((C628^4-D628^4)/(C628-D628))</f>
        <v>7.7687338005019564</v>
      </c>
      <c r="M628" s="6">
        <f>IF(首页!$B$13="自然对流",IF(首页!$B$14="立式圆筒",首页!$B$10,PI()*B628/2),PI()*B628/2)</f>
        <v>55.2</v>
      </c>
      <c r="N628" s="7">
        <f>IF(首页!$B$13="强制对流",首页!$B$11*M628/H628,0)</f>
        <v>0</v>
      </c>
      <c r="O628" s="7">
        <f>IF(首页!$B$13="自然对流",IF(首页!$B$14="立式圆筒",(0.825+0.3063*I628^(1/6))^2+0.87*(M628/B628),(0.752+0.303*I628^(1/6))^2),0.3+SQRT((0.592*N628^0.5)^2+(0.0262*N628^0.8/(1-0.5/N628^0.1))^2))</f>
        <v>10054.364164721137</v>
      </c>
      <c r="P628" s="6">
        <f t="shared" si="95"/>
        <v>2.9510194925512497E-2</v>
      </c>
      <c r="Q628" s="6">
        <f t="shared" si="96"/>
        <v>5.3751131585689924</v>
      </c>
      <c r="R628" s="6">
        <f t="shared" si="97"/>
        <v>13.143846959070949</v>
      </c>
      <c r="S628" s="6">
        <f>IF($Y$2="按单位面积散热损失 qp",B628*LN(B628/首页!$B$4),LN(B628/首页!$B$4))</f>
        <v>3.3223173061783102</v>
      </c>
      <c r="T628" s="6">
        <f>IF($Y$2="按单位面积散热损失 qp",2*PI()*首页!$B$8*((E628-D628)/$Y$3-1/R628),2*PI()*首页!$B$8*((E628-D628)/$Y$4-1/(PI()*B628*R628)))</f>
        <v>4.0788269636963914E-2</v>
      </c>
      <c r="U628" t="str">
        <f t="shared" si="98"/>
        <v>按单位面积散热损失 qp</v>
      </c>
      <c r="V628" s="6">
        <f t="shared" si="99"/>
        <v>3.2815290365413463</v>
      </c>
    </row>
    <row r="629" spans="1:22" x14ac:dyDescent="0.15">
      <c r="A629">
        <v>624</v>
      </c>
      <c r="B629" s="6">
        <f>首页!$B$4+2*A629/1000</f>
        <v>1.3679999999999999</v>
      </c>
      <c r="C629" s="6">
        <f>首页!$B$7+273.15</f>
        <v>388.15</v>
      </c>
      <c r="D629" s="6">
        <f>首页!$B$6+273.15</f>
        <v>293.14999999999998</v>
      </c>
      <c r="E629" s="6">
        <f>首页!$B$5+273.15</f>
        <v>1373.15</v>
      </c>
      <c r="F629" s="6">
        <f t="shared" si="90"/>
        <v>95</v>
      </c>
      <c r="G629" s="6">
        <f t="shared" si="91"/>
        <v>340.65</v>
      </c>
      <c r="H629" s="6">
        <f t="shared" si="92"/>
        <v>1.9926207055139041E-5</v>
      </c>
      <c r="I629" s="7">
        <f t="shared" si="93"/>
        <v>1158916576932337.8</v>
      </c>
      <c r="J629" s="6">
        <f t="shared" si="94"/>
        <v>1.0226038455893147</v>
      </c>
      <c r="K629" s="7">
        <f>J629*H629*首页!$B$12/P629</f>
        <v>0.69532757496605813</v>
      </c>
      <c r="L629" s="6">
        <f>首页!$B$9*0.0000000567*((C629^4-D629^4)/(C629-D629))</f>
        <v>7.7687338005019564</v>
      </c>
      <c r="M629" s="6">
        <f>IF(首页!$B$13="自然对流",IF(首页!$B$14="立式圆筒",首页!$B$10,PI()*B629/2),PI()*B629/2)</f>
        <v>55.2</v>
      </c>
      <c r="N629" s="7">
        <f>IF(首页!$B$13="强制对流",首页!$B$11*M629/H629,0)</f>
        <v>0</v>
      </c>
      <c r="O629" s="7">
        <f>IF(首页!$B$13="自然对流",IF(首页!$B$14="立式圆筒",(0.825+0.3063*I629^(1/6))^2+0.87*(M629/B629),(0.752+0.303*I629^(1/6))^2),0.3+SQRT((0.592*N629^0.5)^2+(0.0262*N629^0.8/(1-0.5/N629^0.1))^2))</f>
        <v>10054.312766092795</v>
      </c>
      <c r="P629" s="6">
        <f t="shared" si="95"/>
        <v>2.9510194925512497E-2</v>
      </c>
      <c r="Q629" s="6">
        <f t="shared" si="96"/>
        <v>5.3750856806062881</v>
      </c>
      <c r="R629" s="6">
        <f t="shared" si="97"/>
        <v>13.143819481108245</v>
      </c>
      <c r="S629" s="6">
        <f>IF($Y$2="按单位面积散热损失 qp",B629*LN(B629/首页!$B$4),LN(B629/首页!$B$4))</f>
        <v>3.3291830701878151</v>
      </c>
      <c r="T629" s="6">
        <f>IF($Y$2="按单位面积散热损失 qp",2*PI()*首页!$B$8*((E629-D629)/$Y$3-1/R629),2*PI()*首页!$B$8*((E629-D629)/$Y$4-1/(PI()*B629*R629)))</f>
        <v>4.0788224665934146E-2</v>
      </c>
      <c r="U629" t="str">
        <f t="shared" si="98"/>
        <v>按单位面积散热损失 qp</v>
      </c>
      <c r="V629" s="6">
        <f t="shared" si="99"/>
        <v>3.2883948455218808</v>
      </c>
    </row>
    <row r="630" spans="1:22" x14ac:dyDescent="0.15">
      <c r="A630">
        <v>625</v>
      </c>
      <c r="B630" s="6">
        <f>首页!$B$4+2*A630/1000</f>
        <v>1.37</v>
      </c>
      <c r="C630" s="6">
        <f>首页!$B$7+273.15</f>
        <v>388.15</v>
      </c>
      <c r="D630" s="6">
        <f>首页!$B$6+273.15</f>
        <v>293.14999999999998</v>
      </c>
      <c r="E630" s="6">
        <f>首页!$B$5+273.15</f>
        <v>1373.15</v>
      </c>
      <c r="F630" s="6">
        <f t="shared" si="90"/>
        <v>95</v>
      </c>
      <c r="G630" s="6">
        <f t="shared" si="91"/>
        <v>340.65</v>
      </c>
      <c r="H630" s="6">
        <f t="shared" si="92"/>
        <v>1.9926207055139041E-5</v>
      </c>
      <c r="I630" s="7">
        <f t="shared" si="93"/>
        <v>1158916576932337.8</v>
      </c>
      <c r="J630" s="6">
        <f t="shared" si="94"/>
        <v>1.0226038455893147</v>
      </c>
      <c r="K630" s="7">
        <f>J630*H630*首页!$B$12/P630</f>
        <v>0.69532757496605813</v>
      </c>
      <c r="L630" s="6">
        <f>首页!$B$9*0.0000000567*((C630^4-D630^4)/(C630-D630))</f>
        <v>7.7687338005019564</v>
      </c>
      <c r="M630" s="6">
        <f>IF(首页!$B$13="自然对流",IF(首页!$B$14="立式圆筒",首页!$B$10,PI()*B630/2),PI()*B630/2)</f>
        <v>55.2</v>
      </c>
      <c r="N630" s="7">
        <f>IF(首页!$B$13="强制对流",首页!$B$11*M630/H630,0)</f>
        <v>0</v>
      </c>
      <c r="O630" s="7">
        <f>IF(首页!$B$13="自然对流",IF(首页!$B$14="立式圆筒",(0.825+0.3063*I630^(1/6))^2+0.87*(M630/B630),(0.752+0.303*I630^(1/6))^2),0.3+SQRT((0.592*N630^0.5)^2+(0.0262*N630^0.8/(1-0.5/N630^0.1))^2))</f>
        <v>10054.261517533439</v>
      </c>
      <c r="P630" s="6">
        <f t="shared" si="95"/>
        <v>2.9510194925512497E-2</v>
      </c>
      <c r="Q630" s="6">
        <f t="shared" si="96"/>
        <v>5.3750582828712119</v>
      </c>
      <c r="R630" s="6">
        <f t="shared" si="97"/>
        <v>13.143792083373167</v>
      </c>
      <c r="S630" s="6">
        <f>IF($Y$2="按单位面积散热损失 qp",B630*LN(B630/首页!$B$4),LN(B630/首页!$B$4))</f>
        <v>3.3360517581749711</v>
      </c>
      <c r="T630" s="6">
        <f>IF($Y$2="按单位面积散热损失 qp",2*PI()*首页!$B$8*((E630-D630)/$Y$3-1/R630),2*PI()*首页!$B$8*((E630-D630)/$Y$4-1/(PI()*B630*R630)))</f>
        <v>4.0788179826019455E-2</v>
      </c>
      <c r="U630" t="str">
        <f t="shared" si="98"/>
        <v>按单位面积散热损失 qp</v>
      </c>
      <c r="V630" s="6">
        <f t="shared" si="99"/>
        <v>3.2952635783489517</v>
      </c>
    </row>
    <row r="631" spans="1:22" x14ac:dyDescent="0.15">
      <c r="A631">
        <v>626</v>
      </c>
      <c r="B631" s="6">
        <f>首页!$B$4+2*A631/1000</f>
        <v>1.3719999999999999</v>
      </c>
      <c r="C631" s="6">
        <f>首页!$B$7+273.15</f>
        <v>388.15</v>
      </c>
      <c r="D631" s="6">
        <f>首页!$B$6+273.15</f>
        <v>293.14999999999998</v>
      </c>
      <c r="E631" s="6">
        <f>首页!$B$5+273.15</f>
        <v>1373.15</v>
      </c>
      <c r="F631" s="6">
        <f t="shared" si="90"/>
        <v>95</v>
      </c>
      <c r="G631" s="6">
        <f t="shared" si="91"/>
        <v>340.65</v>
      </c>
      <c r="H631" s="6">
        <f t="shared" si="92"/>
        <v>1.9926207055139041E-5</v>
      </c>
      <c r="I631" s="7">
        <f t="shared" si="93"/>
        <v>1158916576932337.8</v>
      </c>
      <c r="J631" s="6">
        <f t="shared" si="94"/>
        <v>1.0226038455893147</v>
      </c>
      <c r="K631" s="7">
        <f>J631*H631*首页!$B$12/P631</f>
        <v>0.69532757496605813</v>
      </c>
      <c r="L631" s="6">
        <f>首页!$B$9*0.0000000567*((C631^4-D631^4)/(C631-D631))</f>
        <v>7.7687338005019564</v>
      </c>
      <c r="M631" s="6">
        <f>IF(首页!$B$13="自然对流",IF(首页!$B$14="立式圆筒",首页!$B$10,PI()*B631/2),PI()*B631/2)</f>
        <v>55.2</v>
      </c>
      <c r="N631" s="7">
        <f>IF(首页!$B$13="强制对流",首页!$B$11*M631/H631,0)</f>
        <v>0</v>
      </c>
      <c r="O631" s="7">
        <f>IF(首页!$B$13="自然对流",IF(首页!$B$14="立式圆筒",(0.825+0.3063*I631^(1/6))^2+0.87*(M631/B631),(0.752+0.303*I631^(1/6))^2),0.3+SQRT((0.592*N631^0.5)^2+(0.0262*N631^0.8/(1-0.5/N631^0.1))^2))</f>
        <v>10054.210418386794</v>
      </c>
      <c r="P631" s="6">
        <f t="shared" si="95"/>
        <v>2.9510194925512497E-2</v>
      </c>
      <c r="Q631" s="6">
        <f t="shared" si="96"/>
        <v>5.3750309650129129</v>
      </c>
      <c r="R631" s="6">
        <f t="shared" si="97"/>
        <v>13.14376476551487</v>
      </c>
      <c r="S631" s="6">
        <f>IF($Y$2="按单位面积散热损失 qp",B631*LN(B631/首页!$B$4),LN(B631/首页!$B$4))</f>
        <v>3.3429233658711919</v>
      </c>
      <c r="T631" s="6">
        <f>IF($Y$2="按单位面积散热损失 qp",2*PI()*首页!$B$8*((E631-D631)/$Y$3-1/R631),2*PI()*首页!$B$8*((E631-D631)/$Y$4-1/(PI()*B631*R631)))</f>
        <v>4.0788135116647251E-2</v>
      </c>
      <c r="U631" t="str">
        <f t="shared" si="98"/>
        <v>按单位面积散热损失 qp</v>
      </c>
      <c r="V631" s="6">
        <f t="shared" si="99"/>
        <v>3.3021352307545446</v>
      </c>
    </row>
    <row r="632" spans="1:22" x14ac:dyDescent="0.15">
      <c r="A632">
        <v>627</v>
      </c>
      <c r="B632" s="6">
        <f>首页!$B$4+2*A632/1000</f>
        <v>1.3740000000000001</v>
      </c>
      <c r="C632" s="6">
        <f>首页!$B$7+273.15</f>
        <v>388.15</v>
      </c>
      <c r="D632" s="6">
        <f>首页!$B$6+273.15</f>
        <v>293.14999999999998</v>
      </c>
      <c r="E632" s="6">
        <f>首页!$B$5+273.15</f>
        <v>1373.15</v>
      </c>
      <c r="F632" s="6">
        <f t="shared" si="90"/>
        <v>95</v>
      </c>
      <c r="G632" s="6">
        <f t="shared" si="91"/>
        <v>340.65</v>
      </c>
      <c r="H632" s="6">
        <f t="shared" si="92"/>
        <v>1.9926207055139041E-5</v>
      </c>
      <c r="I632" s="7">
        <f t="shared" si="93"/>
        <v>1158916576932337.8</v>
      </c>
      <c r="J632" s="6">
        <f t="shared" si="94"/>
        <v>1.0226038455893147</v>
      </c>
      <c r="K632" s="7">
        <f>J632*H632*首页!$B$12/P632</f>
        <v>0.69532757496605813</v>
      </c>
      <c r="L632" s="6">
        <f>首页!$B$9*0.0000000567*((C632^4-D632^4)/(C632-D632))</f>
        <v>7.7687338005019564</v>
      </c>
      <c r="M632" s="6">
        <f>IF(首页!$B$13="自然对流",IF(首页!$B$14="立式圆筒",首页!$B$10,PI()*B632/2),PI()*B632/2)</f>
        <v>55.2</v>
      </c>
      <c r="N632" s="7">
        <f>IF(首页!$B$13="强制对流",首页!$B$11*M632/H632,0)</f>
        <v>0</v>
      </c>
      <c r="O632" s="7">
        <f>IF(首页!$B$13="自然对流",IF(首页!$B$14="立式圆筒",(0.825+0.3063*I632^(1/6))^2+0.87*(M632/B632),(0.752+0.303*I632^(1/6))^2),0.3+SQRT((0.592*N632^0.5)^2+(0.0262*N632^0.8/(1-0.5/N632^0.1))^2))</f>
        <v>10054.159468000402</v>
      </c>
      <c r="P632" s="6">
        <f t="shared" si="95"/>
        <v>2.9510194925512497E-2</v>
      </c>
      <c r="Q632" s="6">
        <f t="shared" si="96"/>
        <v>5.3750037266825883</v>
      </c>
      <c r="R632" s="6">
        <f t="shared" si="97"/>
        <v>13.143737527184545</v>
      </c>
      <c r="S632" s="6">
        <f>IF($Y$2="按单位面积散热损失 qp",B632*LN(B632/首页!$B$4),LN(B632/首页!$B$4))</f>
        <v>3.3497978890203419</v>
      </c>
      <c r="T632" s="6">
        <f>IF($Y$2="按单位面积散热损失 qp",2*PI()*首页!$B$8*((E632-D632)/$Y$3-1/R632),2*PI()*首页!$B$8*((E632-D632)/$Y$4-1/(PI()*B632*R632)))</f>
        <v>4.0788090537248307E-2</v>
      </c>
      <c r="U632" t="str">
        <f t="shared" si="98"/>
        <v>按单位面积散热损失 qp</v>
      </c>
      <c r="V632" s="6">
        <f t="shared" si="99"/>
        <v>3.3090097984830935</v>
      </c>
    </row>
    <row r="633" spans="1:22" x14ac:dyDescent="0.15">
      <c r="A633">
        <v>628</v>
      </c>
      <c r="B633" s="6">
        <f>首页!$B$4+2*A633/1000</f>
        <v>1.3759999999999999</v>
      </c>
      <c r="C633" s="6">
        <f>首页!$B$7+273.15</f>
        <v>388.15</v>
      </c>
      <c r="D633" s="6">
        <f>首页!$B$6+273.15</f>
        <v>293.14999999999998</v>
      </c>
      <c r="E633" s="6">
        <f>首页!$B$5+273.15</f>
        <v>1373.15</v>
      </c>
      <c r="F633" s="6">
        <f t="shared" si="90"/>
        <v>95</v>
      </c>
      <c r="G633" s="6">
        <f t="shared" si="91"/>
        <v>340.65</v>
      </c>
      <c r="H633" s="6">
        <f t="shared" si="92"/>
        <v>1.9926207055139041E-5</v>
      </c>
      <c r="I633" s="7">
        <f t="shared" si="93"/>
        <v>1158916576932337.8</v>
      </c>
      <c r="J633" s="6">
        <f t="shared" si="94"/>
        <v>1.0226038455893147</v>
      </c>
      <c r="K633" s="7">
        <f>J633*H633*首页!$B$12/P633</f>
        <v>0.69532757496605813</v>
      </c>
      <c r="L633" s="6">
        <f>首页!$B$9*0.0000000567*((C633^4-D633^4)/(C633-D633))</f>
        <v>7.7687338005019564</v>
      </c>
      <c r="M633" s="6">
        <f>IF(首页!$B$13="自然对流",IF(首页!$B$14="立式圆筒",首页!$B$10,PI()*B633/2),PI()*B633/2)</f>
        <v>55.2</v>
      </c>
      <c r="N633" s="7">
        <f>IF(首页!$B$13="强制对流",首页!$B$11*M633/H633,0)</f>
        <v>0</v>
      </c>
      <c r="O633" s="7">
        <f>IF(首页!$B$13="自然对流",IF(首页!$B$14="立式圆筒",(0.825+0.3063*I633^(1/6))^2+0.87*(M633/B633),(0.752+0.303*I633^(1/6))^2),0.3+SQRT((0.592*N633^0.5)^2+(0.0262*N633^0.8/(1-0.5/N633^0.1))^2))</f>
        <v>10054.108665725598</v>
      </c>
      <c r="P633" s="6">
        <f t="shared" si="95"/>
        <v>2.9510194925512497E-2</v>
      </c>
      <c r="Q633" s="6">
        <f t="shared" si="96"/>
        <v>5.3749765675334551</v>
      </c>
      <c r="R633" s="6">
        <f t="shared" si="97"/>
        <v>13.143710368035411</v>
      </c>
      <c r="S633" s="6">
        <f>IF($Y$2="按单位面积散热损失 qp",B633*LN(B633/首页!$B$4),LN(B633/首页!$B$4))</f>
        <v>3.3566753233786701</v>
      </c>
      <c r="T633" s="6">
        <f>IF($Y$2="按单位面积散热损失 qp",2*PI()*首页!$B$8*((E633-D633)/$Y$3-1/R633),2*PI()*首页!$B$8*((E633-D633)/$Y$4-1/(PI()*B633*R633)))</f>
        <v>4.0788046087256676E-2</v>
      </c>
      <c r="U633" t="str">
        <f t="shared" si="98"/>
        <v>按单位面积散热损失 qp</v>
      </c>
      <c r="V633" s="6">
        <f t="shared" si="99"/>
        <v>3.3158872772914134</v>
      </c>
    </row>
    <row r="634" spans="1:22" x14ac:dyDescent="0.15">
      <c r="A634">
        <v>629</v>
      </c>
      <c r="B634" s="6">
        <f>首页!$B$4+2*A634/1000</f>
        <v>1.3780000000000001</v>
      </c>
      <c r="C634" s="6">
        <f>首页!$B$7+273.15</f>
        <v>388.15</v>
      </c>
      <c r="D634" s="6">
        <f>首页!$B$6+273.15</f>
        <v>293.14999999999998</v>
      </c>
      <c r="E634" s="6">
        <f>首页!$B$5+273.15</f>
        <v>1373.15</v>
      </c>
      <c r="F634" s="6">
        <f t="shared" si="90"/>
        <v>95</v>
      </c>
      <c r="G634" s="6">
        <f t="shared" si="91"/>
        <v>340.65</v>
      </c>
      <c r="H634" s="6">
        <f t="shared" si="92"/>
        <v>1.9926207055139041E-5</v>
      </c>
      <c r="I634" s="7">
        <f t="shared" si="93"/>
        <v>1158916576932337.8</v>
      </c>
      <c r="J634" s="6">
        <f t="shared" si="94"/>
        <v>1.0226038455893147</v>
      </c>
      <c r="K634" s="7">
        <f>J634*H634*首页!$B$12/P634</f>
        <v>0.69532757496605813</v>
      </c>
      <c r="L634" s="6">
        <f>首页!$B$9*0.0000000567*((C634^4-D634^4)/(C634-D634))</f>
        <v>7.7687338005019564</v>
      </c>
      <c r="M634" s="6">
        <f>IF(首页!$B$13="自然对流",IF(首页!$B$14="立式圆筒",首页!$B$10,PI()*B634/2),PI()*B634/2)</f>
        <v>55.2</v>
      </c>
      <c r="N634" s="7">
        <f>IF(首页!$B$13="强制对流",首页!$B$11*M634/H634,0)</f>
        <v>0</v>
      </c>
      <c r="O634" s="7">
        <f>IF(首页!$B$13="自然对流",IF(首页!$B$14="立式圆筒",(0.825+0.3063*I634^(1/6))^2+0.87*(M634/B634),(0.752+0.303*I634^(1/6))^2),0.3+SQRT((0.592*N634^0.5)^2+(0.0262*N634^0.8/(1-0.5/N634^0.1))^2))</f>
        <v>10054.058010917483</v>
      </c>
      <c r="P634" s="6">
        <f t="shared" si="95"/>
        <v>2.9510194925512497E-2</v>
      </c>
      <c r="Q634" s="6">
        <f t="shared" si="96"/>
        <v>5.3749494872207491</v>
      </c>
      <c r="R634" s="6">
        <f t="shared" si="97"/>
        <v>13.143683287722705</v>
      </c>
      <c r="S634" s="6">
        <f>IF($Y$2="按单位面积散热损失 qp",B634*LN(B634/首页!$B$4),LN(B634/首页!$B$4))</f>
        <v>3.3635556647147671</v>
      </c>
      <c r="T634" s="6">
        <f>IF($Y$2="按单位面积散热损失 qp",2*PI()*首页!$B$8*((E634-D634)/$Y$3-1/R634),2*PI()*首页!$B$8*((E634-D634)/$Y$4-1/(PI()*B634*R634)))</f>
        <v>4.0788001766109694E-2</v>
      </c>
      <c r="U634" t="str">
        <f t="shared" si="98"/>
        <v>按单位面积散热损失 qp</v>
      </c>
      <c r="V634" s="6">
        <f t="shared" si="99"/>
        <v>3.3227676629486576</v>
      </c>
    </row>
    <row r="635" spans="1:22" x14ac:dyDescent="0.15">
      <c r="A635">
        <v>630</v>
      </c>
      <c r="B635" s="6">
        <f>首页!$B$4+2*A635/1000</f>
        <v>1.38</v>
      </c>
      <c r="C635" s="6">
        <f>首页!$B$7+273.15</f>
        <v>388.15</v>
      </c>
      <c r="D635" s="6">
        <f>首页!$B$6+273.15</f>
        <v>293.14999999999998</v>
      </c>
      <c r="E635" s="6">
        <f>首页!$B$5+273.15</f>
        <v>1373.15</v>
      </c>
      <c r="F635" s="6">
        <f t="shared" si="90"/>
        <v>95</v>
      </c>
      <c r="G635" s="6">
        <f t="shared" si="91"/>
        <v>340.65</v>
      </c>
      <c r="H635" s="6">
        <f t="shared" si="92"/>
        <v>1.9926207055139041E-5</v>
      </c>
      <c r="I635" s="7">
        <f t="shared" si="93"/>
        <v>1158916576932337.8</v>
      </c>
      <c r="J635" s="6">
        <f t="shared" si="94"/>
        <v>1.0226038455893147</v>
      </c>
      <c r="K635" s="7">
        <f>J635*H635*首页!$B$12/P635</f>
        <v>0.69532757496605813</v>
      </c>
      <c r="L635" s="6">
        <f>首页!$B$9*0.0000000567*((C635^4-D635^4)/(C635-D635))</f>
        <v>7.7687338005019564</v>
      </c>
      <c r="M635" s="6">
        <f>IF(首页!$B$13="自然对流",IF(首页!$B$14="立式圆筒",首页!$B$10,PI()*B635/2),PI()*B635/2)</f>
        <v>55.2</v>
      </c>
      <c r="N635" s="7">
        <f>IF(首页!$B$13="强制对流",首页!$B$11*M635/H635,0)</f>
        <v>0</v>
      </c>
      <c r="O635" s="7">
        <f>IF(首页!$B$13="自然对流",IF(首页!$B$14="立式圆筒",(0.825+0.3063*I635^(1/6))^2+0.87*(M635/B635),(0.752+0.303*I635^(1/6))^2),0.3+SQRT((0.592*N635^0.5)^2+(0.0262*N635^0.8/(1-0.5/N635^0.1))^2))</f>
        <v>10054.007502934899</v>
      </c>
      <c r="P635" s="6">
        <f t="shared" si="95"/>
        <v>2.9510194925512497E-2</v>
      </c>
      <c r="Q635" s="6">
        <f t="shared" si="96"/>
        <v>5.3749224854017035</v>
      </c>
      <c r="R635" s="6">
        <f t="shared" si="97"/>
        <v>13.14365628590366</v>
      </c>
      <c r="S635" s="6">
        <f>IF($Y$2="按单位面积散热损失 qp",B635*LN(B635/首页!$B$4),LN(B635/首页!$B$4))</f>
        <v>3.3704389088095015</v>
      </c>
      <c r="T635" s="6">
        <f>IF($Y$2="按单位面积散热损失 qp",2*PI()*首页!$B$8*((E635-D635)/$Y$3-1/R635),2*PI()*首页!$B$8*((E635-D635)/$Y$4-1/(PI()*B635*R635)))</f>
        <v>4.078795757324797E-2</v>
      </c>
      <c r="U635" t="str">
        <f t="shared" si="98"/>
        <v>按单位面积散热损失 qp</v>
      </c>
      <c r="V635" s="6">
        <f t="shared" si="99"/>
        <v>3.3296509512362533</v>
      </c>
    </row>
    <row r="636" spans="1:22" x14ac:dyDescent="0.15">
      <c r="A636">
        <v>631</v>
      </c>
      <c r="B636" s="6">
        <f>首页!$B$4+2*A636/1000</f>
        <v>1.3820000000000001</v>
      </c>
      <c r="C636" s="6">
        <f>首页!$B$7+273.15</f>
        <v>388.15</v>
      </c>
      <c r="D636" s="6">
        <f>首页!$B$6+273.15</f>
        <v>293.14999999999998</v>
      </c>
      <c r="E636" s="6">
        <f>首页!$B$5+273.15</f>
        <v>1373.15</v>
      </c>
      <c r="F636" s="6">
        <f t="shared" si="90"/>
        <v>95</v>
      </c>
      <c r="G636" s="6">
        <f t="shared" si="91"/>
        <v>340.65</v>
      </c>
      <c r="H636" s="6">
        <f t="shared" si="92"/>
        <v>1.9926207055139041E-5</v>
      </c>
      <c r="I636" s="7">
        <f t="shared" si="93"/>
        <v>1158916576932337.8</v>
      </c>
      <c r="J636" s="6">
        <f t="shared" si="94"/>
        <v>1.0226038455893147</v>
      </c>
      <c r="K636" s="7">
        <f>J636*H636*首页!$B$12/P636</f>
        <v>0.69532757496605813</v>
      </c>
      <c r="L636" s="6">
        <f>首页!$B$9*0.0000000567*((C636^4-D636^4)/(C636-D636))</f>
        <v>7.7687338005019564</v>
      </c>
      <c r="M636" s="6">
        <f>IF(首页!$B$13="自然对流",IF(首页!$B$14="立式圆筒",首页!$B$10,PI()*B636/2),PI()*B636/2)</f>
        <v>55.2</v>
      </c>
      <c r="N636" s="7">
        <f>IF(首页!$B$13="强制对流",首页!$B$11*M636/H636,0)</f>
        <v>0</v>
      </c>
      <c r="O636" s="7">
        <f>IF(首页!$B$13="自然对流",IF(首页!$B$14="立式圆筒",(0.825+0.3063*I636^(1/6))^2+0.87*(M636/B636),(0.752+0.303*I636^(1/6))^2),0.3+SQRT((0.592*N636^0.5)^2+(0.0262*N636^0.8/(1-0.5/N636^0.1))^2))</f>
        <v>10053.957141140399</v>
      </c>
      <c r="P636" s="6">
        <f t="shared" si="95"/>
        <v>2.9510194925512497E-2</v>
      </c>
      <c r="Q636" s="6">
        <f t="shared" si="96"/>
        <v>5.374895561735535</v>
      </c>
      <c r="R636" s="6">
        <f t="shared" si="97"/>
        <v>13.14362936223749</v>
      </c>
      <c r="S636" s="6">
        <f>IF($Y$2="按单位面积散热损失 qp",B636*LN(B636/首页!$B$4),LN(B636/首页!$B$4))</f>
        <v>3.3773250514559772</v>
      </c>
      <c r="T636" s="6">
        <f>IF($Y$2="按单位面积散热损失 qp",2*PI()*首页!$B$8*((E636-D636)/$Y$3-1/R636),2*PI()*首页!$B$8*((E636-D636)/$Y$4-1/(PI()*B636*R636)))</f>
        <v>4.0787913508115323E-2</v>
      </c>
      <c r="U636" t="str">
        <f t="shared" si="98"/>
        <v>按单位面积散热损失 qp</v>
      </c>
      <c r="V636" s="6">
        <f t="shared" si="99"/>
        <v>3.3365371379478619</v>
      </c>
    </row>
    <row r="637" spans="1:22" x14ac:dyDescent="0.15">
      <c r="A637">
        <v>632</v>
      </c>
      <c r="B637" s="6">
        <f>首页!$B$4+2*A637/1000</f>
        <v>1.3839999999999999</v>
      </c>
      <c r="C637" s="6">
        <f>首页!$B$7+273.15</f>
        <v>388.15</v>
      </c>
      <c r="D637" s="6">
        <f>首页!$B$6+273.15</f>
        <v>293.14999999999998</v>
      </c>
      <c r="E637" s="6">
        <f>首页!$B$5+273.15</f>
        <v>1373.15</v>
      </c>
      <c r="F637" s="6">
        <f t="shared" si="90"/>
        <v>95</v>
      </c>
      <c r="G637" s="6">
        <f t="shared" si="91"/>
        <v>340.65</v>
      </c>
      <c r="H637" s="6">
        <f t="shared" si="92"/>
        <v>1.9926207055139041E-5</v>
      </c>
      <c r="I637" s="7">
        <f t="shared" si="93"/>
        <v>1158916576932337.8</v>
      </c>
      <c r="J637" s="6">
        <f t="shared" si="94"/>
        <v>1.0226038455893147</v>
      </c>
      <c r="K637" s="7">
        <f>J637*H637*首页!$B$12/P637</f>
        <v>0.69532757496605813</v>
      </c>
      <c r="L637" s="6">
        <f>首页!$B$9*0.0000000567*((C637^4-D637^4)/(C637-D637))</f>
        <v>7.7687338005019564</v>
      </c>
      <c r="M637" s="6">
        <f>IF(首页!$B$13="自然对流",IF(首页!$B$14="立式圆筒",首页!$B$10,PI()*B637/2),PI()*B637/2)</f>
        <v>55.2</v>
      </c>
      <c r="N637" s="7">
        <f>IF(首页!$B$13="强制对流",首页!$B$11*M637/H637,0)</f>
        <v>0</v>
      </c>
      <c r="O637" s="7">
        <f>IF(首页!$B$13="自然对流",IF(首页!$B$14="立式圆筒",(0.825+0.3063*I637^(1/6))^2+0.87*(M637/B637),(0.752+0.303*I637^(1/6))^2),0.3+SQRT((0.592*N637^0.5)^2+(0.0262*N637^0.8/(1-0.5/N637^0.1))^2))</f>
        <v>10053.906924900217</v>
      </c>
      <c r="P637" s="6">
        <f t="shared" si="95"/>
        <v>2.9510194925512497E-2</v>
      </c>
      <c r="Q637" s="6">
        <f t="shared" si="96"/>
        <v>5.3748687158834301</v>
      </c>
      <c r="R637" s="6">
        <f t="shared" si="97"/>
        <v>13.143602516385386</v>
      </c>
      <c r="S637" s="6">
        <f>IF($Y$2="按单位面积散热损失 qp",B637*LN(B637/首页!$B$4),LN(B637/首页!$B$4))</f>
        <v>3.3842140884594669</v>
      </c>
      <c r="T637" s="6">
        <f>IF($Y$2="按单位面积散热损失 qp",2*PI()*首页!$B$8*((E637-D637)/$Y$3-1/R637),2*PI()*首页!$B$8*((E637-D637)/$Y$4-1/(PI()*B637*R637)))</f>
        <v>4.078786957015882E-2</v>
      </c>
      <c r="U637" t="str">
        <f t="shared" si="98"/>
        <v>按单位面积散热损失 qp</v>
      </c>
      <c r="V637" s="6">
        <f t="shared" si="99"/>
        <v>3.343426218889308</v>
      </c>
    </row>
    <row r="638" spans="1:22" x14ac:dyDescent="0.15">
      <c r="A638">
        <v>633</v>
      </c>
      <c r="B638" s="6">
        <f>首页!$B$4+2*A638/1000</f>
        <v>1.3860000000000001</v>
      </c>
      <c r="C638" s="6">
        <f>首页!$B$7+273.15</f>
        <v>388.15</v>
      </c>
      <c r="D638" s="6">
        <f>首页!$B$6+273.15</f>
        <v>293.14999999999998</v>
      </c>
      <c r="E638" s="6">
        <f>首页!$B$5+273.15</f>
        <v>1373.15</v>
      </c>
      <c r="F638" s="6">
        <f t="shared" si="90"/>
        <v>95</v>
      </c>
      <c r="G638" s="6">
        <f t="shared" si="91"/>
        <v>340.65</v>
      </c>
      <c r="H638" s="6">
        <f t="shared" si="92"/>
        <v>1.9926207055139041E-5</v>
      </c>
      <c r="I638" s="7">
        <f t="shared" si="93"/>
        <v>1158916576932337.8</v>
      </c>
      <c r="J638" s="6">
        <f t="shared" si="94"/>
        <v>1.0226038455893147</v>
      </c>
      <c r="K638" s="7">
        <f>J638*H638*首页!$B$12/P638</f>
        <v>0.69532757496605813</v>
      </c>
      <c r="L638" s="6">
        <f>首页!$B$9*0.0000000567*((C638^4-D638^4)/(C638-D638))</f>
        <v>7.7687338005019564</v>
      </c>
      <c r="M638" s="6">
        <f>IF(首页!$B$13="自然对流",IF(首页!$B$14="立式圆筒",首页!$B$10,PI()*B638/2),PI()*B638/2)</f>
        <v>55.2</v>
      </c>
      <c r="N638" s="7">
        <f>IF(首页!$B$13="强制对流",首页!$B$11*M638/H638,0)</f>
        <v>0</v>
      </c>
      <c r="O638" s="7">
        <f>IF(首页!$B$13="自然对流",IF(首页!$B$14="立式圆筒",(0.825+0.3063*I638^(1/6))^2+0.87*(M638/B638),(0.752+0.303*I638^(1/6))^2),0.3+SQRT((0.592*N638^0.5)^2+(0.0262*N638^0.8/(1-0.5/N638^0.1))^2))</f>
        <v>10053.85685358425</v>
      </c>
      <c r="P638" s="6">
        <f t="shared" si="95"/>
        <v>2.9510194925512497E-2</v>
      </c>
      <c r="Q638" s="6">
        <f t="shared" si="96"/>
        <v>5.3748419475085312</v>
      </c>
      <c r="R638" s="6">
        <f t="shared" si="97"/>
        <v>13.143575748010488</v>
      </c>
      <c r="S638" s="6">
        <f>IF($Y$2="按单位面积散热损失 qp",B638*LN(B638/首页!$B$4),LN(B638/首页!$B$4))</f>
        <v>3.3911060156373751</v>
      </c>
      <c r="T638" s="6">
        <f>IF($Y$2="按单位面积散热损失 qp",2*PI()*首页!$B$8*((E638-D638)/$Y$3-1/R638),2*PI()*首页!$B$8*((E638-D638)/$Y$4-1/(PI()*B638*R638)))</f>
        <v>4.0787825758828659E-2</v>
      </c>
      <c r="U638" t="str">
        <f t="shared" si="98"/>
        <v>按单位面积散热损失 qp</v>
      </c>
      <c r="V638" s="6">
        <f t="shared" si="99"/>
        <v>3.3503181898785463</v>
      </c>
    </row>
    <row r="639" spans="1:22" x14ac:dyDescent="0.15">
      <c r="A639">
        <v>634</v>
      </c>
      <c r="B639" s="6">
        <f>首页!$B$4+2*A639/1000</f>
        <v>1.3879999999999999</v>
      </c>
      <c r="C639" s="6">
        <f>首页!$B$7+273.15</f>
        <v>388.15</v>
      </c>
      <c r="D639" s="6">
        <f>首页!$B$6+273.15</f>
        <v>293.14999999999998</v>
      </c>
      <c r="E639" s="6">
        <f>首页!$B$5+273.15</f>
        <v>1373.15</v>
      </c>
      <c r="F639" s="6">
        <f t="shared" si="90"/>
        <v>95</v>
      </c>
      <c r="G639" s="6">
        <f t="shared" si="91"/>
        <v>340.65</v>
      </c>
      <c r="H639" s="6">
        <f t="shared" si="92"/>
        <v>1.9926207055139041E-5</v>
      </c>
      <c r="I639" s="7">
        <f t="shared" si="93"/>
        <v>1158916576932337.8</v>
      </c>
      <c r="J639" s="6">
        <f t="shared" si="94"/>
        <v>1.0226038455893147</v>
      </c>
      <c r="K639" s="7">
        <f>J639*H639*首页!$B$12/P639</f>
        <v>0.69532757496605813</v>
      </c>
      <c r="L639" s="6">
        <f>首页!$B$9*0.0000000567*((C639^4-D639^4)/(C639-D639))</f>
        <v>7.7687338005019564</v>
      </c>
      <c r="M639" s="6">
        <f>IF(首页!$B$13="自然对流",IF(首页!$B$14="立式圆筒",首页!$B$10,PI()*B639/2),PI()*B639/2)</f>
        <v>55.2</v>
      </c>
      <c r="N639" s="7">
        <f>IF(首页!$B$13="强制对流",首页!$B$11*M639/H639,0)</f>
        <v>0</v>
      </c>
      <c r="O639" s="7">
        <f>IF(首页!$B$13="自然对流",IF(首页!$B$14="立式圆筒",(0.825+0.3063*I639^(1/6))^2+0.87*(M639/B639),(0.752+0.303*I639^(1/6))^2),0.3+SQRT((0.592*N639^0.5)^2+(0.0262*N639^0.8/(1-0.5/N639^0.1))^2))</f>
        <v>10053.806926566023</v>
      </c>
      <c r="P639" s="6">
        <f t="shared" si="95"/>
        <v>2.9510194925512497E-2</v>
      </c>
      <c r="Q639" s="6">
        <f t="shared" si="96"/>
        <v>5.3748152562759248</v>
      </c>
      <c r="R639" s="6">
        <f t="shared" si="97"/>
        <v>13.143549056777882</v>
      </c>
      <c r="S639" s="6">
        <f>IF($Y$2="按单位面积散热损失 qp",B639*LN(B639/首页!$B$4),LN(B639/首页!$B$4))</f>
        <v>3.3980008288191685</v>
      </c>
      <c r="T639" s="6">
        <f>IF($Y$2="按单位面积散热损失 qp",2*PI()*首页!$B$8*((E639-D639)/$Y$3-1/R639),2*PI()*首页!$B$8*((E639-D639)/$Y$4-1/(PI()*B639*R639)))</f>
        <v>4.0787782073578263E-2</v>
      </c>
      <c r="U639" t="str">
        <f t="shared" si="98"/>
        <v>按单位面积散热损失 qp</v>
      </c>
      <c r="V639" s="6">
        <f t="shared" si="99"/>
        <v>3.3572130467455903</v>
      </c>
    </row>
    <row r="640" spans="1:22" x14ac:dyDescent="0.15">
      <c r="A640">
        <v>635</v>
      </c>
      <c r="B640" s="6">
        <f>首页!$B$4+2*A640/1000</f>
        <v>1.3900000000000001</v>
      </c>
      <c r="C640" s="6">
        <f>首页!$B$7+273.15</f>
        <v>388.15</v>
      </c>
      <c r="D640" s="6">
        <f>首页!$B$6+273.15</f>
        <v>293.14999999999998</v>
      </c>
      <c r="E640" s="6">
        <f>首页!$B$5+273.15</f>
        <v>1373.15</v>
      </c>
      <c r="F640" s="6">
        <f t="shared" si="90"/>
        <v>95</v>
      </c>
      <c r="G640" s="6">
        <f t="shared" si="91"/>
        <v>340.65</v>
      </c>
      <c r="H640" s="6">
        <f t="shared" si="92"/>
        <v>1.9926207055139041E-5</v>
      </c>
      <c r="I640" s="7">
        <f t="shared" si="93"/>
        <v>1158916576932337.8</v>
      </c>
      <c r="J640" s="6">
        <f t="shared" si="94"/>
        <v>1.0226038455893147</v>
      </c>
      <c r="K640" s="7">
        <f>J640*H640*首页!$B$12/P640</f>
        <v>0.69532757496605813</v>
      </c>
      <c r="L640" s="6">
        <f>首页!$B$9*0.0000000567*((C640^4-D640^4)/(C640-D640))</f>
        <v>7.7687338005019564</v>
      </c>
      <c r="M640" s="6">
        <f>IF(首页!$B$13="自然对流",IF(首页!$B$14="立式圆筒",首页!$B$10,PI()*B640/2),PI()*B640/2)</f>
        <v>55.2</v>
      </c>
      <c r="N640" s="7">
        <f>IF(首页!$B$13="强制对流",首页!$B$11*M640/H640,0)</f>
        <v>0</v>
      </c>
      <c r="O640" s="7">
        <f>IF(首页!$B$13="自然对流",IF(首页!$B$14="立式圆筒",(0.825+0.3063*I640^(1/6))^2+0.87*(M640/B640),(0.752+0.303*I640^(1/6))^2),0.3+SQRT((0.592*N640^0.5)^2+(0.0262*N640^0.8/(1-0.5/N640^0.1))^2))</f>
        <v>10053.75714322267</v>
      </c>
      <c r="P640" s="6">
        <f t="shared" si="95"/>
        <v>2.9510194925512497E-2</v>
      </c>
      <c r="Q640" s="6">
        <f t="shared" si="96"/>
        <v>5.3747886418526205</v>
      </c>
      <c r="R640" s="6">
        <f t="shared" si="97"/>
        <v>13.143522442354577</v>
      </c>
      <c r="S640" s="6">
        <f>IF($Y$2="按单位面积散热损失 qp",B640*LN(B640/首页!$B$4),LN(B640/首页!$B$4))</f>
        <v>3.4048985238463416</v>
      </c>
      <c r="T640" s="6">
        <f>IF($Y$2="按单位面积散热损失 qp",2*PI()*首页!$B$8*((E640-D640)/$Y$3-1/R640),2*PI()*首页!$B$8*((E640-D640)/$Y$4-1/(PI()*B640*R640)))</f>
        <v>4.0787738513864157E-2</v>
      </c>
      <c r="U640" t="str">
        <f t="shared" si="98"/>
        <v>按单位面积散热损失 qp</v>
      </c>
      <c r="V640" s="6">
        <f t="shared" si="99"/>
        <v>3.3641107853324774</v>
      </c>
    </row>
    <row r="641" spans="1:22" x14ac:dyDescent="0.15">
      <c r="A641">
        <v>636</v>
      </c>
      <c r="B641" s="6">
        <f>首页!$B$4+2*A641/1000</f>
        <v>1.3919999999999999</v>
      </c>
      <c r="C641" s="6">
        <f>首页!$B$7+273.15</f>
        <v>388.15</v>
      </c>
      <c r="D641" s="6">
        <f>首页!$B$6+273.15</f>
        <v>293.14999999999998</v>
      </c>
      <c r="E641" s="6">
        <f>首页!$B$5+273.15</f>
        <v>1373.15</v>
      </c>
      <c r="F641" s="6">
        <f t="shared" si="90"/>
        <v>95</v>
      </c>
      <c r="G641" s="6">
        <f t="shared" si="91"/>
        <v>340.65</v>
      </c>
      <c r="H641" s="6">
        <f t="shared" si="92"/>
        <v>1.9926207055139041E-5</v>
      </c>
      <c r="I641" s="7">
        <f t="shared" si="93"/>
        <v>1158916576932337.8</v>
      </c>
      <c r="J641" s="6">
        <f t="shared" si="94"/>
        <v>1.0226038455893147</v>
      </c>
      <c r="K641" s="7">
        <f>J641*H641*首页!$B$12/P641</f>
        <v>0.69532757496605813</v>
      </c>
      <c r="L641" s="6">
        <f>首页!$B$9*0.0000000567*((C641^4-D641^4)/(C641-D641))</f>
        <v>7.7687338005019564</v>
      </c>
      <c r="M641" s="6">
        <f>IF(首页!$B$13="自然对流",IF(首页!$B$14="立式圆筒",首页!$B$10,PI()*B641/2),PI()*B641/2)</f>
        <v>55.2</v>
      </c>
      <c r="N641" s="7">
        <f>IF(首页!$B$13="强制对流",首页!$B$11*M641/H641,0)</f>
        <v>0</v>
      </c>
      <c r="O641" s="7">
        <f>IF(首页!$B$13="自然对流",IF(首页!$B$14="立式圆筒",(0.825+0.3063*I641^(1/6))^2+0.87*(M641/B641),(0.752+0.303*I641^(1/6))^2),0.3+SQRT((0.592*N641^0.5)^2+(0.0262*N641^0.8/(1-0.5/N641^0.1))^2))</f>
        <v>10053.7075029349</v>
      </c>
      <c r="P641" s="6">
        <f t="shared" si="95"/>
        <v>2.9510194925512497E-2</v>
      </c>
      <c r="Q641" s="6">
        <f t="shared" si="96"/>
        <v>5.3747621039075426</v>
      </c>
      <c r="R641" s="6">
        <f t="shared" si="97"/>
        <v>13.143495904409498</v>
      </c>
      <c r="S641" s="6">
        <f>IF($Y$2="按单位面积散热损失 qp",B641*LN(B641/首页!$B$4),LN(B641/首页!$B$4))</f>
        <v>3.4117990965723477</v>
      </c>
      <c r="T641" s="6">
        <f>IF($Y$2="按单位面积散热损失 qp",2*PI()*首页!$B$8*((E641-D641)/$Y$3-1/R641),2*PI()*首页!$B$8*((E641-D641)/$Y$4-1/(PI()*B641*R641)))</f>
        <v>4.078769507914598E-2</v>
      </c>
      <c r="U641" t="str">
        <f t="shared" si="98"/>
        <v>按单位面积散热损失 qp</v>
      </c>
      <c r="V641" s="6">
        <f t="shared" si="99"/>
        <v>3.3710114014932016</v>
      </c>
    </row>
    <row r="642" spans="1:22" x14ac:dyDescent="0.15">
      <c r="A642">
        <v>637</v>
      </c>
      <c r="B642" s="6">
        <f>首页!$B$4+2*A642/1000</f>
        <v>1.3940000000000001</v>
      </c>
      <c r="C642" s="6">
        <f>首页!$B$7+273.15</f>
        <v>388.15</v>
      </c>
      <c r="D642" s="6">
        <f>首页!$B$6+273.15</f>
        <v>293.14999999999998</v>
      </c>
      <c r="E642" s="6">
        <f>首页!$B$5+273.15</f>
        <v>1373.15</v>
      </c>
      <c r="F642" s="6">
        <f t="shared" si="90"/>
        <v>95</v>
      </c>
      <c r="G642" s="6">
        <f t="shared" si="91"/>
        <v>340.65</v>
      </c>
      <c r="H642" s="6">
        <f t="shared" si="92"/>
        <v>1.9926207055139041E-5</v>
      </c>
      <c r="I642" s="7">
        <f t="shared" si="93"/>
        <v>1158916576932337.8</v>
      </c>
      <c r="J642" s="6">
        <f t="shared" si="94"/>
        <v>1.0226038455893147</v>
      </c>
      <c r="K642" s="7">
        <f>J642*H642*首页!$B$12/P642</f>
        <v>0.69532757496605813</v>
      </c>
      <c r="L642" s="6">
        <f>首页!$B$9*0.0000000567*((C642^4-D642^4)/(C642-D642))</f>
        <v>7.7687338005019564</v>
      </c>
      <c r="M642" s="6">
        <f>IF(首页!$B$13="自然对流",IF(首页!$B$14="立式圆筒",首页!$B$10,PI()*B642/2),PI()*B642/2)</f>
        <v>55.2</v>
      </c>
      <c r="N642" s="7">
        <f>IF(首页!$B$13="强制对流",首页!$B$11*M642/H642,0)</f>
        <v>0</v>
      </c>
      <c r="O642" s="7">
        <f>IF(首页!$B$13="自然对流",IF(首页!$B$14="立式圆筒",(0.825+0.3063*I642^(1/6))^2+0.87*(M642/B642),(0.752+0.303*I642^(1/6))^2),0.3+SQRT((0.592*N642^0.5)^2+(0.0262*N642^0.8/(1-0.5/N642^0.1))^2))</f>
        <v>10053.65800508698</v>
      </c>
      <c r="P642" s="6">
        <f t="shared" si="95"/>
        <v>2.9510194925512497E-2</v>
      </c>
      <c r="Q642" s="6">
        <f t="shared" si="96"/>
        <v>5.3747356421115198</v>
      </c>
      <c r="R642" s="6">
        <f t="shared" si="97"/>
        <v>13.143469442613476</v>
      </c>
      <c r="S642" s="6">
        <f>IF($Y$2="按单位面积散热损失 qp",B642*LN(B642/首页!$B$4),LN(B642/首页!$B$4))</f>
        <v>3.4187025428625621</v>
      </c>
      <c r="T642" s="6">
        <f>IF($Y$2="按单位面积散热损失 qp",2*PI()*首页!$B$8*((E642-D642)/$Y$3-1/R642),2*PI()*首页!$B$8*((E642-D642)/$Y$4-1/(PI()*B642*R642)))</f>
        <v>4.0787651768886511E-2</v>
      </c>
      <c r="U642" t="str">
        <f t="shared" si="98"/>
        <v>按单位面积散热损失 qp</v>
      </c>
      <c r="V642" s="6">
        <f t="shared" si="99"/>
        <v>3.3779148910936758</v>
      </c>
    </row>
    <row r="643" spans="1:22" x14ac:dyDescent="0.15">
      <c r="A643">
        <v>638</v>
      </c>
      <c r="B643" s="6">
        <f>首页!$B$4+2*A643/1000</f>
        <v>1.3959999999999999</v>
      </c>
      <c r="C643" s="6">
        <f>首页!$B$7+273.15</f>
        <v>388.15</v>
      </c>
      <c r="D643" s="6">
        <f>首页!$B$6+273.15</f>
        <v>293.14999999999998</v>
      </c>
      <c r="E643" s="6">
        <f>首页!$B$5+273.15</f>
        <v>1373.15</v>
      </c>
      <c r="F643" s="6">
        <f t="shared" si="90"/>
        <v>95</v>
      </c>
      <c r="G643" s="6">
        <f t="shared" si="91"/>
        <v>340.65</v>
      </c>
      <c r="H643" s="6">
        <f t="shared" si="92"/>
        <v>1.9926207055139041E-5</v>
      </c>
      <c r="I643" s="7">
        <f t="shared" si="93"/>
        <v>1158916576932337.8</v>
      </c>
      <c r="J643" s="6">
        <f t="shared" si="94"/>
        <v>1.0226038455893147</v>
      </c>
      <c r="K643" s="7">
        <f>J643*H643*首页!$B$12/P643</f>
        <v>0.69532757496605813</v>
      </c>
      <c r="L643" s="6">
        <f>首页!$B$9*0.0000000567*((C643^4-D643^4)/(C643-D643))</f>
        <v>7.7687338005019564</v>
      </c>
      <c r="M643" s="6">
        <f>IF(首页!$B$13="自然对流",IF(首页!$B$14="立式圆筒",首页!$B$10,PI()*B643/2),PI()*B643/2)</f>
        <v>55.2</v>
      </c>
      <c r="N643" s="7">
        <f>IF(首页!$B$13="强制对流",首页!$B$11*M643/H643,0)</f>
        <v>0</v>
      </c>
      <c r="O643" s="7">
        <f>IF(首页!$B$13="自然对流",IF(首页!$B$14="立式圆筒",(0.825+0.3063*I643^(1/6))^2+0.87*(M643/B643),(0.752+0.303*I643^(1/6))^2),0.3+SQRT((0.592*N643^0.5)^2+(0.0262*N643^0.8/(1-0.5/N643^0.1))^2))</f>
        <v>10053.608649066706</v>
      </c>
      <c r="P643" s="6">
        <f t="shared" si="95"/>
        <v>2.9510194925512497E-2</v>
      </c>
      <c r="Q643" s="6">
        <f t="shared" si="96"/>
        <v>5.3747092561372609</v>
      </c>
      <c r="R643" s="6">
        <f t="shared" si="97"/>
        <v>13.143443056639217</v>
      </c>
      <c r="S643" s="6">
        <f>IF($Y$2="按单位面积散热损失 qp",B643*LN(B643/首页!$B$4),LN(B643/首页!$B$4))</f>
        <v>3.4256088585942188</v>
      </c>
      <c r="T643" s="6">
        <f>IF($Y$2="按单位面积散热损失 qp",2*PI()*首页!$B$8*((E643-D643)/$Y$3-1/R643),2*PI()*首页!$B$8*((E643-D643)/$Y$4-1/(PI()*B643*R643)))</f>
        <v>4.0787608582551552E-2</v>
      </c>
      <c r="U643" t="str">
        <f t="shared" si="98"/>
        <v>按单位面积散热损失 qp</v>
      </c>
      <c r="V643" s="6">
        <f t="shared" si="99"/>
        <v>3.3848212500116674</v>
      </c>
    </row>
    <row r="644" spans="1:22" x14ac:dyDescent="0.15">
      <c r="A644">
        <v>639</v>
      </c>
      <c r="B644" s="6">
        <f>首页!$B$4+2*A644/1000</f>
        <v>1.3980000000000001</v>
      </c>
      <c r="C644" s="6">
        <f>首页!$B$7+273.15</f>
        <v>388.15</v>
      </c>
      <c r="D644" s="6">
        <f>首页!$B$6+273.15</f>
        <v>293.14999999999998</v>
      </c>
      <c r="E644" s="6">
        <f>首页!$B$5+273.15</f>
        <v>1373.15</v>
      </c>
      <c r="F644" s="6">
        <f t="shared" si="90"/>
        <v>95</v>
      </c>
      <c r="G644" s="6">
        <f t="shared" si="91"/>
        <v>340.65</v>
      </c>
      <c r="H644" s="6">
        <f t="shared" si="92"/>
        <v>1.9926207055139041E-5</v>
      </c>
      <c r="I644" s="7">
        <f t="shared" si="93"/>
        <v>1158916576932337.8</v>
      </c>
      <c r="J644" s="6">
        <f t="shared" si="94"/>
        <v>1.0226038455893147</v>
      </c>
      <c r="K644" s="7">
        <f>J644*H644*首页!$B$12/P644</f>
        <v>0.69532757496605813</v>
      </c>
      <c r="L644" s="6">
        <f>首页!$B$9*0.0000000567*((C644^4-D644^4)/(C644-D644))</f>
        <v>7.7687338005019564</v>
      </c>
      <c r="M644" s="6">
        <f>IF(首页!$B$13="自然对流",IF(首页!$B$14="立式圆筒",首页!$B$10,PI()*B644/2),PI()*B644/2)</f>
        <v>55.2</v>
      </c>
      <c r="N644" s="7">
        <f>IF(首页!$B$13="强制对流",首页!$B$11*M644/H644,0)</f>
        <v>0</v>
      </c>
      <c r="O644" s="7">
        <f>IF(首页!$B$13="自然对流",IF(首页!$B$14="立式圆筒",(0.825+0.3063*I644^(1/6))^2+0.87*(M644/B644),(0.752+0.303*I644^(1/6))^2),0.3+SQRT((0.592*N644^0.5)^2+(0.0262*N644^0.8/(1-0.5/N644^0.1))^2))</f>
        <v>10053.559434265371</v>
      </c>
      <c r="P644" s="6">
        <f t="shared" si="95"/>
        <v>2.9510194925512497E-2</v>
      </c>
      <c r="Q644" s="6">
        <f t="shared" si="96"/>
        <v>5.3746829456593517</v>
      </c>
      <c r="R644" s="6">
        <f t="shared" si="97"/>
        <v>13.143416746161307</v>
      </c>
      <c r="S644" s="6">
        <f>IF($Y$2="按单位面积散热损失 qp",B644*LN(B644/首页!$B$4),LN(B644/首页!$B$4))</f>
        <v>3.4325180396563706</v>
      </c>
      <c r="T644" s="6">
        <f>IF($Y$2="按单位面积散热损失 qp",2*PI()*首页!$B$8*((E644-D644)/$Y$3-1/R644),2*PI()*首页!$B$8*((E644-D644)/$Y$4-1/(PI()*B644*R644)))</f>
        <v>4.0787565519609999E-2</v>
      </c>
      <c r="U644" t="str">
        <f t="shared" si="98"/>
        <v>按单位面积散热损失 qp</v>
      </c>
      <c r="V644" s="6">
        <f t="shared" si="99"/>
        <v>3.3917304741367604</v>
      </c>
    </row>
    <row r="645" spans="1:22" x14ac:dyDescent="0.15">
      <c r="A645">
        <v>640</v>
      </c>
      <c r="B645" s="6">
        <f>首页!$B$4+2*A645/1000</f>
        <v>1.4</v>
      </c>
      <c r="C645" s="6">
        <f>首页!$B$7+273.15</f>
        <v>388.15</v>
      </c>
      <c r="D645" s="6">
        <f>首页!$B$6+273.15</f>
        <v>293.14999999999998</v>
      </c>
      <c r="E645" s="6">
        <f>首页!$B$5+273.15</f>
        <v>1373.15</v>
      </c>
      <c r="F645" s="6">
        <f t="shared" ref="F645:F708" si="100">C645-D645</f>
        <v>95</v>
      </c>
      <c r="G645" s="6">
        <f t="shared" ref="G645:G708" si="101">(C645+D645)/2</f>
        <v>340.65</v>
      </c>
      <c r="H645" s="6">
        <f t="shared" ref="H645:H708" si="102">0.0000000042113*G645^2.5/(112+G645)</f>
        <v>1.9926207055139041E-5</v>
      </c>
      <c r="I645" s="7">
        <f t="shared" ref="I645:I708" si="103">9.81*M645^3*F645/(H645^2*G645)</f>
        <v>1158916576932337.8</v>
      </c>
      <c r="J645" s="6">
        <f t="shared" ref="J645:J708" si="104">348.35/G645</f>
        <v>1.0226038455893147</v>
      </c>
      <c r="K645" s="7">
        <f>J645*H645*首页!$B$12/P645</f>
        <v>0.69532757496605813</v>
      </c>
      <c r="L645" s="6">
        <f>首页!$B$9*0.0000000567*((C645^4-D645^4)/(C645-D645))</f>
        <v>7.7687338005019564</v>
      </c>
      <c r="M645" s="6">
        <f>IF(首页!$B$13="自然对流",IF(首页!$B$14="立式圆筒",首页!$B$10,PI()*B645/2),PI()*B645/2)</f>
        <v>55.2</v>
      </c>
      <c r="N645" s="7">
        <f>IF(首页!$B$13="强制对流",首页!$B$11*M645/H645,0)</f>
        <v>0</v>
      </c>
      <c r="O645" s="7">
        <f>IF(首页!$B$13="自然对流",IF(首页!$B$14="立式圆筒",(0.825+0.3063*I645^(1/6))^2+0.87*(M645/B645),(0.752+0.303*I645^(1/6))^2),0.3+SQRT((0.592*N645^0.5)^2+(0.0262*N645^0.8/(1-0.5/N645^0.1))^2))</f>
        <v>10053.510360077757</v>
      </c>
      <c r="P645" s="6">
        <f t="shared" ref="P645:P708" si="105">0.0243+0.000078421*(G645-273)-0.000000020755*(G645-273)^2</f>
        <v>2.9510194925512497E-2</v>
      </c>
      <c r="Q645" s="6">
        <f t="shared" ref="Q645:Q708" si="106">O645*P645/M645</f>
        <v>5.3746567103542375</v>
      </c>
      <c r="R645" s="6">
        <f t="shared" ref="R645:R708" si="107">L645+Q645</f>
        <v>13.143390510856193</v>
      </c>
      <c r="S645" s="6">
        <f>IF($Y$2="按单位面积散热损失 qp",B645*LN(B645/首页!$B$4),LN(B645/首页!$B$4))</f>
        <v>3.4394300819498254</v>
      </c>
      <c r="T645" s="6">
        <f>IF($Y$2="按单位面积散热损失 qp",2*PI()*首页!$B$8*((E645-D645)/$Y$3-1/R645),2*PI()*首页!$B$8*((E645-D645)/$Y$4-1/(PI()*B645*R645)))</f>
        <v>4.0787522579533747E-2</v>
      </c>
      <c r="U645" t="str">
        <f t="shared" ref="U645:U708" si="108">IF($Y$2="按单位面积散热损失 qp","按单位面积散热损失 qp","按单位长度散热损失 ql")</f>
        <v>按单位面积散热损失 qp</v>
      </c>
      <c r="V645" s="6">
        <f t="shared" ref="V645:V708" si="109">ABS(S645-T645)</f>
        <v>3.3986425593702916</v>
      </c>
    </row>
    <row r="646" spans="1:22" x14ac:dyDescent="0.15">
      <c r="A646">
        <v>641</v>
      </c>
      <c r="B646" s="6">
        <f>首页!$B$4+2*A646/1000</f>
        <v>1.4020000000000001</v>
      </c>
      <c r="C646" s="6">
        <f>首页!$B$7+273.15</f>
        <v>388.15</v>
      </c>
      <c r="D646" s="6">
        <f>首页!$B$6+273.15</f>
        <v>293.14999999999998</v>
      </c>
      <c r="E646" s="6">
        <f>首页!$B$5+273.15</f>
        <v>1373.15</v>
      </c>
      <c r="F646" s="6">
        <f t="shared" si="100"/>
        <v>95</v>
      </c>
      <c r="G646" s="6">
        <f t="shared" si="101"/>
        <v>340.65</v>
      </c>
      <c r="H646" s="6">
        <f t="shared" si="102"/>
        <v>1.9926207055139041E-5</v>
      </c>
      <c r="I646" s="7">
        <f t="shared" si="103"/>
        <v>1158916576932337.8</v>
      </c>
      <c r="J646" s="6">
        <f t="shared" si="104"/>
        <v>1.0226038455893147</v>
      </c>
      <c r="K646" s="7">
        <f>J646*H646*首页!$B$12/P646</f>
        <v>0.69532757496605813</v>
      </c>
      <c r="L646" s="6">
        <f>首页!$B$9*0.0000000567*((C646^4-D646^4)/(C646-D646))</f>
        <v>7.7687338005019564</v>
      </c>
      <c r="M646" s="6">
        <f>IF(首页!$B$13="自然对流",IF(首页!$B$14="立式圆筒",首页!$B$10,PI()*B646/2),PI()*B646/2)</f>
        <v>55.2</v>
      </c>
      <c r="N646" s="7">
        <f>IF(首页!$B$13="强制对流",首页!$B$11*M646/H646,0)</f>
        <v>0</v>
      </c>
      <c r="O646" s="7">
        <f>IF(首页!$B$13="自然对流",IF(首页!$B$14="立式圆筒",(0.825+0.3063*I646^(1/6))^2+0.87*(M646/B646),(0.752+0.303*I646^(1/6))^2),0.3+SQRT((0.592*N646^0.5)^2+(0.0262*N646^0.8/(1-0.5/N646^0.1))^2))</f>
        <v>10053.461425902089</v>
      </c>
      <c r="P646" s="6">
        <f t="shared" si="105"/>
        <v>2.9510194925512497E-2</v>
      </c>
      <c r="Q646" s="6">
        <f t="shared" si="106"/>
        <v>5.3746305499002069</v>
      </c>
      <c r="R646" s="6">
        <f t="shared" si="107"/>
        <v>13.143364350402162</v>
      </c>
      <c r="S646" s="6">
        <f>IF($Y$2="按单位面积散热损失 qp",B646*LN(B646/首页!$B$4),LN(B646/首页!$B$4))</f>
        <v>3.446344981387111</v>
      </c>
      <c r="T646" s="6">
        <f>IF($Y$2="按单位面积散热损失 qp",2*PI()*首页!$B$8*((E646-D646)/$Y$3-1/R646),2*PI()*首页!$B$8*((E646-D646)/$Y$4-1/(PI()*B646*R646)))</f>
        <v>4.0787479761797717E-2</v>
      </c>
      <c r="U646" t="str">
        <f t="shared" si="108"/>
        <v>按单位面积散热损失 qp</v>
      </c>
      <c r="V646" s="6">
        <f t="shared" si="109"/>
        <v>3.4055575016253132</v>
      </c>
    </row>
    <row r="647" spans="1:22" x14ac:dyDescent="0.15">
      <c r="A647">
        <v>642</v>
      </c>
      <c r="B647" s="6">
        <f>首页!$B$4+2*A647/1000</f>
        <v>1.4039999999999999</v>
      </c>
      <c r="C647" s="6">
        <f>首页!$B$7+273.15</f>
        <v>388.15</v>
      </c>
      <c r="D647" s="6">
        <f>首页!$B$6+273.15</f>
        <v>293.14999999999998</v>
      </c>
      <c r="E647" s="6">
        <f>首页!$B$5+273.15</f>
        <v>1373.15</v>
      </c>
      <c r="F647" s="6">
        <f t="shared" si="100"/>
        <v>95</v>
      </c>
      <c r="G647" s="6">
        <f t="shared" si="101"/>
        <v>340.65</v>
      </c>
      <c r="H647" s="6">
        <f t="shared" si="102"/>
        <v>1.9926207055139041E-5</v>
      </c>
      <c r="I647" s="7">
        <f t="shared" si="103"/>
        <v>1158916576932337.8</v>
      </c>
      <c r="J647" s="6">
        <f t="shared" si="104"/>
        <v>1.0226038455893147</v>
      </c>
      <c r="K647" s="7">
        <f>J647*H647*首页!$B$12/P647</f>
        <v>0.69532757496605813</v>
      </c>
      <c r="L647" s="6">
        <f>首页!$B$9*0.0000000567*((C647^4-D647^4)/(C647-D647))</f>
        <v>7.7687338005019564</v>
      </c>
      <c r="M647" s="6">
        <f>IF(首页!$B$13="自然对流",IF(首页!$B$14="立式圆筒",首页!$B$10,PI()*B647/2),PI()*B647/2)</f>
        <v>55.2</v>
      </c>
      <c r="N647" s="7">
        <f>IF(首页!$B$13="强制对流",首页!$B$11*M647/H647,0)</f>
        <v>0</v>
      </c>
      <c r="O647" s="7">
        <f>IF(首页!$B$13="自然对流",IF(首页!$B$14="立式圆筒",(0.825+0.3063*I647^(1/6))^2+0.87*(M647/B647),(0.752+0.303*I647^(1/6))^2),0.3+SQRT((0.592*N647^0.5)^2+(0.0262*N647^0.8/(1-0.5/N647^0.1))^2))</f>
        <v>10053.412631140029</v>
      </c>
      <c r="P647" s="6">
        <f t="shared" si="105"/>
        <v>2.9510194925512497E-2</v>
      </c>
      <c r="Q647" s="6">
        <f t="shared" si="106"/>
        <v>5.374604463977386</v>
      </c>
      <c r="R647" s="6">
        <f t="shared" si="107"/>
        <v>13.143338264479343</v>
      </c>
      <c r="S647" s="6">
        <f>IF($Y$2="按单位面积散热损失 qp",B647*LN(B647/首页!$B$4),LN(B647/首页!$B$4))</f>
        <v>3.4532627338924091</v>
      </c>
      <c r="T647" s="6">
        <f>IF($Y$2="按单位面积散热损失 qp",2*PI()*首页!$B$8*((E647-D647)/$Y$3-1/R647),2*PI()*首页!$B$8*((E647-D647)/$Y$4-1/(PI()*B647*R647)))</f>
        <v>4.0787437065879825E-2</v>
      </c>
      <c r="U647" t="str">
        <f t="shared" si="108"/>
        <v>按单位面积散热损失 qp</v>
      </c>
      <c r="V647" s="6">
        <f t="shared" si="109"/>
        <v>3.4124752968265293</v>
      </c>
    </row>
    <row r="648" spans="1:22" x14ac:dyDescent="0.15">
      <c r="A648">
        <v>643</v>
      </c>
      <c r="B648" s="6">
        <f>首页!$B$4+2*A648/1000</f>
        <v>1.4060000000000001</v>
      </c>
      <c r="C648" s="6">
        <f>首页!$B$7+273.15</f>
        <v>388.15</v>
      </c>
      <c r="D648" s="6">
        <f>首页!$B$6+273.15</f>
        <v>293.14999999999998</v>
      </c>
      <c r="E648" s="6">
        <f>首页!$B$5+273.15</f>
        <v>1373.15</v>
      </c>
      <c r="F648" s="6">
        <f t="shared" si="100"/>
        <v>95</v>
      </c>
      <c r="G648" s="6">
        <f t="shared" si="101"/>
        <v>340.65</v>
      </c>
      <c r="H648" s="6">
        <f t="shared" si="102"/>
        <v>1.9926207055139041E-5</v>
      </c>
      <c r="I648" s="7">
        <f t="shared" si="103"/>
        <v>1158916576932337.8</v>
      </c>
      <c r="J648" s="6">
        <f t="shared" si="104"/>
        <v>1.0226038455893147</v>
      </c>
      <c r="K648" s="7">
        <f>J648*H648*首页!$B$12/P648</f>
        <v>0.69532757496605813</v>
      </c>
      <c r="L648" s="6">
        <f>首页!$B$9*0.0000000567*((C648^4-D648^4)/(C648-D648))</f>
        <v>7.7687338005019564</v>
      </c>
      <c r="M648" s="6">
        <f>IF(首页!$B$13="自然对流",IF(首页!$B$14="立式圆筒",首页!$B$10,PI()*B648/2),PI()*B648/2)</f>
        <v>55.2</v>
      </c>
      <c r="N648" s="7">
        <f>IF(首页!$B$13="强制对流",首页!$B$11*M648/H648,0)</f>
        <v>0</v>
      </c>
      <c r="O648" s="7">
        <f>IF(首页!$B$13="自然对流",IF(首页!$B$14="立式圆筒",(0.825+0.3063*I648^(1/6))^2+0.87*(M648/B648),(0.752+0.303*I648^(1/6))^2),0.3+SQRT((0.592*N648^0.5)^2+(0.0262*N648^0.8/(1-0.5/N648^0.1))^2))</f>
        <v>10053.363975196635</v>
      </c>
      <c r="P648" s="6">
        <f t="shared" si="105"/>
        <v>2.9510194925512497E-2</v>
      </c>
      <c r="Q648" s="6">
        <f t="shared" si="106"/>
        <v>5.3745784522677145</v>
      </c>
      <c r="R648" s="6">
        <f t="shared" si="107"/>
        <v>13.143312252769672</v>
      </c>
      <c r="S648" s="6">
        <f>IF($Y$2="按单位面积散热损失 qp",B648*LN(B648/首页!$B$4),LN(B648/首页!$B$4))</f>
        <v>3.4601833354015215</v>
      </c>
      <c r="T648" s="6">
        <f>IF($Y$2="按单位面积散热损失 qp",2*PI()*首页!$B$8*((E648-D648)/$Y$3-1/R648),2*PI()*首页!$B$8*((E648-D648)/$Y$4-1/(PI()*B648*R648)))</f>
        <v>4.0787394491260932E-2</v>
      </c>
      <c r="U648" t="str">
        <f t="shared" si="108"/>
        <v>按单位面积散热损失 qp</v>
      </c>
      <c r="V648" s="6">
        <f t="shared" si="109"/>
        <v>3.4193959409102606</v>
      </c>
    </row>
    <row r="649" spans="1:22" x14ac:dyDescent="0.15">
      <c r="A649">
        <v>644</v>
      </c>
      <c r="B649" s="6">
        <f>首页!$B$4+2*A649/1000</f>
        <v>1.4079999999999999</v>
      </c>
      <c r="C649" s="6">
        <f>首页!$B$7+273.15</f>
        <v>388.15</v>
      </c>
      <c r="D649" s="6">
        <f>首页!$B$6+273.15</f>
        <v>293.14999999999998</v>
      </c>
      <c r="E649" s="6">
        <f>首页!$B$5+273.15</f>
        <v>1373.15</v>
      </c>
      <c r="F649" s="6">
        <f t="shared" si="100"/>
        <v>95</v>
      </c>
      <c r="G649" s="6">
        <f t="shared" si="101"/>
        <v>340.65</v>
      </c>
      <c r="H649" s="6">
        <f t="shared" si="102"/>
        <v>1.9926207055139041E-5</v>
      </c>
      <c r="I649" s="7">
        <f t="shared" si="103"/>
        <v>1158916576932337.8</v>
      </c>
      <c r="J649" s="6">
        <f t="shared" si="104"/>
        <v>1.0226038455893147</v>
      </c>
      <c r="K649" s="7">
        <f>J649*H649*首页!$B$12/P649</f>
        <v>0.69532757496605813</v>
      </c>
      <c r="L649" s="6">
        <f>首页!$B$9*0.0000000567*((C649^4-D649^4)/(C649-D649))</f>
        <v>7.7687338005019564</v>
      </c>
      <c r="M649" s="6">
        <f>IF(首页!$B$13="自然对流",IF(首页!$B$14="立式圆筒",首页!$B$10,PI()*B649/2),PI()*B649/2)</f>
        <v>55.2</v>
      </c>
      <c r="N649" s="7">
        <f>IF(首页!$B$13="强制对流",首页!$B$11*M649/H649,0)</f>
        <v>0</v>
      </c>
      <c r="O649" s="7">
        <f>IF(首页!$B$13="自然对流",IF(首页!$B$14="立式圆筒",(0.825+0.3063*I649^(1/6))^2+0.87*(M649/B649),(0.752+0.303*I649^(1/6))^2),0.3+SQRT((0.592*N649^0.5)^2+(0.0262*N649^0.8/(1-0.5/N649^0.1))^2))</f>
        <v>10053.315457480354</v>
      </c>
      <c r="P649" s="6">
        <f t="shared" si="105"/>
        <v>2.9510194925512497E-2</v>
      </c>
      <c r="Q649" s="6">
        <f t="shared" si="106"/>
        <v>5.3745525144549466</v>
      </c>
      <c r="R649" s="6">
        <f t="shared" si="107"/>
        <v>13.143286314956903</v>
      </c>
      <c r="S649" s="6">
        <f>IF($Y$2="按单位面积散热损失 qp",B649*LN(B649/首页!$B$4),LN(B649/首页!$B$4))</f>
        <v>3.4671067818618058</v>
      </c>
      <c r="T649" s="6">
        <f>IF($Y$2="按单位面积散热损失 qp",2*PI()*首页!$B$8*((E649-D649)/$Y$3-1/R649),2*PI()*首页!$B$8*((E649-D649)/$Y$4-1/(PI()*B649*R649)))</f>
        <v>4.0787352037424861E-2</v>
      </c>
      <c r="U649" t="str">
        <f t="shared" si="108"/>
        <v>按单位面积散热损失 qp</v>
      </c>
      <c r="V649" s="6">
        <f t="shared" si="109"/>
        <v>3.4263194298243809</v>
      </c>
    </row>
    <row r="650" spans="1:22" x14ac:dyDescent="0.15">
      <c r="A650">
        <v>645</v>
      </c>
      <c r="B650" s="6">
        <f>首页!$B$4+2*A650/1000</f>
        <v>1.4100000000000001</v>
      </c>
      <c r="C650" s="6">
        <f>首页!$B$7+273.15</f>
        <v>388.15</v>
      </c>
      <c r="D650" s="6">
        <f>首页!$B$6+273.15</f>
        <v>293.14999999999998</v>
      </c>
      <c r="E650" s="6">
        <f>首页!$B$5+273.15</f>
        <v>1373.15</v>
      </c>
      <c r="F650" s="6">
        <f t="shared" si="100"/>
        <v>95</v>
      </c>
      <c r="G650" s="6">
        <f t="shared" si="101"/>
        <v>340.65</v>
      </c>
      <c r="H650" s="6">
        <f t="shared" si="102"/>
        <v>1.9926207055139041E-5</v>
      </c>
      <c r="I650" s="7">
        <f t="shared" si="103"/>
        <v>1158916576932337.8</v>
      </c>
      <c r="J650" s="6">
        <f t="shared" si="104"/>
        <v>1.0226038455893147</v>
      </c>
      <c r="K650" s="7">
        <f>J650*H650*首页!$B$12/P650</f>
        <v>0.69532757496605813</v>
      </c>
      <c r="L650" s="6">
        <f>首页!$B$9*0.0000000567*((C650^4-D650^4)/(C650-D650))</f>
        <v>7.7687338005019564</v>
      </c>
      <c r="M650" s="6">
        <f>IF(首页!$B$13="自然对流",IF(首页!$B$14="立式圆筒",首页!$B$10,PI()*B650/2),PI()*B650/2)</f>
        <v>55.2</v>
      </c>
      <c r="N650" s="7">
        <f>IF(首页!$B$13="强制对流",首页!$B$11*M650/H650,0)</f>
        <v>0</v>
      </c>
      <c r="O650" s="7">
        <f>IF(首页!$B$13="自然对流",IF(首页!$B$14="立式圆筒",(0.825+0.3063*I650^(1/6))^2+0.87*(M650/B650),(0.752+0.303*I650^(1/6))^2),0.3+SQRT((0.592*N650^0.5)^2+(0.0262*N650^0.8/(1-0.5/N650^0.1))^2))</f>
        <v>10053.267077402985</v>
      </c>
      <c r="P650" s="6">
        <f t="shared" si="105"/>
        <v>2.9510194925512497E-2</v>
      </c>
      <c r="Q650" s="6">
        <f t="shared" si="106"/>
        <v>5.3745266502246265</v>
      </c>
      <c r="R650" s="6">
        <f t="shared" si="107"/>
        <v>13.143260450726583</v>
      </c>
      <c r="S650" s="6">
        <f>IF($Y$2="按单位面积散热损失 qp",B650*LN(B650/首页!$B$4),LN(B650/首页!$B$4))</f>
        <v>3.4740330692321373</v>
      </c>
      <c r="T650" s="6">
        <f>IF($Y$2="按单位面积散热损失 qp",2*PI()*首页!$B$8*((E650-D650)/$Y$3-1/R650),2*PI()*首页!$B$8*((E650-D650)/$Y$4-1/(PI()*B650*R650)))</f>
        <v>4.0787309703858361E-2</v>
      </c>
      <c r="U650" t="str">
        <f t="shared" si="108"/>
        <v>按单位面积散热损失 qp</v>
      </c>
      <c r="V650" s="6">
        <f t="shared" si="109"/>
        <v>3.4332457595282788</v>
      </c>
    </row>
    <row r="651" spans="1:22" x14ac:dyDescent="0.15">
      <c r="A651">
        <v>646</v>
      </c>
      <c r="B651" s="6">
        <f>首页!$B$4+2*A651/1000</f>
        <v>1.4119999999999999</v>
      </c>
      <c r="C651" s="6">
        <f>首页!$B$7+273.15</f>
        <v>388.15</v>
      </c>
      <c r="D651" s="6">
        <f>首页!$B$6+273.15</f>
        <v>293.14999999999998</v>
      </c>
      <c r="E651" s="6">
        <f>首页!$B$5+273.15</f>
        <v>1373.15</v>
      </c>
      <c r="F651" s="6">
        <f t="shared" si="100"/>
        <v>95</v>
      </c>
      <c r="G651" s="6">
        <f t="shared" si="101"/>
        <v>340.65</v>
      </c>
      <c r="H651" s="6">
        <f t="shared" si="102"/>
        <v>1.9926207055139041E-5</v>
      </c>
      <c r="I651" s="7">
        <f t="shared" si="103"/>
        <v>1158916576932337.8</v>
      </c>
      <c r="J651" s="6">
        <f t="shared" si="104"/>
        <v>1.0226038455893147</v>
      </c>
      <c r="K651" s="7">
        <f>J651*H651*首页!$B$12/P651</f>
        <v>0.69532757496605813</v>
      </c>
      <c r="L651" s="6">
        <f>首页!$B$9*0.0000000567*((C651^4-D651^4)/(C651-D651))</f>
        <v>7.7687338005019564</v>
      </c>
      <c r="M651" s="6">
        <f>IF(首页!$B$13="自然对流",IF(首页!$B$14="立式圆筒",首页!$B$10,PI()*B651/2),PI()*B651/2)</f>
        <v>55.2</v>
      </c>
      <c r="N651" s="7">
        <f>IF(首页!$B$13="强制对流",首页!$B$11*M651/H651,0)</f>
        <v>0</v>
      </c>
      <c r="O651" s="7">
        <f>IF(首页!$B$13="自然对流",IF(首页!$B$14="立式圆筒",(0.825+0.3063*I651^(1/6))^2+0.87*(M651/B651),(0.752+0.303*I651^(1/6))^2),0.3+SQRT((0.592*N651^0.5)^2+(0.0262*N651^0.8/(1-0.5/N651^0.1))^2))</f>
        <v>10053.218834379659</v>
      </c>
      <c r="P651" s="6">
        <f t="shared" si="105"/>
        <v>2.9510194925512497E-2</v>
      </c>
      <c r="Q651" s="6">
        <f t="shared" si="106"/>
        <v>5.3745008592640797</v>
      </c>
      <c r="R651" s="6">
        <f t="shared" si="107"/>
        <v>13.143234659766037</v>
      </c>
      <c r="S651" s="6">
        <f>IF($Y$2="按单位面积散热损失 qp",B651*LN(B651/首页!$B$4),LN(B651/首页!$B$4))</f>
        <v>3.4809621934828519</v>
      </c>
      <c r="T651" s="6">
        <f>IF($Y$2="按单位面积散热损失 qp",2*PI()*首页!$B$8*((E651-D651)/$Y$3-1/R651),2*PI()*首页!$B$8*((E651-D651)/$Y$4-1/(PI()*B651*R651)))</f>
        <v>4.0787267490051071E-2</v>
      </c>
      <c r="U651" t="str">
        <f t="shared" si="108"/>
        <v>按单位面积散热损失 qp</v>
      </c>
      <c r="V651" s="6">
        <f t="shared" si="109"/>
        <v>3.4401749259928009</v>
      </c>
    </row>
    <row r="652" spans="1:22" x14ac:dyDescent="0.15">
      <c r="A652">
        <v>647</v>
      </c>
      <c r="B652" s="6">
        <f>首页!$B$4+2*A652/1000</f>
        <v>1.4140000000000001</v>
      </c>
      <c r="C652" s="6">
        <f>首页!$B$7+273.15</f>
        <v>388.15</v>
      </c>
      <c r="D652" s="6">
        <f>首页!$B$6+273.15</f>
        <v>293.14999999999998</v>
      </c>
      <c r="E652" s="6">
        <f>首页!$B$5+273.15</f>
        <v>1373.15</v>
      </c>
      <c r="F652" s="6">
        <f t="shared" si="100"/>
        <v>95</v>
      </c>
      <c r="G652" s="6">
        <f t="shared" si="101"/>
        <v>340.65</v>
      </c>
      <c r="H652" s="6">
        <f t="shared" si="102"/>
        <v>1.9926207055139041E-5</v>
      </c>
      <c r="I652" s="7">
        <f t="shared" si="103"/>
        <v>1158916576932337.8</v>
      </c>
      <c r="J652" s="6">
        <f t="shared" si="104"/>
        <v>1.0226038455893147</v>
      </c>
      <c r="K652" s="7">
        <f>J652*H652*首页!$B$12/P652</f>
        <v>0.69532757496605813</v>
      </c>
      <c r="L652" s="6">
        <f>首页!$B$9*0.0000000567*((C652^4-D652^4)/(C652-D652))</f>
        <v>7.7687338005019564</v>
      </c>
      <c r="M652" s="6">
        <f>IF(首页!$B$13="自然对流",IF(首页!$B$14="立式圆筒",首页!$B$10,PI()*B652/2),PI()*B652/2)</f>
        <v>55.2</v>
      </c>
      <c r="N652" s="7">
        <f>IF(首页!$B$13="强制对流",首页!$B$11*M652/H652,0)</f>
        <v>0</v>
      </c>
      <c r="O652" s="7">
        <f>IF(首页!$B$13="自然对流",IF(首页!$B$14="立式圆筒",(0.825+0.3063*I652^(1/6))^2+0.87*(M652/B652),(0.752+0.303*I652^(1/6))^2),0.3+SQRT((0.592*N652^0.5)^2+(0.0262*N652^0.8/(1-0.5/N652^0.1))^2))</f>
        <v>10053.170727828818</v>
      </c>
      <c r="P652" s="6">
        <f t="shared" si="105"/>
        <v>2.9510194925512497E-2</v>
      </c>
      <c r="Q652" s="6">
        <f t="shared" si="106"/>
        <v>5.3744751412624048</v>
      </c>
      <c r="R652" s="6">
        <f t="shared" si="107"/>
        <v>13.14320894176436</v>
      </c>
      <c r="S652" s="6">
        <f>IF($Y$2="按单位面积散热损失 qp",B652*LN(B652/首页!$B$4),LN(B652/首页!$B$4))</f>
        <v>3.4878941505957042</v>
      </c>
      <c r="T652" s="6">
        <f>IF($Y$2="按单位面积散热损失 qp",2*PI()*首页!$B$8*((E652-D652)/$Y$3-1/R652),2*PI()*首页!$B$8*((E652-D652)/$Y$4-1/(PI()*B652*R652)))</f>
        <v>4.0787225395495515E-2</v>
      </c>
      <c r="U652" t="str">
        <f t="shared" si="108"/>
        <v>按单位面积散热损失 qp</v>
      </c>
      <c r="V652" s="6">
        <f t="shared" si="109"/>
        <v>3.4471069252002087</v>
      </c>
    </row>
    <row r="653" spans="1:22" x14ac:dyDescent="0.15">
      <c r="A653">
        <v>648</v>
      </c>
      <c r="B653" s="6">
        <f>首页!$B$4+2*A653/1000</f>
        <v>1.4159999999999999</v>
      </c>
      <c r="C653" s="6">
        <f>首页!$B$7+273.15</f>
        <v>388.15</v>
      </c>
      <c r="D653" s="6">
        <f>首页!$B$6+273.15</f>
        <v>293.14999999999998</v>
      </c>
      <c r="E653" s="6">
        <f>首页!$B$5+273.15</f>
        <v>1373.15</v>
      </c>
      <c r="F653" s="6">
        <f t="shared" si="100"/>
        <v>95</v>
      </c>
      <c r="G653" s="6">
        <f t="shared" si="101"/>
        <v>340.65</v>
      </c>
      <c r="H653" s="6">
        <f t="shared" si="102"/>
        <v>1.9926207055139041E-5</v>
      </c>
      <c r="I653" s="7">
        <f t="shared" si="103"/>
        <v>1158916576932337.8</v>
      </c>
      <c r="J653" s="6">
        <f t="shared" si="104"/>
        <v>1.0226038455893147</v>
      </c>
      <c r="K653" s="7">
        <f>J653*H653*首页!$B$12/P653</f>
        <v>0.69532757496605813</v>
      </c>
      <c r="L653" s="6">
        <f>首页!$B$9*0.0000000567*((C653^4-D653^4)/(C653-D653))</f>
        <v>7.7687338005019564</v>
      </c>
      <c r="M653" s="6">
        <f>IF(首页!$B$13="自然对流",IF(首页!$B$14="立式圆筒",首页!$B$10,PI()*B653/2),PI()*B653/2)</f>
        <v>55.2</v>
      </c>
      <c r="N653" s="7">
        <f>IF(首页!$B$13="强制对流",首页!$B$11*M653/H653,0)</f>
        <v>0</v>
      </c>
      <c r="O653" s="7">
        <f>IF(首页!$B$13="自然对流",IF(首页!$B$14="立式圆筒",(0.825+0.3063*I653^(1/6))^2+0.87*(M653/B653),(0.752+0.303*I653^(1/6))^2),0.3+SQRT((0.592*N653^0.5)^2+(0.0262*N653^0.8/(1-0.5/N653^0.1))^2))</f>
        <v>10053.122757172188</v>
      </c>
      <c r="P653" s="6">
        <f t="shared" si="105"/>
        <v>2.9510194925512497E-2</v>
      </c>
      <c r="Q653" s="6">
        <f t="shared" si="106"/>
        <v>5.3744494959104507</v>
      </c>
      <c r="R653" s="6">
        <f t="shared" si="107"/>
        <v>13.143183296412406</v>
      </c>
      <c r="S653" s="6">
        <f>IF($Y$2="按单位面积散热损失 qp",B653*LN(B653/首页!$B$4),LN(B653/首页!$B$4))</f>
        <v>3.4948289365638128</v>
      </c>
      <c r="T653" s="6">
        <f>IF($Y$2="按单位面积散热损失 qp",2*PI()*首页!$B$8*((E653-D653)/$Y$3-1/R653),2*PI()*首页!$B$8*((E653-D653)/$Y$4-1/(PI()*B653*R653)))</f>
        <v>4.0787183419687095E-2</v>
      </c>
      <c r="U653" t="str">
        <f t="shared" si="108"/>
        <v>按单位面积散热损失 qp</v>
      </c>
      <c r="V653" s="6">
        <f t="shared" si="109"/>
        <v>3.4540417531441259</v>
      </c>
    </row>
    <row r="654" spans="1:22" x14ac:dyDescent="0.15">
      <c r="A654">
        <v>649</v>
      </c>
      <c r="B654" s="6">
        <f>首页!$B$4+2*A654/1000</f>
        <v>1.4180000000000001</v>
      </c>
      <c r="C654" s="6">
        <f>首页!$B$7+273.15</f>
        <v>388.15</v>
      </c>
      <c r="D654" s="6">
        <f>首页!$B$6+273.15</f>
        <v>293.14999999999998</v>
      </c>
      <c r="E654" s="6">
        <f>首页!$B$5+273.15</f>
        <v>1373.15</v>
      </c>
      <c r="F654" s="6">
        <f t="shared" si="100"/>
        <v>95</v>
      </c>
      <c r="G654" s="6">
        <f t="shared" si="101"/>
        <v>340.65</v>
      </c>
      <c r="H654" s="6">
        <f t="shared" si="102"/>
        <v>1.9926207055139041E-5</v>
      </c>
      <c r="I654" s="7">
        <f t="shared" si="103"/>
        <v>1158916576932337.8</v>
      </c>
      <c r="J654" s="6">
        <f t="shared" si="104"/>
        <v>1.0226038455893147</v>
      </c>
      <c r="K654" s="7">
        <f>J654*H654*首页!$B$12/P654</f>
        <v>0.69532757496605813</v>
      </c>
      <c r="L654" s="6">
        <f>首页!$B$9*0.0000000567*((C654^4-D654^4)/(C654-D654))</f>
        <v>7.7687338005019564</v>
      </c>
      <c r="M654" s="6">
        <f>IF(首页!$B$13="自然对流",IF(首页!$B$14="立式圆筒",首页!$B$10,PI()*B654/2),PI()*B654/2)</f>
        <v>55.2</v>
      </c>
      <c r="N654" s="7">
        <f>IF(首页!$B$13="强制对流",首页!$B$11*M654/H654,0)</f>
        <v>0</v>
      </c>
      <c r="O654" s="7">
        <f>IF(首页!$B$13="自然对流",IF(首页!$B$14="立式圆筒",(0.825+0.3063*I654^(1/6))^2+0.87*(M654/B654),(0.752+0.303*I654^(1/6))^2),0.3+SQRT((0.592*N654^0.5)^2+(0.0262*N654^0.8/(1-0.5/N654^0.1))^2))</f>
        <v>10053.074921834759</v>
      </c>
      <c r="P654" s="6">
        <f t="shared" si="105"/>
        <v>2.9510194925512497E-2</v>
      </c>
      <c r="Q654" s="6">
        <f t="shared" si="106"/>
        <v>5.3744239229008164</v>
      </c>
      <c r="R654" s="6">
        <f t="shared" si="107"/>
        <v>13.143157723402773</v>
      </c>
      <c r="S654" s="6">
        <f>IF($Y$2="按单位面积散热损失 qp",B654*LN(B654/首页!$B$4),LN(B654/首页!$B$4))</f>
        <v>3.5017665473916186</v>
      </c>
      <c r="T654" s="6">
        <f>IF($Y$2="按单位面积散热损失 qp",2*PI()*首页!$B$8*((E654-D654)/$Y$3-1/R654),2*PI()*首页!$B$8*((E654-D654)/$Y$4-1/(PI()*B654*R654)))</f>
        <v>4.0787141562124048E-2</v>
      </c>
      <c r="U654" t="str">
        <f t="shared" si="108"/>
        <v>按单位面积散热损失 qp</v>
      </c>
      <c r="V654" s="6">
        <f t="shared" si="109"/>
        <v>3.4609794058294945</v>
      </c>
    </row>
    <row r="655" spans="1:22" x14ac:dyDescent="0.15">
      <c r="A655">
        <v>650</v>
      </c>
      <c r="B655" s="6">
        <f>首页!$B$4+2*A655/1000</f>
        <v>1.42</v>
      </c>
      <c r="C655" s="6">
        <f>首页!$B$7+273.15</f>
        <v>388.15</v>
      </c>
      <c r="D655" s="6">
        <f>首页!$B$6+273.15</f>
        <v>293.14999999999998</v>
      </c>
      <c r="E655" s="6">
        <f>首页!$B$5+273.15</f>
        <v>1373.15</v>
      </c>
      <c r="F655" s="6">
        <f t="shared" si="100"/>
        <v>95</v>
      </c>
      <c r="G655" s="6">
        <f t="shared" si="101"/>
        <v>340.65</v>
      </c>
      <c r="H655" s="6">
        <f t="shared" si="102"/>
        <v>1.9926207055139041E-5</v>
      </c>
      <c r="I655" s="7">
        <f t="shared" si="103"/>
        <v>1158916576932337.8</v>
      </c>
      <c r="J655" s="6">
        <f t="shared" si="104"/>
        <v>1.0226038455893147</v>
      </c>
      <c r="K655" s="7">
        <f>J655*H655*首页!$B$12/P655</f>
        <v>0.69532757496605813</v>
      </c>
      <c r="L655" s="6">
        <f>首页!$B$9*0.0000000567*((C655^4-D655^4)/(C655-D655))</f>
        <v>7.7687338005019564</v>
      </c>
      <c r="M655" s="6">
        <f>IF(首页!$B$13="自然对流",IF(首页!$B$14="立式圆筒",首页!$B$10,PI()*B655/2),PI()*B655/2)</f>
        <v>55.2</v>
      </c>
      <c r="N655" s="7">
        <f>IF(首页!$B$13="强制对流",首页!$B$11*M655/H655,0)</f>
        <v>0</v>
      </c>
      <c r="O655" s="7">
        <f>IF(首页!$B$13="自然对流",IF(首页!$B$14="立式圆筒",(0.825+0.3063*I655^(1/6))^2+0.87*(M655/B655),(0.752+0.303*I655^(1/6))^2),0.3+SQRT((0.592*N655^0.5)^2+(0.0262*N655^0.8/(1-0.5/N655^0.1))^2))</f>
        <v>10053.02722124476</v>
      </c>
      <c r="P655" s="6">
        <f t="shared" si="105"/>
        <v>2.9510194925512497E-2</v>
      </c>
      <c r="Q655" s="6">
        <f t="shared" si="106"/>
        <v>5.374398421927828</v>
      </c>
      <c r="R655" s="6">
        <f t="shared" si="107"/>
        <v>13.143132222429784</v>
      </c>
      <c r="S655" s="6">
        <f>IF($Y$2="按单位面积散热损失 qp",B655*LN(B655/首页!$B$4),LN(B655/首页!$B$4))</f>
        <v>3.5087069790948298</v>
      </c>
      <c r="T655" s="6">
        <f>IF($Y$2="按单位面积散热损失 qp",2*PI()*首页!$B$8*((E655-D655)/$Y$3-1/R655),2*PI()*首页!$B$8*((E655-D655)/$Y$4-1/(PI()*B655*R655)))</f>
        <v>4.0787099822307424E-2</v>
      </c>
      <c r="U655" t="str">
        <f t="shared" si="108"/>
        <v>按单位面积散热损失 qp</v>
      </c>
      <c r="V655" s="6">
        <f t="shared" si="109"/>
        <v>3.4679198792725225</v>
      </c>
    </row>
    <row r="656" spans="1:22" x14ac:dyDescent="0.15">
      <c r="A656">
        <v>651</v>
      </c>
      <c r="B656" s="6">
        <f>首页!$B$4+2*A656/1000</f>
        <v>1.4220000000000002</v>
      </c>
      <c r="C656" s="6">
        <f>首页!$B$7+273.15</f>
        <v>388.15</v>
      </c>
      <c r="D656" s="6">
        <f>首页!$B$6+273.15</f>
        <v>293.14999999999998</v>
      </c>
      <c r="E656" s="6">
        <f>首页!$B$5+273.15</f>
        <v>1373.15</v>
      </c>
      <c r="F656" s="6">
        <f t="shared" si="100"/>
        <v>95</v>
      </c>
      <c r="G656" s="6">
        <f t="shared" si="101"/>
        <v>340.65</v>
      </c>
      <c r="H656" s="6">
        <f t="shared" si="102"/>
        <v>1.9926207055139041E-5</v>
      </c>
      <c r="I656" s="7">
        <f t="shared" si="103"/>
        <v>1158916576932337.8</v>
      </c>
      <c r="J656" s="6">
        <f t="shared" si="104"/>
        <v>1.0226038455893147</v>
      </c>
      <c r="K656" s="7">
        <f>J656*H656*首页!$B$12/P656</f>
        <v>0.69532757496605813</v>
      </c>
      <c r="L656" s="6">
        <f>首页!$B$9*0.0000000567*((C656^4-D656^4)/(C656-D656))</f>
        <v>7.7687338005019564</v>
      </c>
      <c r="M656" s="6">
        <f>IF(首页!$B$13="自然对流",IF(首页!$B$14="立式圆筒",首页!$B$10,PI()*B656/2),PI()*B656/2)</f>
        <v>55.2</v>
      </c>
      <c r="N656" s="7">
        <f>IF(首页!$B$13="强制对流",首页!$B$11*M656/H656,0)</f>
        <v>0</v>
      </c>
      <c r="O656" s="7">
        <f>IF(首页!$B$13="自然对流",IF(首页!$B$14="立式圆筒",(0.825+0.3063*I656^(1/6))^2+0.87*(M656/B656),(0.752+0.303*I656^(1/6))^2),0.3+SQRT((0.592*N656^0.5)^2+(0.0262*N656^0.8/(1-0.5/N656^0.1))^2))</f>
        <v>10052.979654833634</v>
      </c>
      <c r="P656" s="6">
        <f t="shared" si="105"/>
        <v>2.9510194925512497E-2</v>
      </c>
      <c r="Q656" s="6">
        <f t="shared" si="106"/>
        <v>5.3743729926875341</v>
      </c>
      <c r="R656" s="6">
        <f t="shared" si="107"/>
        <v>13.14310679318949</v>
      </c>
      <c r="S656" s="6">
        <f>IF($Y$2="按单位面积散热损失 qp",B656*LN(B656/首页!$B$4),LN(B656/首页!$B$4))</f>
        <v>3.5156502277003816</v>
      </c>
      <c r="T656" s="6">
        <f>IF($Y$2="按单位面积散热损失 qp",2*PI()*首页!$B$8*((E656-D656)/$Y$3-1/R656),2*PI()*首页!$B$8*((E656-D656)/$Y$4-1/(PI()*B656*R656)))</f>
        <v>4.0787058199741086E-2</v>
      </c>
      <c r="U656" t="str">
        <f t="shared" si="108"/>
        <v>按单位面积散热损失 qp</v>
      </c>
      <c r="V656" s="6">
        <f t="shared" si="109"/>
        <v>3.4748631695006407</v>
      </c>
    </row>
    <row r="657" spans="1:22" x14ac:dyDescent="0.15">
      <c r="A657">
        <v>652</v>
      </c>
      <c r="B657" s="6">
        <f>首页!$B$4+2*A657/1000</f>
        <v>1.4239999999999999</v>
      </c>
      <c r="C657" s="6">
        <f>首页!$B$7+273.15</f>
        <v>388.15</v>
      </c>
      <c r="D657" s="6">
        <f>首页!$B$6+273.15</f>
        <v>293.14999999999998</v>
      </c>
      <c r="E657" s="6">
        <f>首页!$B$5+273.15</f>
        <v>1373.15</v>
      </c>
      <c r="F657" s="6">
        <f t="shared" si="100"/>
        <v>95</v>
      </c>
      <c r="G657" s="6">
        <f t="shared" si="101"/>
        <v>340.65</v>
      </c>
      <c r="H657" s="6">
        <f t="shared" si="102"/>
        <v>1.9926207055139041E-5</v>
      </c>
      <c r="I657" s="7">
        <f t="shared" si="103"/>
        <v>1158916576932337.8</v>
      </c>
      <c r="J657" s="6">
        <f t="shared" si="104"/>
        <v>1.0226038455893147</v>
      </c>
      <c r="K657" s="7">
        <f>J657*H657*首页!$B$12/P657</f>
        <v>0.69532757496605813</v>
      </c>
      <c r="L657" s="6">
        <f>首页!$B$9*0.0000000567*((C657^4-D657^4)/(C657-D657))</f>
        <v>7.7687338005019564</v>
      </c>
      <c r="M657" s="6">
        <f>IF(首页!$B$13="自然对流",IF(首页!$B$14="立式圆筒",首页!$B$10,PI()*B657/2),PI()*B657/2)</f>
        <v>55.2</v>
      </c>
      <c r="N657" s="7">
        <f>IF(首页!$B$13="强制对流",首页!$B$11*M657/H657,0)</f>
        <v>0</v>
      </c>
      <c r="O657" s="7">
        <f>IF(首页!$B$13="自然对流",IF(首页!$B$14="立式圆筒",(0.825+0.3063*I657^(1/6))^2+0.87*(M657/B657),(0.752+0.303*I657^(1/6))^2),0.3+SQRT((0.592*N657^0.5)^2+(0.0262*N657^0.8/(1-0.5/N657^0.1))^2))</f>
        <v>10052.932222036023</v>
      </c>
      <c r="P657" s="6">
        <f t="shared" si="105"/>
        <v>2.9510194925512497E-2</v>
      </c>
      <c r="Q657" s="6">
        <f t="shared" si="106"/>
        <v>5.3743476348776902</v>
      </c>
      <c r="R657" s="6">
        <f t="shared" si="107"/>
        <v>13.143081435379646</v>
      </c>
      <c r="S657" s="6">
        <f>IF($Y$2="按单位面积散热损失 qp",B657*LN(B657/首页!$B$4),LN(B657/首页!$B$4))</f>
        <v>3.522596289246382</v>
      </c>
      <c r="T657" s="6">
        <f>IF($Y$2="按单位面积散热损失 qp",2*PI()*首页!$B$8*((E657-D657)/$Y$3-1/R657),2*PI()*首页!$B$8*((E657-D657)/$Y$4-1/(PI()*B657*R657)))</f>
        <v>4.0787016693931692E-2</v>
      </c>
      <c r="U657" t="str">
        <f t="shared" si="108"/>
        <v>按单位面积散热损失 qp</v>
      </c>
      <c r="V657" s="6">
        <f t="shared" si="109"/>
        <v>3.4818092725524505</v>
      </c>
    </row>
    <row r="658" spans="1:22" x14ac:dyDescent="0.15">
      <c r="A658">
        <v>653</v>
      </c>
      <c r="B658" s="6">
        <f>首页!$B$4+2*A658/1000</f>
        <v>1.4260000000000002</v>
      </c>
      <c r="C658" s="6">
        <f>首页!$B$7+273.15</f>
        <v>388.15</v>
      </c>
      <c r="D658" s="6">
        <f>首页!$B$6+273.15</f>
        <v>293.14999999999998</v>
      </c>
      <c r="E658" s="6">
        <f>首页!$B$5+273.15</f>
        <v>1373.15</v>
      </c>
      <c r="F658" s="6">
        <f t="shared" si="100"/>
        <v>95</v>
      </c>
      <c r="G658" s="6">
        <f t="shared" si="101"/>
        <v>340.65</v>
      </c>
      <c r="H658" s="6">
        <f t="shared" si="102"/>
        <v>1.9926207055139041E-5</v>
      </c>
      <c r="I658" s="7">
        <f t="shared" si="103"/>
        <v>1158916576932337.8</v>
      </c>
      <c r="J658" s="6">
        <f t="shared" si="104"/>
        <v>1.0226038455893147</v>
      </c>
      <c r="K658" s="7">
        <f>J658*H658*首页!$B$12/P658</f>
        <v>0.69532757496605813</v>
      </c>
      <c r="L658" s="6">
        <f>首页!$B$9*0.0000000567*((C658^4-D658^4)/(C658-D658))</f>
        <v>7.7687338005019564</v>
      </c>
      <c r="M658" s="6">
        <f>IF(首页!$B$13="自然对流",IF(首页!$B$14="立式圆筒",首页!$B$10,PI()*B658/2),PI()*B658/2)</f>
        <v>55.2</v>
      </c>
      <c r="N658" s="7">
        <f>IF(首页!$B$13="强制对流",首页!$B$11*M658/H658,0)</f>
        <v>0</v>
      </c>
      <c r="O658" s="7">
        <f>IF(首页!$B$13="自然对流",IF(首页!$B$14="立式圆筒",(0.825+0.3063*I658^(1/6))^2+0.87*(M658/B658),(0.752+0.303*I658^(1/6))^2),0.3+SQRT((0.592*N658^0.5)^2+(0.0262*N658^0.8/(1-0.5/N658^0.1))^2))</f>
        <v>10052.884922289739</v>
      </c>
      <c r="P658" s="6">
        <f t="shared" si="105"/>
        <v>2.9510194925512497E-2</v>
      </c>
      <c r="Q658" s="6">
        <f t="shared" si="106"/>
        <v>5.3743223481977482</v>
      </c>
      <c r="R658" s="6">
        <f t="shared" si="107"/>
        <v>13.143056148699705</v>
      </c>
      <c r="S658" s="6">
        <f>IF($Y$2="按单位面积散热损失 qp",B658*LN(B658/首页!$B$4),LN(B658/首页!$B$4))</f>
        <v>3.5295451597820713</v>
      </c>
      <c r="T658" s="6">
        <f>IF($Y$2="按单位面积散热损失 qp",2*PI()*首页!$B$8*((E658-D658)/$Y$3-1/R658),2*PI()*首页!$B$8*((E658-D658)/$Y$4-1/(PI()*B658*R658)))</f>
        <v>4.0786975304388642E-2</v>
      </c>
      <c r="U658" t="str">
        <f t="shared" si="108"/>
        <v>按单位面积散热损失 qp</v>
      </c>
      <c r="V658" s="6">
        <f t="shared" si="109"/>
        <v>3.4887581844776827</v>
      </c>
    </row>
    <row r="659" spans="1:22" x14ac:dyDescent="0.15">
      <c r="A659">
        <v>654</v>
      </c>
      <c r="B659" s="6">
        <f>首页!$B$4+2*A659/1000</f>
        <v>1.4279999999999999</v>
      </c>
      <c r="C659" s="6">
        <f>首页!$B$7+273.15</f>
        <v>388.15</v>
      </c>
      <c r="D659" s="6">
        <f>首页!$B$6+273.15</f>
        <v>293.14999999999998</v>
      </c>
      <c r="E659" s="6">
        <f>首页!$B$5+273.15</f>
        <v>1373.15</v>
      </c>
      <c r="F659" s="6">
        <f t="shared" si="100"/>
        <v>95</v>
      </c>
      <c r="G659" s="6">
        <f t="shared" si="101"/>
        <v>340.65</v>
      </c>
      <c r="H659" s="6">
        <f t="shared" si="102"/>
        <v>1.9926207055139041E-5</v>
      </c>
      <c r="I659" s="7">
        <f t="shared" si="103"/>
        <v>1158916576932337.8</v>
      </c>
      <c r="J659" s="6">
        <f t="shared" si="104"/>
        <v>1.0226038455893147</v>
      </c>
      <c r="K659" s="7">
        <f>J659*H659*首页!$B$12/P659</f>
        <v>0.69532757496605813</v>
      </c>
      <c r="L659" s="6">
        <f>首页!$B$9*0.0000000567*((C659^4-D659^4)/(C659-D659))</f>
        <v>7.7687338005019564</v>
      </c>
      <c r="M659" s="6">
        <f>IF(首页!$B$13="自然对流",IF(首页!$B$14="立式圆筒",首页!$B$10,PI()*B659/2),PI()*B659/2)</f>
        <v>55.2</v>
      </c>
      <c r="N659" s="7">
        <f>IF(首页!$B$13="强制对流",首页!$B$11*M659/H659,0)</f>
        <v>0</v>
      </c>
      <c r="O659" s="7">
        <f>IF(首页!$B$13="自然对流",IF(首页!$B$14="立式圆筒",(0.825+0.3063*I659^(1/6))^2+0.87*(M659/B659),(0.752+0.303*I659^(1/6))^2),0.3+SQRT((0.592*N659^0.5)^2+(0.0262*N659^0.8/(1-0.5/N659^0.1))^2))</f>
        <v>10052.83775503574</v>
      </c>
      <c r="P659" s="6">
        <f t="shared" si="105"/>
        <v>2.9510194925512497E-2</v>
      </c>
      <c r="Q659" s="6">
        <f t="shared" si="106"/>
        <v>5.3742971323488424</v>
      </c>
      <c r="R659" s="6">
        <f t="shared" si="107"/>
        <v>13.143030932850799</v>
      </c>
      <c r="S659" s="6">
        <f>IF($Y$2="按单位面积散热损失 qp",B659*LN(B659/首页!$B$4),LN(B659/首页!$B$4))</f>
        <v>3.5364968353677666</v>
      </c>
      <c r="T659" s="6">
        <f>IF($Y$2="按单位面积散热损失 qp",2*PI()*首页!$B$8*((E659-D659)/$Y$3-1/R659),2*PI()*首页!$B$8*((E659-D659)/$Y$4-1/(PI()*B659*R659)))</f>
        <v>4.0786934030624097E-2</v>
      </c>
      <c r="U659" t="str">
        <f t="shared" si="108"/>
        <v>按单位面积散热损失 qp</v>
      </c>
      <c r="V659" s="6">
        <f t="shared" si="109"/>
        <v>3.4957099013371424</v>
      </c>
    </row>
    <row r="660" spans="1:22" x14ac:dyDescent="0.15">
      <c r="A660">
        <v>655</v>
      </c>
      <c r="B660" s="6">
        <f>首页!$B$4+2*A660/1000</f>
        <v>1.4300000000000002</v>
      </c>
      <c r="C660" s="6">
        <f>首页!$B$7+273.15</f>
        <v>388.15</v>
      </c>
      <c r="D660" s="6">
        <f>首页!$B$6+273.15</f>
        <v>293.14999999999998</v>
      </c>
      <c r="E660" s="6">
        <f>首页!$B$5+273.15</f>
        <v>1373.15</v>
      </c>
      <c r="F660" s="6">
        <f t="shared" si="100"/>
        <v>95</v>
      </c>
      <c r="G660" s="6">
        <f t="shared" si="101"/>
        <v>340.65</v>
      </c>
      <c r="H660" s="6">
        <f t="shared" si="102"/>
        <v>1.9926207055139041E-5</v>
      </c>
      <c r="I660" s="7">
        <f t="shared" si="103"/>
        <v>1158916576932337.8</v>
      </c>
      <c r="J660" s="6">
        <f t="shared" si="104"/>
        <v>1.0226038455893147</v>
      </c>
      <c r="K660" s="7">
        <f>J660*H660*首页!$B$12/P660</f>
        <v>0.69532757496605813</v>
      </c>
      <c r="L660" s="6">
        <f>首页!$B$9*0.0000000567*((C660^4-D660^4)/(C660-D660))</f>
        <v>7.7687338005019564</v>
      </c>
      <c r="M660" s="6">
        <f>IF(首页!$B$13="自然对流",IF(首页!$B$14="立式圆筒",首页!$B$10,PI()*B660/2),PI()*B660/2)</f>
        <v>55.2</v>
      </c>
      <c r="N660" s="7">
        <f>IF(首页!$B$13="强制对流",首页!$B$11*M660/H660,0)</f>
        <v>0</v>
      </c>
      <c r="O660" s="7">
        <f>IF(首页!$B$13="自然对流",IF(首页!$B$14="立式圆筒",(0.825+0.3063*I660^(1/6))^2+0.87*(M660/B660),(0.752+0.303*I660^(1/6))^2),0.3+SQRT((0.592*N660^0.5)^2+(0.0262*N660^0.8/(1-0.5/N660^0.1))^2))</f>
        <v>10052.790719718116</v>
      </c>
      <c r="P660" s="6">
        <f t="shared" si="105"/>
        <v>2.9510194925512497E-2</v>
      </c>
      <c r="Q660" s="6">
        <f t="shared" si="106"/>
        <v>5.3742719870337794</v>
      </c>
      <c r="R660" s="6">
        <f t="shared" si="107"/>
        <v>13.143005787535735</v>
      </c>
      <c r="S660" s="6">
        <f>IF($Y$2="按单位面积散热损失 qp",B660*LN(B660/首页!$B$4),LN(B660/首页!$B$4))</f>
        <v>3.5434513120748274</v>
      </c>
      <c r="T660" s="6">
        <f>IF($Y$2="按单位面积散热损失 qp",2*PI()*首页!$B$8*((E660-D660)/$Y$3-1/R660),2*PI()*首页!$B$8*((E660-D660)/$Y$4-1/(PI()*B660*R660)))</f>
        <v>4.0786892872152938E-2</v>
      </c>
      <c r="U660" t="str">
        <f t="shared" si="108"/>
        <v>按单位面积散热损失 qp</v>
      </c>
      <c r="V660" s="6">
        <f t="shared" si="109"/>
        <v>3.5026644192026746</v>
      </c>
    </row>
    <row r="661" spans="1:22" x14ac:dyDescent="0.15">
      <c r="A661">
        <v>656</v>
      </c>
      <c r="B661" s="6">
        <f>首页!$B$4+2*A661/1000</f>
        <v>1.4319999999999999</v>
      </c>
      <c r="C661" s="6">
        <f>首页!$B$7+273.15</f>
        <v>388.15</v>
      </c>
      <c r="D661" s="6">
        <f>首页!$B$6+273.15</f>
        <v>293.14999999999998</v>
      </c>
      <c r="E661" s="6">
        <f>首页!$B$5+273.15</f>
        <v>1373.15</v>
      </c>
      <c r="F661" s="6">
        <f t="shared" si="100"/>
        <v>95</v>
      </c>
      <c r="G661" s="6">
        <f t="shared" si="101"/>
        <v>340.65</v>
      </c>
      <c r="H661" s="6">
        <f t="shared" si="102"/>
        <v>1.9926207055139041E-5</v>
      </c>
      <c r="I661" s="7">
        <f t="shared" si="103"/>
        <v>1158916576932337.8</v>
      </c>
      <c r="J661" s="6">
        <f t="shared" si="104"/>
        <v>1.0226038455893147</v>
      </c>
      <c r="K661" s="7">
        <f>J661*H661*首页!$B$12/P661</f>
        <v>0.69532757496605813</v>
      </c>
      <c r="L661" s="6">
        <f>首页!$B$9*0.0000000567*((C661^4-D661^4)/(C661-D661))</f>
        <v>7.7687338005019564</v>
      </c>
      <c r="M661" s="6">
        <f>IF(首页!$B$13="自然对流",IF(首页!$B$14="立式圆筒",首页!$B$10,PI()*B661/2),PI()*B661/2)</f>
        <v>55.2</v>
      </c>
      <c r="N661" s="7">
        <f>IF(首页!$B$13="强制对流",首页!$B$11*M661/H661,0)</f>
        <v>0</v>
      </c>
      <c r="O661" s="7">
        <f>IF(首页!$B$13="自然对流",IF(首页!$B$14="立式圆筒",(0.825+0.3063*I661^(1/6))^2+0.87*(M661/B661),(0.752+0.303*I661^(1/6))^2),0.3+SQRT((0.592*N661^0.5)^2+(0.0262*N661^0.8/(1-0.5/N661^0.1))^2))</f>
        <v>10052.743815784062</v>
      </c>
      <c r="P661" s="6">
        <f t="shared" si="105"/>
        <v>2.9510194925512497E-2</v>
      </c>
      <c r="Q661" s="6">
        <f t="shared" si="106"/>
        <v>5.3742469119570275</v>
      </c>
      <c r="R661" s="6">
        <f t="shared" si="107"/>
        <v>13.142980712458984</v>
      </c>
      <c r="S661" s="6">
        <f>IF($Y$2="按单位面积散热损失 qp",B661*LN(B661/首页!$B$4),LN(B661/首页!$B$4))</f>
        <v>3.5504085859855961</v>
      </c>
      <c r="T661" s="6">
        <f>IF($Y$2="按单位面积散热损失 qp",2*PI()*首页!$B$8*((E661-D661)/$Y$3-1/R661),2*PI()*首页!$B$8*((E661-D661)/$Y$4-1/(PI()*B661*R661)))</f>
        <v>4.0786851828492725E-2</v>
      </c>
      <c r="U661" t="str">
        <f t="shared" si="108"/>
        <v>按单位面积散热损失 qp</v>
      </c>
      <c r="V661" s="6">
        <f t="shared" si="109"/>
        <v>3.5096217341571032</v>
      </c>
    </row>
    <row r="662" spans="1:22" x14ac:dyDescent="0.15">
      <c r="A662">
        <v>657</v>
      </c>
      <c r="B662" s="6">
        <f>首页!$B$4+2*A662/1000</f>
        <v>1.4340000000000002</v>
      </c>
      <c r="C662" s="6">
        <f>首页!$B$7+273.15</f>
        <v>388.15</v>
      </c>
      <c r="D662" s="6">
        <f>首页!$B$6+273.15</f>
        <v>293.14999999999998</v>
      </c>
      <c r="E662" s="6">
        <f>首页!$B$5+273.15</f>
        <v>1373.15</v>
      </c>
      <c r="F662" s="6">
        <f t="shared" si="100"/>
        <v>95</v>
      </c>
      <c r="G662" s="6">
        <f t="shared" si="101"/>
        <v>340.65</v>
      </c>
      <c r="H662" s="6">
        <f t="shared" si="102"/>
        <v>1.9926207055139041E-5</v>
      </c>
      <c r="I662" s="7">
        <f t="shared" si="103"/>
        <v>1158916576932337.8</v>
      </c>
      <c r="J662" s="6">
        <f t="shared" si="104"/>
        <v>1.0226038455893147</v>
      </c>
      <c r="K662" s="7">
        <f>J662*H662*首页!$B$12/P662</f>
        <v>0.69532757496605813</v>
      </c>
      <c r="L662" s="6">
        <f>首页!$B$9*0.0000000567*((C662^4-D662^4)/(C662-D662))</f>
        <v>7.7687338005019564</v>
      </c>
      <c r="M662" s="6">
        <f>IF(首页!$B$13="自然对流",IF(首页!$B$14="立式圆筒",首页!$B$10,PI()*B662/2),PI()*B662/2)</f>
        <v>55.2</v>
      </c>
      <c r="N662" s="7">
        <f>IF(首页!$B$13="强制对流",首页!$B$11*M662/H662,0)</f>
        <v>0</v>
      </c>
      <c r="O662" s="7">
        <f>IF(首页!$B$13="自然对流",IF(首页!$B$14="立式圆筒",(0.825+0.3063*I662^(1/6))^2+0.87*(M662/B662),(0.752+0.303*I662^(1/6))^2),0.3+SQRT((0.592*N662^0.5)^2+(0.0262*N662^0.8/(1-0.5/N662^0.1))^2))</f>
        <v>10052.697042683854</v>
      </c>
      <c r="P662" s="6">
        <f t="shared" si="105"/>
        <v>2.9510194925512497E-2</v>
      </c>
      <c r="Q662" s="6">
        <f t="shared" si="106"/>
        <v>5.3742219068247019</v>
      </c>
      <c r="R662" s="6">
        <f t="shared" si="107"/>
        <v>13.142955707326658</v>
      </c>
      <c r="S662" s="6">
        <f>IF($Y$2="按单位面积散热损失 qp",B662*LN(B662/首页!$B$4),LN(B662/首页!$B$4))</f>
        <v>3.5573686531933637</v>
      </c>
      <c r="T662" s="6">
        <f>IF($Y$2="按单位面积散热损失 qp",2*PI()*首页!$B$8*((E662-D662)/$Y$3-1/R662),2*PI()*首页!$B$8*((E662-D662)/$Y$4-1/(PI()*B662*R662)))</f>
        <v>4.0786810899163771E-2</v>
      </c>
      <c r="U662" t="str">
        <f t="shared" si="108"/>
        <v>按单位面积散热损失 qp</v>
      </c>
      <c r="V662" s="6">
        <f t="shared" si="109"/>
        <v>3.5165818422942001</v>
      </c>
    </row>
    <row r="663" spans="1:22" x14ac:dyDescent="0.15">
      <c r="A663">
        <v>658</v>
      </c>
      <c r="B663" s="6">
        <f>首页!$B$4+2*A663/1000</f>
        <v>1.4359999999999999</v>
      </c>
      <c r="C663" s="6">
        <f>首页!$B$7+273.15</f>
        <v>388.15</v>
      </c>
      <c r="D663" s="6">
        <f>首页!$B$6+273.15</f>
        <v>293.14999999999998</v>
      </c>
      <c r="E663" s="6">
        <f>首页!$B$5+273.15</f>
        <v>1373.15</v>
      </c>
      <c r="F663" s="6">
        <f t="shared" si="100"/>
        <v>95</v>
      </c>
      <c r="G663" s="6">
        <f t="shared" si="101"/>
        <v>340.65</v>
      </c>
      <c r="H663" s="6">
        <f t="shared" si="102"/>
        <v>1.9926207055139041E-5</v>
      </c>
      <c r="I663" s="7">
        <f t="shared" si="103"/>
        <v>1158916576932337.8</v>
      </c>
      <c r="J663" s="6">
        <f t="shared" si="104"/>
        <v>1.0226038455893147</v>
      </c>
      <c r="K663" s="7">
        <f>J663*H663*首页!$B$12/P663</f>
        <v>0.69532757496605813</v>
      </c>
      <c r="L663" s="6">
        <f>首页!$B$9*0.0000000567*((C663^4-D663^4)/(C663-D663))</f>
        <v>7.7687338005019564</v>
      </c>
      <c r="M663" s="6">
        <f>IF(首页!$B$13="自然对流",IF(首页!$B$14="立式圆筒",首页!$B$10,PI()*B663/2),PI()*B663/2)</f>
        <v>55.2</v>
      </c>
      <c r="N663" s="7">
        <f>IF(首页!$B$13="强制对流",首页!$B$11*M663/H663,0)</f>
        <v>0</v>
      </c>
      <c r="O663" s="7">
        <f>IF(首页!$B$13="自然对流",IF(首页!$B$14="立式圆筒",(0.825+0.3063*I663^(1/6))^2+0.87*(M663/B663),(0.752+0.303*I663^(1/6))^2),0.3+SQRT((0.592*N663^0.5)^2+(0.0262*N663^0.8/(1-0.5/N663^0.1))^2))</f>
        <v>10052.650399870832</v>
      </c>
      <c r="P663" s="6">
        <f t="shared" si="105"/>
        <v>2.9510194925512497E-2</v>
      </c>
      <c r="Q663" s="6">
        <f t="shared" si="106"/>
        <v>5.3741969713445537</v>
      </c>
      <c r="R663" s="6">
        <f t="shared" si="107"/>
        <v>13.14293077184651</v>
      </c>
      <c r="S663" s="6">
        <f>IF($Y$2="按单位面积散热损失 qp",B663*LN(B663/首页!$B$4),LN(B663/首页!$B$4))</f>
        <v>3.5643315098023134</v>
      </c>
      <c r="T663" s="6">
        <f>IF($Y$2="按单位面积散热损失 qp",2*PI()*首页!$B$8*((E663-D663)/$Y$3-1/R663),2*PI()*首页!$B$8*((E663-D663)/$Y$4-1/(PI()*B663*R663)))</f>
        <v>4.0786770083688986E-2</v>
      </c>
      <c r="U663" t="str">
        <f t="shared" si="108"/>
        <v>按单位面积散热损失 qp</v>
      </c>
      <c r="V663" s="6">
        <f t="shared" si="109"/>
        <v>3.5235447397186244</v>
      </c>
    </row>
    <row r="664" spans="1:22" x14ac:dyDescent="0.15">
      <c r="A664">
        <v>659</v>
      </c>
      <c r="B664" s="6">
        <f>首页!$B$4+2*A664/1000</f>
        <v>1.4380000000000002</v>
      </c>
      <c r="C664" s="6">
        <f>首页!$B$7+273.15</f>
        <v>388.15</v>
      </c>
      <c r="D664" s="6">
        <f>首页!$B$6+273.15</f>
        <v>293.14999999999998</v>
      </c>
      <c r="E664" s="6">
        <f>首页!$B$5+273.15</f>
        <v>1373.15</v>
      </c>
      <c r="F664" s="6">
        <f t="shared" si="100"/>
        <v>95</v>
      </c>
      <c r="G664" s="6">
        <f t="shared" si="101"/>
        <v>340.65</v>
      </c>
      <c r="H664" s="6">
        <f t="shared" si="102"/>
        <v>1.9926207055139041E-5</v>
      </c>
      <c r="I664" s="7">
        <f t="shared" si="103"/>
        <v>1158916576932337.8</v>
      </c>
      <c r="J664" s="6">
        <f t="shared" si="104"/>
        <v>1.0226038455893147</v>
      </c>
      <c r="K664" s="7">
        <f>J664*H664*首页!$B$12/P664</f>
        <v>0.69532757496605813</v>
      </c>
      <c r="L664" s="6">
        <f>首页!$B$9*0.0000000567*((C664^4-D664^4)/(C664-D664))</f>
        <v>7.7687338005019564</v>
      </c>
      <c r="M664" s="6">
        <f>IF(首页!$B$13="自然对流",IF(首页!$B$14="立式圆筒",首页!$B$10,PI()*B664/2),PI()*B664/2)</f>
        <v>55.2</v>
      </c>
      <c r="N664" s="7">
        <f>IF(首页!$B$13="强制对流",首页!$B$11*M664/H664,0)</f>
        <v>0</v>
      </c>
      <c r="O664" s="7">
        <f>IF(首页!$B$13="自然对流",IF(首页!$B$14="立式圆筒",(0.825+0.3063*I664^(1/6))^2+0.87*(M664/B664),(0.752+0.303*I664^(1/6))^2),0.3+SQRT((0.592*N664^0.5)^2+(0.0262*N664^0.8/(1-0.5/N664^0.1))^2))</f>
        <v>10052.60388680138</v>
      </c>
      <c r="P664" s="6">
        <f t="shared" si="105"/>
        <v>2.9510194925512497E-2</v>
      </c>
      <c r="Q664" s="6">
        <f t="shared" si="106"/>
        <v>5.3741721052259646</v>
      </c>
      <c r="R664" s="6">
        <f t="shared" si="107"/>
        <v>13.142905905727922</v>
      </c>
      <c r="S664" s="6">
        <f>IF($Y$2="按单位面积散热损失 qp",B664*LN(B664/首页!$B$4),LN(B664/首页!$B$4))</f>
        <v>3.5712971519274848</v>
      </c>
      <c r="T664" s="6">
        <f>IF($Y$2="按单位面积散热损失 qp",2*PI()*首页!$B$8*((E664-D664)/$Y$3-1/R664),2*PI()*首页!$B$8*((E664-D664)/$Y$4-1/(PI()*B664*R664)))</f>
        <v>4.0786729381593986E-2</v>
      </c>
      <c r="U664" t="str">
        <f t="shared" si="108"/>
        <v>按单位面积散热损失 qp</v>
      </c>
      <c r="V664" s="6">
        <f t="shared" si="109"/>
        <v>3.5305104225458908</v>
      </c>
    </row>
    <row r="665" spans="1:22" x14ac:dyDescent="0.15">
      <c r="A665">
        <v>660</v>
      </c>
      <c r="B665" s="6">
        <f>首页!$B$4+2*A665/1000</f>
        <v>1.44</v>
      </c>
      <c r="C665" s="6">
        <f>首页!$B$7+273.15</f>
        <v>388.15</v>
      </c>
      <c r="D665" s="6">
        <f>首页!$B$6+273.15</f>
        <v>293.14999999999998</v>
      </c>
      <c r="E665" s="6">
        <f>首页!$B$5+273.15</f>
        <v>1373.15</v>
      </c>
      <c r="F665" s="6">
        <f t="shared" si="100"/>
        <v>95</v>
      </c>
      <c r="G665" s="6">
        <f t="shared" si="101"/>
        <v>340.65</v>
      </c>
      <c r="H665" s="6">
        <f t="shared" si="102"/>
        <v>1.9926207055139041E-5</v>
      </c>
      <c r="I665" s="7">
        <f t="shared" si="103"/>
        <v>1158916576932337.8</v>
      </c>
      <c r="J665" s="6">
        <f t="shared" si="104"/>
        <v>1.0226038455893147</v>
      </c>
      <c r="K665" s="7">
        <f>J665*H665*首页!$B$12/P665</f>
        <v>0.69532757496605813</v>
      </c>
      <c r="L665" s="6">
        <f>首页!$B$9*0.0000000567*((C665^4-D665^4)/(C665-D665))</f>
        <v>7.7687338005019564</v>
      </c>
      <c r="M665" s="6">
        <f>IF(首页!$B$13="自然对流",IF(首页!$B$14="立式圆筒",首页!$B$10,PI()*B665/2),PI()*B665/2)</f>
        <v>55.2</v>
      </c>
      <c r="N665" s="7">
        <f>IF(首页!$B$13="强制对流",首页!$B$11*M665/H665,0)</f>
        <v>0</v>
      </c>
      <c r="O665" s="7">
        <f>IF(首页!$B$13="自然对流",IF(首页!$B$14="立式圆筒",(0.825+0.3063*I665^(1/6))^2+0.87*(M665/B665),(0.752+0.303*I665^(1/6))^2),0.3+SQRT((0.592*N665^0.5)^2+(0.0262*N665^0.8/(1-0.5/N665^0.1))^2))</f>
        <v>10052.5575029349</v>
      </c>
      <c r="P665" s="6">
        <f t="shared" si="105"/>
        <v>2.9510194925512497E-2</v>
      </c>
      <c r="Q665" s="6">
        <f t="shared" si="106"/>
        <v>5.3741473081799285</v>
      </c>
      <c r="R665" s="6">
        <f t="shared" si="107"/>
        <v>13.142881108681884</v>
      </c>
      <c r="S665" s="6">
        <f>IF($Y$2="按单位面积散热损失 qp",B665*LN(B665/首页!$B$4),LN(B665/首页!$B$4))</f>
        <v>3.5782655756947204</v>
      </c>
      <c r="T665" s="6">
        <f>IF($Y$2="按单位面积散热损失 qp",2*PI()*首页!$B$8*((E665-D665)/$Y$3-1/R665),2*PI()*首页!$B$8*((E665-D665)/$Y$4-1/(PI()*B665*R665)))</f>
        <v>4.0786688792406975E-2</v>
      </c>
      <c r="U665" t="str">
        <f t="shared" si="108"/>
        <v>按单位面积散热损失 qp</v>
      </c>
      <c r="V665" s="6">
        <f t="shared" si="109"/>
        <v>3.5374788869023135</v>
      </c>
    </row>
    <row r="666" spans="1:22" x14ac:dyDescent="0.15">
      <c r="A666">
        <v>661</v>
      </c>
      <c r="B666" s="6">
        <f>首页!$B$4+2*A666/1000</f>
        <v>1.4420000000000002</v>
      </c>
      <c r="C666" s="6">
        <f>首页!$B$7+273.15</f>
        <v>388.15</v>
      </c>
      <c r="D666" s="6">
        <f>首页!$B$6+273.15</f>
        <v>293.14999999999998</v>
      </c>
      <c r="E666" s="6">
        <f>首页!$B$5+273.15</f>
        <v>1373.15</v>
      </c>
      <c r="F666" s="6">
        <f t="shared" si="100"/>
        <v>95</v>
      </c>
      <c r="G666" s="6">
        <f t="shared" si="101"/>
        <v>340.65</v>
      </c>
      <c r="H666" s="6">
        <f t="shared" si="102"/>
        <v>1.9926207055139041E-5</v>
      </c>
      <c r="I666" s="7">
        <f t="shared" si="103"/>
        <v>1158916576932337.8</v>
      </c>
      <c r="J666" s="6">
        <f t="shared" si="104"/>
        <v>1.0226038455893147</v>
      </c>
      <c r="K666" s="7">
        <f>J666*H666*首页!$B$12/P666</f>
        <v>0.69532757496605813</v>
      </c>
      <c r="L666" s="6">
        <f>首页!$B$9*0.0000000567*((C666^4-D666^4)/(C666-D666))</f>
        <v>7.7687338005019564</v>
      </c>
      <c r="M666" s="6">
        <f>IF(首页!$B$13="自然对流",IF(首页!$B$14="立式圆筒",首页!$B$10,PI()*B666/2),PI()*B666/2)</f>
        <v>55.2</v>
      </c>
      <c r="N666" s="7">
        <f>IF(首页!$B$13="强制对流",首页!$B$11*M666/H666,0)</f>
        <v>0</v>
      </c>
      <c r="O666" s="7">
        <f>IF(首页!$B$13="自然对流",IF(首页!$B$14="立式圆筒",(0.825+0.3063*I666^(1/6))^2+0.87*(M666/B666),(0.752+0.303*I666^(1/6))^2),0.3+SQRT((0.592*N666^0.5)^2+(0.0262*N666^0.8/(1-0.5/N666^0.1))^2))</f>
        <v>10052.51124773379</v>
      </c>
      <c r="P666" s="6">
        <f t="shared" si="105"/>
        <v>2.9510194925512497E-2</v>
      </c>
      <c r="Q666" s="6">
        <f t="shared" si="106"/>
        <v>5.3741225799190389</v>
      </c>
      <c r="R666" s="6">
        <f t="shared" si="107"/>
        <v>13.142856380420994</v>
      </c>
      <c r="S666" s="6">
        <f>IF($Y$2="按单位面积散热损失 qp",B666*LN(B666/首页!$B$4),LN(B666/首页!$B$4))</f>
        <v>3.5852367772406279</v>
      </c>
      <c r="T666" s="6">
        <f>IF($Y$2="按单位面积散热损失 qp",2*PI()*首页!$B$8*((E666-D666)/$Y$3-1/R666),2*PI()*首页!$B$8*((E666-D666)/$Y$4-1/(PI()*B666*R666)))</f>
        <v>4.0786648315658813E-2</v>
      </c>
      <c r="U666" t="str">
        <f t="shared" si="108"/>
        <v>按单位面积散热损失 qp</v>
      </c>
      <c r="V666" s="6">
        <f t="shared" si="109"/>
        <v>3.5444501289249692</v>
      </c>
    </row>
    <row r="667" spans="1:22" x14ac:dyDescent="0.15">
      <c r="A667">
        <v>662</v>
      </c>
      <c r="B667" s="6">
        <f>首页!$B$4+2*A667/1000</f>
        <v>1.444</v>
      </c>
      <c r="C667" s="6">
        <f>首页!$B$7+273.15</f>
        <v>388.15</v>
      </c>
      <c r="D667" s="6">
        <f>首页!$B$6+273.15</f>
        <v>293.14999999999998</v>
      </c>
      <c r="E667" s="6">
        <f>首页!$B$5+273.15</f>
        <v>1373.15</v>
      </c>
      <c r="F667" s="6">
        <f t="shared" si="100"/>
        <v>95</v>
      </c>
      <c r="G667" s="6">
        <f t="shared" si="101"/>
        <v>340.65</v>
      </c>
      <c r="H667" s="6">
        <f t="shared" si="102"/>
        <v>1.9926207055139041E-5</v>
      </c>
      <c r="I667" s="7">
        <f t="shared" si="103"/>
        <v>1158916576932337.8</v>
      </c>
      <c r="J667" s="6">
        <f t="shared" si="104"/>
        <v>1.0226038455893147</v>
      </c>
      <c r="K667" s="7">
        <f>J667*H667*首页!$B$12/P667</f>
        <v>0.69532757496605813</v>
      </c>
      <c r="L667" s="6">
        <f>首页!$B$9*0.0000000567*((C667^4-D667^4)/(C667-D667))</f>
        <v>7.7687338005019564</v>
      </c>
      <c r="M667" s="6">
        <f>IF(首页!$B$13="自然对流",IF(首页!$B$14="立式圆筒",首页!$B$10,PI()*B667/2),PI()*B667/2)</f>
        <v>55.2</v>
      </c>
      <c r="N667" s="7">
        <f>IF(首页!$B$13="强制对流",首页!$B$11*M667/H667,0)</f>
        <v>0</v>
      </c>
      <c r="O667" s="7">
        <f>IF(首页!$B$13="自然对流",IF(首页!$B$14="立式圆筒",(0.825+0.3063*I667^(1/6))^2+0.87*(M667/B667),(0.752+0.303*I667^(1/6))^2),0.3+SQRT((0.592*N667^0.5)^2+(0.0262*N667^0.8/(1-0.5/N667^0.1))^2))</f>
        <v>10052.465120663432</v>
      </c>
      <c r="P667" s="6">
        <f t="shared" si="105"/>
        <v>2.9510194925512497E-2</v>
      </c>
      <c r="Q667" s="6">
        <f t="shared" si="106"/>
        <v>5.3740979201574879</v>
      </c>
      <c r="R667" s="6">
        <f t="shared" si="107"/>
        <v>13.142831720659444</v>
      </c>
      <c r="S667" s="6">
        <f>IF($Y$2="按单位面积散热损失 qp",B667*LN(B667/首页!$B$4),LN(B667/首页!$B$4))</f>
        <v>3.5922107527125275</v>
      </c>
      <c r="T667" s="6">
        <f>IF($Y$2="按单位面积散热损失 qp",2*PI()*首页!$B$8*((E667-D667)/$Y$3-1/R667),2*PI()*首页!$B$8*((E667-D667)/$Y$4-1/(PI()*B667*R667)))</f>
        <v>4.0786607950882924E-2</v>
      </c>
      <c r="U667" t="str">
        <f t="shared" si="108"/>
        <v>按单位面积散热损失 qp</v>
      </c>
      <c r="V667" s="6">
        <f t="shared" si="109"/>
        <v>3.5514241447616448</v>
      </c>
    </row>
    <row r="668" spans="1:22" x14ac:dyDescent="0.15">
      <c r="A668">
        <v>663</v>
      </c>
      <c r="B668" s="6">
        <f>首页!$B$4+2*A668/1000</f>
        <v>1.4460000000000002</v>
      </c>
      <c r="C668" s="6">
        <f>首页!$B$7+273.15</f>
        <v>388.15</v>
      </c>
      <c r="D668" s="6">
        <f>首页!$B$6+273.15</f>
        <v>293.14999999999998</v>
      </c>
      <c r="E668" s="6">
        <f>首页!$B$5+273.15</f>
        <v>1373.15</v>
      </c>
      <c r="F668" s="6">
        <f t="shared" si="100"/>
        <v>95</v>
      </c>
      <c r="G668" s="6">
        <f t="shared" si="101"/>
        <v>340.65</v>
      </c>
      <c r="H668" s="6">
        <f t="shared" si="102"/>
        <v>1.9926207055139041E-5</v>
      </c>
      <c r="I668" s="7">
        <f t="shared" si="103"/>
        <v>1158916576932337.8</v>
      </c>
      <c r="J668" s="6">
        <f t="shared" si="104"/>
        <v>1.0226038455893147</v>
      </c>
      <c r="K668" s="7">
        <f>J668*H668*首页!$B$12/P668</f>
        <v>0.69532757496605813</v>
      </c>
      <c r="L668" s="6">
        <f>首页!$B$9*0.0000000567*((C668^4-D668^4)/(C668-D668))</f>
        <v>7.7687338005019564</v>
      </c>
      <c r="M668" s="6">
        <f>IF(首页!$B$13="自然对流",IF(首页!$B$14="立式圆筒",首页!$B$10,PI()*B668/2),PI()*B668/2)</f>
        <v>55.2</v>
      </c>
      <c r="N668" s="7">
        <f>IF(首页!$B$13="强制对流",首页!$B$11*M668/H668,0)</f>
        <v>0</v>
      </c>
      <c r="O668" s="7">
        <f>IF(首页!$B$13="自然对流",IF(首页!$B$14="立式圆筒",(0.825+0.3063*I668^(1/6))^2+0.87*(M668/B668),(0.752+0.303*I668^(1/6))^2),0.3+SQRT((0.592*N668^0.5)^2+(0.0262*N668^0.8/(1-0.5/N668^0.1))^2))</f>
        <v>10052.419121192161</v>
      </c>
      <c r="P668" s="6">
        <f t="shared" si="105"/>
        <v>2.9510194925512497E-2</v>
      </c>
      <c r="Q668" s="6">
        <f t="shared" si="106"/>
        <v>5.3740733286110451</v>
      </c>
      <c r="R668" s="6">
        <f t="shared" si="107"/>
        <v>13.142807129113002</v>
      </c>
      <c r="S668" s="6">
        <f>IF($Y$2="按单位面积散热损失 qp",B668*LN(B668/首页!$B$4),LN(B668/首页!$B$4))</f>
        <v>3.5991874982684173</v>
      </c>
      <c r="T668" s="6">
        <f>IF($Y$2="按单位面积散热损失 qp",2*PI()*首页!$B$8*((E668-D668)/$Y$3-1/R668),2*PI()*首页!$B$8*((E668-D668)/$Y$4-1/(PI()*B668*R668)))</f>
        <v>4.0786567697615329E-2</v>
      </c>
      <c r="U668" t="str">
        <f t="shared" si="108"/>
        <v>按单位面积散热损失 qp</v>
      </c>
      <c r="V668" s="6">
        <f t="shared" si="109"/>
        <v>3.558400930570802</v>
      </c>
    </row>
    <row r="669" spans="1:22" x14ac:dyDescent="0.15">
      <c r="A669">
        <v>664</v>
      </c>
      <c r="B669" s="6">
        <f>首页!$B$4+2*A669/1000</f>
        <v>1.448</v>
      </c>
      <c r="C669" s="6">
        <f>首页!$B$7+273.15</f>
        <v>388.15</v>
      </c>
      <c r="D669" s="6">
        <f>首页!$B$6+273.15</f>
        <v>293.14999999999998</v>
      </c>
      <c r="E669" s="6">
        <f>首页!$B$5+273.15</f>
        <v>1373.15</v>
      </c>
      <c r="F669" s="6">
        <f t="shared" si="100"/>
        <v>95</v>
      </c>
      <c r="G669" s="6">
        <f t="shared" si="101"/>
        <v>340.65</v>
      </c>
      <c r="H669" s="6">
        <f t="shared" si="102"/>
        <v>1.9926207055139041E-5</v>
      </c>
      <c r="I669" s="7">
        <f t="shared" si="103"/>
        <v>1158916576932337.8</v>
      </c>
      <c r="J669" s="6">
        <f t="shared" si="104"/>
        <v>1.0226038455893147</v>
      </c>
      <c r="K669" s="7">
        <f>J669*H669*首页!$B$12/P669</f>
        <v>0.69532757496605813</v>
      </c>
      <c r="L669" s="6">
        <f>首页!$B$9*0.0000000567*((C669^4-D669^4)/(C669-D669))</f>
        <v>7.7687338005019564</v>
      </c>
      <c r="M669" s="6">
        <f>IF(首页!$B$13="自然对流",IF(首页!$B$14="立式圆筒",首页!$B$10,PI()*B669/2),PI()*B669/2)</f>
        <v>55.2</v>
      </c>
      <c r="N669" s="7">
        <f>IF(首页!$B$13="强制对流",首页!$B$11*M669/H669,0)</f>
        <v>0</v>
      </c>
      <c r="O669" s="7">
        <f>IF(首页!$B$13="自然对流",IF(首页!$B$14="立式圆筒",(0.825+0.3063*I669^(1/6))^2+0.87*(M669/B669),(0.752+0.303*I669^(1/6))^2),0.3+SQRT((0.592*N669^0.5)^2+(0.0262*N669^0.8/(1-0.5/N669^0.1))^2))</f>
        <v>10052.373248791253</v>
      </c>
      <c r="P669" s="6">
        <f t="shared" si="105"/>
        <v>2.9510194925512497E-2</v>
      </c>
      <c r="Q669" s="6">
        <f t="shared" si="106"/>
        <v>5.3740488049970505</v>
      </c>
      <c r="R669" s="6">
        <f t="shared" si="107"/>
        <v>13.142782605499008</v>
      </c>
      <c r="S669" s="6">
        <f>IF($Y$2="按单位面积散热损失 qp",B669*LN(B669/首页!$B$4),LN(B669/首页!$B$4))</f>
        <v>3.6061670100769154</v>
      </c>
      <c r="T669" s="6">
        <f>IF($Y$2="按单位面积散热损失 qp",2*PI()*首页!$B$8*((E669-D669)/$Y$3-1/R669),2*PI()*首页!$B$8*((E669-D669)/$Y$4-1/(PI()*B669*R669)))</f>
        <v>4.0786527555394581E-2</v>
      </c>
      <c r="U669" t="str">
        <f t="shared" si="108"/>
        <v>按单位面积散热损失 qp</v>
      </c>
      <c r="V669" s="6">
        <f t="shared" si="109"/>
        <v>3.5653804825215207</v>
      </c>
    </row>
    <row r="670" spans="1:22" x14ac:dyDescent="0.15">
      <c r="A670">
        <v>665</v>
      </c>
      <c r="B670" s="6">
        <f>首页!$B$4+2*A670/1000</f>
        <v>1.4500000000000002</v>
      </c>
      <c r="C670" s="6">
        <f>首页!$B$7+273.15</f>
        <v>388.15</v>
      </c>
      <c r="D670" s="6">
        <f>首页!$B$6+273.15</f>
        <v>293.14999999999998</v>
      </c>
      <c r="E670" s="6">
        <f>首页!$B$5+273.15</f>
        <v>1373.15</v>
      </c>
      <c r="F670" s="6">
        <f t="shared" si="100"/>
        <v>95</v>
      </c>
      <c r="G670" s="6">
        <f t="shared" si="101"/>
        <v>340.65</v>
      </c>
      <c r="H670" s="6">
        <f t="shared" si="102"/>
        <v>1.9926207055139041E-5</v>
      </c>
      <c r="I670" s="7">
        <f t="shared" si="103"/>
        <v>1158916576932337.8</v>
      </c>
      <c r="J670" s="6">
        <f t="shared" si="104"/>
        <v>1.0226038455893147</v>
      </c>
      <c r="K670" s="7">
        <f>J670*H670*首页!$B$12/P670</f>
        <v>0.69532757496605813</v>
      </c>
      <c r="L670" s="6">
        <f>首页!$B$9*0.0000000567*((C670^4-D670^4)/(C670-D670))</f>
        <v>7.7687338005019564</v>
      </c>
      <c r="M670" s="6">
        <f>IF(首页!$B$13="自然对流",IF(首页!$B$14="立式圆筒",首页!$B$10,PI()*B670/2),PI()*B670/2)</f>
        <v>55.2</v>
      </c>
      <c r="N670" s="7">
        <f>IF(首页!$B$13="强制对流",首页!$B$11*M670/H670,0)</f>
        <v>0</v>
      </c>
      <c r="O670" s="7">
        <f>IF(首页!$B$13="自然对流",IF(首页!$B$14="立式圆筒",(0.825+0.3063*I670^(1/6))^2+0.87*(M670/B670),(0.752+0.303*I670^(1/6))^2),0.3+SQRT((0.592*N670^0.5)^2+(0.0262*N670^0.8/(1-0.5/N670^0.1))^2))</f>
        <v>10052.327502934901</v>
      </c>
      <c r="P670" s="6">
        <f t="shared" si="105"/>
        <v>2.9510194925512497E-2</v>
      </c>
      <c r="Q670" s="6">
        <f t="shared" si="106"/>
        <v>5.3740243490344053</v>
      </c>
      <c r="R670" s="6">
        <f t="shared" si="107"/>
        <v>13.142758149536363</v>
      </c>
      <c r="S670" s="6">
        <f>IF($Y$2="按单位面积散热损失 qp",B670*LN(B670/首页!$B$4),LN(B670/首页!$B$4))</f>
        <v>3.6131492843172333</v>
      </c>
      <c r="T670" s="6">
        <f>IF($Y$2="按单位面积散热损失 qp",2*PI()*首页!$B$8*((E670-D670)/$Y$3-1/R670),2*PI()*首页!$B$8*((E670-D670)/$Y$4-1/(PI()*B670*R670)))</f>
        <v>4.0786487523761808E-2</v>
      </c>
      <c r="U670" t="str">
        <f t="shared" si="108"/>
        <v>按单位面积散热损失 qp</v>
      </c>
      <c r="V670" s="6">
        <f t="shared" si="109"/>
        <v>3.5723627967934712</v>
      </c>
    </row>
    <row r="671" spans="1:22" x14ac:dyDescent="0.15">
      <c r="A671">
        <v>666</v>
      </c>
      <c r="B671" s="6">
        <f>首页!$B$4+2*A671/1000</f>
        <v>1.452</v>
      </c>
      <c r="C671" s="6">
        <f>首页!$B$7+273.15</f>
        <v>388.15</v>
      </c>
      <c r="D671" s="6">
        <f>首页!$B$6+273.15</f>
        <v>293.14999999999998</v>
      </c>
      <c r="E671" s="6">
        <f>首页!$B$5+273.15</f>
        <v>1373.15</v>
      </c>
      <c r="F671" s="6">
        <f t="shared" si="100"/>
        <v>95</v>
      </c>
      <c r="G671" s="6">
        <f t="shared" si="101"/>
        <v>340.65</v>
      </c>
      <c r="H671" s="6">
        <f t="shared" si="102"/>
        <v>1.9926207055139041E-5</v>
      </c>
      <c r="I671" s="7">
        <f t="shared" si="103"/>
        <v>1158916576932337.8</v>
      </c>
      <c r="J671" s="6">
        <f t="shared" si="104"/>
        <v>1.0226038455893147</v>
      </c>
      <c r="K671" s="7">
        <f>J671*H671*首页!$B$12/P671</f>
        <v>0.69532757496605813</v>
      </c>
      <c r="L671" s="6">
        <f>首页!$B$9*0.0000000567*((C671^4-D671^4)/(C671-D671))</f>
        <v>7.7687338005019564</v>
      </c>
      <c r="M671" s="6">
        <f>IF(首页!$B$13="自然对流",IF(首页!$B$14="立式圆筒",首页!$B$10,PI()*B671/2),PI()*B671/2)</f>
        <v>55.2</v>
      </c>
      <c r="N671" s="7">
        <f>IF(首页!$B$13="强制对流",首页!$B$11*M671/H671,0)</f>
        <v>0</v>
      </c>
      <c r="O671" s="7">
        <f>IF(首页!$B$13="自然对流",IF(首页!$B$14="立式圆筒",(0.825+0.3063*I671^(1/6))^2+0.87*(M671/B671),(0.752+0.303*I671^(1/6))^2),0.3+SQRT((0.592*N671^0.5)^2+(0.0262*N671^0.8/(1-0.5/N671^0.1))^2))</f>
        <v>10052.28188310019</v>
      </c>
      <c r="P671" s="6">
        <f t="shared" si="105"/>
        <v>2.9510194925512497E-2</v>
      </c>
      <c r="Q671" s="6">
        <f t="shared" si="106"/>
        <v>5.373999960443558</v>
      </c>
      <c r="R671" s="6">
        <f t="shared" si="107"/>
        <v>13.142733760945514</v>
      </c>
      <c r="S671" s="6">
        <f>IF($Y$2="按单位面积散热损失 qp",B671*LN(B671/首页!$B$4),LN(B671/首页!$B$4))</f>
        <v>3.6201343171791138</v>
      </c>
      <c r="T671" s="6">
        <f>IF($Y$2="按单位面积散热损失 qp",2*PI()*首页!$B$8*((E671-D671)/$Y$3-1/R671),2*PI()*首页!$B$8*((E671-D671)/$Y$4-1/(PI()*B671*R671)))</f>
        <v>4.0786447602260648E-2</v>
      </c>
      <c r="U671" t="str">
        <f t="shared" si="108"/>
        <v>按单位面积散热损失 qp</v>
      </c>
      <c r="V671" s="6">
        <f t="shared" si="109"/>
        <v>3.579347869576853</v>
      </c>
    </row>
    <row r="672" spans="1:22" x14ac:dyDescent="0.15">
      <c r="A672">
        <v>667</v>
      </c>
      <c r="B672" s="6">
        <f>首页!$B$4+2*A672/1000</f>
        <v>1.4540000000000002</v>
      </c>
      <c r="C672" s="6">
        <f>首页!$B$7+273.15</f>
        <v>388.15</v>
      </c>
      <c r="D672" s="6">
        <f>首页!$B$6+273.15</f>
        <v>293.14999999999998</v>
      </c>
      <c r="E672" s="6">
        <f>首页!$B$5+273.15</f>
        <v>1373.15</v>
      </c>
      <c r="F672" s="6">
        <f t="shared" si="100"/>
        <v>95</v>
      </c>
      <c r="G672" s="6">
        <f t="shared" si="101"/>
        <v>340.65</v>
      </c>
      <c r="H672" s="6">
        <f t="shared" si="102"/>
        <v>1.9926207055139041E-5</v>
      </c>
      <c r="I672" s="7">
        <f t="shared" si="103"/>
        <v>1158916576932337.8</v>
      </c>
      <c r="J672" s="6">
        <f t="shared" si="104"/>
        <v>1.0226038455893147</v>
      </c>
      <c r="K672" s="7">
        <f>J672*H672*首页!$B$12/P672</f>
        <v>0.69532757496605813</v>
      </c>
      <c r="L672" s="6">
        <f>首页!$B$9*0.0000000567*((C672^4-D672^4)/(C672-D672))</f>
        <v>7.7687338005019564</v>
      </c>
      <c r="M672" s="6">
        <f>IF(首页!$B$13="自然对流",IF(首页!$B$14="立式圆筒",首页!$B$10,PI()*B672/2),PI()*B672/2)</f>
        <v>55.2</v>
      </c>
      <c r="N672" s="7">
        <f>IF(首页!$B$13="强制对流",首页!$B$11*M672/H672,0)</f>
        <v>0</v>
      </c>
      <c r="O672" s="7">
        <f>IF(首页!$B$13="自然对流",IF(首页!$B$14="立式圆筒",(0.825+0.3063*I672^(1/6))^2+0.87*(M672/B672),(0.752+0.303*I672^(1/6))^2),0.3+SQRT((0.592*N672^0.5)^2+(0.0262*N672^0.8/(1-0.5/N672^0.1))^2))</f>
        <v>10052.236388767087</v>
      </c>
      <c r="P672" s="6">
        <f t="shared" si="105"/>
        <v>2.9510194925512497E-2</v>
      </c>
      <c r="Q672" s="6">
        <f t="shared" si="106"/>
        <v>5.3739756389464954</v>
      </c>
      <c r="R672" s="6">
        <f t="shared" si="107"/>
        <v>13.142709439448453</v>
      </c>
      <c r="S672" s="6">
        <f>IF($Y$2="按单位面积散热损失 qp",B672*LN(B672/首页!$B$4),LN(B672/首页!$B$4))</f>
        <v>3.6271221048628033</v>
      </c>
      <c r="T672" s="6">
        <f>IF($Y$2="按单位面积散热损失 qp",2*PI()*首页!$B$8*((E672-D672)/$Y$3-1/R672),2*PI()*首页!$B$8*((E672-D672)/$Y$4-1/(PI()*B672*R672)))</f>
        <v>4.0786407790437261E-2</v>
      </c>
      <c r="U672" t="str">
        <f t="shared" si="108"/>
        <v>按单位面积散热损失 qp</v>
      </c>
      <c r="V672" s="6">
        <f t="shared" si="109"/>
        <v>3.5863356970723661</v>
      </c>
    </row>
    <row r="673" spans="1:22" x14ac:dyDescent="0.15">
      <c r="A673">
        <v>668</v>
      </c>
      <c r="B673" s="6">
        <f>首页!$B$4+2*A673/1000</f>
        <v>1.456</v>
      </c>
      <c r="C673" s="6">
        <f>首页!$B$7+273.15</f>
        <v>388.15</v>
      </c>
      <c r="D673" s="6">
        <f>首页!$B$6+273.15</f>
        <v>293.14999999999998</v>
      </c>
      <c r="E673" s="6">
        <f>首页!$B$5+273.15</f>
        <v>1373.15</v>
      </c>
      <c r="F673" s="6">
        <f t="shared" si="100"/>
        <v>95</v>
      </c>
      <c r="G673" s="6">
        <f t="shared" si="101"/>
        <v>340.65</v>
      </c>
      <c r="H673" s="6">
        <f t="shared" si="102"/>
        <v>1.9926207055139041E-5</v>
      </c>
      <c r="I673" s="7">
        <f t="shared" si="103"/>
        <v>1158916576932337.8</v>
      </c>
      <c r="J673" s="6">
        <f t="shared" si="104"/>
        <v>1.0226038455893147</v>
      </c>
      <c r="K673" s="7">
        <f>J673*H673*首页!$B$12/P673</f>
        <v>0.69532757496605813</v>
      </c>
      <c r="L673" s="6">
        <f>首页!$B$9*0.0000000567*((C673^4-D673^4)/(C673-D673))</f>
        <v>7.7687338005019564</v>
      </c>
      <c r="M673" s="6">
        <f>IF(首页!$B$13="自然对流",IF(首页!$B$14="立式圆筒",首页!$B$10,PI()*B673/2),PI()*B673/2)</f>
        <v>55.2</v>
      </c>
      <c r="N673" s="7">
        <f>IF(首页!$B$13="强制对流",首页!$B$11*M673/H673,0)</f>
        <v>0</v>
      </c>
      <c r="O673" s="7">
        <f>IF(首页!$B$13="自然对流",IF(首页!$B$14="立式圆筒",(0.825+0.3063*I673^(1/6))^2+0.87*(M673/B673),(0.752+0.303*I673^(1/6))^2),0.3+SQRT((0.592*N673^0.5)^2+(0.0262*N673^0.8/(1-0.5/N673^0.1))^2))</f>
        <v>10052.191019418417</v>
      </c>
      <c r="P673" s="6">
        <f t="shared" si="105"/>
        <v>2.9510194925512497E-2</v>
      </c>
      <c r="Q673" s="6">
        <f t="shared" si="106"/>
        <v>5.373951384266733</v>
      </c>
      <c r="R673" s="6">
        <f t="shared" si="107"/>
        <v>13.142685184768689</v>
      </c>
      <c r="S673" s="6">
        <f>IF($Y$2="按单位面积散热损失 qp",B673*LN(B673/首页!$B$4),LN(B673/首页!$B$4))</f>
        <v>3.6341126435789959</v>
      </c>
      <c r="T673" s="6">
        <f>IF($Y$2="按单位面积散热损失 qp",2*PI()*首页!$B$8*((E673-D673)/$Y$3-1/R673),2*PI()*首页!$B$8*((E673-D673)/$Y$4-1/(PI()*B673*R673)))</f>
        <v>4.0786368087840266E-2</v>
      </c>
      <c r="U673" t="str">
        <f t="shared" si="108"/>
        <v>按单位面积散热损失 qp</v>
      </c>
      <c r="V673" s="6">
        <f t="shared" si="109"/>
        <v>3.5933262754911555</v>
      </c>
    </row>
    <row r="674" spans="1:22" x14ac:dyDescent="0.15">
      <c r="A674">
        <v>669</v>
      </c>
      <c r="B674" s="6">
        <f>首页!$B$4+2*A674/1000</f>
        <v>1.4580000000000002</v>
      </c>
      <c r="C674" s="6">
        <f>首页!$B$7+273.15</f>
        <v>388.15</v>
      </c>
      <c r="D674" s="6">
        <f>首页!$B$6+273.15</f>
        <v>293.14999999999998</v>
      </c>
      <c r="E674" s="6">
        <f>首页!$B$5+273.15</f>
        <v>1373.15</v>
      </c>
      <c r="F674" s="6">
        <f t="shared" si="100"/>
        <v>95</v>
      </c>
      <c r="G674" s="6">
        <f t="shared" si="101"/>
        <v>340.65</v>
      </c>
      <c r="H674" s="6">
        <f t="shared" si="102"/>
        <v>1.9926207055139041E-5</v>
      </c>
      <c r="I674" s="7">
        <f t="shared" si="103"/>
        <v>1158916576932337.8</v>
      </c>
      <c r="J674" s="6">
        <f t="shared" si="104"/>
        <v>1.0226038455893147</v>
      </c>
      <c r="K674" s="7">
        <f>J674*H674*首页!$B$12/P674</f>
        <v>0.69532757496605813</v>
      </c>
      <c r="L674" s="6">
        <f>首页!$B$9*0.0000000567*((C674^4-D674^4)/(C674-D674))</f>
        <v>7.7687338005019564</v>
      </c>
      <c r="M674" s="6">
        <f>IF(首页!$B$13="自然对流",IF(首页!$B$14="立式圆筒",首页!$B$10,PI()*B674/2),PI()*B674/2)</f>
        <v>55.2</v>
      </c>
      <c r="N674" s="7">
        <f>IF(首页!$B$13="强制对流",首页!$B$11*M674/H674,0)</f>
        <v>0</v>
      </c>
      <c r="O674" s="7">
        <f>IF(首页!$B$13="自然对流",IF(首页!$B$14="立式圆筒",(0.825+0.3063*I674^(1/6))^2+0.87*(M674/B674),(0.752+0.303*I674^(1/6))^2),0.3+SQRT((0.592*N674^0.5)^2+(0.0262*N674^0.8/(1-0.5/N674^0.1))^2))</f>
        <v>10052.145774539838</v>
      </c>
      <c r="P674" s="6">
        <f t="shared" si="105"/>
        <v>2.9510194925512497E-2</v>
      </c>
      <c r="Q674" s="6">
        <f t="shared" si="106"/>
        <v>5.3739271961293005</v>
      </c>
      <c r="R674" s="6">
        <f t="shared" si="107"/>
        <v>13.142660996631257</v>
      </c>
      <c r="S674" s="6">
        <f>IF($Y$2="按单位面积散热损失 qp",B674*LN(B674/首页!$B$4),LN(B674/首页!$B$4))</f>
        <v>3.641105929548802</v>
      </c>
      <c r="T674" s="6">
        <f>IF($Y$2="按单位面积散热损失 qp",2*PI()*首页!$B$8*((E674-D674)/$Y$3-1/R674),2*PI()*首页!$B$8*((E674-D674)/$Y$4-1/(PI()*B674*R674)))</f>
        <v>4.0786328494020772E-2</v>
      </c>
      <c r="U674" t="str">
        <f t="shared" si="108"/>
        <v>按单位面积散热损失 qp</v>
      </c>
      <c r="V674" s="6">
        <f t="shared" si="109"/>
        <v>3.6003196010547813</v>
      </c>
    </row>
    <row r="675" spans="1:22" x14ac:dyDescent="0.15">
      <c r="A675">
        <v>670</v>
      </c>
      <c r="B675" s="6">
        <f>首页!$B$4+2*A675/1000</f>
        <v>1.46</v>
      </c>
      <c r="C675" s="6">
        <f>首页!$B$7+273.15</f>
        <v>388.15</v>
      </c>
      <c r="D675" s="6">
        <f>首页!$B$6+273.15</f>
        <v>293.14999999999998</v>
      </c>
      <c r="E675" s="6">
        <f>首页!$B$5+273.15</f>
        <v>1373.15</v>
      </c>
      <c r="F675" s="6">
        <f t="shared" si="100"/>
        <v>95</v>
      </c>
      <c r="G675" s="6">
        <f t="shared" si="101"/>
        <v>340.65</v>
      </c>
      <c r="H675" s="6">
        <f t="shared" si="102"/>
        <v>1.9926207055139041E-5</v>
      </c>
      <c r="I675" s="7">
        <f t="shared" si="103"/>
        <v>1158916576932337.8</v>
      </c>
      <c r="J675" s="6">
        <f t="shared" si="104"/>
        <v>1.0226038455893147</v>
      </c>
      <c r="K675" s="7">
        <f>J675*H675*首页!$B$12/P675</f>
        <v>0.69532757496605813</v>
      </c>
      <c r="L675" s="6">
        <f>首页!$B$9*0.0000000567*((C675^4-D675^4)/(C675-D675))</f>
        <v>7.7687338005019564</v>
      </c>
      <c r="M675" s="6">
        <f>IF(首页!$B$13="自然对流",IF(首页!$B$14="立式圆筒",首页!$B$10,PI()*B675/2),PI()*B675/2)</f>
        <v>55.2</v>
      </c>
      <c r="N675" s="7">
        <f>IF(首页!$B$13="强制对流",首页!$B$11*M675/H675,0)</f>
        <v>0</v>
      </c>
      <c r="O675" s="7">
        <f>IF(首页!$B$13="自然对流",IF(首页!$B$14="立式圆筒",(0.825+0.3063*I675^(1/6))^2+0.87*(M675/B675),(0.752+0.303*I675^(1/6))^2),0.3+SQRT((0.592*N675^0.5)^2+(0.0262*N675^0.8/(1-0.5/N675^0.1))^2))</f>
        <v>10052.100653619831</v>
      </c>
      <c r="P675" s="6">
        <f t="shared" si="105"/>
        <v>2.9510194925512497E-2</v>
      </c>
      <c r="Q675" s="6">
        <f t="shared" si="106"/>
        <v>5.3739030742607383</v>
      </c>
      <c r="R675" s="6">
        <f t="shared" si="107"/>
        <v>13.142636874762694</v>
      </c>
      <c r="S675" s="6">
        <f>IF($Y$2="按单位面积散热损失 qp",B675*LN(B675/首页!$B$4),LN(B675/首页!$B$4))</f>
        <v>3.6481019590036903</v>
      </c>
      <c r="T675" s="6">
        <f>IF($Y$2="按单位面积散热损失 qp",2*PI()*首页!$B$8*((E675-D675)/$Y$3-1/R675),2*PI()*首页!$B$8*((E675-D675)/$Y$4-1/(PI()*B675*R675)))</f>
        <v>4.0786289008532366E-2</v>
      </c>
      <c r="U675" t="str">
        <f t="shared" si="108"/>
        <v>按单位面积散热损失 qp</v>
      </c>
      <c r="V675" s="6">
        <f t="shared" si="109"/>
        <v>3.6073156699951578</v>
      </c>
    </row>
    <row r="676" spans="1:22" x14ac:dyDescent="0.15">
      <c r="A676">
        <v>671</v>
      </c>
      <c r="B676" s="6">
        <f>首页!$B$4+2*A676/1000</f>
        <v>1.4620000000000002</v>
      </c>
      <c r="C676" s="6">
        <f>首页!$B$7+273.15</f>
        <v>388.15</v>
      </c>
      <c r="D676" s="6">
        <f>首页!$B$6+273.15</f>
        <v>293.14999999999998</v>
      </c>
      <c r="E676" s="6">
        <f>首页!$B$5+273.15</f>
        <v>1373.15</v>
      </c>
      <c r="F676" s="6">
        <f t="shared" si="100"/>
        <v>95</v>
      </c>
      <c r="G676" s="6">
        <f t="shared" si="101"/>
        <v>340.65</v>
      </c>
      <c r="H676" s="6">
        <f t="shared" si="102"/>
        <v>1.9926207055139041E-5</v>
      </c>
      <c r="I676" s="7">
        <f t="shared" si="103"/>
        <v>1158916576932337.8</v>
      </c>
      <c r="J676" s="6">
        <f t="shared" si="104"/>
        <v>1.0226038455893147</v>
      </c>
      <c r="K676" s="7">
        <f>J676*H676*首页!$B$12/P676</f>
        <v>0.69532757496605813</v>
      </c>
      <c r="L676" s="6">
        <f>首页!$B$9*0.0000000567*((C676^4-D676^4)/(C676-D676))</f>
        <v>7.7687338005019564</v>
      </c>
      <c r="M676" s="6">
        <f>IF(首页!$B$13="自然对流",IF(首页!$B$14="立式圆筒",首页!$B$10,PI()*B676/2),PI()*B676/2)</f>
        <v>55.2</v>
      </c>
      <c r="N676" s="7">
        <f>IF(首页!$B$13="强制对流",首页!$B$11*M676/H676,0)</f>
        <v>0</v>
      </c>
      <c r="O676" s="7">
        <f>IF(首页!$B$13="自然对流",IF(首页!$B$14="立式圆筒",(0.825+0.3063*I676^(1/6))^2+0.87*(M676/B676),(0.752+0.303*I676^(1/6))^2),0.3+SQRT((0.592*N676^0.5)^2+(0.0262*N676^0.8/(1-0.5/N676^0.1))^2))</f>
        <v>10052.055656149674</v>
      </c>
      <c r="P676" s="6">
        <f t="shared" si="105"/>
        <v>2.9510194925512497E-2</v>
      </c>
      <c r="Q676" s="6">
        <f t="shared" si="106"/>
        <v>5.373879018389081</v>
      </c>
      <c r="R676" s="6">
        <f t="shared" si="107"/>
        <v>13.142612818891038</v>
      </c>
      <c r="S676" s="6">
        <f>IF($Y$2="按单位面积散热损失 qp",B676*LN(B676/首页!$B$4),LN(B676/首页!$B$4))</f>
        <v>3.6551007281854657</v>
      </c>
      <c r="T676" s="6">
        <f>IF($Y$2="按单位面积散热损失 qp",2*PI()*首页!$B$8*((E676-D676)/$Y$3-1/R676),2*PI()*首页!$B$8*((E676-D676)/$Y$4-1/(PI()*B676*R676)))</f>
        <v>4.0786249630931033E-2</v>
      </c>
      <c r="U676" t="str">
        <f t="shared" si="108"/>
        <v>按单位面积散热损失 qp</v>
      </c>
      <c r="V676" s="6">
        <f t="shared" si="109"/>
        <v>3.6143144785545345</v>
      </c>
    </row>
    <row r="677" spans="1:22" x14ac:dyDescent="0.15">
      <c r="A677">
        <v>672</v>
      </c>
      <c r="B677" s="6">
        <f>首页!$B$4+2*A677/1000</f>
        <v>1.464</v>
      </c>
      <c r="C677" s="6">
        <f>首页!$B$7+273.15</f>
        <v>388.15</v>
      </c>
      <c r="D677" s="6">
        <f>首页!$B$6+273.15</f>
        <v>293.14999999999998</v>
      </c>
      <c r="E677" s="6">
        <f>首页!$B$5+273.15</f>
        <v>1373.15</v>
      </c>
      <c r="F677" s="6">
        <f t="shared" si="100"/>
        <v>95</v>
      </c>
      <c r="G677" s="6">
        <f t="shared" si="101"/>
        <v>340.65</v>
      </c>
      <c r="H677" s="6">
        <f t="shared" si="102"/>
        <v>1.9926207055139041E-5</v>
      </c>
      <c r="I677" s="7">
        <f t="shared" si="103"/>
        <v>1158916576932337.8</v>
      </c>
      <c r="J677" s="6">
        <f t="shared" si="104"/>
        <v>1.0226038455893147</v>
      </c>
      <c r="K677" s="7">
        <f>J677*H677*首页!$B$12/P677</f>
        <v>0.69532757496605813</v>
      </c>
      <c r="L677" s="6">
        <f>首页!$B$9*0.0000000567*((C677^4-D677^4)/(C677-D677))</f>
        <v>7.7687338005019564</v>
      </c>
      <c r="M677" s="6">
        <f>IF(首页!$B$13="自然对流",IF(首页!$B$14="立式圆筒",首页!$B$10,PI()*B677/2),PI()*B677/2)</f>
        <v>55.2</v>
      </c>
      <c r="N677" s="7">
        <f>IF(首页!$B$13="强制对流",首页!$B$11*M677/H677,0)</f>
        <v>0</v>
      </c>
      <c r="O677" s="7">
        <f>IF(首页!$B$13="自然对流",IF(首页!$B$14="立式圆筒",(0.825+0.3063*I677^(1/6))^2+0.87*(M677/B677),(0.752+0.303*I677^(1/6))^2),0.3+SQRT((0.592*N677^0.5)^2+(0.0262*N677^0.8/(1-0.5/N677^0.1))^2))</f>
        <v>10052.010781623425</v>
      </c>
      <c r="P677" s="6">
        <f t="shared" si="105"/>
        <v>2.9510194925512497E-2</v>
      </c>
      <c r="Q677" s="6">
        <f t="shared" si="106"/>
        <v>5.3738550282438489</v>
      </c>
      <c r="R677" s="6">
        <f t="shared" si="107"/>
        <v>13.142588828745804</v>
      </c>
      <c r="S677" s="6">
        <f>IF($Y$2="按单位面积散热损失 qp",B677*LN(B677/首页!$B$4),LN(B677/首页!$B$4))</f>
        <v>3.6621022333462045</v>
      </c>
      <c r="T677" s="6">
        <f>IF($Y$2="按单位面积散热损失 qp",2*PI()*首页!$B$8*((E677-D677)/$Y$3-1/R677),2*PI()*首页!$B$8*((E677-D677)/$Y$4-1/(PI()*B677*R677)))</f>
        <v>4.0786210360775219E-2</v>
      </c>
      <c r="U677" t="str">
        <f t="shared" si="108"/>
        <v>按单位面积散热损失 qp</v>
      </c>
      <c r="V677" s="6">
        <f t="shared" si="109"/>
        <v>3.6213160229854293</v>
      </c>
    </row>
    <row r="678" spans="1:22" x14ac:dyDescent="0.15">
      <c r="A678">
        <v>673</v>
      </c>
      <c r="B678" s="6">
        <f>首页!$B$4+2*A678/1000</f>
        <v>1.4660000000000002</v>
      </c>
      <c r="C678" s="6">
        <f>首页!$B$7+273.15</f>
        <v>388.15</v>
      </c>
      <c r="D678" s="6">
        <f>首页!$B$6+273.15</f>
        <v>293.14999999999998</v>
      </c>
      <c r="E678" s="6">
        <f>首页!$B$5+273.15</f>
        <v>1373.15</v>
      </c>
      <c r="F678" s="6">
        <f t="shared" si="100"/>
        <v>95</v>
      </c>
      <c r="G678" s="6">
        <f t="shared" si="101"/>
        <v>340.65</v>
      </c>
      <c r="H678" s="6">
        <f t="shared" si="102"/>
        <v>1.9926207055139041E-5</v>
      </c>
      <c r="I678" s="7">
        <f t="shared" si="103"/>
        <v>1158916576932337.8</v>
      </c>
      <c r="J678" s="6">
        <f t="shared" si="104"/>
        <v>1.0226038455893147</v>
      </c>
      <c r="K678" s="7">
        <f>J678*H678*首页!$B$12/P678</f>
        <v>0.69532757496605813</v>
      </c>
      <c r="L678" s="6">
        <f>首页!$B$9*0.0000000567*((C678^4-D678^4)/(C678-D678))</f>
        <v>7.7687338005019564</v>
      </c>
      <c r="M678" s="6">
        <f>IF(首页!$B$13="自然对流",IF(首页!$B$14="立式圆筒",首页!$B$10,PI()*B678/2),PI()*B678/2)</f>
        <v>55.2</v>
      </c>
      <c r="N678" s="7">
        <f>IF(首页!$B$13="强制对流",首页!$B$11*M678/H678,0)</f>
        <v>0</v>
      </c>
      <c r="O678" s="7">
        <f>IF(首页!$B$13="自然对流",IF(首页!$B$14="立式圆筒",(0.825+0.3063*I678^(1/6))^2+0.87*(M678/B678),(0.752+0.303*I678^(1/6))^2),0.3+SQRT((0.592*N678^0.5)^2+(0.0262*N678^0.8/(1-0.5/N678^0.1))^2))</f>
        <v>10051.966029537902</v>
      </c>
      <c r="P678" s="6">
        <f t="shared" si="105"/>
        <v>2.9510194925512497E-2</v>
      </c>
      <c r="Q678" s="6">
        <f t="shared" si="106"/>
        <v>5.3738311035560393</v>
      </c>
      <c r="R678" s="6">
        <f t="shared" si="107"/>
        <v>13.142564904057995</v>
      </c>
      <c r="S678" s="6">
        <f>IF($Y$2="按单位面积散热损失 qp",B678*LN(B678/首页!$B$4),LN(B678/首页!$B$4))</f>
        <v>3.6691064707482322</v>
      </c>
      <c r="T678" s="6">
        <f>IF($Y$2="按单位面积散热损失 qp",2*PI()*首页!$B$8*((E678-D678)/$Y$3-1/R678),2*PI()*首页!$B$8*((E678-D678)/$Y$4-1/(PI()*B678*R678)))</f>
        <v>4.0786171197625759E-2</v>
      </c>
      <c r="U678" t="str">
        <f t="shared" si="108"/>
        <v>按单位面积散热损失 qp</v>
      </c>
      <c r="V678" s="6">
        <f t="shared" si="109"/>
        <v>3.6283202995506065</v>
      </c>
    </row>
    <row r="679" spans="1:22" x14ac:dyDescent="0.15">
      <c r="A679">
        <v>674</v>
      </c>
      <c r="B679" s="6">
        <f>首页!$B$4+2*A679/1000</f>
        <v>1.468</v>
      </c>
      <c r="C679" s="6">
        <f>首页!$B$7+273.15</f>
        <v>388.15</v>
      </c>
      <c r="D679" s="6">
        <f>首页!$B$6+273.15</f>
        <v>293.14999999999998</v>
      </c>
      <c r="E679" s="6">
        <f>首页!$B$5+273.15</f>
        <v>1373.15</v>
      </c>
      <c r="F679" s="6">
        <f t="shared" si="100"/>
        <v>95</v>
      </c>
      <c r="G679" s="6">
        <f t="shared" si="101"/>
        <v>340.65</v>
      </c>
      <c r="H679" s="6">
        <f t="shared" si="102"/>
        <v>1.9926207055139041E-5</v>
      </c>
      <c r="I679" s="7">
        <f t="shared" si="103"/>
        <v>1158916576932337.8</v>
      </c>
      <c r="J679" s="6">
        <f t="shared" si="104"/>
        <v>1.0226038455893147</v>
      </c>
      <c r="K679" s="7">
        <f>J679*H679*首页!$B$12/P679</f>
        <v>0.69532757496605813</v>
      </c>
      <c r="L679" s="6">
        <f>首页!$B$9*0.0000000567*((C679^4-D679^4)/(C679-D679))</f>
        <v>7.7687338005019564</v>
      </c>
      <c r="M679" s="6">
        <f>IF(首页!$B$13="自然对流",IF(首页!$B$14="立式圆筒",首页!$B$10,PI()*B679/2),PI()*B679/2)</f>
        <v>55.2</v>
      </c>
      <c r="N679" s="7">
        <f>IF(首页!$B$13="强制对流",首页!$B$11*M679/H679,0)</f>
        <v>0</v>
      </c>
      <c r="O679" s="7">
        <f>IF(首页!$B$13="自然对流",IF(首页!$B$14="立式圆筒",(0.825+0.3063*I679^(1/6))^2+0.87*(M679/B679),(0.752+0.303*I679^(1/6))^2),0.3+SQRT((0.592*N679^0.5)^2+(0.0262*N679^0.8/(1-0.5/N679^0.1))^2))</f>
        <v>10051.921399392666</v>
      </c>
      <c r="P679" s="6">
        <f t="shared" si="105"/>
        <v>2.9510194925512497E-2</v>
      </c>
      <c r="Q679" s="6">
        <f t="shared" si="106"/>
        <v>5.3738072440581135</v>
      </c>
      <c r="R679" s="6">
        <f t="shared" si="107"/>
        <v>13.142541044560069</v>
      </c>
      <c r="S679" s="6">
        <f>IF($Y$2="按单位面积散热损失 qp",B679*LN(B679/首页!$B$4),LN(B679/首页!$B$4))</f>
        <v>3.6761134366640653</v>
      </c>
      <c r="T679" s="6">
        <f>IF($Y$2="按单位面积散热损失 qp",2*PI()*首页!$B$8*((E679-D679)/$Y$3-1/R679),2*PI()*首页!$B$8*((E679-D679)/$Y$4-1/(PI()*B679*R679)))</f>
        <v>4.0786132141045872E-2</v>
      </c>
      <c r="U679" t="str">
        <f t="shared" si="108"/>
        <v>按单位面积散热损失 qp</v>
      </c>
      <c r="V679" s="6">
        <f t="shared" si="109"/>
        <v>3.6353273045230194</v>
      </c>
    </row>
    <row r="680" spans="1:22" x14ac:dyDescent="0.15">
      <c r="A680">
        <v>675</v>
      </c>
      <c r="B680" s="6">
        <f>首页!$B$4+2*A680/1000</f>
        <v>1.4700000000000002</v>
      </c>
      <c r="C680" s="6">
        <f>首页!$B$7+273.15</f>
        <v>388.15</v>
      </c>
      <c r="D680" s="6">
        <f>首页!$B$6+273.15</f>
        <v>293.14999999999998</v>
      </c>
      <c r="E680" s="6">
        <f>首页!$B$5+273.15</f>
        <v>1373.15</v>
      </c>
      <c r="F680" s="6">
        <f t="shared" si="100"/>
        <v>95</v>
      </c>
      <c r="G680" s="6">
        <f t="shared" si="101"/>
        <v>340.65</v>
      </c>
      <c r="H680" s="6">
        <f t="shared" si="102"/>
        <v>1.9926207055139041E-5</v>
      </c>
      <c r="I680" s="7">
        <f t="shared" si="103"/>
        <v>1158916576932337.8</v>
      </c>
      <c r="J680" s="6">
        <f t="shared" si="104"/>
        <v>1.0226038455893147</v>
      </c>
      <c r="K680" s="7">
        <f>J680*H680*首页!$B$12/P680</f>
        <v>0.69532757496605813</v>
      </c>
      <c r="L680" s="6">
        <f>首页!$B$9*0.0000000567*((C680^4-D680^4)/(C680-D680))</f>
        <v>7.7687338005019564</v>
      </c>
      <c r="M680" s="6">
        <f>IF(首页!$B$13="自然对流",IF(首页!$B$14="立式圆筒",首页!$B$10,PI()*B680/2),PI()*B680/2)</f>
        <v>55.2</v>
      </c>
      <c r="N680" s="7">
        <f>IF(首页!$B$13="强制对流",首页!$B$11*M680/H680,0)</f>
        <v>0</v>
      </c>
      <c r="O680" s="7">
        <f>IF(首页!$B$13="自然对流",IF(首页!$B$14="立式圆筒",(0.825+0.3063*I680^(1/6))^2+0.87*(M680/B680),(0.752+0.303*I680^(1/6))^2),0.3+SQRT((0.592*N680^0.5)^2+(0.0262*N680^0.8/(1-0.5/N680^0.1))^2))</f>
        <v>10051.876890690002</v>
      </c>
      <c r="P680" s="6">
        <f t="shared" si="105"/>
        <v>2.9510194925512497E-2</v>
      </c>
      <c r="Q680" s="6">
        <f t="shared" si="106"/>
        <v>5.3737834494839927</v>
      </c>
      <c r="R680" s="6">
        <f t="shared" si="107"/>
        <v>13.14251724998595</v>
      </c>
      <c r="S680" s="6">
        <f>IF($Y$2="按单位面积散热损失 qp",B680*LN(B680/首页!$B$4),LN(B680/首页!$B$4))</f>
        <v>3.6831231273763825</v>
      </c>
      <c r="T680" s="6">
        <f>IF($Y$2="按单位面积散热损失 qp",2*PI()*首页!$B$8*((E680-D680)/$Y$3-1/R680),2*PI()*首页!$B$8*((E680-D680)/$Y$4-1/(PI()*B680*R680)))</f>
        <v>4.0786093190601162E-2</v>
      </c>
      <c r="U680" t="str">
        <f t="shared" si="108"/>
        <v>按单位面积散热损失 qp</v>
      </c>
      <c r="V680" s="6">
        <f t="shared" si="109"/>
        <v>3.6423370341857813</v>
      </c>
    </row>
    <row r="681" spans="1:22" x14ac:dyDescent="0.15">
      <c r="A681">
        <v>676</v>
      </c>
      <c r="B681" s="6">
        <f>首页!$B$4+2*A681/1000</f>
        <v>1.472</v>
      </c>
      <c r="C681" s="6">
        <f>首页!$B$7+273.15</f>
        <v>388.15</v>
      </c>
      <c r="D681" s="6">
        <f>首页!$B$6+273.15</f>
        <v>293.14999999999998</v>
      </c>
      <c r="E681" s="6">
        <f>首页!$B$5+273.15</f>
        <v>1373.15</v>
      </c>
      <c r="F681" s="6">
        <f t="shared" si="100"/>
        <v>95</v>
      </c>
      <c r="G681" s="6">
        <f t="shared" si="101"/>
        <v>340.65</v>
      </c>
      <c r="H681" s="6">
        <f t="shared" si="102"/>
        <v>1.9926207055139041E-5</v>
      </c>
      <c r="I681" s="7">
        <f t="shared" si="103"/>
        <v>1158916576932337.8</v>
      </c>
      <c r="J681" s="6">
        <f t="shared" si="104"/>
        <v>1.0226038455893147</v>
      </c>
      <c r="K681" s="7">
        <f>J681*H681*首页!$B$12/P681</f>
        <v>0.69532757496605813</v>
      </c>
      <c r="L681" s="6">
        <f>首页!$B$9*0.0000000567*((C681^4-D681^4)/(C681-D681))</f>
        <v>7.7687338005019564</v>
      </c>
      <c r="M681" s="6">
        <f>IF(首页!$B$13="自然对流",IF(首页!$B$14="立式圆筒",首页!$B$10,PI()*B681/2),PI()*B681/2)</f>
        <v>55.2</v>
      </c>
      <c r="N681" s="7">
        <f>IF(首页!$B$13="强制对流",首页!$B$11*M681/H681,0)</f>
        <v>0</v>
      </c>
      <c r="O681" s="7">
        <f>IF(首页!$B$13="自然对流",IF(首页!$B$14="立式圆筒",(0.825+0.3063*I681^(1/6))^2+0.87*(M681/B681),(0.752+0.303*I681^(1/6))^2),0.3+SQRT((0.592*N681^0.5)^2+(0.0262*N681^0.8/(1-0.5/N681^0.1))^2))</f>
        <v>10051.8325029349</v>
      </c>
      <c r="P681" s="6">
        <f t="shared" si="105"/>
        <v>2.9510194925512497E-2</v>
      </c>
      <c r="Q681" s="6">
        <f t="shared" si="106"/>
        <v>5.3737597195690405</v>
      </c>
      <c r="R681" s="6">
        <f t="shared" si="107"/>
        <v>13.142493520070996</v>
      </c>
      <c r="S681" s="6">
        <f>IF($Y$2="按单位面积散热损失 qp",B681*LN(B681/首页!$B$4),LN(B681/首页!$B$4))</f>
        <v>3.690135539177974</v>
      </c>
      <c r="T681" s="6">
        <f>IF($Y$2="按单位面积散热损失 qp",2*PI()*首页!$B$8*((E681-D681)/$Y$3-1/R681),2*PI()*首页!$B$8*((E681-D681)/$Y$4-1/(PI()*B681*R681)))</f>
        <v>4.0786054345859579E-2</v>
      </c>
      <c r="U681" t="str">
        <f t="shared" si="108"/>
        <v>按单位面积散热损失 qp</v>
      </c>
      <c r="V681" s="6">
        <f t="shared" si="109"/>
        <v>3.6493494848321144</v>
      </c>
    </row>
    <row r="682" spans="1:22" x14ac:dyDescent="0.15">
      <c r="A682">
        <v>677</v>
      </c>
      <c r="B682" s="6">
        <f>首页!$B$4+2*A682/1000</f>
        <v>1.4740000000000002</v>
      </c>
      <c r="C682" s="6">
        <f>首页!$B$7+273.15</f>
        <v>388.15</v>
      </c>
      <c r="D682" s="6">
        <f>首页!$B$6+273.15</f>
        <v>293.14999999999998</v>
      </c>
      <c r="E682" s="6">
        <f>首页!$B$5+273.15</f>
        <v>1373.15</v>
      </c>
      <c r="F682" s="6">
        <f t="shared" si="100"/>
        <v>95</v>
      </c>
      <c r="G682" s="6">
        <f t="shared" si="101"/>
        <v>340.65</v>
      </c>
      <c r="H682" s="6">
        <f t="shared" si="102"/>
        <v>1.9926207055139041E-5</v>
      </c>
      <c r="I682" s="7">
        <f t="shared" si="103"/>
        <v>1158916576932337.8</v>
      </c>
      <c r="J682" s="6">
        <f t="shared" si="104"/>
        <v>1.0226038455893147</v>
      </c>
      <c r="K682" s="7">
        <f>J682*H682*首页!$B$12/P682</f>
        <v>0.69532757496605813</v>
      </c>
      <c r="L682" s="6">
        <f>首页!$B$9*0.0000000567*((C682^4-D682^4)/(C682-D682))</f>
        <v>7.7687338005019564</v>
      </c>
      <c r="M682" s="6">
        <f>IF(首页!$B$13="自然对流",IF(首页!$B$14="立式圆筒",首页!$B$10,PI()*B682/2),PI()*B682/2)</f>
        <v>55.2</v>
      </c>
      <c r="N682" s="7">
        <f>IF(首页!$B$13="强制对流",首页!$B$11*M682/H682,0)</f>
        <v>0</v>
      </c>
      <c r="O682" s="7">
        <f>IF(首页!$B$13="自然对流",IF(首页!$B$14="立式圆筒",(0.825+0.3063*I682^(1/6))^2+0.87*(M682/B682),(0.752+0.303*I682^(1/6))^2),0.3+SQRT((0.592*N682^0.5)^2+(0.0262*N682^0.8/(1-0.5/N682^0.1))^2))</f>
        <v>10051.788235635035</v>
      </c>
      <c r="P682" s="6">
        <f t="shared" si="105"/>
        <v>2.9510194925512497E-2</v>
      </c>
      <c r="Q682" s="6">
        <f t="shared" si="106"/>
        <v>5.3737360540500578</v>
      </c>
      <c r="R682" s="6">
        <f t="shared" si="107"/>
        <v>13.142469854552015</v>
      </c>
      <c r="S682" s="6">
        <f>IF($Y$2="按单位面积散热损失 qp",B682*LN(B682/首页!$B$4),LN(B682/首页!$B$4))</f>
        <v>3.6971506683717061</v>
      </c>
      <c r="T682" s="6">
        <f>IF($Y$2="按单位面积散热损失 qp",2*PI()*首页!$B$8*((E682-D682)/$Y$3-1/R682),2*PI()*首页!$B$8*((E682-D682)/$Y$4-1/(PI()*B682*R682)))</f>
        <v>4.0786015606391432E-2</v>
      </c>
      <c r="U682" t="str">
        <f t="shared" si="108"/>
        <v>按单位面积散热损失 qp</v>
      </c>
      <c r="V682" s="6">
        <f t="shared" si="109"/>
        <v>3.6563646527653146</v>
      </c>
    </row>
    <row r="683" spans="1:22" x14ac:dyDescent="0.15">
      <c r="A683">
        <v>678</v>
      </c>
      <c r="B683" s="6">
        <f>首页!$B$4+2*A683/1000</f>
        <v>1.476</v>
      </c>
      <c r="C683" s="6">
        <f>首页!$B$7+273.15</f>
        <v>388.15</v>
      </c>
      <c r="D683" s="6">
        <f>首页!$B$6+273.15</f>
        <v>293.14999999999998</v>
      </c>
      <c r="E683" s="6">
        <f>首页!$B$5+273.15</f>
        <v>1373.15</v>
      </c>
      <c r="F683" s="6">
        <f t="shared" si="100"/>
        <v>95</v>
      </c>
      <c r="G683" s="6">
        <f t="shared" si="101"/>
        <v>340.65</v>
      </c>
      <c r="H683" s="6">
        <f t="shared" si="102"/>
        <v>1.9926207055139041E-5</v>
      </c>
      <c r="I683" s="7">
        <f t="shared" si="103"/>
        <v>1158916576932337.8</v>
      </c>
      <c r="J683" s="6">
        <f t="shared" si="104"/>
        <v>1.0226038455893147</v>
      </c>
      <c r="K683" s="7">
        <f>J683*H683*首页!$B$12/P683</f>
        <v>0.69532757496605813</v>
      </c>
      <c r="L683" s="6">
        <f>首页!$B$9*0.0000000567*((C683^4-D683^4)/(C683-D683))</f>
        <v>7.7687338005019564</v>
      </c>
      <c r="M683" s="6">
        <f>IF(首页!$B$13="自然对流",IF(首页!$B$14="立式圆筒",首页!$B$10,PI()*B683/2),PI()*B683/2)</f>
        <v>55.2</v>
      </c>
      <c r="N683" s="7">
        <f>IF(首页!$B$13="强制对流",首页!$B$11*M683/H683,0)</f>
        <v>0</v>
      </c>
      <c r="O683" s="7">
        <f>IF(首页!$B$13="自然对流",IF(首页!$B$14="立式圆筒",(0.825+0.3063*I683^(1/6))^2+0.87*(M683/B683),(0.752+0.303*I683^(1/6))^2),0.3+SQRT((0.592*N683^0.5)^2+(0.0262*N683^0.8/(1-0.5/N683^0.1))^2))</f>
        <v>10051.744088300753</v>
      </c>
      <c r="P683" s="6">
        <f t="shared" si="105"/>
        <v>2.9510194925512497E-2</v>
      </c>
      <c r="Q683" s="6">
        <f t="shared" si="106"/>
        <v>5.3737124526652735</v>
      </c>
      <c r="R683" s="6">
        <f t="shared" si="107"/>
        <v>13.142446253167229</v>
      </c>
      <c r="S683" s="6">
        <f>IF($Y$2="按单位面积散热损失 qp",B683*LN(B683/首页!$B$4),LN(B683/首页!$B$4))</f>
        <v>3.7041685112704772</v>
      </c>
      <c r="T683" s="6">
        <f>IF($Y$2="按单位面积散热损失 qp",2*PI()*首页!$B$8*((E683-D683)/$Y$3-1/R683),2*PI()*首页!$B$8*((E683-D683)/$Y$4-1/(PI()*B683*R683)))</f>
        <v>4.0785976971769354E-2</v>
      </c>
      <c r="U683" t="str">
        <f t="shared" si="108"/>
        <v>按单位面积散热损失 qp</v>
      </c>
      <c r="V683" s="6">
        <f t="shared" si="109"/>
        <v>3.6633825342987079</v>
      </c>
    </row>
    <row r="684" spans="1:22" x14ac:dyDescent="0.15">
      <c r="A684">
        <v>679</v>
      </c>
      <c r="B684" s="6">
        <f>首页!$B$4+2*A684/1000</f>
        <v>1.4780000000000002</v>
      </c>
      <c r="C684" s="6">
        <f>首页!$B$7+273.15</f>
        <v>388.15</v>
      </c>
      <c r="D684" s="6">
        <f>首页!$B$6+273.15</f>
        <v>293.14999999999998</v>
      </c>
      <c r="E684" s="6">
        <f>首页!$B$5+273.15</f>
        <v>1373.15</v>
      </c>
      <c r="F684" s="6">
        <f t="shared" si="100"/>
        <v>95</v>
      </c>
      <c r="G684" s="6">
        <f t="shared" si="101"/>
        <v>340.65</v>
      </c>
      <c r="H684" s="6">
        <f t="shared" si="102"/>
        <v>1.9926207055139041E-5</v>
      </c>
      <c r="I684" s="7">
        <f t="shared" si="103"/>
        <v>1158916576932337.8</v>
      </c>
      <c r="J684" s="6">
        <f t="shared" si="104"/>
        <v>1.0226038455893147</v>
      </c>
      <c r="K684" s="7">
        <f>J684*H684*首页!$B$12/P684</f>
        <v>0.69532757496605813</v>
      </c>
      <c r="L684" s="6">
        <f>首页!$B$9*0.0000000567*((C684^4-D684^4)/(C684-D684))</f>
        <v>7.7687338005019564</v>
      </c>
      <c r="M684" s="6">
        <f>IF(首页!$B$13="自然对流",IF(首页!$B$14="立式圆筒",首页!$B$10,PI()*B684/2),PI()*B684/2)</f>
        <v>55.2</v>
      </c>
      <c r="N684" s="7">
        <f>IF(首页!$B$13="强制对流",首页!$B$11*M684/H684,0)</f>
        <v>0</v>
      </c>
      <c r="O684" s="7">
        <f>IF(首页!$B$13="自然对流",IF(首页!$B$14="立式圆筒",(0.825+0.3063*I684^(1/6))^2+0.87*(M684/B684),(0.752+0.303*I684^(1/6))^2),0.3+SQRT((0.592*N684^0.5)^2+(0.0262*N684^0.8/(1-0.5/N684^0.1))^2))</f>
        <v>10051.70006044505</v>
      </c>
      <c r="P684" s="6">
        <f t="shared" si="105"/>
        <v>2.9510194925512497E-2</v>
      </c>
      <c r="Q684" s="6">
        <f t="shared" si="106"/>
        <v>5.3736889151543314</v>
      </c>
      <c r="R684" s="6">
        <f t="shared" si="107"/>
        <v>13.142422715656288</v>
      </c>
      <c r="S684" s="6">
        <f>IF($Y$2="按单位面积散热损失 qp",B684*LN(B684/首页!$B$4),LN(B684/首页!$B$4))</f>
        <v>3.7111890641971779</v>
      </c>
      <c r="T684" s="6">
        <f>IF($Y$2="按单位面积散热损失 qp",2*PI()*首页!$B$8*((E684-D684)/$Y$3-1/R684),2*PI()*首页!$B$8*((E684-D684)/$Y$4-1/(PI()*B684*R684)))</f>
        <v>4.0785938441568255E-2</v>
      </c>
      <c r="U684" t="str">
        <f t="shared" si="108"/>
        <v>按单位面积散热损失 qp</v>
      </c>
      <c r="V684" s="6">
        <f t="shared" si="109"/>
        <v>3.6704031257556098</v>
      </c>
    </row>
    <row r="685" spans="1:22" x14ac:dyDescent="0.15">
      <c r="A685">
        <v>680</v>
      </c>
      <c r="B685" s="6">
        <f>首页!$B$4+2*A685/1000</f>
        <v>1.48</v>
      </c>
      <c r="C685" s="6">
        <f>首页!$B$7+273.15</f>
        <v>388.15</v>
      </c>
      <c r="D685" s="6">
        <f>首页!$B$6+273.15</f>
        <v>293.14999999999998</v>
      </c>
      <c r="E685" s="6">
        <f>首页!$B$5+273.15</f>
        <v>1373.15</v>
      </c>
      <c r="F685" s="6">
        <f t="shared" si="100"/>
        <v>95</v>
      </c>
      <c r="G685" s="6">
        <f t="shared" si="101"/>
        <v>340.65</v>
      </c>
      <c r="H685" s="6">
        <f t="shared" si="102"/>
        <v>1.9926207055139041E-5</v>
      </c>
      <c r="I685" s="7">
        <f t="shared" si="103"/>
        <v>1158916576932337.8</v>
      </c>
      <c r="J685" s="6">
        <f t="shared" si="104"/>
        <v>1.0226038455893147</v>
      </c>
      <c r="K685" s="7">
        <f>J685*H685*首页!$B$12/P685</f>
        <v>0.69532757496605813</v>
      </c>
      <c r="L685" s="6">
        <f>首页!$B$9*0.0000000567*((C685^4-D685^4)/(C685-D685))</f>
        <v>7.7687338005019564</v>
      </c>
      <c r="M685" s="6">
        <f>IF(首页!$B$13="自然对流",IF(首页!$B$14="立式圆筒",首页!$B$10,PI()*B685/2),PI()*B685/2)</f>
        <v>55.2</v>
      </c>
      <c r="N685" s="7">
        <f>IF(首页!$B$13="强制对流",首页!$B$11*M685/H685,0)</f>
        <v>0</v>
      </c>
      <c r="O685" s="7">
        <f>IF(首页!$B$13="自然对流",IF(首页!$B$14="立式圆筒",(0.825+0.3063*I685^(1/6))^2+0.87*(M685/B685),(0.752+0.303*I685^(1/6))^2),0.3+SQRT((0.592*N685^0.5)^2+(0.0262*N685^0.8/(1-0.5/N685^0.1))^2))</f>
        <v>10051.656151583549</v>
      </c>
      <c r="P685" s="6">
        <f t="shared" si="105"/>
        <v>2.9510194925512497E-2</v>
      </c>
      <c r="Q685" s="6">
        <f t="shared" si="106"/>
        <v>5.3736654412582849</v>
      </c>
      <c r="R685" s="6">
        <f t="shared" si="107"/>
        <v>13.142399241760241</v>
      </c>
      <c r="S685" s="6">
        <f>IF($Y$2="按单位面积散热损失 qp",B685*LN(B685/首页!$B$4),LN(B685/首页!$B$4))</f>
        <v>3.71821232348465</v>
      </c>
      <c r="T685" s="6">
        <f>IF($Y$2="按单位面积散热损失 qp",2*PI()*首页!$B$8*((E685-D685)/$Y$3-1/R685),2*PI()*首页!$B$8*((E685-D685)/$Y$4-1/(PI()*B685*R685)))</f>
        <v>4.0785900015365389E-2</v>
      </c>
      <c r="U685" t="str">
        <f t="shared" si="108"/>
        <v>按单位面积散热损失 qp</v>
      </c>
      <c r="V685" s="6">
        <f t="shared" si="109"/>
        <v>3.6774264234692846</v>
      </c>
    </row>
    <row r="686" spans="1:22" x14ac:dyDescent="0.15">
      <c r="A686">
        <v>681</v>
      </c>
      <c r="B686" s="6">
        <f>首页!$B$4+2*A686/1000</f>
        <v>1.4820000000000002</v>
      </c>
      <c r="C686" s="6">
        <f>首页!$B$7+273.15</f>
        <v>388.15</v>
      </c>
      <c r="D686" s="6">
        <f>首页!$B$6+273.15</f>
        <v>293.14999999999998</v>
      </c>
      <c r="E686" s="6">
        <f>首页!$B$5+273.15</f>
        <v>1373.15</v>
      </c>
      <c r="F686" s="6">
        <f t="shared" si="100"/>
        <v>95</v>
      </c>
      <c r="G686" s="6">
        <f t="shared" si="101"/>
        <v>340.65</v>
      </c>
      <c r="H686" s="6">
        <f t="shared" si="102"/>
        <v>1.9926207055139041E-5</v>
      </c>
      <c r="I686" s="7">
        <f t="shared" si="103"/>
        <v>1158916576932337.8</v>
      </c>
      <c r="J686" s="6">
        <f t="shared" si="104"/>
        <v>1.0226038455893147</v>
      </c>
      <c r="K686" s="7">
        <f>J686*H686*首页!$B$12/P686</f>
        <v>0.69532757496605813</v>
      </c>
      <c r="L686" s="6">
        <f>首页!$B$9*0.0000000567*((C686^4-D686^4)/(C686-D686))</f>
        <v>7.7687338005019564</v>
      </c>
      <c r="M686" s="6">
        <f>IF(首页!$B$13="自然对流",IF(首页!$B$14="立式圆筒",首页!$B$10,PI()*B686/2),PI()*B686/2)</f>
        <v>55.2</v>
      </c>
      <c r="N686" s="7">
        <f>IF(首页!$B$13="强制对流",首页!$B$11*M686/H686,0)</f>
        <v>0</v>
      </c>
      <c r="O686" s="7">
        <f>IF(首页!$B$13="自然对流",IF(首页!$B$14="立式圆筒",(0.825+0.3063*I686^(1/6))^2+0.87*(M686/B686),(0.752+0.303*I686^(1/6))^2),0.3+SQRT((0.592*N686^0.5)^2+(0.0262*N686^0.8/(1-0.5/N686^0.1))^2))</f>
        <v>10051.612361234495</v>
      </c>
      <c r="P686" s="6">
        <f t="shared" si="105"/>
        <v>2.9510194925512497E-2</v>
      </c>
      <c r="Q686" s="6">
        <f t="shared" si="106"/>
        <v>5.3736420307195809</v>
      </c>
      <c r="R686" s="6">
        <f t="shared" si="107"/>
        <v>13.142375831221537</v>
      </c>
      <c r="S686" s="6">
        <f>IF($Y$2="按单位面积散热损失 qp",B686*LN(B686/首页!$B$4),LN(B686/首页!$B$4))</f>
        <v>3.7252382854756481</v>
      </c>
      <c r="T686" s="6">
        <f>IF($Y$2="按单位面积散热损失 qp",2*PI()*首页!$B$8*((E686-D686)/$Y$3-1/R686),2*PI()*首页!$B$8*((E686-D686)/$Y$4-1/(PI()*B686*R686)))</f>
        <v>4.0785861692740268E-2</v>
      </c>
      <c r="U686" t="str">
        <f t="shared" si="108"/>
        <v>按单位面积散热损失 qp</v>
      </c>
      <c r="V686" s="6">
        <f t="shared" si="109"/>
        <v>3.6844524237829077</v>
      </c>
    </row>
    <row r="687" spans="1:22" x14ac:dyDescent="0.15">
      <c r="A687">
        <v>682</v>
      </c>
      <c r="B687" s="6">
        <f>首页!$B$4+2*A687/1000</f>
        <v>1.484</v>
      </c>
      <c r="C687" s="6">
        <f>首页!$B$7+273.15</f>
        <v>388.15</v>
      </c>
      <c r="D687" s="6">
        <f>首页!$B$6+273.15</f>
        <v>293.14999999999998</v>
      </c>
      <c r="E687" s="6">
        <f>首页!$B$5+273.15</f>
        <v>1373.15</v>
      </c>
      <c r="F687" s="6">
        <f t="shared" si="100"/>
        <v>95</v>
      </c>
      <c r="G687" s="6">
        <f t="shared" si="101"/>
        <v>340.65</v>
      </c>
      <c r="H687" s="6">
        <f t="shared" si="102"/>
        <v>1.9926207055139041E-5</v>
      </c>
      <c r="I687" s="7">
        <f t="shared" si="103"/>
        <v>1158916576932337.8</v>
      </c>
      <c r="J687" s="6">
        <f t="shared" si="104"/>
        <v>1.0226038455893147</v>
      </c>
      <c r="K687" s="7">
        <f>J687*H687*首页!$B$12/P687</f>
        <v>0.69532757496605813</v>
      </c>
      <c r="L687" s="6">
        <f>首页!$B$9*0.0000000567*((C687^4-D687^4)/(C687-D687))</f>
        <v>7.7687338005019564</v>
      </c>
      <c r="M687" s="6">
        <f>IF(首页!$B$13="自然对流",IF(首页!$B$14="立式圆筒",首页!$B$10,PI()*B687/2),PI()*B687/2)</f>
        <v>55.2</v>
      </c>
      <c r="N687" s="7">
        <f>IF(首页!$B$13="强制对流",首页!$B$11*M687/H687,0)</f>
        <v>0</v>
      </c>
      <c r="O687" s="7">
        <f>IF(首页!$B$13="自然对流",IF(首页!$B$14="立式圆筒",(0.825+0.3063*I687^(1/6))^2+0.87*(M687/B687),(0.752+0.303*I687^(1/6))^2),0.3+SQRT((0.592*N687^0.5)^2+(0.0262*N687^0.8/(1-0.5/N687^0.1))^2))</f>
        <v>10051.568688918727</v>
      </c>
      <c r="P687" s="6">
        <f t="shared" si="105"/>
        <v>2.9510194925512497E-2</v>
      </c>
      <c r="Q687" s="6">
        <f t="shared" si="106"/>
        <v>5.3736186832820598</v>
      </c>
      <c r="R687" s="6">
        <f t="shared" si="107"/>
        <v>13.142352483784016</v>
      </c>
      <c r="S687" s="6">
        <f>IF($Y$2="按单位面积散热损失 qp",B687*LN(B687/首页!$B$4),LN(B687/首页!$B$4))</f>
        <v>3.7322669465227953</v>
      </c>
      <c r="T687" s="6">
        <f>IF($Y$2="按单位面积散热损失 qp",2*PI()*首页!$B$8*((E687-D687)/$Y$3-1/R687),2*PI()*首页!$B$8*((E687-D687)/$Y$4-1/(PI()*B687*R687)))</f>
        <v>4.0785823473274641E-2</v>
      </c>
      <c r="U687" t="str">
        <f t="shared" si="108"/>
        <v>按单位面积散热损失 qp</v>
      </c>
      <c r="V687" s="6">
        <f t="shared" si="109"/>
        <v>3.6914811230495208</v>
      </c>
    </row>
    <row r="688" spans="1:22" x14ac:dyDescent="0.15">
      <c r="A688">
        <v>683</v>
      </c>
      <c r="B688" s="6">
        <f>首页!$B$4+2*A688/1000</f>
        <v>1.4860000000000002</v>
      </c>
      <c r="C688" s="6">
        <f>首页!$B$7+273.15</f>
        <v>388.15</v>
      </c>
      <c r="D688" s="6">
        <f>首页!$B$6+273.15</f>
        <v>293.14999999999998</v>
      </c>
      <c r="E688" s="6">
        <f>首页!$B$5+273.15</f>
        <v>1373.15</v>
      </c>
      <c r="F688" s="6">
        <f t="shared" si="100"/>
        <v>95</v>
      </c>
      <c r="G688" s="6">
        <f t="shared" si="101"/>
        <v>340.65</v>
      </c>
      <c r="H688" s="6">
        <f t="shared" si="102"/>
        <v>1.9926207055139041E-5</v>
      </c>
      <c r="I688" s="7">
        <f t="shared" si="103"/>
        <v>1158916576932337.8</v>
      </c>
      <c r="J688" s="6">
        <f t="shared" si="104"/>
        <v>1.0226038455893147</v>
      </c>
      <c r="K688" s="7">
        <f>J688*H688*首页!$B$12/P688</f>
        <v>0.69532757496605813</v>
      </c>
      <c r="L688" s="6">
        <f>首页!$B$9*0.0000000567*((C688^4-D688^4)/(C688-D688))</f>
        <v>7.7687338005019564</v>
      </c>
      <c r="M688" s="6">
        <f>IF(首页!$B$13="自然对流",IF(首页!$B$14="立式圆筒",首页!$B$10,PI()*B688/2),PI()*B688/2)</f>
        <v>55.2</v>
      </c>
      <c r="N688" s="7">
        <f>IF(首页!$B$13="强制对流",首页!$B$11*M688/H688,0)</f>
        <v>0</v>
      </c>
      <c r="O688" s="7">
        <f>IF(首页!$B$13="自然对流",IF(首页!$B$14="立式圆筒",(0.825+0.3063*I688^(1/6))^2+0.87*(M688/B688),(0.752+0.303*I688^(1/6))^2),0.3+SQRT((0.592*N688^0.5)^2+(0.0262*N688^0.8/(1-0.5/N688^0.1))^2))</f>
        <v>10051.525134159665</v>
      </c>
      <c r="P688" s="6">
        <f t="shared" si="105"/>
        <v>2.9510194925512497E-2</v>
      </c>
      <c r="Q688" s="6">
        <f t="shared" si="106"/>
        <v>5.3735953986909397</v>
      </c>
      <c r="R688" s="6">
        <f t="shared" si="107"/>
        <v>13.142329199192897</v>
      </c>
      <c r="S688" s="6">
        <f>IF($Y$2="按单位面积散热损失 qp",B688*LN(B688/首页!$B$4),LN(B688/首页!$B$4))</f>
        <v>3.7392983029885496</v>
      </c>
      <c r="T688" s="6">
        <f>IF($Y$2="按单位面积散热损失 qp",2*PI()*首页!$B$8*((E688-D688)/$Y$3-1/R688),2*PI()*首页!$B$8*((E688-D688)/$Y$4-1/(PI()*B688*R688)))</f>
        <v>4.0785785356552556E-2</v>
      </c>
      <c r="U688" t="str">
        <f t="shared" si="108"/>
        <v>按单位面积散热损失 qp</v>
      </c>
      <c r="V688" s="6">
        <f t="shared" si="109"/>
        <v>3.6985125176319968</v>
      </c>
    </row>
    <row r="689" spans="1:22" x14ac:dyDescent="0.15">
      <c r="A689">
        <v>684</v>
      </c>
      <c r="B689" s="6">
        <f>首页!$B$4+2*A689/1000</f>
        <v>1.488</v>
      </c>
      <c r="C689" s="6">
        <f>首页!$B$7+273.15</f>
        <v>388.15</v>
      </c>
      <c r="D689" s="6">
        <f>首页!$B$6+273.15</f>
        <v>293.14999999999998</v>
      </c>
      <c r="E689" s="6">
        <f>首页!$B$5+273.15</f>
        <v>1373.15</v>
      </c>
      <c r="F689" s="6">
        <f t="shared" si="100"/>
        <v>95</v>
      </c>
      <c r="G689" s="6">
        <f t="shared" si="101"/>
        <v>340.65</v>
      </c>
      <c r="H689" s="6">
        <f t="shared" si="102"/>
        <v>1.9926207055139041E-5</v>
      </c>
      <c r="I689" s="7">
        <f t="shared" si="103"/>
        <v>1158916576932337.8</v>
      </c>
      <c r="J689" s="6">
        <f t="shared" si="104"/>
        <v>1.0226038455893147</v>
      </c>
      <c r="K689" s="7">
        <f>J689*H689*首页!$B$12/P689</f>
        <v>0.69532757496605813</v>
      </c>
      <c r="L689" s="6">
        <f>首页!$B$9*0.0000000567*((C689^4-D689^4)/(C689-D689))</f>
        <v>7.7687338005019564</v>
      </c>
      <c r="M689" s="6">
        <f>IF(首页!$B$13="自然对流",IF(首页!$B$14="立式圆筒",首页!$B$10,PI()*B689/2),PI()*B689/2)</f>
        <v>55.2</v>
      </c>
      <c r="N689" s="7">
        <f>IF(首页!$B$13="强制对流",首页!$B$11*M689/H689,0)</f>
        <v>0</v>
      </c>
      <c r="O689" s="7">
        <f>IF(首页!$B$13="自然对流",IF(首页!$B$14="立式圆筒",(0.825+0.3063*I689^(1/6))^2+0.87*(M689/B689),(0.752+0.303*I689^(1/6))^2),0.3+SQRT((0.592*N689^0.5)^2+(0.0262*N689^0.8/(1-0.5/N689^0.1))^2))</f>
        <v>10051.481696483286</v>
      </c>
      <c r="P689" s="6">
        <f t="shared" si="105"/>
        <v>2.9510194925512497E-2</v>
      </c>
      <c r="Q689" s="6">
        <f t="shared" si="106"/>
        <v>5.3735721766928046</v>
      </c>
      <c r="R689" s="6">
        <f t="shared" si="107"/>
        <v>13.142305977194761</v>
      </c>
      <c r="S689" s="6">
        <f>IF($Y$2="按单位面积散热损失 qp",B689*LN(B689/首页!$B$4),LN(B689/首页!$B$4))</f>
        <v>3.746332351245155</v>
      </c>
      <c r="T689" s="6">
        <f>IF($Y$2="按单位面积散热损失 qp",2*PI()*首页!$B$8*((E689-D689)/$Y$3-1/R689),2*PI()*首页!$B$8*((E689-D689)/$Y$4-1/(PI()*B689*R689)))</f>
        <v>4.0785747342160249E-2</v>
      </c>
      <c r="U689" t="str">
        <f t="shared" si="108"/>
        <v>按单位面积散热损失 qp</v>
      </c>
      <c r="V689" s="6">
        <f t="shared" si="109"/>
        <v>3.7055466039029947</v>
      </c>
    </row>
    <row r="690" spans="1:22" x14ac:dyDescent="0.15">
      <c r="A690">
        <v>685</v>
      </c>
      <c r="B690" s="6">
        <f>首页!$B$4+2*A690/1000</f>
        <v>1.4900000000000002</v>
      </c>
      <c r="C690" s="6">
        <f>首页!$B$7+273.15</f>
        <v>388.15</v>
      </c>
      <c r="D690" s="6">
        <f>首页!$B$6+273.15</f>
        <v>293.14999999999998</v>
      </c>
      <c r="E690" s="6">
        <f>首页!$B$5+273.15</f>
        <v>1373.15</v>
      </c>
      <c r="F690" s="6">
        <f t="shared" si="100"/>
        <v>95</v>
      </c>
      <c r="G690" s="6">
        <f t="shared" si="101"/>
        <v>340.65</v>
      </c>
      <c r="H690" s="6">
        <f t="shared" si="102"/>
        <v>1.9926207055139041E-5</v>
      </c>
      <c r="I690" s="7">
        <f t="shared" si="103"/>
        <v>1158916576932337.8</v>
      </c>
      <c r="J690" s="6">
        <f t="shared" si="104"/>
        <v>1.0226038455893147</v>
      </c>
      <c r="K690" s="7">
        <f>J690*H690*首页!$B$12/P690</f>
        <v>0.69532757496605813</v>
      </c>
      <c r="L690" s="6">
        <f>首页!$B$9*0.0000000567*((C690^4-D690^4)/(C690-D690))</f>
        <v>7.7687338005019564</v>
      </c>
      <c r="M690" s="6">
        <f>IF(首页!$B$13="自然对流",IF(首页!$B$14="立式圆筒",首页!$B$10,PI()*B690/2),PI()*B690/2)</f>
        <v>55.2</v>
      </c>
      <c r="N690" s="7">
        <f>IF(首页!$B$13="强制对流",首页!$B$11*M690/H690,0)</f>
        <v>0</v>
      </c>
      <c r="O690" s="7">
        <f>IF(首页!$B$13="自然对流",IF(首页!$B$14="立式圆筒",(0.825+0.3063*I690^(1/6))^2+0.87*(M690/B690),(0.752+0.303*I690^(1/6))^2),0.3+SQRT((0.592*N690^0.5)^2+(0.0262*N690^0.8/(1-0.5/N690^0.1))^2))</f>
        <v>10051.438375418122</v>
      </c>
      <c r="P690" s="6">
        <f t="shared" si="105"/>
        <v>2.9510194925512497E-2</v>
      </c>
      <c r="Q690" s="6">
        <f t="shared" si="106"/>
        <v>5.3735490170356055</v>
      </c>
      <c r="R690" s="6">
        <f t="shared" si="107"/>
        <v>13.142282817537563</v>
      </c>
      <c r="S690" s="6">
        <f>IF($Y$2="按单位面积散热损失 qp",B690*LN(B690/首页!$B$4),LN(B690/首页!$B$4))</f>
        <v>3.7533690876746149</v>
      </c>
      <c r="T690" s="6">
        <f>IF($Y$2="按单位面积散热损失 qp",2*PI()*首页!$B$8*((E690-D690)/$Y$3-1/R690),2*PI()*首页!$B$8*((E690-D690)/$Y$4-1/(PI()*B690*R690)))</f>
        <v>4.0785709429686207E-2</v>
      </c>
      <c r="U690" t="str">
        <f t="shared" si="108"/>
        <v>按单位面积散热损失 qp</v>
      </c>
      <c r="V690" s="6">
        <f t="shared" si="109"/>
        <v>3.7125833782449287</v>
      </c>
    </row>
    <row r="691" spans="1:22" x14ac:dyDescent="0.15">
      <c r="A691">
        <v>686</v>
      </c>
      <c r="B691" s="6">
        <f>首页!$B$4+2*A691/1000</f>
        <v>1.492</v>
      </c>
      <c r="C691" s="6">
        <f>首页!$B$7+273.15</f>
        <v>388.15</v>
      </c>
      <c r="D691" s="6">
        <f>首页!$B$6+273.15</f>
        <v>293.14999999999998</v>
      </c>
      <c r="E691" s="6">
        <f>首页!$B$5+273.15</f>
        <v>1373.15</v>
      </c>
      <c r="F691" s="6">
        <f t="shared" si="100"/>
        <v>95</v>
      </c>
      <c r="G691" s="6">
        <f t="shared" si="101"/>
        <v>340.65</v>
      </c>
      <c r="H691" s="6">
        <f t="shared" si="102"/>
        <v>1.9926207055139041E-5</v>
      </c>
      <c r="I691" s="7">
        <f t="shared" si="103"/>
        <v>1158916576932337.8</v>
      </c>
      <c r="J691" s="6">
        <f t="shared" si="104"/>
        <v>1.0226038455893147</v>
      </c>
      <c r="K691" s="7">
        <f>J691*H691*首页!$B$12/P691</f>
        <v>0.69532757496605813</v>
      </c>
      <c r="L691" s="6">
        <f>首页!$B$9*0.0000000567*((C691^4-D691^4)/(C691-D691))</f>
        <v>7.7687338005019564</v>
      </c>
      <c r="M691" s="6">
        <f>IF(首页!$B$13="自然对流",IF(首页!$B$14="立式圆筒",首页!$B$10,PI()*B691/2),PI()*B691/2)</f>
        <v>55.2</v>
      </c>
      <c r="N691" s="7">
        <f>IF(首页!$B$13="强制对流",首页!$B$11*M691/H691,0)</f>
        <v>0</v>
      </c>
      <c r="O691" s="7">
        <f>IF(首页!$B$13="自然对流",IF(首页!$B$14="立式圆筒",(0.825+0.3063*I691^(1/6))^2+0.87*(M691/B691),(0.752+0.303*I691^(1/6))^2),0.3+SQRT((0.592*N691^0.5)^2+(0.0262*N691^0.8/(1-0.5/N691^0.1))^2))</f>
        <v>10051.395170495221</v>
      </c>
      <c r="P691" s="6">
        <f t="shared" si="105"/>
        <v>2.9510194925512497E-2</v>
      </c>
      <c r="Q691" s="6">
        <f t="shared" si="106"/>
        <v>5.3735259194686398</v>
      </c>
      <c r="R691" s="6">
        <f t="shared" si="107"/>
        <v>13.142259719970596</v>
      </c>
      <c r="S691" s="6">
        <f>IF($Y$2="按单位面积散热损失 qp",B691*LN(B691/首页!$B$4),LN(B691/首页!$B$4))</f>
        <v>3.7604085086686365</v>
      </c>
      <c r="T691" s="6">
        <f>IF($Y$2="按单位面积散热损失 qp",2*PI()*首页!$B$8*((E691-D691)/$Y$3-1/R691),2*PI()*首页!$B$8*((E691-D691)/$Y$4-1/(PI()*B691*R691)))</f>
        <v>4.0785671618721098E-2</v>
      </c>
      <c r="U691" t="str">
        <f t="shared" si="108"/>
        <v>按单位面积散热损失 qp</v>
      </c>
      <c r="V691" s="6">
        <f t="shared" si="109"/>
        <v>3.7196228370499154</v>
      </c>
    </row>
    <row r="692" spans="1:22" x14ac:dyDescent="0.15">
      <c r="A692">
        <v>687</v>
      </c>
      <c r="B692" s="6">
        <f>首页!$B$4+2*A692/1000</f>
        <v>1.4940000000000002</v>
      </c>
      <c r="C692" s="6">
        <f>首页!$B$7+273.15</f>
        <v>388.15</v>
      </c>
      <c r="D692" s="6">
        <f>首页!$B$6+273.15</f>
        <v>293.14999999999998</v>
      </c>
      <c r="E692" s="6">
        <f>首页!$B$5+273.15</f>
        <v>1373.15</v>
      </c>
      <c r="F692" s="6">
        <f t="shared" si="100"/>
        <v>95</v>
      </c>
      <c r="G692" s="6">
        <f t="shared" si="101"/>
        <v>340.65</v>
      </c>
      <c r="H692" s="6">
        <f t="shared" si="102"/>
        <v>1.9926207055139041E-5</v>
      </c>
      <c r="I692" s="7">
        <f t="shared" si="103"/>
        <v>1158916576932337.8</v>
      </c>
      <c r="J692" s="6">
        <f t="shared" si="104"/>
        <v>1.0226038455893147</v>
      </c>
      <c r="K692" s="7">
        <f>J692*H692*首页!$B$12/P692</f>
        <v>0.69532757496605813</v>
      </c>
      <c r="L692" s="6">
        <f>首页!$B$9*0.0000000567*((C692^4-D692^4)/(C692-D692))</f>
        <v>7.7687338005019564</v>
      </c>
      <c r="M692" s="6">
        <f>IF(首页!$B$13="自然对流",IF(首页!$B$14="立式圆筒",首页!$B$10,PI()*B692/2),PI()*B692/2)</f>
        <v>55.2</v>
      </c>
      <c r="N692" s="7">
        <f>IF(首页!$B$13="强制对流",首页!$B$11*M692/H692,0)</f>
        <v>0</v>
      </c>
      <c r="O692" s="7">
        <f>IF(首页!$B$13="自然对流",IF(首页!$B$14="立式圆筒",(0.825+0.3063*I692^(1/6))^2+0.87*(M692/B692),(0.752+0.303*I692^(1/6))^2),0.3+SQRT((0.592*N692^0.5)^2+(0.0262*N692^0.8/(1-0.5/N692^0.1))^2))</f>
        <v>10051.352081248153</v>
      </c>
      <c r="P692" s="6">
        <f t="shared" si="105"/>
        <v>2.9510194925512497E-2</v>
      </c>
      <c r="Q692" s="6">
        <f t="shared" si="106"/>
        <v>5.3735028837425487</v>
      </c>
      <c r="R692" s="6">
        <f t="shared" si="107"/>
        <v>13.142236684244505</v>
      </c>
      <c r="S692" s="6">
        <f>IF($Y$2="按单位面积散热损失 qp",B692*LN(B692/首页!$B$4),LN(B692/首页!$B$4))</f>
        <v>3.7674506106286119</v>
      </c>
      <c r="T692" s="6">
        <f>IF($Y$2="按单位面积散热损失 qp",2*PI()*首页!$B$8*((E692-D692)/$Y$3-1/R692),2*PI()*首页!$B$8*((E692-D692)/$Y$4-1/(PI()*B692*R692)))</f>
        <v>4.0785633908857796E-2</v>
      </c>
      <c r="U692" t="str">
        <f t="shared" si="108"/>
        <v>按单位面积散热损失 qp</v>
      </c>
      <c r="V692" s="6">
        <f t="shared" si="109"/>
        <v>3.7266649767197539</v>
      </c>
    </row>
    <row r="693" spans="1:22" x14ac:dyDescent="0.15">
      <c r="A693">
        <v>688</v>
      </c>
      <c r="B693" s="6">
        <f>首页!$B$4+2*A693/1000</f>
        <v>1.496</v>
      </c>
      <c r="C693" s="6">
        <f>首页!$B$7+273.15</f>
        <v>388.15</v>
      </c>
      <c r="D693" s="6">
        <f>首页!$B$6+273.15</f>
        <v>293.14999999999998</v>
      </c>
      <c r="E693" s="6">
        <f>首页!$B$5+273.15</f>
        <v>1373.15</v>
      </c>
      <c r="F693" s="6">
        <f t="shared" si="100"/>
        <v>95</v>
      </c>
      <c r="G693" s="6">
        <f t="shared" si="101"/>
        <v>340.65</v>
      </c>
      <c r="H693" s="6">
        <f t="shared" si="102"/>
        <v>1.9926207055139041E-5</v>
      </c>
      <c r="I693" s="7">
        <f t="shared" si="103"/>
        <v>1158916576932337.8</v>
      </c>
      <c r="J693" s="6">
        <f t="shared" si="104"/>
        <v>1.0226038455893147</v>
      </c>
      <c r="K693" s="7">
        <f>J693*H693*首页!$B$12/P693</f>
        <v>0.69532757496605813</v>
      </c>
      <c r="L693" s="6">
        <f>首页!$B$9*0.0000000567*((C693^4-D693^4)/(C693-D693))</f>
        <v>7.7687338005019564</v>
      </c>
      <c r="M693" s="6">
        <f>IF(首页!$B$13="自然对流",IF(首页!$B$14="立式圆筒",首页!$B$10,PI()*B693/2),PI()*B693/2)</f>
        <v>55.2</v>
      </c>
      <c r="N693" s="7">
        <f>IF(首页!$B$13="强制对流",首页!$B$11*M693/H693,0)</f>
        <v>0</v>
      </c>
      <c r="O693" s="7">
        <f>IF(首页!$B$13="自然对流",IF(首页!$B$14="立式圆筒",(0.825+0.3063*I693^(1/6))^2+0.87*(M693/B693),(0.752+0.303*I693^(1/6))^2),0.3+SQRT((0.592*N693^0.5)^2+(0.0262*N693^0.8/(1-0.5/N693^0.1))^2))</f>
        <v>10051.309107212976</v>
      </c>
      <c r="P693" s="6">
        <f t="shared" si="105"/>
        <v>2.9510194925512497E-2</v>
      </c>
      <c r="Q693" s="6">
        <f t="shared" si="106"/>
        <v>5.3734799096093093</v>
      </c>
      <c r="R693" s="6">
        <f t="shared" si="107"/>
        <v>13.142213710111266</v>
      </c>
      <c r="S693" s="6">
        <f>IF($Y$2="按单位面积散热损失 qp",B693*LN(B693/首页!$B$4),LN(B693/首页!$B$4))</f>
        <v>3.7744953899655558</v>
      </c>
      <c r="T693" s="6">
        <f>IF($Y$2="按单位面积散热损失 qp",2*PI()*首页!$B$8*((E693-D693)/$Y$3-1/R693),2*PI()*首页!$B$8*((E693-D693)/$Y$4-1/(PI()*B693*R693)))</f>
        <v>4.0785596299691342E-2</v>
      </c>
      <c r="U693" t="str">
        <f t="shared" si="108"/>
        <v>按单位面积散热损失 qp</v>
      </c>
      <c r="V693" s="6">
        <f t="shared" si="109"/>
        <v>3.7337097936658643</v>
      </c>
    </row>
    <row r="694" spans="1:22" x14ac:dyDescent="0.15">
      <c r="A694">
        <v>689</v>
      </c>
      <c r="B694" s="6">
        <f>首页!$B$4+2*A694/1000</f>
        <v>1.4979999999999998</v>
      </c>
      <c r="C694" s="6">
        <f>首页!$B$7+273.15</f>
        <v>388.15</v>
      </c>
      <c r="D694" s="6">
        <f>首页!$B$6+273.15</f>
        <v>293.14999999999998</v>
      </c>
      <c r="E694" s="6">
        <f>首页!$B$5+273.15</f>
        <v>1373.15</v>
      </c>
      <c r="F694" s="6">
        <f t="shared" si="100"/>
        <v>95</v>
      </c>
      <c r="G694" s="6">
        <f t="shared" si="101"/>
        <v>340.65</v>
      </c>
      <c r="H694" s="6">
        <f t="shared" si="102"/>
        <v>1.9926207055139041E-5</v>
      </c>
      <c r="I694" s="7">
        <f t="shared" si="103"/>
        <v>1158916576932337.8</v>
      </c>
      <c r="J694" s="6">
        <f t="shared" si="104"/>
        <v>1.0226038455893147</v>
      </c>
      <c r="K694" s="7">
        <f>J694*H694*首页!$B$12/P694</f>
        <v>0.69532757496605813</v>
      </c>
      <c r="L694" s="6">
        <f>首页!$B$9*0.0000000567*((C694^4-D694^4)/(C694-D694))</f>
        <v>7.7687338005019564</v>
      </c>
      <c r="M694" s="6">
        <f>IF(首页!$B$13="自然对流",IF(首页!$B$14="立式圆筒",首页!$B$10,PI()*B694/2),PI()*B694/2)</f>
        <v>55.2</v>
      </c>
      <c r="N694" s="7">
        <f>IF(首页!$B$13="强制对流",首页!$B$11*M694/H694,0)</f>
        <v>0</v>
      </c>
      <c r="O694" s="7">
        <f>IF(首页!$B$13="自然对流",IF(首页!$B$14="立式圆筒",(0.825+0.3063*I694^(1/6))^2+0.87*(M694/B694),(0.752+0.303*I694^(1/6))^2),0.3+SQRT((0.592*N694^0.5)^2+(0.0262*N694^0.8/(1-0.5/N694^0.1))^2))</f>
        <v>10051.266247928224</v>
      </c>
      <c r="P694" s="6">
        <f t="shared" si="105"/>
        <v>2.9510194925512497E-2</v>
      </c>
      <c r="Q694" s="6">
        <f t="shared" si="106"/>
        <v>5.3734569968222194</v>
      </c>
      <c r="R694" s="6">
        <f t="shared" si="107"/>
        <v>13.142190797324176</v>
      </c>
      <c r="S694" s="6">
        <f>IF($Y$2="按单位面积散热损失 qp",B694*LN(B694/首页!$B$4),LN(B694/首页!$B$4))</f>
        <v>3.7815428431000875</v>
      </c>
      <c r="T694" s="6">
        <f>IF($Y$2="按单位面积散热损失 qp",2*PI()*首页!$B$8*((E694-D694)/$Y$3-1/R694),2*PI()*首页!$B$8*((E694-D694)/$Y$4-1/(PI()*B694*R694)))</f>
        <v>4.0785558790818931E-2</v>
      </c>
      <c r="U694" t="str">
        <f t="shared" si="108"/>
        <v>按单位面积散热损失 qp</v>
      </c>
      <c r="V694" s="6">
        <f t="shared" si="109"/>
        <v>3.7407572843092685</v>
      </c>
    </row>
    <row r="695" spans="1:22" x14ac:dyDescent="0.15">
      <c r="A695">
        <v>690</v>
      </c>
      <c r="B695" s="6">
        <f>首页!$B$4+2*A695/1000</f>
        <v>1.5</v>
      </c>
      <c r="C695" s="6">
        <f>首页!$B$7+273.15</f>
        <v>388.15</v>
      </c>
      <c r="D695" s="6">
        <f>首页!$B$6+273.15</f>
        <v>293.14999999999998</v>
      </c>
      <c r="E695" s="6">
        <f>首页!$B$5+273.15</f>
        <v>1373.15</v>
      </c>
      <c r="F695" s="6">
        <f t="shared" si="100"/>
        <v>95</v>
      </c>
      <c r="G695" s="6">
        <f t="shared" si="101"/>
        <v>340.65</v>
      </c>
      <c r="H695" s="6">
        <f t="shared" si="102"/>
        <v>1.9926207055139041E-5</v>
      </c>
      <c r="I695" s="7">
        <f t="shared" si="103"/>
        <v>1158916576932337.8</v>
      </c>
      <c r="J695" s="6">
        <f t="shared" si="104"/>
        <v>1.0226038455893147</v>
      </c>
      <c r="K695" s="7">
        <f>J695*H695*首页!$B$12/P695</f>
        <v>0.69532757496605813</v>
      </c>
      <c r="L695" s="6">
        <f>首页!$B$9*0.0000000567*((C695^4-D695^4)/(C695-D695))</f>
        <v>7.7687338005019564</v>
      </c>
      <c r="M695" s="6">
        <f>IF(首页!$B$13="自然对流",IF(首页!$B$14="立式圆筒",首页!$B$10,PI()*B695/2),PI()*B695/2)</f>
        <v>55.2</v>
      </c>
      <c r="N695" s="7">
        <f>IF(首页!$B$13="强制对流",首页!$B$11*M695/H695,0)</f>
        <v>0</v>
      </c>
      <c r="O695" s="7">
        <f>IF(首页!$B$13="自然对流",IF(首页!$B$14="立式圆筒",(0.825+0.3063*I695^(1/6))^2+0.87*(M695/B695),(0.752+0.303*I695^(1/6))^2),0.3+SQRT((0.592*N695^0.5)^2+(0.0262*N695^0.8/(1-0.5/N695^0.1))^2))</f>
        <v>10051.223502934899</v>
      </c>
      <c r="P695" s="6">
        <f t="shared" si="105"/>
        <v>2.9510194925512497E-2</v>
      </c>
      <c r="Q695" s="6">
        <f t="shared" si="106"/>
        <v>5.3734341451358949</v>
      </c>
      <c r="R695" s="6">
        <f t="shared" si="107"/>
        <v>13.142167945637851</v>
      </c>
      <c r="S695" s="6">
        <f>IF($Y$2="按单位面积散热损失 qp",B695*LN(B695/首页!$B$4),LN(B695/首页!$B$4))</f>
        <v>3.7885929664623834</v>
      </c>
      <c r="T695" s="6">
        <f>IF($Y$2="按单位面积散热损失 qp",2*PI()*首页!$B$8*((E695-D695)/$Y$3-1/R695),2*PI()*首页!$B$8*((E695-D695)/$Y$4-1/(PI()*B695*R695)))</f>
        <v>4.0785521381839905E-2</v>
      </c>
      <c r="U695" t="str">
        <f t="shared" si="108"/>
        <v>按单位面积散热损失 qp</v>
      </c>
      <c r="V695" s="6">
        <f t="shared" si="109"/>
        <v>3.7478074450805434</v>
      </c>
    </row>
    <row r="696" spans="1:22" x14ac:dyDescent="0.15">
      <c r="A696">
        <v>691</v>
      </c>
      <c r="B696" s="6">
        <f>首页!$B$4+2*A696/1000</f>
        <v>1.5019999999999998</v>
      </c>
      <c r="C696" s="6">
        <f>首页!$B$7+273.15</f>
        <v>388.15</v>
      </c>
      <c r="D696" s="6">
        <f>首页!$B$6+273.15</f>
        <v>293.14999999999998</v>
      </c>
      <c r="E696" s="6">
        <f>首页!$B$5+273.15</f>
        <v>1373.15</v>
      </c>
      <c r="F696" s="6">
        <f t="shared" si="100"/>
        <v>95</v>
      </c>
      <c r="G696" s="6">
        <f t="shared" si="101"/>
        <v>340.65</v>
      </c>
      <c r="H696" s="6">
        <f t="shared" si="102"/>
        <v>1.9926207055139041E-5</v>
      </c>
      <c r="I696" s="7">
        <f t="shared" si="103"/>
        <v>1158916576932337.8</v>
      </c>
      <c r="J696" s="6">
        <f t="shared" si="104"/>
        <v>1.0226038455893147</v>
      </c>
      <c r="K696" s="7">
        <f>J696*H696*首页!$B$12/P696</f>
        <v>0.69532757496605813</v>
      </c>
      <c r="L696" s="6">
        <f>首页!$B$9*0.0000000567*((C696^4-D696^4)/(C696-D696))</f>
        <v>7.7687338005019564</v>
      </c>
      <c r="M696" s="6">
        <f>IF(首页!$B$13="自然对流",IF(首页!$B$14="立式圆筒",首页!$B$10,PI()*B696/2),PI()*B696/2)</f>
        <v>55.2</v>
      </c>
      <c r="N696" s="7">
        <f>IF(首页!$B$13="强制对流",首页!$B$11*M696/H696,0)</f>
        <v>0</v>
      </c>
      <c r="O696" s="7">
        <f>IF(首页!$B$13="自然对流",IF(首页!$B$14="立式圆筒",(0.825+0.3063*I696^(1/6))^2+0.87*(M696/B696),(0.752+0.303*I696^(1/6))^2),0.3+SQRT((0.592*N696^0.5)^2+(0.0262*N696^0.8/(1-0.5/N696^0.1))^2))</f>
        <v>10051.180871776445</v>
      </c>
      <c r="P696" s="6">
        <f t="shared" si="105"/>
        <v>2.9510194925512497E-2</v>
      </c>
      <c r="Q696" s="6">
        <f t="shared" si="106"/>
        <v>5.3734113543062598</v>
      </c>
      <c r="R696" s="6">
        <f t="shared" si="107"/>
        <v>13.142145154808215</v>
      </c>
      <c r="S696" s="6">
        <f>IF($Y$2="按单位面积散热损失 qp",B696*LN(B696/首页!$B$4),LN(B696/首页!$B$4))</f>
        <v>3.7956457564921346</v>
      </c>
      <c r="T696" s="6">
        <f>IF($Y$2="按单位面积散热损失 qp",2*PI()*首页!$B$8*((E696-D696)/$Y$3-1/R696),2*PI()*首页!$B$8*((E696-D696)/$Y$4-1/(PI()*B696*R696)))</f>
        <v>4.0785484072355757E-2</v>
      </c>
      <c r="U696" t="str">
        <f t="shared" si="108"/>
        <v>按单位面积散热损失 qp</v>
      </c>
      <c r="V696" s="6">
        <f t="shared" si="109"/>
        <v>3.754860272419779</v>
      </c>
    </row>
    <row r="697" spans="1:22" x14ac:dyDescent="0.15">
      <c r="A697">
        <v>692</v>
      </c>
      <c r="B697" s="6">
        <f>首页!$B$4+2*A697/1000</f>
        <v>1.504</v>
      </c>
      <c r="C697" s="6">
        <f>首页!$B$7+273.15</f>
        <v>388.15</v>
      </c>
      <c r="D697" s="6">
        <f>首页!$B$6+273.15</f>
        <v>293.14999999999998</v>
      </c>
      <c r="E697" s="6">
        <f>首页!$B$5+273.15</f>
        <v>1373.15</v>
      </c>
      <c r="F697" s="6">
        <f t="shared" si="100"/>
        <v>95</v>
      </c>
      <c r="G697" s="6">
        <f t="shared" si="101"/>
        <v>340.65</v>
      </c>
      <c r="H697" s="6">
        <f t="shared" si="102"/>
        <v>1.9926207055139041E-5</v>
      </c>
      <c r="I697" s="7">
        <f t="shared" si="103"/>
        <v>1158916576932337.8</v>
      </c>
      <c r="J697" s="6">
        <f t="shared" si="104"/>
        <v>1.0226038455893147</v>
      </c>
      <c r="K697" s="7">
        <f>J697*H697*首页!$B$12/P697</f>
        <v>0.69532757496605813</v>
      </c>
      <c r="L697" s="6">
        <f>首页!$B$9*0.0000000567*((C697^4-D697^4)/(C697-D697))</f>
        <v>7.7687338005019564</v>
      </c>
      <c r="M697" s="6">
        <f>IF(首页!$B$13="自然对流",IF(首页!$B$14="立式圆筒",首页!$B$10,PI()*B697/2),PI()*B697/2)</f>
        <v>55.2</v>
      </c>
      <c r="N697" s="7">
        <f>IF(首页!$B$13="强制对流",首页!$B$11*M697/H697,0)</f>
        <v>0</v>
      </c>
      <c r="O697" s="7">
        <f>IF(首页!$B$13="自然对流",IF(首页!$B$14="立式圆筒",(0.825+0.3063*I697^(1/6))^2+0.87*(M697/B697),(0.752+0.303*I697^(1/6))^2),0.3+SQRT((0.592*N697^0.5)^2+(0.0262*N697^0.8/(1-0.5/N697^0.1))^2))</f>
        <v>10051.138353998729</v>
      </c>
      <c r="P697" s="6">
        <f t="shared" si="105"/>
        <v>2.9510194925512497E-2</v>
      </c>
      <c r="Q697" s="6">
        <f t="shared" si="106"/>
        <v>5.3733886240905306</v>
      </c>
      <c r="R697" s="6">
        <f t="shared" si="107"/>
        <v>13.142122424592486</v>
      </c>
      <c r="S697" s="6">
        <f>IF($Y$2="按单位面积散热损失 qp",B697*LN(B697/首页!$B$4),LN(B697/首页!$B$4))</f>
        <v>3.8027012096385198</v>
      </c>
      <c r="T697" s="6">
        <f>IF($Y$2="按单位面积散热损失 qp",2*PI()*首页!$B$8*((E697-D697)/$Y$3-1/R697),2*PI()*首页!$B$8*((E697-D697)/$Y$4-1/(PI()*B697*R697)))</f>
        <v>4.0785446861970068E-2</v>
      </c>
      <c r="U697" t="str">
        <f t="shared" si="108"/>
        <v>按单位面积散热损失 qp</v>
      </c>
      <c r="V697" s="6">
        <f t="shared" si="109"/>
        <v>3.7619157627765496</v>
      </c>
    </row>
    <row r="698" spans="1:22" x14ac:dyDescent="0.15">
      <c r="A698">
        <v>693</v>
      </c>
      <c r="B698" s="6">
        <f>首页!$B$4+2*A698/1000</f>
        <v>1.5059999999999998</v>
      </c>
      <c r="C698" s="6">
        <f>首页!$B$7+273.15</f>
        <v>388.15</v>
      </c>
      <c r="D698" s="6">
        <f>首页!$B$6+273.15</f>
        <v>293.14999999999998</v>
      </c>
      <c r="E698" s="6">
        <f>首页!$B$5+273.15</f>
        <v>1373.15</v>
      </c>
      <c r="F698" s="6">
        <f t="shared" si="100"/>
        <v>95</v>
      </c>
      <c r="G698" s="6">
        <f t="shared" si="101"/>
        <v>340.65</v>
      </c>
      <c r="H698" s="6">
        <f t="shared" si="102"/>
        <v>1.9926207055139041E-5</v>
      </c>
      <c r="I698" s="7">
        <f t="shared" si="103"/>
        <v>1158916576932337.8</v>
      </c>
      <c r="J698" s="6">
        <f t="shared" si="104"/>
        <v>1.0226038455893147</v>
      </c>
      <c r="K698" s="7">
        <f>J698*H698*首页!$B$12/P698</f>
        <v>0.69532757496605813</v>
      </c>
      <c r="L698" s="6">
        <f>首页!$B$9*0.0000000567*((C698^4-D698^4)/(C698-D698))</f>
        <v>7.7687338005019564</v>
      </c>
      <c r="M698" s="6">
        <f>IF(首页!$B$13="自然对流",IF(首页!$B$14="立式圆筒",首页!$B$10,PI()*B698/2),PI()*B698/2)</f>
        <v>55.2</v>
      </c>
      <c r="N698" s="7">
        <f>IF(首页!$B$13="强制对流",首页!$B$11*M698/H698,0)</f>
        <v>0</v>
      </c>
      <c r="O698" s="7">
        <f>IF(首页!$B$13="自然对流",IF(首页!$B$14="立式圆筒",(0.825+0.3063*I698^(1/6))^2+0.87*(M698/B698),(0.752+0.303*I698^(1/6))^2),0.3+SQRT((0.592*N698^0.5)^2+(0.0262*N698^0.8/(1-0.5/N698^0.1))^2))</f>
        <v>10051.09594915004</v>
      </c>
      <c r="P698" s="6">
        <f t="shared" si="105"/>
        <v>2.9510194925512497E-2</v>
      </c>
      <c r="Q698" s="6">
        <f t="shared" si="106"/>
        <v>5.3733659542472232</v>
      </c>
      <c r="R698" s="6">
        <f t="shared" si="107"/>
        <v>13.142099754749179</v>
      </c>
      <c r="S698" s="6">
        <f>IF($Y$2="按单位面积散热损失 qp",B698*LN(B698/首页!$B$4),LN(B698/首页!$B$4))</f>
        <v>3.8097593223601551</v>
      </c>
      <c r="T698" s="6">
        <f>IF($Y$2="按单位面积散热损失 qp",2*PI()*首页!$B$8*((E698-D698)/$Y$3-1/R698),2*PI()*首页!$B$8*((E698-D698)/$Y$4-1/(PI()*B698*R698)))</f>
        <v>4.0785409750288541E-2</v>
      </c>
      <c r="U698" t="str">
        <f t="shared" si="108"/>
        <v>按单位面积散热损失 qp</v>
      </c>
      <c r="V698" s="6">
        <f t="shared" si="109"/>
        <v>3.7689739126098667</v>
      </c>
    </row>
    <row r="699" spans="1:22" x14ac:dyDescent="0.15">
      <c r="A699">
        <v>694</v>
      </c>
      <c r="B699" s="6">
        <f>首页!$B$4+2*A699/1000</f>
        <v>1.508</v>
      </c>
      <c r="C699" s="6">
        <f>首页!$B$7+273.15</f>
        <v>388.15</v>
      </c>
      <c r="D699" s="6">
        <f>首页!$B$6+273.15</f>
        <v>293.14999999999998</v>
      </c>
      <c r="E699" s="6">
        <f>首页!$B$5+273.15</f>
        <v>1373.15</v>
      </c>
      <c r="F699" s="6">
        <f t="shared" si="100"/>
        <v>95</v>
      </c>
      <c r="G699" s="6">
        <f t="shared" si="101"/>
        <v>340.65</v>
      </c>
      <c r="H699" s="6">
        <f t="shared" si="102"/>
        <v>1.9926207055139041E-5</v>
      </c>
      <c r="I699" s="7">
        <f t="shared" si="103"/>
        <v>1158916576932337.8</v>
      </c>
      <c r="J699" s="6">
        <f t="shared" si="104"/>
        <v>1.0226038455893147</v>
      </c>
      <c r="K699" s="7">
        <f>J699*H699*首页!$B$12/P699</f>
        <v>0.69532757496605813</v>
      </c>
      <c r="L699" s="6">
        <f>首页!$B$9*0.0000000567*((C699^4-D699^4)/(C699-D699))</f>
        <v>7.7687338005019564</v>
      </c>
      <c r="M699" s="6">
        <f>IF(首页!$B$13="自然对流",IF(首页!$B$14="立式圆筒",首页!$B$10,PI()*B699/2),PI()*B699/2)</f>
        <v>55.2</v>
      </c>
      <c r="N699" s="7">
        <f>IF(首页!$B$13="强制对流",首页!$B$11*M699/H699,0)</f>
        <v>0</v>
      </c>
      <c r="O699" s="7">
        <f>IF(首页!$B$13="自然对流",IF(首页!$B$14="立式圆筒",(0.825+0.3063*I699^(1/6))^2+0.87*(M699/B699),(0.752+0.303*I699^(1/6))^2),0.3+SQRT((0.592*N699^0.5)^2+(0.0262*N699^0.8/(1-0.5/N699^0.1))^2))</f>
        <v>10051.053656781054</v>
      </c>
      <c r="P699" s="6">
        <f t="shared" si="105"/>
        <v>2.9510194925512497E-2</v>
      </c>
      <c r="Q699" s="6">
        <f t="shared" si="106"/>
        <v>5.3733433445361243</v>
      </c>
      <c r="R699" s="6">
        <f t="shared" si="107"/>
        <v>13.14207714503808</v>
      </c>
      <c r="S699" s="6">
        <f>IF($Y$2="按单位面积散热损失 qp",B699*LN(B699/首页!$B$4),LN(B699/首页!$B$4))</f>
        <v>3.81682009112507</v>
      </c>
      <c r="T699" s="6">
        <f>IF($Y$2="按单位面积散热损失 qp",2*PI()*首页!$B$8*((E699-D699)/$Y$3-1/R699),2*PI()*首页!$B$8*((E699-D699)/$Y$4-1/(PI()*B699*R699)))</f>
        <v>4.0785372736918971E-2</v>
      </c>
      <c r="U699" t="str">
        <f t="shared" si="108"/>
        <v>按单位面积散热损失 qp</v>
      </c>
      <c r="V699" s="6">
        <f t="shared" si="109"/>
        <v>3.7760347183881509</v>
      </c>
    </row>
    <row r="700" spans="1:22" x14ac:dyDescent="0.15">
      <c r="A700">
        <v>695</v>
      </c>
      <c r="B700" s="6">
        <f>首页!$B$4+2*A700/1000</f>
        <v>1.5099999999999998</v>
      </c>
      <c r="C700" s="6">
        <f>首页!$B$7+273.15</f>
        <v>388.15</v>
      </c>
      <c r="D700" s="6">
        <f>首页!$B$6+273.15</f>
        <v>293.14999999999998</v>
      </c>
      <c r="E700" s="6">
        <f>首页!$B$5+273.15</f>
        <v>1373.15</v>
      </c>
      <c r="F700" s="6">
        <f t="shared" si="100"/>
        <v>95</v>
      </c>
      <c r="G700" s="6">
        <f t="shared" si="101"/>
        <v>340.65</v>
      </c>
      <c r="H700" s="6">
        <f t="shared" si="102"/>
        <v>1.9926207055139041E-5</v>
      </c>
      <c r="I700" s="7">
        <f t="shared" si="103"/>
        <v>1158916576932337.8</v>
      </c>
      <c r="J700" s="6">
        <f t="shared" si="104"/>
        <v>1.0226038455893147</v>
      </c>
      <c r="K700" s="7">
        <f>J700*H700*首页!$B$12/P700</f>
        <v>0.69532757496605813</v>
      </c>
      <c r="L700" s="6">
        <f>首页!$B$9*0.0000000567*((C700^4-D700^4)/(C700-D700))</f>
        <v>7.7687338005019564</v>
      </c>
      <c r="M700" s="6">
        <f>IF(首页!$B$13="自然对流",IF(首页!$B$14="立式圆筒",首页!$B$10,PI()*B700/2),PI()*B700/2)</f>
        <v>55.2</v>
      </c>
      <c r="N700" s="7">
        <f>IF(首页!$B$13="强制对流",首页!$B$11*M700/H700,0)</f>
        <v>0</v>
      </c>
      <c r="O700" s="7">
        <f>IF(首页!$B$13="自然对流",IF(首页!$B$14="立式圆筒",(0.825+0.3063*I700^(1/6))^2+0.87*(M700/B700),(0.752+0.303*I700^(1/6))^2),0.3+SQRT((0.592*N700^0.5)^2+(0.0262*N700^0.8/(1-0.5/N700^0.1))^2))</f>
        <v>10051.011476444834</v>
      </c>
      <c r="P700" s="6">
        <f t="shared" si="105"/>
        <v>2.9510194925512497E-2</v>
      </c>
      <c r="Q700" s="6">
        <f t="shared" si="106"/>
        <v>5.3733207947182997</v>
      </c>
      <c r="R700" s="6">
        <f t="shared" si="107"/>
        <v>13.142054595220255</v>
      </c>
      <c r="S700" s="6">
        <f>IF($Y$2="按单位面积散热损失 qp",B700*LN(B700/首页!$B$4),LN(B700/首页!$B$4))</f>
        <v>3.8238835124106547</v>
      </c>
      <c r="T700" s="6">
        <f>IF($Y$2="按单位面积散热损失 qp",2*PI()*首页!$B$8*((E700-D700)/$Y$3-1/R700),2*PI()*首页!$B$8*((E700-D700)/$Y$4-1/(PI()*B700*R700)))</f>
        <v>4.0785335821471209E-2</v>
      </c>
      <c r="U700" t="str">
        <f t="shared" si="108"/>
        <v>按单位面积散热损失 qp</v>
      </c>
      <c r="V700" s="6">
        <f t="shared" si="109"/>
        <v>3.7830981765891836</v>
      </c>
    </row>
    <row r="701" spans="1:22" x14ac:dyDescent="0.15">
      <c r="A701">
        <v>696</v>
      </c>
      <c r="B701" s="6">
        <f>首页!$B$4+2*A701/1000</f>
        <v>1.512</v>
      </c>
      <c r="C701" s="6">
        <f>首页!$B$7+273.15</f>
        <v>388.15</v>
      </c>
      <c r="D701" s="6">
        <f>首页!$B$6+273.15</f>
        <v>293.14999999999998</v>
      </c>
      <c r="E701" s="6">
        <f>首页!$B$5+273.15</f>
        <v>1373.15</v>
      </c>
      <c r="F701" s="6">
        <f t="shared" si="100"/>
        <v>95</v>
      </c>
      <c r="G701" s="6">
        <f t="shared" si="101"/>
        <v>340.65</v>
      </c>
      <c r="H701" s="6">
        <f t="shared" si="102"/>
        <v>1.9926207055139041E-5</v>
      </c>
      <c r="I701" s="7">
        <f t="shared" si="103"/>
        <v>1158916576932337.8</v>
      </c>
      <c r="J701" s="6">
        <f t="shared" si="104"/>
        <v>1.0226038455893147</v>
      </c>
      <c r="K701" s="7">
        <f>J701*H701*首页!$B$12/P701</f>
        <v>0.69532757496605813</v>
      </c>
      <c r="L701" s="6">
        <f>首页!$B$9*0.0000000567*((C701^4-D701^4)/(C701-D701))</f>
        <v>7.7687338005019564</v>
      </c>
      <c r="M701" s="6">
        <f>IF(首页!$B$13="自然对流",IF(首页!$B$14="立式圆筒",首页!$B$10,PI()*B701/2),PI()*B701/2)</f>
        <v>55.2</v>
      </c>
      <c r="N701" s="7">
        <f>IF(首页!$B$13="强制对流",首页!$B$11*M701/H701,0)</f>
        <v>0</v>
      </c>
      <c r="O701" s="7">
        <f>IF(首页!$B$13="自然对流",IF(首页!$B$14="立式圆筒",(0.825+0.3063*I701^(1/6))^2+0.87*(M701/B701),(0.752+0.303*I701^(1/6))^2),0.3+SQRT((0.592*N701^0.5)^2+(0.0262*N701^0.8/(1-0.5/N701^0.1))^2))</f>
        <v>10050.969407696804</v>
      </c>
      <c r="P701" s="6">
        <f t="shared" si="105"/>
        <v>2.9510194925512497E-2</v>
      </c>
      <c r="Q701" s="6">
        <f t="shared" si="106"/>
        <v>5.3732983045560792</v>
      </c>
      <c r="R701" s="6">
        <f t="shared" si="107"/>
        <v>13.142032105058036</v>
      </c>
      <c r="S701" s="6">
        <f>IF($Y$2="按单位面积散热损失 qp",B701*LN(B701/首页!$B$4),LN(B701/首页!$B$4))</f>
        <v>3.8309495827036382</v>
      </c>
      <c r="T701" s="6">
        <f>IF($Y$2="按单位面积散热损失 qp",2*PI()*首页!$B$8*((E701-D701)/$Y$3-1/R701),2*PI()*首页!$B$8*((E701-D701)/$Y$4-1/(PI()*B701*R701)))</f>
        <v>4.0785299003557179E-2</v>
      </c>
      <c r="U701" t="str">
        <f t="shared" si="108"/>
        <v>按单位面积散热损失 qp</v>
      </c>
      <c r="V701" s="6">
        <f t="shared" si="109"/>
        <v>3.7901642837000811</v>
      </c>
    </row>
    <row r="702" spans="1:22" x14ac:dyDescent="0.15">
      <c r="A702">
        <v>697</v>
      </c>
      <c r="B702" s="6">
        <f>首页!$B$4+2*A702/1000</f>
        <v>1.5139999999999998</v>
      </c>
      <c r="C702" s="6">
        <f>首页!$B$7+273.15</f>
        <v>388.15</v>
      </c>
      <c r="D702" s="6">
        <f>首页!$B$6+273.15</f>
        <v>293.14999999999998</v>
      </c>
      <c r="E702" s="6">
        <f>首页!$B$5+273.15</f>
        <v>1373.15</v>
      </c>
      <c r="F702" s="6">
        <f t="shared" si="100"/>
        <v>95</v>
      </c>
      <c r="G702" s="6">
        <f t="shared" si="101"/>
        <v>340.65</v>
      </c>
      <c r="H702" s="6">
        <f t="shared" si="102"/>
        <v>1.9926207055139041E-5</v>
      </c>
      <c r="I702" s="7">
        <f t="shared" si="103"/>
        <v>1158916576932337.8</v>
      </c>
      <c r="J702" s="6">
        <f t="shared" si="104"/>
        <v>1.0226038455893147</v>
      </c>
      <c r="K702" s="7">
        <f>J702*H702*首页!$B$12/P702</f>
        <v>0.69532757496605813</v>
      </c>
      <c r="L702" s="6">
        <f>首页!$B$9*0.0000000567*((C702^4-D702^4)/(C702-D702))</f>
        <v>7.7687338005019564</v>
      </c>
      <c r="M702" s="6">
        <f>IF(首页!$B$13="自然对流",IF(首页!$B$14="立式圆筒",首页!$B$10,PI()*B702/2),PI()*B702/2)</f>
        <v>55.2</v>
      </c>
      <c r="N702" s="7">
        <f>IF(首页!$B$13="强制对流",首页!$B$11*M702/H702,0)</f>
        <v>0</v>
      </c>
      <c r="O702" s="7">
        <f>IF(首页!$B$13="自然对流",IF(首页!$B$14="立式圆筒",(0.825+0.3063*I702^(1/6))^2+0.87*(M702/B702),(0.752+0.303*I702^(1/6))^2),0.3+SQRT((0.592*N702^0.5)^2+(0.0262*N702^0.8/(1-0.5/N702^0.1))^2))</f>
        <v>10050.927450094741</v>
      </c>
      <c r="P702" s="6">
        <f t="shared" si="105"/>
        <v>2.9510194925512497E-2</v>
      </c>
      <c r="Q702" s="6">
        <f t="shared" si="106"/>
        <v>5.3732758738130446</v>
      </c>
      <c r="R702" s="6">
        <f t="shared" si="107"/>
        <v>13.142009674315002</v>
      </c>
      <c r="S702" s="6">
        <f>IF($Y$2="按单位面积散热损失 qp",B702*LN(B702/首页!$B$4),LN(B702/首页!$B$4))</f>
        <v>3.8380182985000366</v>
      </c>
      <c r="T702" s="6">
        <f>IF($Y$2="按单位面积散热损失 qp",2*PI()*首页!$B$8*((E702-D702)/$Y$3-1/R702),2*PI()*首页!$B$8*((E702-D702)/$Y$4-1/(PI()*B702*R702)))</f>
        <v>4.0785262282790849E-2</v>
      </c>
      <c r="U702" t="str">
        <f t="shared" si="108"/>
        <v>按单位面积散热损失 qp</v>
      </c>
      <c r="V702" s="6">
        <f t="shared" si="109"/>
        <v>3.7972330362172459</v>
      </c>
    </row>
    <row r="703" spans="1:22" x14ac:dyDescent="0.15">
      <c r="A703">
        <v>698</v>
      </c>
      <c r="B703" s="6">
        <f>首页!$B$4+2*A703/1000</f>
        <v>1.516</v>
      </c>
      <c r="C703" s="6">
        <f>首页!$B$7+273.15</f>
        <v>388.15</v>
      </c>
      <c r="D703" s="6">
        <f>首页!$B$6+273.15</f>
        <v>293.14999999999998</v>
      </c>
      <c r="E703" s="6">
        <f>首页!$B$5+273.15</f>
        <v>1373.15</v>
      </c>
      <c r="F703" s="6">
        <f t="shared" si="100"/>
        <v>95</v>
      </c>
      <c r="G703" s="6">
        <f t="shared" si="101"/>
        <v>340.65</v>
      </c>
      <c r="H703" s="6">
        <f t="shared" si="102"/>
        <v>1.9926207055139041E-5</v>
      </c>
      <c r="I703" s="7">
        <f t="shared" si="103"/>
        <v>1158916576932337.8</v>
      </c>
      <c r="J703" s="6">
        <f t="shared" si="104"/>
        <v>1.0226038455893147</v>
      </c>
      <c r="K703" s="7">
        <f>J703*H703*首页!$B$12/P703</f>
        <v>0.69532757496605813</v>
      </c>
      <c r="L703" s="6">
        <f>首页!$B$9*0.0000000567*((C703^4-D703^4)/(C703-D703))</f>
        <v>7.7687338005019564</v>
      </c>
      <c r="M703" s="6">
        <f>IF(首页!$B$13="自然对流",IF(首页!$B$14="立式圆筒",首页!$B$10,PI()*B703/2),PI()*B703/2)</f>
        <v>55.2</v>
      </c>
      <c r="N703" s="7">
        <f>IF(首页!$B$13="强制对流",首页!$B$11*M703/H703,0)</f>
        <v>0</v>
      </c>
      <c r="O703" s="7">
        <f>IF(首页!$B$13="自然对流",IF(首页!$B$14="立式圆筒",(0.825+0.3063*I703^(1/6))^2+0.87*(M703/B703),(0.752+0.303*I703^(1/6))^2),0.3+SQRT((0.592*N703^0.5)^2+(0.0262*N703^0.8/(1-0.5/N703^0.1))^2))</f>
        <v>10050.885603198753</v>
      </c>
      <c r="P703" s="6">
        <f t="shared" si="105"/>
        <v>2.9510194925512497E-2</v>
      </c>
      <c r="Q703" s="6">
        <f t="shared" si="106"/>
        <v>5.3732535022540295</v>
      </c>
      <c r="R703" s="6">
        <f t="shared" si="107"/>
        <v>13.141987302755986</v>
      </c>
      <c r="S703" s="6">
        <f>IF($Y$2="按单位面积散热损失 qp",B703*LN(B703/首页!$B$4),LN(B703/首页!$B$4))</f>
        <v>3.8450896563051313</v>
      </c>
      <c r="T703" s="6">
        <f>IF($Y$2="按单位面积散热损失 qp",2*PI()*首页!$B$8*((E703-D703)/$Y$3-1/R703),2*PI()*首页!$B$8*((E703-D703)/$Y$4-1/(PI()*B703*R703)))</f>
        <v>4.0785225658788241E-2</v>
      </c>
      <c r="U703" t="str">
        <f t="shared" si="108"/>
        <v>按单位面积散热损失 qp</v>
      </c>
      <c r="V703" s="6">
        <f t="shared" si="109"/>
        <v>3.8043044306463432</v>
      </c>
    </row>
    <row r="704" spans="1:22" x14ac:dyDescent="0.15">
      <c r="A704">
        <v>699</v>
      </c>
      <c r="B704" s="6">
        <f>首页!$B$4+2*A704/1000</f>
        <v>1.5179999999999998</v>
      </c>
      <c r="C704" s="6">
        <f>首页!$B$7+273.15</f>
        <v>388.15</v>
      </c>
      <c r="D704" s="6">
        <f>首页!$B$6+273.15</f>
        <v>293.14999999999998</v>
      </c>
      <c r="E704" s="6">
        <f>首页!$B$5+273.15</f>
        <v>1373.15</v>
      </c>
      <c r="F704" s="6">
        <f t="shared" si="100"/>
        <v>95</v>
      </c>
      <c r="G704" s="6">
        <f t="shared" si="101"/>
        <v>340.65</v>
      </c>
      <c r="H704" s="6">
        <f t="shared" si="102"/>
        <v>1.9926207055139041E-5</v>
      </c>
      <c r="I704" s="7">
        <f t="shared" si="103"/>
        <v>1158916576932337.8</v>
      </c>
      <c r="J704" s="6">
        <f t="shared" si="104"/>
        <v>1.0226038455893147</v>
      </c>
      <c r="K704" s="7">
        <f>J704*H704*首页!$B$12/P704</f>
        <v>0.69532757496605813</v>
      </c>
      <c r="L704" s="6">
        <f>首页!$B$9*0.0000000567*((C704^4-D704^4)/(C704-D704))</f>
        <v>7.7687338005019564</v>
      </c>
      <c r="M704" s="6">
        <f>IF(首页!$B$13="自然对流",IF(首页!$B$14="立式圆筒",首页!$B$10,PI()*B704/2),PI()*B704/2)</f>
        <v>55.2</v>
      </c>
      <c r="N704" s="7">
        <f>IF(首页!$B$13="强制对流",首页!$B$11*M704/H704,0)</f>
        <v>0</v>
      </c>
      <c r="O704" s="7">
        <f>IF(首页!$B$13="自然对流",IF(首页!$B$14="立式圆筒",(0.825+0.3063*I704^(1/6))^2+0.87*(M704/B704),(0.752+0.303*I704^(1/6))^2),0.3+SQRT((0.592*N704^0.5)^2+(0.0262*N704^0.8/(1-0.5/N704^0.1))^2))</f>
        <v>10050.843866571264</v>
      </c>
      <c r="P704" s="6">
        <f t="shared" si="105"/>
        <v>2.9510194925512497E-2</v>
      </c>
      <c r="Q704" s="6">
        <f t="shared" si="106"/>
        <v>5.3732311896451028</v>
      </c>
      <c r="R704" s="6">
        <f t="shared" si="107"/>
        <v>13.141964990147059</v>
      </c>
      <c r="S704" s="6">
        <f>IF($Y$2="按单位面积散热损失 qp",B704*LN(B704/首页!$B$4),LN(B704/首页!$B$4))</f>
        <v>3.8521636526334166</v>
      </c>
      <c r="T704" s="6">
        <f>IF($Y$2="按单位面积散热损失 qp",2*PI()*首页!$B$8*((E704-D704)/$Y$3-1/R704),2*PI()*首页!$B$8*((E704-D704)/$Y$4-1/(PI()*B704*R704)))</f>
        <v>4.0785189131167368E-2</v>
      </c>
      <c r="U704" t="str">
        <f t="shared" si="108"/>
        <v>按单位面积散热损失 qp</v>
      </c>
      <c r="V704" s="6">
        <f t="shared" si="109"/>
        <v>3.8113784635022494</v>
      </c>
    </row>
    <row r="705" spans="1:22" x14ac:dyDescent="0.15">
      <c r="A705">
        <v>700</v>
      </c>
      <c r="B705" s="6">
        <f>首页!$B$4+2*A705/1000</f>
        <v>1.52</v>
      </c>
      <c r="C705" s="6">
        <f>首页!$B$7+273.15</f>
        <v>388.15</v>
      </c>
      <c r="D705" s="6">
        <f>首页!$B$6+273.15</f>
        <v>293.14999999999998</v>
      </c>
      <c r="E705" s="6">
        <f>首页!$B$5+273.15</f>
        <v>1373.15</v>
      </c>
      <c r="F705" s="6">
        <f t="shared" si="100"/>
        <v>95</v>
      </c>
      <c r="G705" s="6">
        <f t="shared" si="101"/>
        <v>340.65</v>
      </c>
      <c r="H705" s="6">
        <f t="shared" si="102"/>
        <v>1.9926207055139041E-5</v>
      </c>
      <c r="I705" s="7">
        <f t="shared" si="103"/>
        <v>1158916576932337.8</v>
      </c>
      <c r="J705" s="6">
        <f t="shared" si="104"/>
        <v>1.0226038455893147</v>
      </c>
      <c r="K705" s="7">
        <f>J705*H705*首页!$B$12/P705</f>
        <v>0.69532757496605813</v>
      </c>
      <c r="L705" s="6">
        <f>首页!$B$9*0.0000000567*((C705^4-D705^4)/(C705-D705))</f>
        <v>7.7687338005019564</v>
      </c>
      <c r="M705" s="6">
        <f>IF(首页!$B$13="自然对流",IF(首页!$B$14="立式圆筒",首页!$B$10,PI()*B705/2),PI()*B705/2)</f>
        <v>55.2</v>
      </c>
      <c r="N705" s="7">
        <f>IF(首页!$B$13="强制对流",首页!$B$11*M705/H705,0)</f>
        <v>0</v>
      </c>
      <c r="O705" s="7">
        <f>IF(首页!$B$13="自然对流",IF(首页!$B$14="立式圆筒",(0.825+0.3063*I705^(1/6))^2+0.87*(M705/B705),(0.752+0.303*I705^(1/6))^2),0.3+SQRT((0.592*N705^0.5)^2+(0.0262*N705^0.8/(1-0.5/N705^0.1))^2))</f>
        <v>10050.802239777006</v>
      </c>
      <c r="P705" s="6">
        <f t="shared" si="105"/>
        <v>2.9510194925512497E-2</v>
      </c>
      <c r="Q705" s="6">
        <f t="shared" si="106"/>
        <v>5.3732089357535688</v>
      </c>
      <c r="R705" s="6">
        <f t="shared" si="107"/>
        <v>13.141942736255526</v>
      </c>
      <c r="S705" s="6">
        <f>IF($Y$2="按单位面积散热损失 qp",B705*LN(B705/首页!$B$4),LN(B705/首页!$B$4))</f>
        <v>3.8592402840085795</v>
      </c>
      <c r="T705" s="6">
        <f>IF($Y$2="按单位面积散热损失 qp",2*PI()*首页!$B$8*((E705-D705)/$Y$3-1/R705),2*PI()*首页!$B$8*((E705-D705)/$Y$4-1/(PI()*B705*R705)))</f>
        <v>4.0785152699548265E-2</v>
      </c>
      <c r="U705" t="str">
        <f t="shared" si="108"/>
        <v>按单位面积散热损失 qp</v>
      </c>
      <c r="V705" s="6">
        <f t="shared" si="109"/>
        <v>3.8184551313090314</v>
      </c>
    </row>
    <row r="706" spans="1:22" x14ac:dyDescent="0.15">
      <c r="A706">
        <v>701</v>
      </c>
      <c r="B706" s="6">
        <f>首页!$B$4+2*A706/1000</f>
        <v>1.5219999999999998</v>
      </c>
      <c r="C706" s="6">
        <f>首页!$B$7+273.15</f>
        <v>388.15</v>
      </c>
      <c r="D706" s="6">
        <f>首页!$B$6+273.15</f>
        <v>293.14999999999998</v>
      </c>
      <c r="E706" s="6">
        <f>首页!$B$5+273.15</f>
        <v>1373.15</v>
      </c>
      <c r="F706" s="6">
        <f t="shared" si="100"/>
        <v>95</v>
      </c>
      <c r="G706" s="6">
        <f t="shared" si="101"/>
        <v>340.65</v>
      </c>
      <c r="H706" s="6">
        <f t="shared" si="102"/>
        <v>1.9926207055139041E-5</v>
      </c>
      <c r="I706" s="7">
        <f t="shared" si="103"/>
        <v>1158916576932337.8</v>
      </c>
      <c r="J706" s="6">
        <f t="shared" si="104"/>
        <v>1.0226038455893147</v>
      </c>
      <c r="K706" s="7">
        <f>J706*H706*首页!$B$12/P706</f>
        <v>0.69532757496605813</v>
      </c>
      <c r="L706" s="6">
        <f>首页!$B$9*0.0000000567*((C706^4-D706^4)/(C706-D706))</f>
        <v>7.7687338005019564</v>
      </c>
      <c r="M706" s="6">
        <f>IF(首页!$B$13="自然对流",IF(首页!$B$14="立式圆筒",首页!$B$10,PI()*B706/2),PI()*B706/2)</f>
        <v>55.2</v>
      </c>
      <c r="N706" s="7">
        <f>IF(首页!$B$13="强制对流",首页!$B$11*M706/H706,0)</f>
        <v>0</v>
      </c>
      <c r="O706" s="7">
        <f>IF(首页!$B$13="自然对流",IF(首页!$B$14="立式圆筒",(0.825+0.3063*I706^(1/6))^2+0.87*(M706/B706),(0.752+0.303*I706^(1/6))^2),0.3+SQRT((0.592*N706^0.5)^2+(0.0262*N706^0.8/(1-0.5/N706^0.1))^2))</f>
        <v>10050.760722382995</v>
      </c>
      <c r="P706" s="6">
        <f t="shared" si="105"/>
        <v>2.9510194925512497E-2</v>
      </c>
      <c r="Q706" s="6">
        <f t="shared" si="106"/>
        <v>5.3731867403479523</v>
      </c>
      <c r="R706" s="6">
        <f t="shared" si="107"/>
        <v>13.14192054084991</v>
      </c>
      <c r="S706" s="6">
        <f>IF($Y$2="按单位面积散热损失 qp",B706*LN(B706/首页!$B$4),LN(B706/首页!$B$4))</f>
        <v>3.8663195469634482</v>
      </c>
      <c r="T706" s="6">
        <f>IF($Y$2="按单位面积散热损失 qp",2*PI()*首页!$B$8*((E706-D706)/$Y$3-1/R706),2*PI()*首页!$B$8*((E706-D706)/$Y$4-1/(PI()*B706*R706)))</f>
        <v>4.0785116363552969E-2</v>
      </c>
      <c r="U706" t="str">
        <f t="shared" si="108"/>
        <v>按单位面积散热损失 qp</v>
      </c>
      <c r="V706" s="6">
        <f t="shared" si="109"/>
        <v>3.8255344305998951</v>
      </c>
    </row>
    <row r="707" spans="1:22" x14ac:dyDescent="0.15">
      <c r="A707">
        <v>702</v>
      </c>
      <c r="B707" s="6">
        <f>首页!$B$4+2*A707/1000</f>
        <v>1.524</v>
      </c>
      <c r="C707" s="6">
        <f>首页!$B$7+273.15</f>
        <v>388.15</v>
      </c>
      <c r="D707" s="6">
        <f>首页!$B$6+273.15</f>
        <v>293.14999999999998</v>
      </c>
      <c r="E707" s="6">
        <f>首页!$B$5+273.15</f>
        <v>1373.15</v>
      </c>
      <c r="F707" s="6">
        <f t="shared" si="100"/>
        <v>95</v>
      </c>
      <c r="G707" s="6">
        <f t="shared" si="101"/>
        <v>340.65</v>
      </c>
      <c r="H707" s="6">
        <f t="shared" si="102"/>
        <v>1.9926207055139041E-5</v>
      </c>
      <c r="I707" s="7">
        <f t="shared" si="103"/>
        <v>1158916576932337.8</v>
      </c>
      <c r="J707" s="6">
        <f t="shared" si="104"/>
        <v>1.0226038455893147</v>
      </c>
      <c r="K707" s="7">
        <f>J707*H707*首页!$B$12/P707</f>
        <v>0.69532757496605813</v>
      </c>
      <c r="L707" s="6">
        <f>首页!$B$9*0.0000000567*((C707^4-D707^4)/(C707-D707))</f>
        <v>7.7687338005019564</v>
      </c>
      <c r="M707" s="6">
        <f>IF(首页!$B$13="自然对流",IF(首页!$B$14="立式圆筒",首页!$B$10,PI()*B707/2),PI()*B707/2)</f>
        <v>55.2</v>
      </c>
      <c r="N707" s="7">
        <f>IF(首页!$B$13="强制对流",首页!$B$11*M707/H707,0)</f>
        <v>0</v>
      </c>
      <c r="O707" s="7">
        <f>IF(首页!$B$13="自然对流",IF(首页!$B$14="立式圆筒",(0.825+0.3063*I707^(1/6))^2+0.87*(M707/B707),(0.752+0.303*I707^(1/6))^2),0.3+SQRT((0.592*N707^0.5)^2+(0.0262*N707^0.8/(1-0.5/N707^0.1))^2))</f>
        <v>10050.719313958522</v>
      </c>
      <c r="P707" s="6">
        <f t="shared" si="105"/>
        <v>2.9510194925512497E-2</v>
      </c>
      <c r="Q707" s="6">
        <f t="shared" si="106"/>
        <v>5.3731646031979929</v>
      </c>
      <c r="R707" s="6">
        <f t="shared" si="107"/>
        <v>13.141898403699949</v>
      </c>
      <c r="S707" s="6">
        <f>IF($Y$2="按单位面积散热损失 qp",B707*LN(B707/首页!$B$4),LN(B707/首页!$B$4))</f>
        <v>3.8734014380399677</v>
      </c>
      <c r="T707" s="6">
        <f>IF($Y$2="按单位面积散热损失 qp",2*PI()*首页!$B$8*((E707-D707)/$Y$3-1/R707),2*PI()*首页!$B$8*((E707-D707)/$Y$4-1/(PI()*B707*R707)))</f>
        <v>4.0785080122805475E-2</v>
      </c>
      <c r="U707" t="str">
        <f t="shared" si="108"/>
        <v>按单位面积散热损失 qp</v>
      </c>
      <c r="V707" s="6">
        <f t="shared" si="109"/>
        <v>3.8326163579171624</v>
      </c>
    </row>
    <row r="708" spans="1:22" x14ac:dyDescent="0.15">
      <c r="A708">
        <v>703</v>
      </c>
      <c r="B708" s="6">
        <f>首页!$B$4+2*A708/1000</f>
        <v>1.5259999999999998</v>
      </c>
      <c r="C708" s="6">
        <f>首页!$B$7+273.15</f>
        <v>388.15</v>
      </c>
      <c r="D708" s="6">
        <f>首页!$B$6+273.15</f>
        <v>293.14999999999998</v>
      </c>
      <c r="E708" s="6">
        <f>首页!$B$5+273.15</f>
        <v>1373.15</v>
      </c>
      <c r="F708" s="6">
        <f t="shared" si="100"/>
        <v>95</v>
      </c>
      <c r="G708" s="6">
        <f t="shared" si="101"/>
        <v>340.65</v>
      </c>
      <c r="H708" s="6">
        <f t="shared" si="102"/>
        <v>1.9926207055139041E-5</v>
      </c>
      <c r="I708" s="7">
        <f t="shared" si="103"/>
        <v>1158916576932337.8</v>
      </c>
      <c r="J708" s="6">
        <f t="shared" si="104"/>
        <v>1.0226038455893147</v>
      </c>
      <c r="K708" s="7">
        <f>J708*H708*首页!$B$12/P708</f>
        <v>0.69532757496605813</v>
      </c>
      <c r="L708" s="6">
        <f>首页!$B$9*0.0000000567*((C708^4-D708^4)/(C708-D708))</f>
        <v>7.7687338005019564</v>
      </c>
      <c r="M708" s="6">
        <f>IF(首页!$B$13="自然对流",IF(首页!$B$14="立式圆筒",首页!$B$10,PI()*B708/2),PI()*B708/2)</f>
        <v>55.2</v>
      </c>
      <c r="N708" s="7">
        <f>IF(首页!$B$13="强制对流",首页!$B$11*M708/H708,0)</f>
        <v>0</v>
      </c>
      <c r="O708" s="7">
        <f>IF(首页!$B$13="自然对流",IF(首页!$B$14="立式圆筒",(0.825+0.3063*I708^(1/6))^2+0.87*(M708/B708),(0.752+0.303*I708^(1/6))^2),0.3+SQRT((0.592*N708^0.5)^2+(0.0262*N708^0.8/(1-0.5/N708^0.1))^2))</f>
        <v>10050.678014075136</v>
      </c>
      <c r="P708" s="6">
        <f t="shared" si="105"/>
        <v>2.9510194925512497E-2</v>
      </c>
      <c r="Q708" s="6">
        <f t="shared" si="106"/>
        <v>5.3731425240746393</v>
      </c>
      <c r="R708" s="6">
        <f t="shared" si="107"/>
        <v>13.141876324576597</v>
      </c>
      <c r="S708" s="6">
        <f>IF($Y$2="按单位面积散热损失 qp",B708*LN(B708/首页!$B$4),LN(B708/首页!$B$4))</f>
        <v>3.880485953789155</v>
      </c>
      <c r="T708" s="6">
        <f>IF($Y$2="按单位面积散热损失 qp",2*PI()*首页!$B$8*((E708-D708)/$Y$3-1/R708),2*PI()*首页!$B$8*((E708-D708)/$Y$4-1/(PI()*B708*R708)))</f>
        <v>4.0785043976931779E-2</v>
      </c>
      <c r="U708" t="str">
        <f t="shared" si="108"/>
        <v>按单位面积散热损失 qp</v>
      </c>
      <c r="V708" s="6">
        <f t="shared" si="109"/>
        <v>3.839700909812223</v>
      </c>
    </row>
    <row r="709" spans="1:22" x14ac:dyDescent="0.15">
      <c r="A709">
        <v>704</v>
      </c>
      <c r="B709" s="6">
        <f>首页!$B$4+2*A709/1000</f>
        <v>1.528</v>
      </c>
      <c r="C709" s="6">
        <f>首页!$B$7+273.15</f>
        <v>388.15</v>
      </c>
      <c r="D709" s="6">
        <f>首页!$B$6+273.15</f>
        <v>293.14999999999998</v>
      </c>
      <c r="E709" s="6">
        <f>首页!$B$5+273.15</f>
        <v>1373.15</v>
      </c>
      <c r="F709" s="6">
        <f t="shared" ref="F709:F772" si="110">C709-D709</f>
        <v>95</v>
      </c>
      <c r="G709" s="6">
        <f t="shared" ref="G709:G772" si="111">(C709+D709)/2</f>
        <v>340.65</v>
      </c>
      <c r="H709" s="6">
        <f t="shared" ref="H709:H772" si="112">0.0000000042113*G709^2.5/(112+G709)</f>
        <v>1.9926207055139041E-5</v>
      </c>
      <c r="I709" s="7">
        <f t="shared" ref="I709:I772" si="113">9.81*M709^3*F709/(H709^2*G709)</f>
        <v>1158916576932337.8</v>
      </c>
      <c r="J709" s="6">
        <f t="shared" ref="J709:J772" si="114">348.35/G709</f>
        <v>1.0226038455893147</v>
      </c>
      <c r="K709" s="7">
        <f>J709*H709*首页!$B$12/P709</f>
        <v>0.69532757496605813</v>
      </c>
      <c r="L709" s="6">
        <f>首页!$B$9*0.0000000567*((C709^4-D709^4)/(C709-D709))</f>
        <v>7.7687338005019564</v>
      </c>
      <c r="M709" s="6">
        <f>IF(首页!$B$13="自然对流",IF(首页!$B$14="立式圆筒",首页!$B$10,PI()*B709/2),PI()*B709/2)</f>
        <v>55.2</v>
      </c>
      <c r="N709" s="7">
        <f>IF(首页!$B$13="强制对流",首页!$B$11*M709/H709,0)</f>
        <v>0</v>
      </c>
      <c r="O709" s="7">
        <f>IF(首页!$B$13="自然对流",IF(首页!$B$14="立式圆筒",(0.825+0.3063*I709^(1/6))^2+0.87*(M709/B709),(0.752+0.303*I709^(1/6))^2),0.3+SQRT((0.592*N709^0.5)^2+(0.0262*N709^0.8/(1-0.5/N709^0.1))^2))</f>
        <v>10050.636822306627</v>
      </c>
      <c r="P709" s="6">
        <f t="shared" ref="P709:P772" si="115">0.0243+0.000078421*(G709-273)-0.000000020755*(G709-273)^2</f>
        <v>2.9510194925512497E-2</v>
      </c>
      <c r="Q709" s="6">
        <f t="shared" ref="Q709:Q772" si="116">O709*P709/M709</f>
        <v>5.3731205027500373</v>
      </c>
      <c r="R709" s="6">
        <f t="shared" ref="R709:R772" si="117">L709+Q709</f>
        <v>13.141854303251993</v>
      </c>
      <c r="S709" s="6">
        <f>IF($Y$2="按单位面积散热损失 qp",B709*LN(B709/首页!$B$4),LN(B709/首页!$B$4))</f>
        <v>3.8875730907710735</v>
      </c>
      <c r="T709" s="6">
        <f>IF($Y$2="按单位面积散热损失 qp",2*PI()*首页!$B$8*((E709-D709)/$Y$3-1/R709),2*PI()*首页!$B$8*((E709-D709)/$Y$4-1/(PI()*B709*R709)))</f>
        <v>4.0785007925559807E-2</v>
      </c>
      <c r="U709" t="str">
        <f t="shared" ref="U709:U772" si="118">IF($Y$2="按单位面积散热损失 qp","按单位面积散热损失 qp","按单位长度散热损失 ql")</f>
        <v>按单位面积散热损失 qp</v>
      </c>
      <c r="V709" s="6">
        <f t="shared" ref="V709:V772" si="119">ABS(S709-T709)</f>
        <v>3.8467880828455137</v>
      </c>
    </row>
    <row r="710" spans="1:22" x14ac:dyDescent="0.15">
      <c r="A710">
        <v>705</v>
      </c>
      <c r="B710" s="6">
        <f>首页!$B$4+2*A710/1000</f>
        <v>1.5299999999999998</v>
      </c>
      <c r="C710" s="6">
        <f>首页!$B$7+273.15</f>
        <v>388.15</v>
      </c>
      <c r="D710" s="6">
        <f>首页!$B$6+273.15</f>
        <v>293.14999999999998</v>
      </c>
      <c r="E710" s="6">
        <f>首页!$B$5+273.15</f>
        <v>1373.15</v>
      </c>
      <c r="F710" s="6">
        <f t="shared" si="110"/>
        <v>95</v>
      </c>
      <c r="G710" s="6">
        <f t="shared" si="111"/>
        <v>340.65</v>
      </c>
      <c r="H710" s="6">
        <f t="shared" si="112"/>
        <v>1.9926207055139041E-5</v>
      </c>
      <c r="I710" s="7">
        <f t="shared" si="113"/>
        <v>1158916576932337.8</v>
      </c>
      <c r="J710" s="6">
        <f t="shared" si="114"/>
        <v>1.0226038455893147</v>
      </c>
      <c r="K710" s="7">
        <f>J710*H710*首页!$B$12/P710</f>
        <v>0.69532757496605813</v>
      </c>
      <c r="L710" s="6">
        <f>首页!$B$9*0.0000000567*((C710^4-D710^4)/(C710-D710))</f>
        <v>7.7687338005019564</v>
      </c>
      <c r="M710" s="6">
        <f>IF(首页!$B$13="自然对流",IF(首页!$B$14="立式圆筒",首页!$B$10,PI()*B710/2),PI()*B710/2)</f>
        <v>55.2</v>
      </c>
      <c r="N710" s="7">
        <f>IF(首页!$B$13="强制对流",首页!$B$11*M710/H710,0)</f>
        <v>0</v>
      </c>
      <c r="O710" s="7">
        <f>IF(首页!$B$13="自然对流",IF(首页!$B$14="立式圆筒",(0.825+0.3063*I710^(1/6))^2+0.87*(M710/B710),(0.752+0.303*I710^(1/6))^2),0.3+SQRT((0.592*N710^0.5)^2+(0.0262*N710^0.8/(1-0.5/N710^0.1))^2))</f>
        <v>10050.595738229018</v>
      </c>
      <c r="P710" s="6">
        <f t="shared" si="115"/>
        <v>2.9510194925512497E-2</v>
      </c>
      <c r="Q710" s="6">
        <f t="shared" si="116"/>
        <v>5.3730985389975263</v>
      </c>
      <c r="R710" s="6">
        <f t="shared" si="117"/>
        <v>13.141832339499484</v>
      </c>
      <c r="S710" s="6">
        <f>IF($Y$2="按单位面积散热损失 qp",B710*LN(B710/首页!$B$4),LN(B710/首页!$B$4))</f>
        <v>3.8946628455547851</v>
      </c>
      <c r="T710" s="6">
        <f>IF($Y$2="按单位面积散热损失 qp",2*PI()*首页!$B$8*((E710-D710)/$Y$3-1/R710),2*PI()*首页!$B$8*((E710-D710)/$Y$4-1/(PI()*B710*R710)))</f>
        <v>4.0784971968319449E-2</v>
      </c>
      <c r="U710" t="str">
        <f t="shared" si="118"/>
        <v>按单位面积散热损失 qp</v>
      </c>
      <c r="V710" s="6">
        <f t="shared" si="119"/>
        <v>3.8538778735864656</v>
      </c>
    </row>
    <row r="711" spans="1:22" x14ac:dyDescent="0.15">
      <c r="A711">
        <v>706</v>
      </c>
      <c r="B711" s="6">
        <f>首页!$B$4+2*A711/1000</f>
        <v>1.532</v>
      </c>
      <c r="C711" s="6">
        <f>首页!$B$7+273.15</f>
        <v>388.15</v>
      </c>
      <c r="D711" s="6">
        <f>首页!$B$6+273.15</f>
        <v>293.14999999999998</v>
      </c>
      <c r="E711" s="6">
        <f>首页!$B$5+273.15</f>
        <v>1373.15</v>
      </c>
      <c r="F711" s="6">
        <f t="shared" si="110"/>
        <v>95</v>
      </c>
      <c r="G711" s="6">
        <f t="shared" si="111"/>
        <v>340.65</v>
      </c>
      <c r="H711" s="6">
        <f t="shared" si="112"/>
        <v>1.9926207055139041E-5</v>
      </c>
      <c r="I711" s="7">
        <f t="shared" si="113"/>
        <v>1158916576932337.8</v>
      </c>
      <c r="J711" s="6">
        <f t="shared" si="114"/>
        <v>1.0226038455893147</v>
      </c>
      <c r="K711" s="7">
        <f>J711*H711*首页!$B$12/P711</f>
        <v>0.69532757496605813</v>
      </c>
      <c r="L711" s="6">
        <f>首页!$B$9*0.0000000567*((C711^4-D711^4)/(C711-D711))</f>
        <v>7.7687338005019564</v>
      </c>
      <c r="M711" s="6">
        <f>IF(首页!$B$13="自然对流",IF(首页!$B$14="立式圆筒",首页!$B$10,PI()*B711/2),PI()*B711/2)</f>
        <v>55.2</v>
      </c>
      <c r="N711" s="7">
        <f>IF(首页!$B$13="强制对流",首页!$B$11*M711/H711,0)</f>
        <v>0</v>
      </c>
      <c r="O711" s="7">
        <f>IF(首页!$B$13="自然对流",IF(首页!$B$14="立式圆筒",(0.825+0.3063*I711^(1/6))^2+0.87*(M711/B711),(0.752+0.303*I711^(1/6))^2),0.3+SQRT((0.592*N711^0.5)^2+(0.0262*N711^0.8/(1-0.5/N711^0.1))^2))</f>
        <v>10050.554761420539</v>
      </c>
      <c r="P711" s="6">
        <f t="shared" si="115"/>
        <v>2.9510194925512497E-2</v>
      </c>
      <c r="Q711" s="6">
        <f t="shared" si="116"/>
        <v>5.3730766325916273</v>
      </c>
      <c r="R711" s="6">
        <f t="shared" si="117"/>
        <v>13.141810433093584</v>
      </c>
      <c r="S711" s="6">
        <f>IF($Y$2="按单位面积散热损失 qp",B711*LN(B711/首页!$B$4),LN(B711/首页!$B$4))</f>
        <v>3.9017552147183276</v>
      </c>
      <c r="T711" s="6">
        <f>IF($Y$2="按单位面积散热损失 qp",2*PI()*首页!$B$8*((E711-D711)/$Y$3-1/R711),2*PI()*首页!$B$8*((E711-D711)/$Y$4-1/(PI()*B711*R711)))</f>
        <v>4.0784936104842497E-2</v>
      </c>
      <c r="U711" t="str">
        <f t="shared" si="118"/>
        <v>按单位面积散热损失 qp</v>
      </c>
      <c r="V711" s="6">
        <f t="shared" si="119"/>
        <v>3.8609702786134852</v>
      </c>
    </row>
    <row r="712" spans="1:22" x14ac:dyDescent="0.15">
      <c r="A712">
        <v>707</v>
      </c>
      <c r="B712" s="6">
        <f>首页!$B$4+2*A712/1000</f>
        <v>1.5339999999999998</v>
      </c>
      <c r="C712" s="6">
        <f>首页!$B$7+273.15</f>
        <v>388.15</v>
      </c>
      <c r="D712" s="6">
        <f>首页!$B$6+273.15</f>
        <v>293.14999999999998</v>
      </c>
      <c r="E712" s="6">
        <f>首页!$B$5+273.15</f>
        <v>1373.15</v>
      </c>
      <c r="F712" s="6">
        <f t="shared" si="110"/>
        <v>95</v>
      </c>
      <c r="G712" s="6">
        <f t="shared" si="111"/>
        <v>340.65</v>
      </c>
      <c r="H712" s="6">
        <f t="shared" si="112"/>
        <v>1.9926207055139041E-5</v>
      </c>
      <c r="I712" s="7">
        <f t="shared" si="113"/>
        <v>1158916576932337.8</v>
      </c>
      <c r="J712" s="6">
        <f t="shared" si="114"/>
        <v>1.0226038455893147</v>
      </c>
      <c r="K712" s="7">
        <f>J712*H712*首页!$B$12/P712</f>
        <v>0.69532757496605813</v>
      </c>
      <c r="L712" s="6">
        <f>首页!$B$9*0.0000000567*((C712^4-D712^4)/(C712-D712))</f>
        <v>7.7687338005019564</v>
      </c>
      <c r="M712" s="6">
        <f>IF(首页!$B$13="自然对流",IF(首页!$B$14="立式圆筒",首页!$B$10,PI()*B712/2),PI()*B712/2)</f>
        <v>55.2</v>
      </c>
      <c r="N712" s="7">
        <f>IF(首页!$B$13="强制对流",首页!$B$11*M712/H712,0)</f>
        <v>0</v>
      </c>
      <c r="O712" s="7">
        <f>IF(首页!$B$13="自然对流",IF(首页!$B$14="立式圆筒",(0.825+0.3063*I712^(1/6))^2+0.87*(M712/B712),(0.752+0.303*I712^(1/6))^2),0.3+SQRT((0.592*N712^0.5)^2+(0.0262*N712^0.8/(1-0.5/N712^0.1))^2))</f>
        <v>10050.513891461627</v>
      </c>
      <c r="P712" s="6">
        <f t="shared" si="115"/>
        <v>2.9510194925512497E-2</v>
      </c>
      <c r="Q712" s="6">
        <f t="shared" si="116"/>
        <v>5.3730547833080395</v>
      </c>
      <c r="R712" s="6">
        <f t="shared" si="117"/>
        <v>13.141788583809996</v>
      </c>
      <c r="S712" s="6">
        <f>IF($Y$2="按单位面积散热损失 qp",B712*LN(B712/首页!$B$4),LN(B712/首页!$B$4))</f>
        <v>3.9088501948486676</v>
      </c>
      <c r="T712" s="6">
        <f>IF($Y$2="按单位面积散热损失 qp",2*PI()*首页!$B$8*((E712-D712)/$Y$3-1/R712),2*PI()*首页!$B$8*((E712-D712)/$Y$4-1/(PI()*B712*R712)))</f>
        <v>4.0784900334762703E-2</v>
      </c>
      <c r="U712" t="str">
        <f t="shared" si="118"/>
        <v>按单位面积散热损失 qp</v>
      </c>
      <c r="V712" s="6">
        <f t="shared" si="119"/>
        <v>3.8680652945139049</v>
      </c>
    </row>
    <row r="713" spans="1:22" x14ac:dyDescent="0.15">
      <c r="A713">
        <v>708</v>
      </c>
      <c r="B713" s="6">
        <f>首页!$B$4+2*A713/1000</f>
        <v>1.536</v>
      </c>
      <c r="C713" s="6">
        <f>首页!$B$7+273.15</f>
        <v>388.15</v>
      </c>
      <c r="D713" s="6">
        <f>首页!$B$6+273.15</f>
        <v>293.14999999999998</v>
      </c>
      <c r="E713" s="6">
        <f>首页!$B$5+273.15</f>
        <v>1373.15</v>
      </c>
      <c r="F713" s="6">
        <f t="shared" si="110"/>
        <v>95</v>
      </c>
      <c r="G713" s="6">
        <f t="shared" si="111"/>
        <v>340.65</v>
      </c>
      <c r="H713" s="6">
        <f t="shared" si="112"/>
        <v>1.9926207055139041E-5</v>
      </c>
      <c r="I713" s="7">
        <f t="shared" si="113"/>
        <v>1158916576932337.8</v>
      </c>
      <c r="J713" s="6">
        <f t="shared" si="114"/>
        <v>1.0226038455893147</v>
      </c>
      <c r="K713" s="7">
        <f>J713*H713*首页!$B$12/P713</f>
        <v>0.69532757496605813</v>
      </c>
      <c r="L713" s="6">
        <f>首页!$B$9*0.0000000567*((C713^4-D713^4)/(C713-D713))</f>
        <v>7.7687338005019564</v>
      </c>
      <c r="M713" s="6">
        <f>IF(首页!$B$13="自然对流",IF(首页!$B$14="立式圆筒",首页!$B$10,PI()*B713/2),PI()*B713/2)</f>
        <v>55.2</v>
      </c>
      <c r="N713" s="7">
        <f>IF(首页!$B$13="强制对流",首页!$B$11*M713/H713,0)</f>
        <v>0</v>
      </c>
      <c r="O713" s="7">
        <f>IF(首页!$B$13="自然对流",IF(首页!$B$14="立式圆筒",(0.825+0.3063*I713^(1/6))^2+0.87*(M713/B713),(0.752+0.303*I713^(1/6))^2),0.3+SQRT((0.592*N713^0.5)^2+(0.0262*N713^0.8/(1-0.5/N713^0.1))^2))</f>
        <v>10050.4731279349</v>
      </c>
      <c r="P713" s="6">
        <f t="shared" si="115"/>
        <v>2.9510194925512497E-2</v>
      </c>
      <c r="Q713" s="6">
        <f t="shared" si="116"/>
        <v>5.373032990923627</v>
      </c>
      <c r="R713" s="6">
        <f t="shared" si="117"/>
        <v>13.141766791425583</v>
      </c>
      <c r="S713" s="6">
        <f>IF($Y$2="按单位面积散热损失 qp",B713*LN(B713/首页!$B$4),LN(B713/首页!$B$4))</f>
        <v>3.9159477825416777</v>
      </c>
      <c r="T713" s="6">
        <f>IF($Y$2="按单位面积散热损失 qp",2*PI()*首页!$B$8*((E713-D713)/$Y$3-1/R713),2*PI()*首页!$B$8*((E713-D713)/$Y$4-1/(PI()*B713*R713)))</f>
        <v>4.0784864657715664E-2</v>
      </c>
      <c r="U713" t="str">
        <f t="shared" si="118"/>
        <v>按单位面积散热损失 qp</v>
      </c>
      <c r="V713" s="6">
        <f t="shared" si="119"/>
        <v>3.8751629178839622</v>
      </c>
    </row>
    <row r="714" spans="1:22" x14ac:dyDescent="0.15">
      <c r="A714">
        <v>709</v>
      </c>
      <c r="B714" s="6">
        <f>首页!$B$4+2*A714/1000</f>
        <v>1.5379999999999998</v>
      </c>
      <c r="C714" s="6">
        <f>首页!$B$7+273.15</f>
        <v>388.15</v>
      </c>
      <c r="D714" s="6">
        <f>首页!$B$6+273.15</f>
        <v>293.14999999999998</v>
      </c>
      <c r="E714" s="6">
        <f>首页!$B$5+273.15</f>
        <v>1373.15</v>
      </c>
      <c r="F714" s="6">
        <f t="shared" si="110"/>
        <v>95</v>
      </c>
      <c r="G714" s="6">
        <f t="shared" si="111"/>
        <v>340.65</v>
      </c>
      <c r="H714" s="6">
        <f t="shared" si="112"/>
        <v>1.9926207055139041E-5</v>
      </c>
      <c r="I714" s="7">
        <f t="shared" si="113"/>
        <v>1158916576932337.8</v>
      </c>
      <c r="J714" s="6">
        <f t="shared" si="114"/>
        <v>1.0226038455893147</v>
      </c>
      <c r="K714" s="7">
        <f>J714*H714*首页!$B$12/P714</f>
        <v>0.69532757496605813</v>
      </c>
      <c r="L714" s="6">
        <f>首页!$B$9*0.0000000567*((C714^4-D714^4)/(C714-D714))</f>
        <v>7.7687338005019564</v>
      </c>
      <c r="M714" s="6">
        <f>IF(首页!$B$13="自然对流",IF(首页!$B$14="立式圆筒",首页!$B$10,PI()*B714/2),PI()*B714/2)</f>
        <v>55.2</v>
      </c>
      <c r="N714" s="7">
        <f>IF(首页!$B$13="强制对流",首页!$B$11*M714/H714,0)</f>
        <v>0</v>
      </c>
      <c r="O714" s="7">
        <f>IF(首页!$B$13="自然对流",IF(首页!$B$14="立式圆筒",(0.825+0.3063*I714^(1/6))^2+0.87*(M714/B714),(0.752+0.303*I714^(1/6))^2),0.3+SQRT((0.592*N714^0.5)^2+(0.0262*N714^0.8/(1-0.5/N714^0.1))^2))</f>
        <v>10050.432470425147</v>
      </c>
      <c r="P714" s="6">
        <f t="shared" si="115"/>
        <v>2.9510194925512497E-2</v>
      </c>
      <c r="Q714" s="6">
        <f t="shared" si="116"/>
        <v>5.373011255216416</v>
      </c>
      <c r="R714" s="6">
        <f t="shared" si="117"/>
        <v>13.141745055718372</v>
      </c>
      <c r="S714" s="6">
        <f>IF($Y$2="按单位面积散热损失 qp",B714*LN(B714/首页!$B$4),LN(B714/首页!$B$4))</f>
        <v>3.9230479744020887</v>
      </c>
      <c r="T714" s="6">
        <f>IF($Y$2="按单位面积散热损失 qp",2*PI()*首页!$B$8*((E714-D714)/$Y$3-1/R714),2*PI()*首页!$B$8*((E714-D714)/$Y$4-1/(PI()*B714*R714)))</f>
        <v>4.0784829073338934E-2</v>
      </c>
      <c r="U714" t="str">
        <f t="shared" si="118"/>
        <v>按单位面积散热损失 qp</v>
      </c>
      <c r="V714" s="6">
        <f t="shared" si="119"/>
        <v>3.8822631453287499</v>
      </c>
    </row>
    <row r="715" spans="1:22" x14ac:dyDescent="0.15">
      <c r="A715">
        <v>710</v>
      </c>
      <c r="B715" s="6">
        <f>首页!$B$4+2*A715/1000</f>
        <v>1.54</v>
      </c>
      <c r="C715" s="6">
        <f>首页!$B$7+273.15</f>
        <v>388.15</v>
      </c>
      <c r="D715" s="6">
        <f>首页!$B$6+273.15</f>
        <v>293.14999999999998</v>
      </c>
      <c r="E715" s="6">
        <f>首页!$B$5+273.15</f>
        <v>1373.15</v>
      </c>
      <c r="F715" s="6">
        <f t="shared" si="110"/>
        <v>95</v>
      </c>
      <c r="G715" s="6">
        <f t="shared" si="111"/>
        <v>340.65</v>
      </c>
      <c r="H715" s="6">
        <f t="shared" si="112"/>
        <v>1.9926207055139041E-5</v>
      </c>
      <c r="I715" s="7">
        <f t="shared" si="113"/>
        <v>1158916576932337.8</v>
      </c>
      <c r="J715" s="6">
        <f t="shared" si="114"/>
        <v>1.0226038455893147</v>
      </c>
      <c r="K715" s="7">
        <f>J715*H715*首页!$B$12/P715</f>
        <v>0.69532757496605813</v>
      </c>
      <c r="L715" s="6">
        <f>首页!$B$9*0.0000000567*((C715^4-D715^4)/(C715-D715))</f>
        <v>7.7687338005019564</v>
      </c>
      <c r="M715" s="6">
        <f>IF(首页!$B$13="自然对流",IF(首页!$B$14="立式圆筒",首页!$B$10,PI()*B715/2),PI()*B715/2)</f>
        <v>55.2</v>
      </c>
      <c r="N715" s="7">
        <f>IF(首页!$B$13="强制对流",首页!$B$11*M715/H715,0)</f>
        <v>0</v>
      </c>
      <c r="O715" s="7">
        <f>IF(首页!$B$13="自然对流",IF(首页!$B$14="立式圆筒",(0.825+0.3063*I715^(1/6))^2+0.87*(M715/B715),(0.752+0.303*I715^(1/6))^2),0.3+SQRT((0.592*N715^0.5)^2+(0.0262*N715^0.8/(1-0.5/N715^0.1))^2))</f>
        <v>10050.391918519315</v>
      </c>
      <c r="P715" s="6">
        <f t="shared" si="115"/>
        <v>2.9510194925512497E-2</v>
      </c>
      <c r="Q715" s="6">
        <f t="shared" si="116"/>
        <v>5.3729895759655886</v>
      </c>
      <c r="R715" s="6">
        <f t="shared" si="117"/>
        <v>13.141723376467546</v>
      </c>
      <c r="S715" s="6">
        <f>IF($Y$2="按单位面积散热损失 qp",B715*LN(B715/首页!$B$4),LN(B715/首页!$B$4))</f>
        <v>3.9301507670434681</v>
      </c>
      <c r="T715" s="6">
        <f>IF($Y$2="按单位面积散热损失 qp",2*PI()*首页!$B$8*((E715-D715)/$Y$3-1/R715),2*PI()*首页!$B$8*((E715-D715)/$Y$4-1/(PI()*B715*R715)))</f>
        <v>4.0784793581271898E-2</v>
      </c>
      <c r="U715" t="str">
        <f t="shared" si="118"/>
        <v>按单位面积散热损失 qp</v>
      </c>
      <c r="V715" s="6">
        <f t="shared" si="119"/>
        <v>3.8893659734621964</v>
      </c>
    </row>
    <row r="716" spans="1:22" x14ac:dyDescent="0.15">
      <c r="A716">
        <v>711</v>
      </c>
      <c r="B716" s="6">
        <f>首页!$B$4+2*A716/1000</f>
        <v>1.5419999999999998</v>
      </c>
      <c r="C716" s="6">
        <f>首页!$B$7+273.15</f>
        <v>388.15</v>
      </c>
      <c r="D716" s="6">
        <f>首页!$B$6+273.15</f>
        <v>293.14999999999998</v>
      </c>
      <c r="E716" s="6">
        <f>首页!$B$5+273.15</f>
        <v>1373.15</v>
      </c>
      <c r="F716" s="6">
        <f t="shared" si="110"/>
        <v>95</v>
      </c>
      <c r="G716" s="6">
        <f t="shared" si="111"/>
        <v>340.65</v>
      </c>
      <c r="H716" s="6">
        <f t="shared" si="112"/>
        <v>1.9926207055139041E-5</v>
      </c>
      <c r="I716" s="7">
        <f t="shared" si="113"/>
        <v>1158916576932337.8</v>
      </c>
      <c r="J716" s="6">
        <f t="shared" si="114"/>
        <v>1.0226038455893147</v>
      </c>
      <c r="K716" s="7">
        <f>J716*H716*首页!$B$12/P716</f>
        <v>0.69532757496605813</v>
      </c>
      <c r="L716" s="6">
        <f>首页!$B$9*0.0000000567*((C716^4-D716^4)/(C716-D716))</f>
        <v>7.7687338005019564</v>
      </c>
      <c r="M716" s="6">
        <f>IF(首页!$B$13="自然对流",IF(首页!$B$14="立式圆筒",首页!$B$10,PI()*B716/2),PI()*B716/2)</f>
        <v>55.2</v>
      </c>
      <c r="N716" s="7">
        <f>IF(首页!$B$13="强制对流",首页!$B$11*M716/H716,0)</f>
        <v>0</v>
      </c>
      <c r="O716" s="7">
        <f>IF(首页!$B$13="自然对流",IF(首页!$B$14="立式圆筒",(0.825+0.3063*I716^(1/6))^2+0.87*(M716/B716),(0.752+0.303*I716^(1/6))^2),0.3+SQRT((0.592*N716^0.5)^2+(0.0262*N716^0.8/(1-0.5/N716^0.1))^2))</f>
        <v>10050.351471806494</v>
      </c>
      <c r="P716" s="6">
        <f t="shared" si="115"/>
        <v>2.9510194925512497E-2</v>
      </c>
      <c r="Q716" s="6">
        <f t="shared" si="116"/>
        <v>5.372967952951468</v>
      </c>
      <c r="R716" s="6">
        <f t="shared" si="117"/>
        <v>13.141701753453425</v>
      </c>
      <c r="S716" s="6">
        <f>IF($Y$2="按单位面积散热损失 qp",B716*LN(B716/首页!$B$4),LN(B716/首页!$B$4))</f>
        <v>3.9372561570881741</v>
      </c>
      <c r="T716" s="6">
        <f>IF($Y$2="按单位面积散热损失 qp",2*PI()*首页!$B$8*((E716-D716)/$Y$3-1/R716),2*PI()*首页!$B$8*((E716-D716)/$Y$4-1/(PI()*B716*R716)))</f>
        <v>4.0784758181155838E-2</v>
      </c>
      <c r="U716" t="str">
        <f t="shared" si="118"/>
        <v>按单位面积散热损失 qp</v>
      </c>
      <c r="V716" s="6">
        <f t="shared" si="119"/>
        <v>3.8964713989070181</v>
      </c>
    </row>
    <row r="717" spans="1:22" x14ac:dyDescent="0.15">
      <c r="A717">
        <v>712</v>
      </c>
      <c r="B717" s="6">
        <f>首页!$B$4+2*A717/1000</f>
        <v>1.544</v>
      </c>
      <c r="C717" s="6">
        <f>首页!$B$7+273.15</f>
        <v>388.15</v>
      </c>
      <c r="D717" s="6">
        <f>首页!$B$6+273.15</f>
        <v>293.14999999999998</v>
      </c>
      <c r="E717" s="6">
        <f>首页!$B$5+273.15</f>
        <v>1373.15</v>
      </c>
      <c r="F717" s="6">
        <f t="shared" si="110"/>
        <v>95</v>
      </c>
      <c r="G717" s="6">
        <f t="shared" si="111"/>
        <v>340.65</v>
      </c>
      <c r="H717" s="6">
        <f t="shared" si="112"/>
        <v>1.9926207055139041E-5</v>
      </c>
      <c r="I717" s="7">
        <f t="shared" si="113"/>
        <v>1158916576932337.8</v>
      </c>
      <c r="J717" s="6">
        <f t="shared" si="114"/>
        <v>1.0226038455893147</v>
      </c>
      <c r="K717" s="7">
        <f>J717*H717*首页!$B$12/P717</f>
        <v>0.69532757496605813</v>
      </c>
      <c r="L717" s="6">
        <f>首页!$B$9*0.0000000567*((C717^4-D717^4)/(C717-D717))</f>
        <v>7.7687338005019564</v>
      </c>
      <c r="M717" s="6">
        <f>IF(首页!$B$13="自然对流",IF(首页!$B$14="立式圆筒",首页!$B$10,PI()*B717/2),PI()*B717/2)</f>
        <v>55.2</v>
      </c>
      <c r="N717" s="7">
        <f>IF(首页!$B$13="强制对流",首页!$B$11*M717/H717,0)</f>
        <v>0</v>
      </c>
      <c r="O717" s="7">
        <f>IF(首页!$B$13="自然对流",IF(首页!$B$14="立式圆筒",(0.825+0.3063*I717^(1/6))^2+0.87*(M717/B717),(0.752+0.303*I717^(1/6))^2),0.3+SQRT((0.592*N717^0.5)^2+(0.0262*N717^0.8/(1-0.5/N717^0.1))^2))</f>
        <v>10050.311129877906</v>
      </c>
      <c r="P717" s="6">
        <f t="shared" si="115"/>
        <v>2.9510194925512497E-2</v>
      </c>
      <c r="Q717" s="6">
        <f t="shared" si="116"/>
        <v>5.3729463859555207</v>
      </c>
      <c r="R717" s="6">
        <f t="shared" si="117"/>
        <v>13.141680186457478</v>
      </c>
      <c r="S717" s="6">
        <f>IF($Y$2="按单位面积散热损失 qp",B717*LN(B717/首页!$B$4),LN(B717/首页!$B$4))</f>
        <v>3.9443641411673309</v>
      </c>
      <c r="T717" s="6">
        <f>IF($Y$2="按单位面积散热损失 qp",2*PI()*首页!$B$8*((E717-D717)/$Y$3-1/R717),2*PI()*首页!$B$8*((E717-D717)/$Y$4-1/(PI()*B717*R717)))</f>
        <v>4.0784722872633884E-2</v>
      </c>
      <c r="U717" t="str">
        <f t="shared" si="118"/>
        <v>按单位面积散热损失 qp</v>
      </c>
      <c r="V717" s="6">
        <f t="shared" si="119"/>
        <v>3.9035794182946972</v>
      </c>
    </row>
    <row r="718" spans="1:22" x14ac:dyDescent="0.15">
      <c r="A718">
        <v>713</v>
      </c>
      <c r="B718" s="6">
        <f>首页!$B$4+2*A718/1000</f>
        <v>1.5459999999999998</v>
      </c>
      <c r="C718" s="6">
        <f>首页!$B$7+273.15</f>
        <v>388.15</v>
      </c>
      <c r="D718" s="6">
        <f>首页!$B$6+273.15</f>
        <v>293.14999999999998</v>
      </c>
      <c r="E718" s="6">
        <f>首页!$B$5+273.15</f>
        <v>1373.15</v>
      </c>
      <c r="F718" s="6">
        <f t="shared" si="110"/>
        <v>95</v>
      </c>
      <c r="G718" s="6">
        <f t="shared" si="111"/>
        <v>340.65</v>
      </c>
      <c r="H718" s="6">
        <f t="shared" si="112"/>
        <v>1.9926207055139041E-5</v>
      </c>
      <c r="I718" s="7">
        <f t="shared" si="113"/>
        <v>1158916576932337.8</v>
      </c>
      <c r="J718" s="6">
        <f t="shared" si="114"/>
        <v>1.0226038455893147</v>
      </c>
      <c r="K718" s="7">
        <f>J718*H718*首页!$B$12/P718</f>
        <v>0.69532757496605813</v>
      </c>
      <c r="L718" s="6">
        <f>首页!$B$9*0.0000000567*((C718^4-D718^4)/(C718-D718))</f>
        <v>7.7687338005019564</v>
      </c>
      <c r="M718" s="6">
        <f>IF(首页!$B$13="自然对流",IF(首页!$B$14="立式圆筒",首页!$B$10,PI()*B718/2),PI()*B718/2)</f>
        <v>55.2</v>
      </c>
      <c r="N718" s="7">
        <f>IF(首页!$B$13="强制对流",首页!$B$11*M718/H718,0)</f>
        <v>0</v>
      </c>
      <c r="O718" s="7">
        <f>IF(首页!$B$13="自然对流",IF(首页!$B$14="立式圆筒",(0.825+0.3063*I718^(1/6))^2+0.87*(M718/B718),(0.752+0.303*I718^(1/6))^2),0.3+SQRT((0.592*N718^0.5)^2+(0.0262*N718^0.8/(1-0.5/N718^0.1))^2))</f>
        <v>10050.270892326878</v>
      </c>
      <c r="P718" s="6">
        <f t="shared" si="115"/>
        <v>2.9510194925512497E-2</v>
      </c>
      <c r="Q718" s="6">
        <f t="shared" si="116"/>
        <v>5.3729248747603364</v>
      </c>
      <c r="R718" s="6">
        <f t="shared" si="117"/>
        <v>13.141658675262292</v>
      </c>
      <c r="S718" s="6">
        <f>IF($Y$2="按单位面积散热损失 qp",B718*LN(B718/首页!$B$4),LN(B718/首页!$B$4))</f>
        <v>3.9514747159207859</v>
      </c>
      <c r="T718" s="6">
        <f>IF($Y$2="按单位面积散热损失 qp",2*PI()*首页!$B$8*((E718-D718)/$Y$3-1/R718),2*PI()*首页!$B$8*((E718-D718)/$Y$4-1/(PI()*B718*R718)))</f>
        <v>4.0784687655351003E-2</v>
      </c>
      <c r="U718" t="str">
        <f t="shared" si="118"/>
        <v>按单位面积散热损失 qp</v>
      </c>
      <c r="V718" s="6">
        <f t="shared" si="119"/>
        <v>3.9106900282654351</v>
      </c>
    </row>
    <row r="719" spans="1:22" x14ac:dyDescent="0.15">
      <c r="A719">
        <v>714</v>
      </c>
      <c r="B719" s="6">
        <f>首页!$B$4+2*A719/1000</f>
        <v>1.548</v>
      </c>
      <c r="C719" s="6">
        <f>首页!$B$7+273.15</f>
        <v>388.15</v>
      </c>
      <c r="D719" s="6">
        <f>首页!$B$6+273.15</f>
        <v>293.14999999999998</v>
      </c>
      <c r="E719" s="6">
        <f>首页!$B$5+273.15</f>
        <v>1373.15</v>
      </c>
      <c r="F719" s="6">
        <f t="shared" si="110"/>
        <v>95</v>
      </c>
      <c r="G719" s="6">
        <f t="shared" si="111"/>
        <v>340.65</v>
      </c>
      <c r="H719" s="6">
        <f t="shared" si="112"/>
        <v>1.9926207055139041E-5</v>
      </c>
      <c r="I719" s="7">
        <f t="shared" si="113"/>
        <v>1158916576932337.8</v>
      </c>
      <c r="J719" s="6">
        <f t="shared" si="114"/>
        <v>1.0226038455893147</v>
      </c>
      <c r="K719" s="7">
        <f>J719*H719*首页!$B$12/P719</f>
        <v>0.69532757496605813</v>
      </c>
      <c r="L719" s="6">
        <f>首页!$B$9*0.0000000567*((C719^4-D719^4)/(C719-D719))</f>
        <v>7.7687338005019564</v>
      </c>
      <c r="M719" s="6">
        <f>IF(首页!$B$13="自然对流",IF(首页!$B$14="立式圆筒",首页!$B$10,PI()*B719/2),PI()*B719/2)</f>
        <v>55.2</v>
      </c>
      <c r="N719" s="7">
        <f>IF(首页!$B$13="强制对流",首页!$B$11*M719/H719,0)</f>
        <v>0</v>
      </c>
      <c r="O719" s="7">
        <f>IF(首页!$B$13="自然对流",IF(首页!$B$14="立式圆筒",(0.825+0.3063*I719^(1/6))^2+0.87*(M719/B719),(0.752+0.303*I719^(1/6))^2),0.3+SQRT((0.592*N719^0.5)^2+(0.0262*N719^0.8/(1-0.5/N719^0.1))^2))</f>
        <v>10050.230758748854</v>
      </c>
      <c r="P719" s="6">
        <f t="shared" si="115"/>
        <v>2.9510194925512497E-2</v>
      </c>
      <c r="Q719" s="6">
        <f t="shared" si="116"/>
        <v>5.3729034191496376</v>
      </c>
      <c r="R719" s="6">
        <f t="shared" si="117"/>
        <v>13.141637219651594</v>
      </c>
      <c r="S719" s="6">
        <f>IF($Y$2="按单位面积散热损失 qp",B719*LN(B719/首页!$B$4),LN(B719/首页!$B$4))</f>
        <v>3.9585878779970858</v>
      </c>
      <c r="T719" s="6">
        <f>IF($Y$2="按单位面积散热损失 qp",2*PI()*首页!$B$8*((E719-D719)/$Y$3-1/R719),2*PI()*首页!$B$8*((E719-D719)/$Y$4-1/(PI()*B719*R719)))</f>
        <v>4.078465252895401E-2</v>
      </c>
      <c r="U719" t="str">
        <f t="shared" si="118"/>
        <v>按单位面积散热损失 qp</v>
      </c>
      <c r="V719" s="6">
        <f t="shared" si="119"/>
        <v>3.9178032254681319</v>
      </c>
    </row>
    <row r="720" spans="1:22" x14ac:dyDescent="0.15">
      <c r="A720">
        <v>715</v>
      </c>
      <c r="B720" s="6">
        <f>首页!$B$4+2*A720/1000</f>
        <v>1.5499999999999998</v>
      </c>
      <c r="C720" s="6">
        <f>首页!$B$7+273.15</f>
        <v>388.15</v>
      </c>
      <c r="D720" s="6">
        <f>首页!$B$6+273.15</f>
        <v>293.14999999999998</v>
      </c>
      <c r="E720" s="6">
        <f>首页!$B$5+273.15</f>
        <v>1373.15</v>
      </c>
      <c r="F720" s="6">
        <f t="shared" si="110"/>
        <v>95</v>
      </c>
      <c r="G720" s="6">
        <f t="shared" si="111"/>
        <v>340.65</v>
      </c>
      <c r="H720" s="6">
        <f t="shared" si="112"/>
        <v>1.9926207055139041E-5</v>
      </c>
      <c r="I720" s="7">
        <f t="shared" si="113"/>
        <v>1158916576932337.8</v>
      </c>
      <c r="J720" s="6">
        <f t="shared" si="114"/>
        <v>1.0226038455893147</v>
      </c>
      <c r="K720" s="7">
        <f>J720*H720*首页!$B$12/P720</f>
        <v>0.69532757496605813</v>
      </c>
      <c r="L720" s="6">
        <f>首页!$B$9*0.0000000567*((C720^4-D720^4)/(C720-D720))</f>
        <v>7.7687338005019564</v>
      </c>
      <c r="M720" s="6">
        <f>IF(首页!$B$13="自然对流",IF(首页!$B$14="立式圆筒",首页!$B$10,PI()*B720/2),PI()*B720/2)</f>
        <v>55.2</v>
      </c>
      <c r="N720" s="7">
        <f>IF(首页!$B$13="强制对流",首页!$B$11*M720/H720,0)</f>
        <v>0</v>
      </c>
      <c r="O720" s="7">
        <f>IF(首页!$B$13="自然对流",IF(首页!$B$14="立式圆筒",(0.825+0.3063*I720^(1/6))^2+0.87*(M720/B720),(0.752+0.303*I720^(1/6))^2),0.3+SQRT((0.592*N720^0.5)^2+(0.0262*N720^0.8/(1-0.5/N720^0.1))^2))</f>
        <v>10050.190728741351</v>
      </c>
      <c r="P720" s="6">
        <f t="shared" si="115"/>
        <v>2.9510194925512497E-2</v>
      </c>
      <c r="Q720" s="6">
        <f t="shared" si="116"/>
        <v>5.372882018908256</v>
      </c>
      <c r="R720" s="6">
        <f t="shared" si="117"/>
        <v>13.141615819410212</v>
      </c>
      <c r="S720" s="6">
        <f>IF($Y$2="按单位面积散热损失 qp",B720*LN(B720/首页!$B$4),LN(B720/首页!$B$4))</f>
        <v>3.9657036240534316</v>
      </c>
      <c r="T720" s="6">
        <f>IF($Y$2="按单位面积散热损失 qp",2*PI()*首页!$B$8*((E720-D720)/$Y$3-1/R720),2*PI()*首页!$B$8*((E720-D720)/$Y$4-1/(PI()*B720*R720)))</f>
        <v>4.0784617493091535E-2</v>
      </c>
      <c r="U720" t="str">
        <f t="shared" si="118"/>
        <v>按单位面积散热损失 qp</v>
      </c>
      <c r="V720" s="6">
        <f t="shared" si="119"/>
        <v>3.9249190065603399</v>
      </c>
    </row>
    <row r="721" spans="1:22" x14ac:dyDescent="0.15">
      <c r="A721">
        <v>716</v>
      </c>
      <c r="B721" s="6">
        <f>首页!$B$4+2*A721/1000</f>
        <v>1.552</v>
      </c>
      <c r="C721" s="6">
        <f>首页!$B$7+273.15</f>
        <v>388.15</v>
      </c>
      <c r="D721" s="6">
        <f>首页!$B$6+273.15</f>
        <v>293.14999999999998</v>
      </c>
      <c r="E721" s="6">
        <f>首页!$B$5+273.15</f>
        <v>1373.15</v>
      </c>
      <c r="F721" s="6">
        <f t="shared" si="110"/>
        <v>95</v>
      </c>
      <c r="G721" s="6">
        <f t="shared" si="111"/>
        <v>340.65</v>
      </c>
      <c r="H721" s="6">
        <f t="shared" si="112"/>
        <v>1.9926207055139041E-5</v>
      </c>
      <c r="I721" s="7">
        <f t="shared" si="113"/>
        <v>1158916576932337.8</v>
      </c>
      <c r="J721" s="6">
        <f t="shared" si="114"/>
        <v>1.0226038455893147</v>
      </c>
      <c r="K721" s="7">
        <f>J721*H721*首页!$B$12/P721</f>
        <v>0.69532757496605813</v>
      </c>
      <c r="L721" s="6">
        <f>首页!$B$9*0.0000000567*((C721^4-D721^4)/(C721-D721))</f>
        <v>7.7687338005019564</v>
      </c>
      <c r="M721" s="6">
        <f>IF(首页!$B$13="自然对流",IF(首页!$B$14="立式圆筒",首页!$B$10,PI()*B721/2),PI()*B721/2)</f>
        <v>55.2</v>
      </c>
      <c r="N721" s="7">
        <f>IF(首页!$B$13="强制对流",首页!$B$11*M721/H721,0)</f>
        <v>0</v>
      </c>
      <c r="O721" s="7">
        <f>IF(首页!$B$13="自然对流",IF(首页!$B$14="立式圆筒",(0.825+0.3063*I721^(1/6))^2+0.87*(M721/B721),(0.752+0.303*I721^(1/6))^2),0.3+SQRT((0.592*N721^0.5)^2+(0.0262*N721^0.8/(1-0.5/N721^0.1))^2))</f>
        <v>10050.150801903972</v>
      </c>
      <c r="P721" s="6">
        <f t="shared" si="115"/>
        <v>2.9510194925512497E-2</v>
      </c>
      <c r="Q721" s="6">
        <f t="shared" si="116"/>
        <v>5.3728606738221369</v>
      </c>
      <c r="R721" s="6">
        <f t="shared" si="117"/>
        <v>13.141594474324094</v>
      </c>
      <c r="S721" s="6">
        <f>IF($Y$2="按单位面积散热损失 qp",B721*LN(B721/首页!$B$4),LN(B721/首页!$B$4))</f>
        <v>3.9728219507556557</v>
      </c>
      <c r="T721" s="6">
        <f>IF($Y$2="按单位面积散热损失 qp",2*PI()*首页!$B$8*((E721-D721)/$Y$3-1/R721),2*PI()*首页!$B$8*((E721-D721)/$Y$4-1/(PI()*B721*R721)))</f>
        <v>4.0784582547414003E-2</v>
      </c>
      <c r="U721" t="str">
        <f t="shared" si="118"/>
        <v>按单位面积散热损失 qp</v>
      </c>
      <c r="V721" s="6">
        <f t="shared" si="119"/>
        <v>3.9320373682082419</v>
      </c>
    </row>
    <row r="722" spans="1:22" x14ac:dyDescent="0.15">
      <c r="A722">
        <v>717</v>
      </c>
      <c r="B722" s="6">
        <f>首页!$B$4+2*A722/1000</f>
        <v>1.5539999999999998</v>
      </c>
      <c r="C722" s="6">
        <f>首页!$B$7+273.15</f>
        <v>388.15</v>
      </c>
      <c r="D722" s="6">
        <f>首页!$B$6+273.15</f>
        <v>293.14999999999998</v>
      </c>
      <c r="E722" s="6">
        <f>首页!$B$5+273.15</f>
        <v>1373.15</v>
      </c>
      <c r="F722" s="6">
        <f t="shared" si="110"/>
        <v>95</v>
      </c>
      <c r="G722" s="6">
        <f t="shared" si="111"/>
        <v>340.65</v>
      </c>
      <c r="H722" s="6">
        <f t="shared" si="112"/>
        <v>1.9926207055139041E-5</v>
      </c>
      <c r="I722" s="7">
        <f t="shared" si="113"/>
        <v>1158916576932337.8</v>
      </c>
      <c r="J722" s="6">
        <f t="shared" si="114"/>
        <v>1.0226038455893147</v>
      </c>
      <c r="K722" s="7">
        <f>J722*H722*首页!$B$12/P722</f>
        <v>0.69532757496605813</v>
      </c>
      <c r="L722" s="6">
        <f>首页!$B$9*0.0000000567*((C722^4-D722^4)/(C722-D722))</f>
        <v>7.7687338005019564</v>
      </c>
      <c r="M722" s="6">
        <f>IF(首页!$B$13="自然对流",IF(首页!$B$14="立式圆筒",首页!$B$10,PI()*B722/2),PI()*B722/2)</f>
        <v>55.2</v>
      </c>
      <c r="N722" s="7">
        <f>IF(首页!$B$13="强制对流",首页!$B$11*M722/H722,0)</f>
        <v>0</v>
      </c>
      <c r="O722" s="7">
        <f>IF(首页!$B$13="自然对流",IF(首页!$B$14="立式圆筒",(0.825+0.3063*I722^(1/6))^2+0.87*(M722/B722),(0.752+0.303*I722^(1/6))^2),0.3+SQRT((0.592*N722^0.5)^2+(0.0262*N722^0.8/(1-0.5/N722^0.1))^2))</f>
        <v>10050.110977838374</v>
      </c>
      <c r="P722" s="6">
        <f t="shared" si="115"/>
        <v>2.9510194925512497E-2</v>
      </c>
      <c r="Q722" s="6">
        <f t="shared" si="116"/>
        <v>5.3728393836783228</v>
      </c>
      <c r="R722" s="6">
        <f t="shared" si="117"/>
        <v>13.141573184180279</v>
      </c>
      <c r="S722" s="6">
        <f>IF($Y$2="按单位面积散热损失 qp",B722*LN(B722/首页!$B$4),LN(B722/首页!$B$4))</f>
        <v>3.9799428547781788</v>
      </c>
      <c r="T722" s="6">
        <f>IF($Y$2="按单位面积散热损失 qp",2*PI()*首页!$B$8*((E722-D722)/$Y$3-1/R722),2*PI()*首页!$B$8*((E722-D722)/$Y$4-1/(PI()*B722*R722)))</f>
        <v>4.0784547691573643E-2</v>
      </c>
      <c r="U722" t="str">
        <f t="shared" si="118"/>
        <v>按单位面积散热损失 qp</v>
      </c>
      <c r="V722" s="6">
        <f t="shared" si="119"/>
        <v>3.939158307086605</v>
      </c>
    </row>
    <row r="723" spans="1:22" x14ac:dyDescent="0.15">
      <c r="A723">
        <v>718</v>
      </c>
      <c r="B723" s="6">
        <f>首页!$B$4+2*A723/1000</f>
        <v>1.556</v>
      </c>
      <c r="C723" s="6">
        <f>首页!$B$7+273.15</f>
        <v>388.15</v>
      </c>
      <c r="D723" s="6">
        <f>首页!$B$6+273.15</f>
        <v>293.14999999999998</v>
      </c>
      <c r="E723" s="6">
        <f>首页!$B$5+273.15</f>
        <v>1373.15</v>
      </c>
      <c r="F723" s="6">
        <f t="shared" si="110"/>
        <v>95</v>
      </c>
      <c r="G723" s="6">
        <f t="shared" si="111"/>
        <v>340.65</v>
      </c>
      <c r="H723" s="6">
        <f t="shared" si="112"/>
        <v>1.9926207055139041E-5</v>
      </c>
      <c r="I723" s="7">
        <f t="shared" si="113"/>
        <v>1158916576932337.8</v>
      </c>
      <c r="J723" s="6">
        <f t="shared" si="114"/>
        <v>1.0226038455893147</v>
      </c>
      <c r="K723" s="7">
        <f>J723*H723*首页!$B$12/P723</f>
        <v>0.69532757496605813</v>
      </c>
      <c r="L723" s="6">
        <f>首页!$B$9*0.0000000567*((C723^4-D723^4)/(C723-D723))</f>
        <v>7.7687338005019564</v>
      </c>
      <c r="M723" s="6">
        <f>IF(首页!$B$13="自然对流",IF(首页!$B$14="立式圆筒",首页!$B$10,PI()*B723/2),PI()*B723/2)</f>
        <v>55.2</v>
      </c>
      <c r="N723" s="7">
        <f>IF(首页!$B$13="强制对流",首页!$B$11*M723/H723,0)</f>
        <v>0</v>
      </c>
      <c r="O723" s="7">
        <f>IF(首页!$B$13="自然对流",IF(首页!$B$14="立式圆筒",(0.825+0.3063*I723^(1/6))^2+0.87*(M723/B723),(0.752+0.303*I723^(1/6))^2),0.3+SQRT((0.592*N723^0.5)^2+(0.0262*N723^0.8/(1-0.5/N723^0.1))^2))</f>
        <v>10050.071256148267</v>
      </c>
      <c r="P723" s="6">
        <f t="shared" si="115"/>
        <v>2.9510194925512497E-2</v>
      </c>
      <c r="Q723" s="6">
        <f t="shared" si="116"/>
        <v>5.3728181482649555</v>
      </c>
      <c r="R723" s="6">
        <f t="shared" si="117"/>
        <v>13.141551948766912</v>
      </c>
      <c r="S723" s="6">
        <f>IF($Y$2="按单位面积散热损失 qp",B723*LN(B723/首页!$B$4),LN(B723/首页!$B$4))</f>
        <v>3.9870663328039888</v>
      </c>
      <c r="T723" s="6">
        <f>IF($Y$2="按单位面积散热损失 qp",2*PI()*首页!$B$8*((E723-D723)/$Y$3-1/R723),2*PI()*首页!$B$8*((E723-D723)/$Y$4-1/(PI()*B723*R723)))</f>
        <v>4.0784512925224496E-2</v>
      </c>
      <c r="U723" t="str">
        <f t="shared" si="118"/>
        <v>按单位面积散热损失 qp</v>
      </c>
      <c r="V723" s="6">
        <f t="shared" si="119"/>
        <v>3.9462818198787644</v>
      </c>
    </row>
    <row r="724" spans="1:22" x14ac:dyDescent="0.15">
      <c r="A724">
        <v>719</v>
      </c>
      <c r="B724" s="6">
        <f>首页!$B$4+2*A724/1000</f>
        <v>1.5579999999999998</v>
      </c>
      <c r="C724" s="6">
        <f>首页!$B$7+273.15</f>
        <v>388.15</v>
      </c>
      <c r="D724" s="6">
        <f>首页!$B$6+273.15</f>
        <v>293.14999999999998</v>
      </c>
      <c r="E724" s="6">
        <f>首页!$B$5+273.15</f>
        <v>1373.15</v>
      </c>
      <c r="F724" s="6">
        <f t="shared" si="110"/>
        <v>95</v>
      </c>
      <c r="G724" s="6">
        <f t="shared" si="111"/>
        <v>340.65</v>
      </c>
      <c r="H724" s="6">
        <f t="shared" si="112"/>
        <v>1.9926207055139041E-5</v>
      </c>
      <c r="I724" s="7">
        <f t="shared" si="113"/>
        <v>1158916576932337.8</v>
      </c>
      <c r="J724" s="6">
        <f t="shared" si="114"/>
        <v>1.0226038455893147</v>
      </c>
      <c r="K724" s="7">
        <f>J724*H724*首页!$B$12/P724</f>
        <v>0.69532757496605813</v>
      </c>
      <c r="L724" s="6">
        <f>首页!$B$9*0.0000000567*((C724^4-D724^4)/(C724-D724))</f>
        <v>7.7687338005019564</v>
      </c>
      <c r="M724" s="6">
        <f>IF(首页!$B$13="自然对流",IF(首页!$B$14="立式圆筒",首页!$B$10,PI()*B724/2),PI()*B724/2)</f>
        <v>55.2</v>
      </c>
      <c r="N724" s="7">
        <f>IF(首页!$B$13="强制对流",首页!$B$11*M724/H724,0)</f>
        <v>0</v>
      </c>
      <c r="O724" s="7">
        <f>IF(首页!$B$13="自然对流",IF(首页!$B$14="立式圆筒",(0.825+0.3063*I724^(1/6))^2+0.87*(M724/B724),(0.752+0.303*I724^(1/6))^2),0.3+SQRT((0.592*N724^0.5)^2+(0.0262*N724^0.8/(1-0.5/N724^0.1))^2))</f>
        <v>10050.031636439393</v>
      </c>
      <c r="P724" s="6">
        <f t="shared" si="115"/>
        <v>2.9510194925512497E-2</v>
      </c>
      <c r="Q724" s="6">
        <f t="shared" si="116"/>
        <v>5.3727969673712641</v>
      </c>
      <c r="R724" s="6">
        <f t="shared" si="117"/>
        <v>13.14153076787322</v>
      </c>
      <c r="S724" s="6">
        <f>IF($Y$2="按单位面积散热损失 qp",B724*LN(B724/首页!$B$4),LN(B724/首页!$B$4))</f>
        <v>3.9941923815245923</v>
      </c>
      <c r="T724" s="6">
        <f>IF($Y$2="按单位面积散热损失 qp",2*PI()*首页!$B$8*((E724-D724)/$Y$3-1/R724),2*PI()*首页!$B$8*((E724-D724)/$Y$4-1/(PI()*B724*R724)))</f>
        <v>4.0784478248022338E-2</v>
      </c>
      <c r="U724" t="str">
        <f t="shared" si="118"/>
        <v>按单位面积散热损失 qp</v>
      </c>
      <c r="V724" s="6">
        <f t="shared" si="119"/>
        <v>3.9534079032765699</v>
      </c>
    </row>
    <row r="725" spans="1:22" x14ac:dyDescent="0.15">
      <c r="A725">
        <v>720</v>
      </c>
      <c r="B725" s="6">
        <f>首页!$B$4+2*A725/1000</f>
        <v>1.56</v>
      </c>
      <c r="C725" s="6">
        <f>首页!$B$7+273.15</f>
        <v>388.15</v>
      </c>
      <c r="D725" s="6">
        <f>首页!$B$6+273.15</f>
        <v>293.14999999999998</v>
      </c>
      <c r="E725" s="6">
        <f>首页!$B$5+273.15</f>
        <v>1373.15</v>
      </c>
      <c r="F725" s="6">
        <f t="shared" si="110"/>
        <v>95</v>
      </c>
      <c r="G725" s="6">
        <f t="shared" si="111"/>
        <v>340.65</v>
      </c>
      <c r="H725" s="6">
        <f t="shared" si="112"/>
        <v>1.9926207055139041E-5</v>
      </c>
      <c r="I725" s="7">
        <f t="shared" si="113"/>
        <v>1158916576932337.8</v>
      </c>
      <c r="J725" s="6">
        <f t="shared" si="114"/>
        <v>1.0226038455893147</v>
      </c>
      <c r="K725" s="7">
        <f>J725*H725*首页!$B$12/P725</f>
        <v>0.69532757496605813</v>
      </c>
      <c r="L725" s="6">
        <f>首页!$B$9*0.0000000567*((C725^4-D725^4)/(C725-D725))</f>
        <v>7.7687338005019564</v>
      </c>
      <c r="M725" s="6">
        <f>IF(首页!$B$13="自然对流",IF(首页!$B$14="立式圆筒",首页!$B$10,PI()*B725/2),PI()*B725/2)</f>
        <v>55.2</v>
      </c>
      <c r="N725" s="7">
        <f>IF(首页!$B$13="强制对流",首页!$B$11*M725/H725,0)</f>
        <v>0</v>
      </c>
      <c r="O725" s="7">
        <f>IF(首页!$B$13="自然对流",IF(首页!$B$14="立式圆筒",(0.825+0.3063*I725^(1/6))^2+0.87*(M725/B725),(0.752+0.303*I725^(1/6))^2),0.3+SQRT((0.592*N725^0.5)^2+(0.0262*N725^0.8/(1-0.5/N725^0.1))^2))</f>
        <v>10049.992118319515</v>
      </c>
      <c r="P725" s="6">
        <f t="shared" si="115"/>
        <v>2.9510194925512497E-2</v>
      </c>
      <c r="Q725" s="6">
        <f t="shared" si="116"/>
        <v>5.3727758407875568</v>
      </c>
      <c r="R725" s="6">
        <f t="shared" si="117"/>
        <v>13.141509641289513</v>
      </c>
      <c r="S725" s="6">
        <f>IF($Y$2="按单位面积散热损失 qp",B725*LN(B725/首页!$B$4),LN(B725/首页!$B$4))</f>
        <v>4.001320997639997</v>
      </c>
      <c r="T725" s="6">
        <f>IF($Y$2="按单位面积散热损失 qp",2*PI()*首页!$B$8*((E725-D725)/$Y$3-1/R725),2*PI()*首页!$B$8*((E725-D725)/$Y$4-1/(PI()*B725*R725)))</f>
        <v>4.0784443659624733E-2</v>
      </c>
      <c r="U725" t="str">
        <f t="shared" si="118"/>
        <v>按单位面积散热损失 qp</v>
      </c>
      <c r="V725" s="6">
        <f t="shared" si="119"/>
        <v>3.9605365539803725</v>
      </c>
    </row>
    <row r="726" spans="1:22" x14ac:dyDescent="0.15">
      <c r="A726">
        <v>721</v>
      </c>
      <c r="B726" s="6">
        <f>首页!$B$4+2*A726/1000</f>
        <v>1.5619999999999998</v>
      </c>
      <c r="C726" s="6">
        <f>首页!$B$7+273.15</f>
        <v>388.15</v>
      </c>
      <c r="D726" s="6">
        <f>首页!$B$6+273.15</f>
        <v>293.14999999999998</v>
      </c>
      <c r="E726" s="6">
        <f>首页!$B$5+273.15</f>
        <v>1373.15</v>
      </c>
      <c r="F726" s="6">
        <f t="shared" si="110"/>
        <v>95</v>
      </c>
      <c r="G726" s="6">
        <f t="shared" si="111"/>
        <v>340.65</v>
      </c>
      <c r="H726" s="6">
        <f t="shared" si="112"/>
        <v>1.9926207055139041E-5</v>
      </c>
      <c r="I726" s="7">
        <f t="shared" si="113"/>
        <v>1158916576932337.8</v>
      </c>
      <c r="J726" s="6">
        <f t="shared" si="114"/>
        <v>1.0226038455893147</v>
      </c>
      <c r="K726" s="7">
        <f>J726*H726*首页!$B$12/P726</f>
        <v>0.69532757496605813</v>
      </c>
      <c r="L726" s="6">
        <f>首页!$B$9*0.0000000567*((C726^4-D726^4)/(C726-D726))</f>
        <v>7.7687338005019564</v>
      </c>
      <c r="M726" s="6">
        <f>IF(首页!$B$13="自然对流",IF(首页!$B$14="立式圆筒",首页!$B$10,PI()*B726/2),PI()*B726/2)</f>
        <v>55.2</v>
      </c>
      <c r="N726" s="7">
        <f>IF(首页!$B$13="强制对流",首页!$B$11*M726/H726,0)</f>
        <v>0</v>
      </c>
      <c r="O726" s="7">
        <f>IF(首页!$B$13="自然对流",IF(首页!$B$14="立式圆筒",(0.825+0.3063*I726^(1/6))^2+0.87*(M726/B726),(0.752+0.303*I726^(1/6))^2),0.3+SQRT((0.592*N726^0.5)^2+(0.0262*N726^0.8/(1-0.5/N726^0.1))^2))</f>
        <v>10049.952701398408</v>
      </c>
      <c r="P726" s="6">
        <f t="shared" si="115"/>
        <v>2.9510194925512497E-2</v>
      </c>
      <c r="Q726" s="6">
        <f t="shared" si="116"/>
        <v>5.3727547683052155</v>
      </c>
      <c r="R726" s="6">
        <f t="shared" si="117"/>
        <v>13.141488568807173</v>
      </c>
      <c r="S726" s="6">
        <f>IF($Y$2="按单位面积散热损失 qp",B726*LN(B726/首页!$B$4),LN(B726/首页!$B$4))</f>
        <v>4.0084521778586675</v>
      </c>
      <c r="T726" s="6">
        <f>IF($Y$2="按单位面积散热损失 qp",2*PI()*首页!$B$8*((E726-D726)/$Y$3-1/R726),2*PI()*首页!$B$8*((E726-D726)/$Y$4-1/(PI()*B726*R726)))</f>
        <v>4.0784409159690983E-2</v>
      </c>
      <c r="U726" t="str">
        <f t="shared" si="118"/>
        <v>按单位面积散热损失 qp</v>
      </c>
      <c r="V726" s="6">
        <f t="shared" si="119"/>
        <v>3.9676677686989765</v>
      </c>
    </row>
    <row r="727" spans="1:22" x14ac:dyDescent="0.15">
      <c r="A727">
        <v>722</v>
      </c>
      <c r="B727" s="6">
        <f>首页!$B$4+2*A727/1000</f>
        <v>1.5640000000000001</v>
      </c>
      <c r="C727" s="6">
        <f>首页!$B$7+273.15</f>
        <v>388.15</v>
      </c>
      <c r="D727" s="6">
        <f>首页!$B$6+273.15</f>
        <v>293.14999999999998</v>
      </c>
      <c r="E727" s="6">
        <f>首页!$B$5+273.15</f>
        <v>1373.15</v>
      </c>
      <c r="F727" s="6">
        <f t="shared" si="110"/>
        <v>95</v>
      </c>
      <c r="G727" s="6">
        <f t="shared" si="111"/>
        <v>340.65</v>
      </c>
      <c r="H727" s="6">
        <f t="shared" si="112"/>
        <v>1.9926207055139041E-5</v>
      </c>
      <c r="I727" s="7">
        <f t="shared" si="113"/>
        <v>1158916576932337.8</v>
      </c>
      <c r="J727" s="6">
        <f t="shared" si="114"/>
        <v>1.0226038455893147</v>
      </c>
      <c r="K727" s="7">
        <f>J727*H727*首页!$B$12/P727</f>
        <v>0.69532757496605813</v>
      </c>
      <c r="L727" s="6">
        <f>首页!$B$9*0.0000000567*((C727^4-D727^4)/(C727-D727))</f>
        <v>7.7687338005019564</v>
      </c>
      <c r="M727" s="6">
        <f>IF(首页!$B$13="自然对流",IF(首页!$B$14="立式圆筒",首页!$B$10,PI()*B727/2),PI()*B727/2)</f>
        <v>55.2</v>
      </c>
      <c r="N727" s="7">
        <f>IF(首页!$B$13="强制对流",首页!$B$11*M727/H727,0)</f>
        <v>0</v>
      </c>
      <c r="O727" s="7">
        <f>IF(首页!$B$13="自然对流",IF(首页!$B$14="立式圆筒",(0.825+0.3063*I727^(1/6))^2+0.87*(M727/B727),(0.752+0.303*I727^(1/6))^2),0.3+SQRT((0.592*N727^0.5)^2+(0.0262*N727^0.8/(1-0.5/N727^0.1))^2))</f>
        <v>10049.91338528784</v>
      </c>
      <c r="P727" s="6">
        <f t="shared" si="115"/>
        <v>2.9510194925512497E-2</v>
      </c>
      <c r="Q727" s="6">
        <f t="shared" si="116"/>
        <v>5.3727337497166907</v>
      </c>
      <c r="R727" s="6">
        <f t="shared" si="117"/>
        <v>13.141467550218646</v>
      </c>
      <c r="S727" s="6">
        <f>IF($Y$2="按单位面积散热损失 qp",B727*LN(B727/首页!$B$4),LN(B727/首页!$B$4))</f>
        <v>4.0155859188975009</v>
      </c>
      <c r="T727" s="6">
        <f>IF($Y$2="按单位面积散热损失 qp",2*PI()*首页!$B$8*((E727-D727)/$Y$3-1/R727),2*PI()*首页!$B$8*((E727-D727)/$Y$4-1/(PI()*B727*R727)))</f>
        <v>4.0784374747882143E-2</v>
      </c>
      <c r="U727" t="str">
        <f t="shared" si="118"/>
        <v>按单位面积散热损失 qp</v>
      </c>
      <c r="V727" s="6">
        <f t="shared" si="119"/>
        <v>3.9748015441496189</v>
      </c>
    </row>
    <row r="728" spans="1:22" x14ac:dyDescent="0.15">
      <c r="A728">
        <v>723</v>
      </c>
      <c r="B728" s="6">
        <f>首页!$B$4+2*A728/1000</f>
        <v>1.5659999999999998</v>
      </c>
      <c r="C728" s="6">
        <f>首页!$B$7+273.15</f>
        <v>388.15</v>
      </c>
      <c r="D728" s="6">
        <f>首页!$B$6+273.15</f>
        <v>293.14999999999998</v>
      </c>
      <c r="E728" s="6">
        <f>首页!$B$5+273.15</f>
        <v>1373.15</v>
      </c>
      <c r="F728" s="6">
        <f t="shared" si="110"/>
        <v>95</v>
      </c>
      <c r="G728" s="6">
        <f t="shared" si="111"/>
        <v>340.65</v>
      </c>
      <c r="H728" s="6">
        <f t="shared" si="112"/>
        <v>1.9926207055139041E-5</v>
      </c>
      <c r="I728" s="7">
        <f t="shared" si="113"/>
        <v>1158916576932337.8</v>
      </c>
      <c r="J728" s="6">
        <f t="shared" si="114"/>
        <v>1.0226038455893147</v>
      </c>
      <c r="K728" s="7">
        <f>J728*H728*首页!$B$12/P728</f>
        <v>0.69532757496605813</v>
      </c>
      <c r="L728" s="6">
        <f>首页!$B$9*0.0000000567*((C728^4-D728^4)/(C728-D728))</f>
        <v>7.7687338005019564</v>
      </c>
      <c r="M728" s="6">
        <f>IF(首页!$B$13="自然对流",IF(首页!$B$14="立式圆筒",首页!$B$10,PI()*B728/2),PI()*B728/2)</f>
        <v>55.2</v>
      </c>
      <c r="N728" s="7">
        <f>IF(首页!$B$13="强制对流",首页!$B$11*M728/H728,0)</f>
        <v>0</v>
      </c>
      <c r="O728" s="7">
        <f>IF(首页!$B$13="自然对流",IF(首页!$B$14="立式圆筒",(0.825+0.3063*I728^(1/6))^2+0.87*(M728/B728),(0.752+0.303*I728^(1/6))^2),0.3+SQRT((0.592*N728^0.5)^2+(0.0262*N728^0.8/(1-0.5/N728^0.1))^2))</f>
        <v>10049.874169601566</v>
      </c>
      <c r="P728" s="6">
        <f t="shared" si="115"/>
        <v>2.9510194925512497E-2</v>
      </c>
      <c r="Q728" s="6">
        <f t="shared" si="116"/>
        <v>5.3727127848154934</v>
      </c>
      <c r="R728" s="6">
        <f t="shared" si="117"/>
        <v>13.14144658531745</v>
      </c>
      <c r="S728" s="6">
        <f>IF($Y$2="按单位面积散热损失 qp",B728*LN(B728/首页!$B$4),LN(B728/首页!$B$4))</f>
        <v>4.0227222174817872</v>
      </c>
      <c r="T728" s="6">
        <f>IF($Y$2="按单位面积散热损失 qp",2*PI()*首页!$B$8*((E728-D728)/$Y$3-1/R728),2*PI()*首页!$B$8*((E728-D728)/$Y$4-1/(PI()*B728*R728)))</f>
        <v>4.078434042386099E-2</v>
      </c>
      <c r="U728" t="str">
        <f t="shared" si="118"/>
        <v>按单位面积散热损失 qp</v>
      </c>
      <c r="V728" s="6">
        <f t="shared" si="119"/>
        <v>3.9819378770579261</v>
      </c>
    </row>
    <row r="729" spans="1:22" x14ac:dyDescent="0.15">
      <c r="A729">
        <v>724</v>
      </c>
      <c r="B729" s="6">
        <f>首页!$B$4+2*A729/1000</f>
        <v>1.5680000000000001</v>
      </c>
      <c r="C729" s="6">
        <f>首页!$B$7+273.15</f>
        <v>388.15</v>
      </c>
      <c r="D729" s="6">
        <f>首页!$B$6+273.15</f>
        <v>293.14999999999998</v>
      </c>
      <c r="E729" s="6">
        <f>首页!$B$5+273.15</f>
        <v>1373.15</v>
      </c>
      <c r="F729" s="6">
        <f t="shared" si="110"/>
        <v>95</v>
      </c>
      <c r="G729" s="6">
        <f t="shared" si="111"/>
        <v>340.65</v>
      </c>
      <c r="H729" s="6">
        <f t="shared" si="112"/>
        <v>1.9926207055139041E-5</v>
      </c>
      <c r="I729" s="7">
        <f t="shared" si="113"/>
        <v>1158916576932337.8</v>
      </c>
      <c r="J729" s="6">
        <f t="shared" si="114"/>
        <v>1.0226038455893147</v>
      </c>
      <c r="K729" s="7">
        <f>J729*H729*首页!$B$12/P729</f>
        <v>0.69532757496605813</v>
      </c>
      <c r="L729" s="6">
        <f>首页!$B$9*0.0000000567*((C729^4-D729^4)/(C729-D729))</f>
        <v>7.7687338005019564</v>
      </c>
      <c r="M729" s="6">
        <f>IF(首页!$B$13="自然对流",IF(首页!$B$14="立式圆筒",首页!$B$10,PI()*B729/2),PI()*B729/2)</f>
        <v>55.2</v>
      </c>
      <c r="N729" s="7">
        <f>IF(首页!$B$13="强制对流",首页!$B$11*M729/H729,0)</f>
        <v>0</v>
      </c>
      <c r="O729" s="7">
        <f>IF(首页!$B$13="自然对流",IF(首页!$B$14="立式圆筒",(0.825+0.3063*I729^(1/6))^2+0.87*(M729/B729),(0.752+0.303*I729^(1/6))^2),0.3+SQRT((0.592*N729^0.5)^2+(0.0262*N729^0.8/(1-0.5/N729^0.1))^2))</f>
        <v>10049.835053955308</v>
      </c>
      <c r="P729" s="6">
        <f t="shared" si="115"/>
        <v>2.9510194925512497E-2</v>
      </c>
      <c r="Q729" s="6">
        <f t="shared" si="116"/>
        <v>5.372691873396187</v>
      </c>
      <c r="R729" s="6">
        <f t="shared" si="117"/>
        <v>13.141425673898144</v>
      </c>
      <c r="S729" s="6">
        <f>IF($Y$2="按单位面积散热损失 qp",B729*LN(B729/首页!$B$4),LN(B729/首页!$B$4))</f>
        <v>4.029861070345186</v>
      </c>
      <c r="T729" s="6">
        <f>IF($Y$2="按单位面积散热损失 qp",2*PI()*首页!$B$8*((E729-D729)/$Y$3-1/R729),2*PI()*首页!$B$8*((E729-D729)/$Y$4-1/(PI()*B729*R729)))</f>
        <v>4.0784306187292008E-2</v>
      </c>
      <c r="U729" t="str">
        <f t="shared" si="118"/>
        <v>按单位面积散热损失 qp</v>
      </c>
      <c r="V729" s="6">
        <f t="shared" si="119"/>
        <v>3.9890767641578941</v>
      </c>
    </row>
    <row r="730" spans="1:22" x14ac:dyDescent="0.15">
      <c r="A730">
        <v>725</v>
      </c>
      <c r="B730" s="6">
        <f>首页!$B$4+2*A730/1000</f>
        <v>1.5699999999999998</v>
      </c>
      <c r="C730" s="6">
        <f>首页!$B$7+273.15</f>
        <v>388.15</v>
      </c>
      <c r="D730" s="6">
        <f>首页!$B$6+273.15</f>
        <v>293.14999999999998</v>
      </c>
      <c r="E730" s="6">
        <f>首页!$B$5+273.15</f>
        <v>1373.15</v>
      </c>
      <c r="F730" s="6">
        <f t="shared" si="110"/>
        <v>95</v>
      </c>
      <c r="G730" s="6">
        <f t="shared" si="111"/>
        <v>340.65</v>
      </c>
      <c r="H730" s="6">
        <f t="shared" si="112"/>
        <v>1.9926207055139041E-5</v>
      </c>
      <c r="I730" s="7">
        <f t="shared" si="113"/>
        <v>1158916576932337.8</v>
      </c>
      <c r="J730" s="6">
        <f t="shared" si="114"/>
        <v>1.0226038455893147</v>
      </c>
      <c r="K730" s="7">
        <f>J730*H730*首页!$B$12/P730</f>
        <v>0.69532757496605813</v>
      </c>
      <c r="L730" s="6">
        <f>首页!$B$9*0.0000000567*((C730^4-D730^4)/(C730-D730))</f>
        <v>7.7687338005019564</v>
      </c>
      <c r="M730" s="6">
        <f>IF(首页!$B$13="自然对流",IF(首页!$B$14="立式圆筒",首页!$B$10,PI()*B730/2),PI()*B730/2)</f>
        <v>55.2</v>
      </c>
      <c r="N730" s="7">
        <f>IF(首页!$B$13="强制对流",首页!$B$11*M730/H730,0)</f>
        <v>0</v>
      </c>
      <c r="O730" s="7">
        <f>IF(首页!$B$13="自然对流",IF(首页!$B$14="立式圆筒",(0.825+0.3063*I730^(1/6))^2+0.87*(M730/B730),(0.752+0.303*I730^(1/6))^2),0.3+SQRT((0.592*N730^0.5)^2+(0.0262*N730^0.8/(1-0.5/N730^0.1))^2))</f>
        <v>10049.796037966747</v>
      </c>
      <c r="P730" s="6">
        <f t="shared" si="115"/>
        <v>2.9510194925512497E-2</v>
      </c>
      <c r="Q730" s="6">
        <f t="shared" si="116"/>
        <v>5.3726710152543822</v>
      </c>
      <c r="R730" s="6">
        <f t="shared" si="117"/>
        <v>13.141404815756339</v>
      </c>
      <c r="S730" s="6">
        <f>IF($Y$2="按单位面积散热损失 qp",B730*LN(B730/首页!$B$4),LN(B730/首页!$B$4))</f>
        <v>4.0370024742296824</v>
      </c>
      <c r="T730" s="6">
        <f>IF($Y$2="按单位面积散热损失 qp",2*PI()*首页!$B$8*((E730-D730)/$Y$3-1/R730),2*PI()*首页!$B$8*((E730-D730)/$Y$4-1/(PI()*B730*R730)))</f>
        <v>4.0784272037841428E-2</v>
      </c>
      <c r="U730" t="str">
        <f t="shared" si="118"/>
        <v>按单位面积散热损失 qp</v>
      </c>
      <c r="V730" s="6">
        <f t="shared" si="119"/>
        <v>3.9962182021918409</v>
      </c>
    </row>
    <row r="731" spans="1:22" x14ac:dyDescent="0.15">
      <c r="A731">
        <v>726</v>
      </c>
      <c r="B731" s="6">
        <f>首页!$B$4+2*A731/1000</f>
        <v>1.5720000000000001</v>
      </c>
      <c r="C731" s="6">
        <f>首页!$B$7+273.15</f>
        <v>388.15</v>
      </c>
      <c r="D731" s="6">
        <f>首页!$B$6+273.15</f>
        <v>293.14999999999998</v>
      </c>
      <c r="E731" s="6">
        <f>首页!$B$5+273.15</f>
        <v>1373.15</v>
      </c>
      <c r="F731" s="6">
        <f t="shared" si="110"/>
        <v>95</v>
      </c>
      <c r="G731" s="6">
        <f t="shared" si="111"/>
        <v>340.65</v>
      </c>
      <c r="H731" s="6">
        <f t="shared" si="112"/>
        <v>1.9926207055139041E-5</v>
      </c>
      <c r="I731" s="7">
        <f t="shared" si="113"/>
        <v>1158916576932337.8</v>
      </c>
      <c r="J731" s="6">
        <f t="shared" si="114"/>
        <v>1.0226038455893147</v>
      </c>
      <c r="K731" s="7">
        <f>J731*H731*首页!$B$12/P731</f>
        <v>0.69532757496605813</v>
      </c>
      <c r="L731" s="6">
        <f>首页!$B$9*0.0000000567*((C731^4-D731^4)/(C731-D731))</f>
        <v>7.7687338005019564</v>
      </c>
      <c r="M731" s="6">
        <f>IF(首页!$B$13="自然对流",IF(首页!$B$14="立式圆筒",首页!$B$10,PI()*B731/2),PI()*B731/2)</f>
        <v>55.2</v>
      </c>
      <c r="N731" s="7">
        <f>IF(首页!$B$13="强制对流",首页!$B$11*M731/H731,0)</f>
        <v>0</v>
      </c>
      <c r="O731" s="7">
        <f>IF(首页!$B$13="自然对流",IF(首页!$B$14="立式圆筒",(0.825+0.3063*I731^(1/6))^2+0.87*(M731/B731),(0.752+0.303*I731^(1/6))^2),0.3+SQRT((0.592*N731^0.5)^2+(0.0262*N731^0.8/(1-0.5/N731^0.1))^2))</f>
        <v>10049.75712125551</v>
      </c>
      <c r="P731" s="6">
        <f t="shared" si="115"/>
        <v>2.9510194925512497E-2</v>
      </c>
      <c r="Q731" s="6">
        <f t="shared" si="116"/>
        <v>5.3726502101867295</v>
      </c>
      <c r="R731" s="6">
        <f t="shared" si="117"/>
        <v>13.141384010688686</v>
      </c>
      <c r="S731" s="6">
        <f>IF($Y$2="按单位面积散热损失 qp",B731*LN(B731/首页!$B$4),LN(B731/首页!$B$4))</f>
        <v>4.0441464258855708</v>
      </c>
      <c r="T731" s="6">
        <f>IF($Y$2="按单位面积散热损失 qp",2*PI()*首页!$B$8*((E731-D731)/$Y$3-1/R731),2*PI()*首页!$B$8*((E731-D731)/$Y$4-1/(PI()*B731*R731)))</f>
        <v>4.0784237975177121E-2</v>
      </c>
      <c r="U731" t="str">
        <f t="shared" si="118"/>
        <v>按单位面积散热损失 qp</v>
      </c>
      <c r="V731" s="6">
        <f t="shared" si="119"/>
        <v>4.003362187910394</v>
      </c>
    </row>
    <row r="732" spans="1:22" x14ac:dyDescent="0.15">
      <c r="A732">
        <v>727</v>
      </c>
      <c r="B732" s="6">
        <f>首页!$B$4+2*A732/1000</f>
        <v>1.5739999999999998</v>
      </c>
      <c r="C732" s="6">
        <f>首页!$B$7+273.15</f>
        <v>388.15</v>
      </c>
      <c r="D732" s="6">
        <f>首页!$B$6+273.15</f>
        <v>293.14999999999998</v>
      </c>
      <c r="E732" s="6">
        <f>首页!$B$5+273.15</f>
        <v>1373.15</v>
      </c>
      <c r="F732" s="6">
        <f t="shared" si="110"/>
        <v>95</v>
      </c>
      <c r="G732" s="6">
        <f t="shared" si="111"/>
        <v>340.65</v>
      </c>
      <c r="H732" s="6">
        <f t="shared" si="112"/>
        <v>1.9926207055139041E-5</v>
      </c>
      <c r="I732" s="7">
        <f t="shared" si="113"/>
        <v>1158916576932337.8</v>
      </c>
      <c r="J732" s="6">
        <f t="shared" si="114"/>
        <v>1.0226038455893147</v>
      </c>
      <c r="K732" s="7">
        <f>J732*H732*首页!$B$12/P732</f>
        <v>0.69532757496605813</v>
      </c>
      <c r="L732" s="6">
        <f>首页!$B$9*0.0000000567*((C732^4-D732^4)/(C732-D732))</f>
        <v>7.7687338005019564</v>
      </c>
      <c r="M732" s="6">
        <f>IF(首页!$B$13="自然对流",IF(首页!$B$14="立式圆筒",首页!$B$10,PI()*B732/2),PI()*B732/2)</f>
        <v>55.2</v>
      </c>
      <c r="N732" s="7">
        <f>IF(首页!$B$13="强制对流",首页!$B$11*M732/H732,0)</f>
        <v>0</v>
      </c>
      <c r="O732" s="7">
        <f>IF(首页!$B$13="自然对流",IF(首页!$B$14="立式圆筒",(0.825+0.3063*I732^(1/6))^2+0.87*(M732/B732),(0.752+0.303*I732^(1/6))^2),0.3+SQRT((0.592*N732^0.5)^2+(0.0262*N732^0.8/(1-0.5/N732^0.1))^2))</f>
        <v>10049.718303443158</v>
      </c>
      <c r="P732" s="6">
        <f t="shared" si="115"/>
        <v>2.9510194925512497E-2</v>
      </c>
      <c r="Q732" s="6">
        <f t="shared" si="116"/>
        <v>5.3726294579909117</v>
      </c>
      <c r="R732" s="6">
        <f t="shared" si="117"/>
        <v>13.141363258492868</v>
      </c>
      <c r="S732" s="6">
        <f>IF($Y$2="按单位面积散热损失 qp",B732*LN(B732/首页!$B$4),LN(B732/首页!$B$4))</f>
        <v>4.0512929220714051</v>
      </c>
      <c r="T732" s="6">
        <f>IF($Y$2="按单位面积散热损失 qp",2*PI()*首页!$B$8*((E732-D732)/$Y$3-1/R732),2*PI()*首页!$B$8*((E732-D732)/$Y$4-1/(PI()*B732*R732)))</f>
        <v>4.0784203998968684E-2</v>
      </c>
      <c r="U732" t="str">
        <f t="shared" si="118"/>
        <v>按单位面积散热损失 qp</v>
      </c>
      <c r="V732" s="6">
        <f t="shared" si="119"/>
        <v>4.0105087180724368</v>
      </c>
    </row>
    <row r="733" spans="1:22" x14ac:dyDescent="0.15">
      <c r="A733">
        <v>728</v>
      </c>
      <c r="B733" s="6">
        <f>首页!$B$4+2*A733/1000</f>
        <v>1.5760000000000001</v>
      </c>
      <c r="C733" s="6">
        <f>首页!$B$7+273.15</f>
        <v>388.15</v>
      </c>
      <c r="D733" s="6">
        <f>首页!$B$6+273.15</f>
        <v>293.14999999999998</v>
      </c>
      <c r="E733" s="6">
        <f>首页!$B$5+273.15</f>
        <v>1373.15</v>
      </c>
      <c r="F733" s="6">
        <f t="shared" si="110"/>
        <v>95</v>
      </c>
      <c r="G733" s="6">
        <f t="shared" si="111"/>
        <v>340.65</v>
      </c>
      <c r="H733" s="6">
        <f t="shared" si="112"/>
        <v>1.9926207055139041E-5</v>
      </c>
      <c r="I733" s="7">
        <f t="shared" si="113"/>
        <v>1158916576932337.8</v>
      </c>
      <c r="J733" s="6">
        <f t="shared" si="114"/>
        <v>1.0226038455893147</v>
      </c>
      <c r="K733" s="7">
        <f>J733*H733*首页!$B$12/P733</f>
        <v>0.69532757496605813</v>
      </c>
      <c r="L733" s="6">
        <f>首页!$B$9*0.0000000567*((C733^4-D733^4)/(C733-D733))</f>
        <v>7.7687338005019564</v>
      </c>
      <c r="M733" s="6">
        <f>IF(首页!$B$13="自然对流",IF(首页!$B$14="立式圆筒",首页!$B$10,PI()*B733/2),PI()*B733/2)</f>
        <v>55.2</v>
      </c>
      <c r="N733" s="7">
        <f>IF(首页!$B$13="强制对流",首页!$B$11*M733/H733,0)</f>
        <v>0</v>
      </c>
      <c r="O733" s="7">
        <f>IF(首页!$B$13="自然对流",IF(首页!$B$14="立式圆筒",(0.825+0.3063*I733^(1/6))^2+0.87*(M733/B733),(0.752+0.303*I733^(1/6))^2),0.3+SQRT((0.592*N733^0.5)^2+(0.0262*N733^0.8/(1-0.5/N733^0.1))^2))</f>
        <v>10049.679584153175</v>
      </c>
      <c r="P733" s="6">
        <f t="shared" si="115"/>
        <v>2.9510194925512497E-2</v>
      </c>
      <c r="Q733" s="6">
        <f t="shared" si="116"/>
        <v>5.3726087584656446</v>
      </c>
      <c r="R733" s="6">
        <f t="shared" si="117"/>
        <v>13.141342558967601</v>
      </c>
      <c r="S733" s="6">
        <f>IF($Y$2="按单位面积散热损失 qp",B733*LN(B733/首页!$B$4),LN(B733/首页!$B$4))</f>
        <v>4.0584419595539867</v>
      </c>
      <c r="T733" s="6">
        <f>IF($Y$2="按单位面积散热损失 qp",2*PI()*首页!$B$8*((E733-D733)/$Y$3-1/R733),2*PI()*首页!$B$8*((E733-D733)/$Y$4-1/(PI()*B733*R733)))</f>
        <v>4.078417010888738E-2</v>
      </c>
      <c r="U733" t="str">
        <f t="shared" si="118"/>
        <v>按单位面积散热损失 qp</v>
      </c>
      <c r="V733" s="6">
        <f t="shared" si="119"/>
        <v>4.0176577894450993</v>
      </c>
    </row>
    <row r="734" spans="1:22" x14ac:dyDescent="0.15">
      <c r="A734">
        <v>729</v>
      </c>
      <c r="B734" s="6">
        <f>首页!$B$4+2*A734/1000</f>
        <v>1.5779999999999998</v>
      </c>
      <c r="C734" s="6">
        <f>首页!$B$7+273.15</f>
        <v>388.15</v>
      </c>
      <c r="D734" s="6">
        <f>首页!$B$6+273.15</f>
        <v>293.14999999999998</v>
      </c>
      <c r="E734" s="6">
        <f>首页!$B$5+273.15</f>
        <v>1373.15</v>
      </c>
      <c r="F734" s="6">
        <f t="shared" si="110"/>
        <v>95</v>
      </c>
      <c r="G734" s="6">
        <f t="shared" si="111"/>
        <v>340.65</v>
      </c>
      <c r="H734" s="6">
        <f t="shared" si="112"/>
        <v>1.9926207055139041E-5</v>
      </c>
      <c r="I734" s="7">
        <f t="shared" si="113"/>
        <v>1158916576932337.8</v>
      </c>
      <c r="J734" s="6">
        <f t="shared" si="114"/>
        <v>1.0226038455893147</v>
      </c>
      <c r="K734" s="7">
        <f>J734*H734*首页!$B$12/P734</f>
        <v>0.69532757496605813</v>
      </c>
      <c r="L734" s="6">
        <f>首页!$B$9*0.0000000567*((C734^4-D734^4)/(C734-D734))</f>
        <v>7.7687338005019564</v>
      </c>
      <c r="M734" s="6">
        <f>IF(首页!$B$13="自然对流",IF(首页!$B$14="立式圆筒",首页!$B$10,PI()*B734/2),PI()*B734/2)</f>
        <v>55.2</v>
      </c>
      <c r="N734" s="7">
        <f>IF(首页!$B$13="强制对流",首页!$B$11*M734/H734,0)</f>
        <v>0</v>
      </c>
      <c r="O734" s="7">
        <f>IF(首页!$B$13="自然对流",IF(首页!$B$14="立式圆筒",(0.825+0.3063*I734^(1/6))^2+0.87*(M734/B734),(0.752+0.303*I734^(1/6))^2),0.3+SQRT((0.592*N734^0.5)^2+(0.0262*N734^0.8/(1-0.5/N734^0.1))^2))</f>
        <v>10049.640963010945</v>
      </c>
      <c r="P734" s="6">
        <f t="shared" si="115"/>
        <v>2.9510194925512497E-2</v>
      </c>
      <c r="Q734" s="6">
        <f t="shared" si="116"/>
        <v>5.3725881114106535</v>
      </c>
      <c r="R734" s="6">
        <f t="shared" si="117"/>
        <v>13.141321911912609</v>
      </c>
      <c r="S734" s="6">
        <f>IF($Y$2="按单位面积散热损失 qp",B734*LN(B734/首页!$B$4),LN(B734/首页!$B$4))</f>
        <v>4.0655935351083139</v>
      </c>
      <c r="T734" s="6">
        <f>IF($Y$2="按单位面积散热损失 qp",2*PI()*首页!$B$8*((E734-D734)/$Y$3-1/R734),2*PI()*首页!$B$8*((E734-D734)/$Y$4-1/(PI()*B734*R734)))</f>
        <v>4.0784136304606131E-2</v>
      </c>
      <c r="U734" t="str">
        <f t="shared" si="118"/>
        <v>按单位面积散热损失 qp</v>
      </c>
      <c r="V734" s="6">
        <f t="shared" si="119"/>
        <v>4.0248093988037077</v>
      </c>
    </row>
    <row r="735" spans="1:22" x14ac:dyDescent="0.15">
      <c r="A735">
        <v>730</v>
      </c>
      <c r="B735" s="6">
        <f>首页!$B$4+2*A735/1000</f>
        <v>1.58</v>
      </c>
      <c r="C735" s="6">
        <f>首页!$B$7+273.15</f>
        <v>388.15</v>
      </c>
      <c r="D735" s="6">
        <f>首页!$B$6+273.15</f>
        <v>293.14999999999998</v>
      </c>
      <c r="E735" s="6">
        <f>首页!$B$5+273.15</f>
        <v>1373.15</v>
      </c>
      <c r="F735" s="6">
        <f t="shared" si="110"/>
        <v>95</v>
      </c>
      <c r="G735" s="6">
        <f t="shared" si="111"/>
        <v>340.65</v>
      </c>
      <c r="H735" s="6">
        <f t="shared" si="112"/>
        <v>1.9926207055139041E-5</v>
      </c>
      <c r="I735" s="7">
        <f t="shared" si="113"/>
        <v>1158916576932337.8</v>
      </c>
      <c r="J735" s="6">
        <f t="shared" si="114"/>
        <v>1.0226038455893147</v>
      </c>
      <c r="K735" s="7">
        <f>J735*H735*首页!$B$12/P735</f>
        <v>0.69532757496605813</v>
      </c>
      <c r="L735" s="6">
        <f>首页!$B$9*0.0000000567*((C735^4-D735^4)/(C735-D735))</f>
        <v>7.7687338005019564</v>
      </c>
      <c r="M735" s="6">
        <f>IF(首页!$B$13="自然对流",IF(首页!$B$14="立式圆筒",首页!$B$10,PI()*B735/2),PI()*B735/2)</f>
        <v>55.2</v>
      </c>
      <c r="N735" s="7">
        <f>IF(首页!$B$13="强制对流",首页!$B$11*M735/H735,0)</f>
        <v>0</v>
      </c>
      <c r="O735" s="7">
        <f>IF(首页!$B$13="自然对流",IF(首页!$B$14="立式圆筒",(0.825+0.3063*I735^(1/6))^2+0.87*(M735/B735),(0.752+0.303*I735^(1/6))^2),0.3+SQRT((0.592*N735^0.5)^2+(0.0262*N735^0.8/(1-0.5/N735^0.1))^2))</f>
        <v>10049.602439643761</v>
      </c>
      <c r="P735" s="6">
        <f t="shared" si="115"/>
        <v>2.9510194925512497E-2</v>
      </c>
      <c r="Q735" s="6">
        <f t="shared" si="116"/>
        <v>5.37256751662669</v>
      </c>
      <c r="R735" s="6">
        <f t="shared" si="117"/>
        <v>13.141301317128647</v>
      </c>
      <c r="S735" s="6">
        <f>IF($Y$2="按单位面积散热损失 qp",B735*LN(B735/首页!$B$4),LN(B735/首页!$B$4))</f>
        <v>4.0727476455175671</v>
      </c>
      <c r="T735" s="6">
        <f>IF($Y$2="按单位面积散热损失 qp",2*PI()*首页!$B$8*((E735-D735)/$Y$3-1/R735),2*PI()*首页!$B$8*((E735-D735)/$Y$4-1/(PI()*B735*R735)))</f>
        <v>4.0784102585799537E-2</v>
      </c>
      <c r="U735" t="str">
        <f t="shared" si="118"/>
        <v>按单位面积散热损失 qp</v>
      </c>
      <c r="V735" s="6">
        <f t="shared" si="119"/>
        <v>4.0319635429317673</v>
      </c>
    </row>
    <row r="736" spans="1:22" x14ac:dyDescent="0.15">
      <c r="A736">
        <v>731</v>
      </c>
      <c r="B736" s="6">
        <f>首页!$B$4+2*A736/1000</f>
        <v>1.5819999999999999</v>
      </c>
      <c r="C736" s="6">
        <f>首页!$B$7+273.15</f>
        <v>388.15</v>
      </c>
      <c r="D736" s="6">
        <f>首页!$B$6+273.15</f>
        <v>293.14999999999998</v>
      </c>
      <c r="E736" s="6">
        <f>首页!$B$5+273.15</f>
        <v>1373.15</v>
      </c>
      <c r="F736" s="6">
        <f t="shared" si="110"/>
        <v>95</v>
      </c>
      <c r="G736" s="6">
        <f t="shared" si="111"/>
        <v>340.65</v>
      </c>
      <c r="H736" s="6">
        <f t="shared" si="112"/>
        <v>1.9926207055139041E-5</v>
      </c>
      <c r="I736" s="7">
        <f t="shared" si="113"/>
        <v>1158916576932337.8</v>
      </c>
      <c r="J736" s="6">
        <f t="shared" si="114"/>
        <v>1.0226038455893147</v>
      </c>
      <c r="K736" s="7">
        <f>J736*H736*首页!$B$12/P736</f>
        <v>0.69532757496605813</v>
      </c>
      <c r="L736" s="6">
        <f>首页!$B$9*0.0000000567*((C736^4-D736^4)/(C736-D736))</f>
        <v>7.7687338005019564</v>
      </c>
      <c r="M736" s="6">
        <f>IF(首页!$B$13="自然对流",IF(首页!$B$14="立式圆筒",首页!$B$10,PI()*B736/2),PI()*B736/2)</f>
        <v>55.2</v>
      </c>
      <c r="N736" s="7">
        <f>IF(首页!$B$13="强制对流",首页!$B$11*M736/H736,0)</f>
        <v>0</v>
      </c>
      <c r="O736" s="7">
        <f>IF(首页!$B$13="自然对流",IF(首页!$B$14="立式圆筒",(0.825+0.3063*I736^(1/6))^2+0.87*(M736/B736),(0.752+0.303*I736^(1/6))^2),0.3+SQRT((0.592*N736^0.5)^2+(0.0262*N736^0.8/(1-0.5/N736^0.1))^2))</f>
        <v>10049.564013680791</v>
      </c>
      <c r="P736" s="6">
        <f t="shared" si="115"/>
        <v>2.9510194925512497E-2</v>
      </c>
      <c r="Q736" s="6">
        <f t="shared" si="116"/>
        <v>5.3725469739155045</v>
      </c>
      <c r="R736" s="6">
        <f t="shared" si="117"/>
        <v>13.14128077441746</v>
      </c>
      <c r="S736" s="6">
        <f>IF($Y$2="按单位面积散热损失 qp",B736*LN(B736/首页!$B$4),LN(B736/首页!$B$4))</f>
        <v>4.079904287573064</v>
      </c>
      <c r="T736" s="6">
        <f>IF($Y$2="按单位面积散热损失 qp",2*PI()*首页!$B$8*((E736-D736)/$Y$3-1/R736),2*PI()*首页!$B$8*((E736-D736)/$Y$4-1/(PI()*B736*R736)))</f>
        <v>4.078406895214378E-2</v>
      </c>
      <c r="U736" t="str">
        <f t="shared" si="118"/>
        <v>按单位面积散热损失 qp</v>
      </c>
      <c r="V736" s="6">
        <f t="shared" si="119"/>
        <v>4.0391202186209201</v>
      </c>
    </row>
    <row r="737" spans="1:22" x14ac:dyDescent="0.15">
      <c r="A737">
        <v>732</v>
      </c>
      <c r="B737" s="6">
        <f>首页!$B$4+2*A737/1000</f>
        <v>1.5840000000000001</v>
      </c>
      <c r="C737" s="6">
        <f>首页!$B$7+273.15</f>
        <v>388.15</v>
      </c>
      <c r="D737" s="6">
        <f>首页!$B$6+273.15</f>
        <v>293.14999999999998</v>
      </c>
      <c r="E737" s="6">
        <f>首页!$B$5+273.15</f>
        <v>1373.15</v>
      </c>
      <c r="F737" s="6">
        <f t="shared" si="110"/>
        <v>95</v>
      </c>
      <c r="G737" s="6">
        <f t="shared" si="111"/>
        <v>340.65</v>
      </c>
      <c r="H737" s="6">
        <f t="shared" si="112"/>
        <v>1.9926207055139041E-5</v>
      </c>
      <c r="I737" s="7">
        <f t="shared" si="113"/>
        <v>1158916576932337.8</v>
      </c>
      <c r="J737" s="6">
        <f t="shared" si="114"/>
        <v>1.0226038455893147</v>
      </c>
      <c r="K737" s="7">
        <f>J737*H737*首页!$B$12/P737</f>
        <v>0.69532757496605813</v>
      </c>
      <c r="L737" s="6">
        <f>首页!$B$9*0.0000000567*((C737^4-D737^4)/(C737-D737))</f>
        <v>7.7687338005019564</v>
      </c>
      <c r="M737" s="6">
        <f>IF(首页!$B$13="自然对流",IF(首页!$B$14="立式圆筒",首页!$B$10,PI()*B737/2),PI()*B737/2)</f>
        <v>55.2</v>
      </c>
      <c r="N737" s="7">
        <f>IF(首页!$B$13="强制对流",首页!$B$11*M737/H737,0)</f>
        <v>0</v>
      </c>
      <c r="O737" s="7">
        <f>IF(首页!$B$13="自然对流",IF(首页!$B$14="立式圆筒",(0.825+0.3063*I737^(1/6))^2+0.87*(M737/B737),(0.752+0.303*I737^(1/6))^2),0.3+SQRT((0.592*N737^0.5)^2+(0.0262*N737^0.8/(1-0.5/N737^0.1))^2))</f>
        <v>10049.525684753082</v>
      </c>
      <c r="P737" s="6">
        <f t="shared" si="115"/>
        <v>2.9510194925512497E-2</v>
      </c>
      <c r="Q737" s="6">
        <f t="shared" si="116"/>
        <v>5.3725264830798531</v>
      </c>
      <c r="R737" s="6">
        <f t="shared" si="117"/>
        <v>13.14126028358181</v>
      </c>
      <c r="S737" s="6">
        <f>IF($Y$2="按单位面积散热损失 qp",B737*LN(B737/首页!$B$4),LN(B737/首页!$B$4))</f>
        <v>4.0870634580742431</v>
      </c>
      <c r="T737" s="6">
        <f>IF($Y$2="按单位面积散热损失 qp",2*PI()*首页!$B$8*((E737-D737)/$Y$3-1/R737),2*PI()*首页!$B$8*((E737-D737)/$Y$4-1/(PI()*B737*R737)))</f>
        <v>4.0784035403316765E-2</v>
      </c>
      <c r="U737" t="str">
        <f t="shared" si="118"/>
        <v>按单位面积散热损失 qp</v>
      </c>
      <c r="V737" s="6">
        <f t="shared" si="119"/>
        <v>4.046279422670926</v>
      </c>
    </row>
    <row r="738" spans="1:22" x14ac:dyDescent="0.15">
      <c r="A738">
        <v>733</v>
      </c>
      <c r="B738" s="6">
        <f>首页!$B$4+2*A738/1000</f>
        <v>1.5859999999999999</v>
      </c>
      <c r="C738" s="6">
        <f>首页!$B$7+273.15</f>
        <v>388.15</v>
      </c>
      <c r="D738" s="6">
        <f>首页!$B$6+273.15</f>
        <v>293.14999999999998</v>
      </c>
      <c r="E738" s="6">
        <f>首页!$B$5+273.15</f>
        <v>1373.15</v>
      </c>
      <c r="F738" s="6">
        <f t="shared" si="110"/>
        <v>95</v>
      </c>
      <c r="G738" s="6">
        <f t="shared" si="111"/>
        <v>340.65</v>
      </c>
      <c r="H738" s="6">
        <f t="shared" si="112"/>
        <v>1.9926207055139041E-5</v>
      </c>
      <c r="I738" s="7">
        <f t="shared" si="113"/>
        <v>1158916576932337.8</v>
      </c>
      <c r="J738" s="6">
        <f t="shared" si="114"/>
        <v>1.0226038455893147</v>
      </c>
      <c r="K738" s="7">
        <f>J738*H738*首页!$B$12/P738</f>
        <v>0.69532757496605813</v>
      </c>
      <c r="L738" s="6">
        <f>首页!$B$9*0.0000000567*((C738^4-D738^4)/(C738-D738))</f>
        <v>7.7687338005019564</v>
      </c>
      <c r="M738" s="6">
        <f>IF(首页!$B$13="自然对流",IF(首页!$B$14="立式圆筒",首页!$B$10,PI()*B738/2),PI()*B738/2)</f>
        <v>55.2</v>
      </c>
      <c r="N738" s="7">
        <f>IF(首页!$B$13="强制对流",首页!$B$11*M738/H738,0)</f>
        <v>0</v>
      </c>
      <c r="O738" s="7">
        <f>IF(首页!$B$13="自然对流",IF(首页!$B$14="立式圆筒",(0.825+0.3063*I738^(1/6))^2+0.87*(M738/B738),(0.752+0.303*I738^(1/6))^2),0.3+SQRT((0.592*N738^0.5)^2+(0.0262*N738^0.8/(1-0.5/N738^0.1))^2))</f>
        <v>10049.487452493539</v>
      </c>
      <c r="P738" s="6">
        <f t="shared" si="115"/>
        <v>2.9510194925512497E-2</v>
      </c>
      <c r="Q738" s="6">
        <f t="shared" si="116"/>
        <v>5.372506043923484</v>
      </c>
      <c r="R738" s="6">
        <f t="shared" si="117"/>
        <v>13.14123984442544</v>
      </c>
      <c r="S738" s="6">
        <f>IF($Y$2="按单位面积散热损失 qp",B738*LN(B738/首页!$B$4),LN(B738/首页!$B$4))</f>
        <v>4.0942251538286172</v>
      </c>
      <c r="T738" s="6">
        <f>IF($Y$2="按单位面积散热损失 qp",2*PI()*首页!$B$8*((E738-D738)/$Y$3-1/R738),2*PI()*首页!$B$8*((E738-D738)/$Y$4-1/(PI()*B738*R738)))</f>
        <v>4.0784001938997928E-2</v>
      </c>
      <c r="U738" t="str">
        <f t="shared" si="118"/>
        <v>按单位面积散热损失 qp</v>
      </c>
      <c r="V738" s="6">
        <f t="shared" si="119"/>
        <v>4.0534411518896194</v>
      </c>
    </row>
    <row r="739" spans="1:22" x14ac:dyDescent="0.15">
      <c r="A739">
        <v>734</v>
      </c>
      <c r="B739" s="6">
        <f>首页!$B$4+2*A739/1000</f>
        <v>1.5880000000000001</v>
      </c>
      <c r="C739" s="6">
        <f>首页!$B$7+273.15</f>
        <v>388.15</v>
      </c>
      <c r="D739" s="6">
        <f>首页!$B$6+273.15</f>
        <v>293.14999999999998</v>
      </c>
      <c r="E739" s="6">
        <f>首页!$B$5+273.15</f>
        <v>1373.15</v>
      </c>
      <c r="F739" s="6">
        <f t="shared" si="110"/>
        <v>95</v>
      </c>
      <c r="G739" s="6">
        <f t="shared" si="111"/>
        <v>340.65</v>
      </c>
      <c r="H739" s="6">
        <f t="shared" si="112"/>
        <v>1.9926207055139041E-5</v>
      </c>
      <c r="I739" s="7">
        <f t="shared" si="113"/>
        <v>1158916576932337.8</v>
      </c>
      <c r="J739" s="6">
        <f t="shared" si="114"/>
        <v>1.0226038455893147</v>
      </c>
      <c r="K739" s="7">
        <f>J739*H739*首页!$B$12/P739</f>
        <v>0.69532757496605813</v>
      </c>
      <c r="L739" s="6">
        <f>首页!$B$9*0.0000000567*((C739^4-D739^4)/(C739-D739))</f>
        <v>7.7687338005019564</v>
      </c>
      <c r="M739" s="6">
        <f>IF(首页!$B$13="自然对流",IF(首页!$B$14="立式圆筒",首页!$B$10,PI()*B739/2),PI()*B739/2)</f>
        <v>55.2</v>
      </c>
      <c r="N739" s="7">
        <f>IF(首页!$B$13="强制对流",首页!$B$11*M739/H739,0)</f>
        <v>0</v>
      </c>
      <c r="O739" s="7">
        <f>IF(首页!$B$13="自然对流",IF(首页!$B$14="立式圆筒",(0.825+0.3063*I739^(1/6))^2+0.87*(M739/B739),(0.752+0.303*I739^(1/6))^2),0.3+SQRT((0.592*N739^0.5)^2+(0.0262*N739^0.8/(1-0.5/N739^0.1))^2))</f>
        <v>10049.449316536915</v>
      </c>
      <c r="P739" s="6">
        <f t="shared" si="115"/>
        <v>2.9510194925512497E-2</v>
      </c>
      <c r="Q739" s="6">
        <f t="shared" si="116"/>
        <v>5.3724856562511354</v>
      </c>
      <c r="R739" s="6">
        <f t="shared" si="117"/>
        <v>13.141219456753092</v>
      </c>
      <c r="S739" s="6">
        <f>IF($Y$2="按单位面积散热损失 qp",B739*LN(B739/首页!$B$4),LN(B739/首页!$B$4))</f>
        <v>4.1013893716517567</v>
      </c>
      <c r="T739" s="6">
        <f>IF($Y$2="按单位面积散热损失 qp",2*PI()*首页!$B$8*((E739-D739)/$Y$3-1/R739),2*PI()*首页!$B$8*((E739-D739)/$Y$4-1/(PI()*B739*R739)))</f>
        <v>4.07839685588684E-2</v>
      </c>
      <c r="U739" t="str">
        <f t="shared" si="118"/>
        <v>按单位面积散热损失 qp</v>
      </c>
      <c r="V739" s="6">
        <f t="shared" si="119"/>
        <v>4.0606054030928886</v>
      </c>
    </row>
    <row r="740" spans="1:22" x14ac:dyDescent="0.15">
      <c r="A740">
        <v>735</v>
      </c>
      <c r="B740" s="6">
        <f>首页!$B$4+2*A740/1000</f>
        <v>1.5899999999999999</v>
      </c>
      <c r="C740" s="6">
        <f>首页!$B$7+273.15</f>
        <v>388.15</v>
      </c>
      <c r="D740" s="6">
        <f>首页!$B$6+273.15</f>
        <v>293.14999999999998</v>
      </c>
      <c r="E740" s="6">
        <f>首页!$B$5+273.15</f>
        <v>1373.15</v>
      </c>
      <c r="F740" s="6">
        <f t="shared" si="110"/>
        <v>95</v>
      </c>
      <c r="G740" s="6">
        <f t="shared" si="111"/>
        <v>340.65</v>
      </c>
      <c r="H740" s="6">
        <f t="shared" si="112"/>
        <v>1.9926207055139041E-5</v>
      </c>
      <c r="I740" s="7">
        <f t="shared" si="113"/>
        <v>1158916576932337.8</v>
      </c>
      <c r="J740" s="6">
        <f t="shared" si="114"/>
        <v>1.0226038455893147</v>
      </c>
      <c r="K740" s="7">
        <f>J740*H740*首页!$B$12/P740</f>
        <v>0.69532757496605813</v>
      </c>
      <c r="L740" s="6">
        <f>首页!$B$9*0.0000000567*((C740^4-D740^4)/(C740-D740))</f>
        <v>7.7687338005019564</v>
      </c>
      <c r="M740" s="6">
        <f>IF(首页!$B$13="自然对流",IF(首页!$B$14="立式圆筒",首页!$B$10,PI()*B740/2),PI()*B740/2)</f>
        <v>55.2</v>
      </c>
      <c r="N740" s="7">
        <f>IF(首页!$B$13="强制对流",首页!$B$11*M740/H740,0)</f>
        <v>0</v>
      </c>
      <c r="O740" s="7">
        <f>IF(首页!$B$13="自然对流",IF(首页!$B$14="立式圆筒",(0.825+0.3063*I740^(1/6))^2+0.87*(M740/B740),(0.752+0.303*I740^(1/6))^2),0.3+SQRT((0.592*N740^0.5)^2+(0.0262*N740^0.8/(1-0.5/N740^0.1))^2))</f>
        <v>10049.411276519806</v>
      </c>
      <c r="P740" s="6">
        <f t="shared" si="115"/>
        <v>2.9510194925512497E-2</v>
      </c>
      <c r="Q740" s="6">
        <f t="shared" si="116"/>
        <v>5.372465319868529</v>
      </c>
      <c r="R740" s="6">
        <f t="shared" si="117"/>
        <v>13.141199120370485</v>
      </c>
      <c r="S740" s="6">
        <f>IF($Y$2="按单位面积散热损失 qp",B740*LN(B740/首页!$B$4),LN(B740/首页!$B$4))</f>
        <v>4.1085561083672468</v>
      </c>
      <c r="T740" s="6">
        <f>IF($Y$2="按单位面积散热损失 qp",2*PI()*首页!$B$8*((E740-D740)/$Y$3-1/R740),2*PI()*首页!$B$8*((E740-D740)/$Y$4-1/(PI()*B740*R740)))</f>
        <v>4.0783935262610836E-2</v>
      </c>
      <c r="U740" t="str">
        <f t="shared" si="118"/>
        <v>按单位面积散热损失 qp</v>
      </c>
      <c r="V740" s="6">
        <f t="shared" si="119"/>
        <v>4.0677721731046361</v>
      </c>
    </row>
    <row r="741" spans="1:22" x14ac:dyDescent="0.15">
      <c r="A741">
        <v>736</v>
      </c>
      <c r="B741" s="6">
        <f>首页!$B$4+2*A741/1000</f>
        <v>1.5920000000000001</v>
      </c>
      <c r="C741" s="6">
        <f>首页!$B$7+273.15</f>
        <v>388.15</v>
      </c>
      <c r="D741" s="6">
        <f>首页!$B$6+273.15</f>
        <v>293.14999999999998</v>
      </c>
      <c r="E741" s="6">
        <f>首页!$B$5+273.15</f>
        <v>1373.15</v>
      </c>
      <c r="F741" s="6">
        <f t="shared" si="110"/>
        <v>95</v>
      </c>
      <c r="G741" s="6">
        <f t="shared" si="111"/>
        <v>340.65</v>
      </c>
      <c r="H741" s="6">
        <f t="shared" si="112"/>
        <v>1.9926207055139041E-5</v>
      </c>
      <c r="I741" s="7">
        <f t="shared" si="113"/>
        <v>1158916576932337.8</v>
      </c>
      <c r="J741" s="6">
        <f t="shared" si="114"/>
        <v>1.0226038455893147</v>
      </c>
      <c r="K741" s="7">
        <f>J741*H741*首页!$B$12/P741</f>
        <v>0.69532757496605813</v>
      </c>
      <c r="L741" s="6">
        <f>首页!$B$9*0.0000000567*((C741^4-D741^4)/(C741-D741))</f>
        <v>7.7687338005019564</v>
      </c>
      <c r="M741" s="6">
        <f>IF(首页!$B$13="自然对流",IF(首页!$B$14="立式圆筒",首页!$B$10,PI()*B741/2),PI()*B741/2)</f>
        <v>55.2</v>
      </c>
      <c r="N741" s="7">
        <f>IF(首页!$B$13="强制对流",首页!$B$11*M741/H741,0)</f>
        <v>0</v>
      </c>
      <c r="O741" s="7">
        <f>IF(首页!$B$13="自然对流",IF(首页!$B$14="立式圆筒",(0.825+0.3063*I741^(1/6))^2+0.87*(M741/B741),(0.752+0.303*I741^(1/6))^2),0.3+SQRT((0.592*N741^0.5)^2+(0.0262*N741^0.8/(1-0.5/N741^0.1))^2))</f>
        <v>10049.373332080628</v>
      </c>
      <c r="P741" s="6">
        <f t="shared" si="115"/>
        <v>2.9510194925512497E-2</v>
      </c>
      <c r="Q741" s="6">
        <f t="shared" si="116"/>
        <v>5.3724450345823609</v>
      </c>
      <c r="R741" s="6">
        <f t="shared" si="117"/>
        <v>13.141178835084318</v>
      </c>
      <c r="S741" s="6">
        <f>IF($Y$2="按单位面积散热损失 qp",B741*LN(B741/首页!$B$4),LN(B741/首页!$B$4))</f>
        <v>4.1157253608066737</v>
      </c>
      <c r="T741" s="6">
        <f>IF($Y$2="按单位面积散热损失 qp",2*PI()*首页!$B$8*((E741-D741)/$Y$3-1/R741),2*PI()*首页!$B$8*((E741-D741)/$Y$4-1/(PI()*B741*R741)))</f>
        <v>4.0783902049909566E-2</v>
      </c>
      <c r="U741" t="str">
        <f t="shared" si="118"/>
        <v>按单位面积散热损失 qp</v>
      </c>
      <c r="V741" s="6">
        <f t="shared" si="119"/>
        <v>4.0749414587567641</v>
      </c>
    </row>
    <row r="742" spans="1:22" x14ac:dyDescent="0.15">
      <c r="A742">
        <v>737</v>
      </c>
      <c r="B742" s="6">
        <f>首页!$B$4+2*A742/1000</f>
        <v>1.5939999999999999</v>
      </c>
      <c r="C742" s="6">
        <f>首页!$B$7+273.15</f>
        <v>388.15</v>
      </c>
      <c r="D742" s="6">
        <f>首页!$B$6+273.15</f>
        <v>293.14999999999998</v>
      </c>
      <c r="E742" s="6">
        <f>首页!$B$5+273.15</f>
        <v>1373.15</v>
      </c>
      <c r="F742" s="6">
        <f t="shared" si="110"/>
        <v>95</v>
      </c>
      <c r="G742" s="6">
        <f t="shared" si="111"/>
        <v>340.65</v>
      </c>
      <c r="H742" s="6">
        <f t="shared" si="112"/>
        <v>1.9926207055139041E-5</v>
      </c>
      <c r="I742" s="7">
        <f t="shared" si="113"/>
        <v>1158916576932337.8</v>
      </c>
      <c r="J742" s="6">
        <f t="shared" si="114"/>
        <v>1.0226038455893147</v>
      </c>
      <c r="K742" s="7">
        <f>J742*H742*首页!$B$12/P742</f>
        <v>0.69532757496605813</v>
      </c>
      <c r="L742" s="6">
        <f>首页!$B$9*0.0000000567*((C742^4-D742^4)/(C742-D742))</f>
        <v>7.7687338005019564</v>
      </c>
      <c r="M742" s="6">
        <f>IF(首页!$B$13="自然对流",IF(首页!$B$14="立式圆筒",首页!$B$10,PI()*B742/2),PI()*B742/2)</f>
        <v>55.2</v>
      </c>
      <c r="N742" s="7">
        <f>IF(首页!$B$13="强制对流",首页!$B$11*M742/H742,0)</f>
        <v>0</v>
      </c>
      <c r="O742" s="7">
        <f>IF(首页!$B$13="自然对流",IF(首页!$B$14="立式圆筒",(0.825+0.3063*I742^(1/6))^2+0.87*(M742/B742),(0.752+0.303*I742^(1/6))^2),0.3+SQRT((0.592*N742^0.5)^2+(0.0262*N742^0.8/(1-0.5/N742^0.1))^2))</f>
        <v>10049.335482859618</v>
      </c>
      <c r="P742" s="6">
        <f t="shared" si="115"/>
        <v>2.9510194925512497E-2</v>
      </c>
      <c r="Q742" s="6">
        <f t="shared" si="116"/>
        <v>5.3724248002002994</v>
      </c>
      <c r="R742" s="6">
        <f t="shared" si="117"/>
        <v>13.141158600702255</v>
      </c>
      <c r="S742" s="6">
        <f>IF($Y$2="按单位面积散热损失 qp",B742*LN(B742/首页!$B$4),LN(B742/首页!$B$4))</f>
        <v>4.1228971258095743</v>
      </c>
      <c r="T742" s="6">
        <f>IF($Y$2="按单位面积散热损失 qp",2*PI()*首页!$B$8*((E742-D742)/$Y$3-1/R742),2*PI()*首页!$B$8*((E742-D742)/$Y$4-1/(PI()*B742*R742)))</f>
        <v>4.0783868920450418E-2</v>
      </c>
      <c r="U742" t="str">
        <f t="shared" si="118"/>
        <v>按单位面积散热损失 qp</v>
      </c>
      <c r="V742" s="6">
        <f t="shared" si="119"/>
        <v>4.0821132568891239</v>
      </c>
    </row>
    <row r="743" spans="1:22" x14ac:dyDescent="0.15">
      <c r="A743">
        <v>738</v>
      </c>
      <c r="B743" s="6">
        <f>首页!$B$4+2*A743/1000</f>
        <v>1.5960000000000001</v>
      </c>
      <c r="C743" s="6">
        <f>首页!$B$7+273.15</f>
        <v>388.15</v>
      </c>
      <c r="D743" s="6">
        <f>首页!$B$6+273.15</f>
        <v>293.14999999999998</v>
      </c>
      <c r="E743" s="6">
        <f>首页!$B$5+273.15</f>
        <v>1373.15</v>
      </c>
      <c r="F743" s="6">
        <f t="shared" si="110"/>
        <v>95</v>
      </c>
      <c r="G743" s="6">
        <f t="shared" si="111"/>
        <v>340.65</v>
      </c>
      <c r="H743" s="6">
        <f t="shared" si="112"/>
        <v>1.9926207055139041E-5</v>
      </c>
      <c r="I743" s="7">
        <f t="shared" si="113"/>
        <v>1158916576932337.8</v>
      </c>
      <c r="J743" s="6">
        <f t="shared" si="114"/>
        <v>1.0226038455893147</v>
      </c>
      <c r="K743" s="7">
        <f>J743*H743*首页!$B$12/P743</f>
        <v>0.69532757496605813</v>
      </c>
      <c r="L743" s="6">
        <f>首页!$B$9*0.0000000567*((C743^4-D743^4)/(C743-D743))</f>
        <v>7.7687338005019564</v>
      </c>
      <c r="M743" s="6">
        <f>IF(首页!$B$13="自然对流",IF(首页!$B$14="立式圆筒",首页!$B$10,PI()*B743/2),PI()*B743/2)</f>
        <v>55.2</v>
      </c>
      <c r="N743" s="7">
        <f>IF(首页!$B$13="强制对流",首页!$B$11*M743/H743,0)</f>
        <v>0</v>
      </c>
      <c r="O743" s="7">
        <f>IF(首页!$B$13="自然对流",IF(首页!$B$14="立式圆筒",(0.825+0.3063*I743^(1/6))^2+0.87*(M743/B743),(0.752+0.303*I743^(1/6))^2),0.3+SQRT((0.592*N743^0.5)^2+(0.0262*N743^0.8/(1-0.5/N743^0.1))^2))</f>
        <v>10049.29772849881</v>
      </c>
      <c r="P743" s="6">
        <f t="shared" si="115"/>
        <v>2.9510194925512497E-2</v>
      </c>
      <c r="Q743" s="6">
        <f t="shared" si="116"/>
        <v>5.3724046165309751</v>
      </c>
      <c r="R743" s="6">
        <f t="shared" si="117"/>
        <v>13.141138417032931</v>
      </c>
      <c r="S743" s="6">
        <f>IF($Y$2="按单位面积散热损失 qp",B743*LN(B743/首页!$B$4),LN(B743/首页!$B$4))</f>
        <v>4.1300714002234225</v>
      </c>
      <c r="T743" s="6">
        <f>IF($Y$2="按单位面积散热损失 qp",2*PI()*首页!$B$8*((E743-D743)/$Y$3-1/R743),2*PI()*首页!$B$8*((E743-D743)/$Y$4-1/(PI()*B743*R743)))</f>
        <v>4.0783835873920871E-2</v>
      </c>
      <c r="U743" t="str">
        <f t="shared" si="118"/>
        <v>按单位面积散热损失 qp</v>
      </c>
      <c r="V743" s="6">
        <f t="shared" si="119"/>
        <v>4.0892875643495019</v>
      </c>
    </row>
    <row r="744" spans="1:22" x14ac:dyDescent="0.15">
      <c r="A744">
        <v>739</v>
      </c>
      <c r="B744" s="6">
        <f>首页!$B$4+2*A744/1000</f>
        <v>1.5979999999999999</v>
      </c>
      <c r="C744" s="6">
        <f>首页!$B$7+273.15</f>
        <v>388.15</v>
      </c>
      <c r="D744" s="6">
        <f>首页!$B$6+273.15</f>
        <v>293.14999999999998</v>
      </c>
      <c r="E744" s="6">
        <f>首页!$B$5+273.15</f>
        <v>1373.15</v>
      </c>
      <c r="F744" s="6">
        <f t="shared" si="110"/>
        <v>95</v>
      </c>
      <c r="G744" s="6">
        <f t="shared" si="111"/>
        <v>340.65</v>
      </c>
      <c r="H744" s="6">
        <f t="shared" si="112"/>
        <v>1.9926207055139041E-5</v>
      </c>
      <c r="I744" s="7">
        <f t="shared" si="113"/>
        <v>1158916576932337.8</v>
      </c>
      <c r="J744" s="6">
        <f t="shared" si="114"/>
        <v>1.0226038455893147</v>
      </c>
      <c r="K744" s="7">
        <f>J744*H744*首页!$B$12/P744</f>
        <v>0.69532757496605813</v>
      </c>
      <c r="L744" s="6">
        <f>首页!$B$9*0.0000000567*((C744^4-D744^4)/(C744-D744))</f>
        <v>7.7687338005019564</v>
      </c>
      <c r="M744" s="6">
        <f>IF(首页!$B$13="自然对流",IF(首页!$B$14="立式圆筒",首页!$B$10,PI()*B744/2),PI()*B744/2)</f>
        <v>55.2</v>
      </c>
      <c r="N744" s="7">
        <f>IF(首页!$B$13="强制对流",首页!$B$11*M744/H744,0)</f>
        <v>0</v>
      </c>
      <c r="O744" s="7">
        <f>IF(首页!$B$13="自然对流",IF(首页!$B$14="立式圆筒",(0.825+0.3063*I744^(1/6))^2+0.87*(M744/B744),(0.752+0.303*I744^(1/6))^2),0.3+SQRT((0.592*N744^0.5)^2+(0.0262*N744^0.8/(1-0.5/N744^0.1))^2))</f>
        <v>10049.260068642034</v>
      </c>
      <c r="P744" s="6">
        <f t="shared" si="115"/>
        <v>2.9510194925512497E-2</v>
      </c>
      <c r="Q744" s="6">
        <f t="shared" si="116"/>
        <v>5.3723844833839767</v>
      </c>
      <c r="R744" s="6">
        <f t="shared" si="117"/>
        <v>13.141118283885934</v>
      </c>
      <c r="S744" s="6">
        <f>IF($Y$2="按单位面积散热损失 qp",B744*LN(B744/首页!$B$4),LN(B744/首页!$B$4))</f>
        <v>4.1372481809035904</v>
      </c>
      <c r="T744" s="6">
        <f>IF($Y$2="按单位面积散热损失 qp",2*PI()*首页!$B$8*((E744-D744)/$Y$3-1/R744),2*PI()*首页!$B$8*((E744-D744)/$Y$4-1/(PI()*B744*R744)))</f>
        <v>4.0783802910009916E-2</v>
      </c>
      <c r="U744" t="str">
        <f t="shared" si="118"/>
        <v>按单位面积散热损失 qp</v>
      </c>
      <c r="V744" s="6">
        <f t="shared" si="119"/>
        <v>4.0964643779935805</v>
      </c>
    </row>
    <row r="745" spans="1:22" x14ac:dyDescent="0.15">
      <c r="A745">
        <v>740</v>
      </c>
      <c r="B745" s="6">
        <f>首页!$B$4+2*A745/1000</f>
        <v>1.6</v>
      </c>
      <c r="C745" s="6">
        <f>首页!$B$7+273.15</f>
        <v>388.15</v>
      </c>
      <c r="D745" s="6">
        <f>首页!$B$6+273.15</f>
        <v>293.14999999999998</v>
      </c>
      <c r="E745" s="6">
        <f>首页!$B$5+273.15</f>
        <v>1373.15</v>
      </c>
      <c r="F745" s="6">
        <f t="shared" si="110"/>
        <v>95</v>
      </c>
      <c r="G745" s="6">
        <f t="shared" si="111"/>
        <v>340.65</v>
      </c>
      <c r="H745" s="6">
        <f t="shared" si="112"/>
        <v>1.9926207055139041E-5</v>
      </c>
      <c r="I745" s="7">
        <f t="shared" si="113"/>
        <v>1158916576932337.8</v>
      </c>
      <c r="J745" s="6">
        <f t="shared" si="114"/>
        <v>1.0226038455893147</v>
      </c>
      <c r="K745" s="7">
        <f>J745*H745*首页!$B$12/P745</f>
        <v>0.69532757496605813</v>
      </c>
      <c r="L745" s="6">
        <f>首页!$B$9*0.0000000567*((C745^4-D745^4)/(C745-D745))</f>
        <v>7.7687338005019564</v>
      </c>
      <c r="M745" s="6">
        <f>IF(首页!$B$13="自然对流",IF(首页!$B$14="立式圆筒",首页!$B$10,PI()*B745/2),PI()*B745/2)</f>
        <v>55.2</v>
      </c>
      <c r="N745" s="7">
        <f>IF(首页!$B$13="强制对流",首页!$B$11*M745/H745,0)</f>
        <v>0</v>
      </c>
      <c r="O745" s="7">
        <f>IF(首页!$B$13="自然对流",IF(首页!$B$14="立式圆筒",(0.825+0.3063*I745^(1/6))^2+0.87*(M745/B745),(0.752+0.303*I745^(1/6))^2),0.3+SQRT((0.592*N745^0.5)^2+(0.0262*N745^0.8/(1-0.5/N745^0.1))^2))</f>
        <v>10049.222502934899</v>
      </c>
      <c r="P745" s="6">
        <f t="shared" si="115"/>
        <v>2.9510194925512497E-2</v>
      </c>
      <c r="Q745" s="6">
        <f t="shared" si="116"/>
        <v>5.372364400569845</v>
      </c>
      <c r="R745" s="6">
        <f t="shared" si="117"/>
        <v>13.141098201071802</v>
      </c>
      <c r="S745" s="6">
        <f>IF($Y$2="按单位面积散热损失 qp",B745*LN(B745/首页!$B$4),LN(B745/首页!$B$4))</f>
        <v>4.1444274647133232</v>
      </c>
      <c r="T745" s="6">
        <f>IF($Y$2="按单位面积散热损失 qp",2*PI()*首页!$B$8*((E745-D745)/$Y$3-1/R745),2*PI()*首页!$B$8*((E745-D745)/$Y$4-1/(PI()*B745*R745)))</f>
        <v>4.0783770028408099E-2</v>
      </c>
      <c r="U745" t="str">
        <f t="shared" si="118"/>
        <v>按单位面积散热损失 qp</v>
      </c>
      <c r="V745" s="6">
        <f t="shared" si="119"/>
        <v>4.1036436946849149</v>
      </c>
    </row>
    <row r="746" spans="1:22" x14ac:dyDescent="0.15">
      <c r="A746">
        <v>741</v>
      </c>
      <c r="B746" s="6">
        <f>首页!$B$4+2*A746/1000</f>
        <v>1.6019999999999999</v>
      </c>
      <c r="C746" s="6">
        <f>首页!$B$7+273.15</f>
        <v>388.15</v>
      </c>
      <c r="D746" s="6">
        <f>首页!$B$6+273.15</f>
        <v>293.14999999999998</v>
      </c>
      <c r="E746" s="6">
        <f>首页!$B$5+273.15</f>
        <v>1373.15</v>
      </c>
      <c r="F746" s="6">
        <f t="shared" si="110"/>
        <v>95</v>
      </c>
      <c r="G746" s="6">
        <f t="shared" si="111"/>
        <v>340.65</v>
      </c>
      <c r="H746" s="6">
        <f t="shared" si="112"/>
        <v>1.9926207055139041E-5</v>
      </c>
      <c r="I746" s="7">
        <f t="shared" si="113"/>
        <v>1158916576932337.8</v>
      </c>
      <c r="J746" s="6">
        <f t="shared" si="114"/>
        <v>1.0226038455893147</v>
      </c>
      <c r="K746" s="7">
        <f>J746*H746*首页!$B$12/P746</f>
        <v>0.69532757496605813</v>
      </c>
      <c r="L746" s="6">
        <f>首页!$B$9*0.0000000567*((C746^4-D746^4)/(C746-D746))</f>
        <v>7.7687338005019564</v>
      </c>
      <c r="M746" s="6">
        <f>IF(首页!$B$13="自然对流",IF(首页!$B$14="立式圆筒",首页!$B$10,PI()*B746/2),PI()*B746/2)</f>
        <v>55.2</v>
      </c>
      <c r="N746" s="7">
        <f>IF(首页!$B$13="强制对流",首页!$B$11*M746/H746,0)</f>
        <v>0</v>
      </c>
      <c r="O746" s="7">
        <f>IF(首页!$B$13="自然对流",IF(首页!$B$14="立式圆筒",(0.825+0.3063*I746^(1/6))^2+0.87*(M746/B746),(0.752+0.303*I746^(1/6))^2),0.3+SQRT((0.592*N746^0.5)^2+(0.0262*N746^0.8/(1-0.5/N746^0.1))^2))</f>
        <v>10049.185031024788</v>
      </c>
      <c r="P746" s="6">
        <f t="shared" si="115"/>
        <v>2.9510194925512497E-2</v>
      </c>
      <c r="Q746" s="6">
        <f t="shared" si="116"/>
        <v>5.3723443679000686</v>
      </c>
      <c r="R746" s="6">
        <f t="shared" si="117"/>
        <v>13.141078168402025</v>
      </c>
      <c r="S746" s="6">
        <f>IF($Y$2="按单位面积散热损失 qp",B746*LN(B746/首页!$B$4),LN(B746/首页!$B$4))</f>
        <v>4.1516092485237053</v>
      </c>
      <c r="T746" s="6">
        <f>IF($Y$2="按单位面积散热损失 qp",2*PI()*首页!$B$8*((E746-D746)/$Y$3-1/R746),2*PI()*首页!$B$8*((E746-D746)/$Y$4-1/(PI()*B746*R746)))</f>
        <v>4.0783737228807543E-2</v>
      </c>
      <c r="U746" t="str">
        <f t="shared" si="118"/>
        <v>按单位面积散热损失 qp</v>
      </c>
      <c r="V746" s="6">
        <f t="shared" si="119"/>
        <v>4.1108255112948981</v>
      </c>
    </row>
    <row r="747" spans="1:22" x14ac:dyDescent="0.15">
      <c r="A747">
        <v>742</v>
      </c>
      <c r="B747" s="6">
        <f>首页!$B$4+2*A747/1000</f>
        <v>1.6040000000000001</v>
      </c>
      <c r="C747" s="6">
        <f>首页!$B$7+273.15</f>
        <v>388.15</v>
      </c>
      <c r="D747" s="6">
        <f>首页!$B$6+273.15</f>
        <v>293.14999999999998</v>
      </c>
      <c r="E747" s="6">
        <f>首页!$B$5+273.15</f>
        <v>1373.15</v>
      </c>
      <c r="F747" s="6">
        <f t="shared" si="110"/>
        <v>95</v>
      </c>
      <c r="G747" s="6">
        <f t="shared" si="111"/>
        <v>340.65</v>
      </c>
      <c r="H747" s="6">
        <f t="shared" si="112"/>
        <v>1.9926207055139041E-5</v>
      </c>
      <c r="I747" s="7">
        <f t="shared" si="113"/>
        <v>1158916576932337.8</v>
      </c>
      <c r="J747" s="6">
        <f t="shared" si="114"/>
        <v>1.0226038455893147</v>
      </c>
      <c r="K747" s="7">
        <f>J747*H747*首页!$B$12/P747</f>
        <v>0.69532757496605813</v>
      </c>
      <c r="L747" s="6">
        <f>首页!$B$9*0.0000000567*((C747^4-D747^4)/(C747-D747))</f>
        <v>7.7687338005019564</v>
      </c>
      <c r="M747" s="6">
        <f>IF(首页!$B$13="自然对流",IF(首页!$B$14="立式圆筒",首页!$B$10,PI()*B747/2),PI()*B747/2)</f>
        <v>55.2</v>
      </c>
      <c r="N747" s="7">
        <f>IF(首页!$B$13="强制对流",首页!$B$11*M747/H747,0)</f>
        <v>0</v>
      </c>
      <c r="O747" s="7">
        <f>IF(首页!$B$13="自然对流",IF(首页!$B$14="立式圆筒",(0.825+0.3063*I747^(1/6))^2+0.87*(M747/B747),(0.752+0.303*I747^(1/6))^2),0.3+SQRT((0.592*N747^0.5)^2+(0.0262*N747^0.8/(1-0.5/N747^0.1))^2))</f>
        <v>10049.147652560834</v>
      </c>
      <c r="P747" s="6">
        <f t="shared" si="115"/>
        <v>2.9510194925512497E-2</v>
      </c>
      <c r="Q747" s="6">
        <f t="shared" si="116"/>
        <v>5.3723243851870741</v>
      </c>
      <c r="R747" s="6">
        <f t="shared" si="117"/>
        <v>13.14105818568903</v>
      </c>
      <c r="S747" s="6">
        <f>IF($Y$2="按单位面积散热损失 qp",B747*LN(B747/首页!$B$4),LN(B747/首页!$B$4))</f>
        <v>4.1587935292136402</v>
      </c>
      <c r="T747" s="6">
        <f>IF($Y$2="按单位面积散热损失 qp",2*PI()*首页!$B$8*((E747-D747)/$Y$3-1/R747),2*PI()*首页!$B$8*((E747-D747)/$Y$4-1/(PI()*B747*R747)))</f>
        <v>4.0783704510901866E-2</v>
      </c>
      <c r="U747" t="str">
        <f t="shared" si="118"/>
        <v>按单位面积散热损失 qp</v>
      </c>
      <c r="V747" s="6">
        <f t="shared" si="119"/>
        <v>4.1180098247027379</v>
      </c>
    </row>
    <row r="748" spans="1:22" x14ac:dyDescent="0.15">
      <c r="A748">
        <v>743</v>
      </c>
      <c r="B748" s="6">
        <f>首页!$B$4+2*A748/1000</f>
        <v>1.6059999999999999</v>
      </c>
      <c r="C748" s="6">
        <f>首页!$B$7+273.15</f>
        <v>388.15</v>
      </c>
      <c r="D748" s="6">
        <f>首页!$B$6+273.15</f>
        <v>293.14999999999998</v>
      </c>
      <c r="E748" s="6">
        <f>首页!$B$5+273.15</f>
        <v>1373.15</v>
      </c>
      <c r="F748" s="6">
        <f t="shared" si="110"/>
        <v>95</v>
      </c>
      <c r="G748" s="6">
        <f t="shared" si="111"/>
        <v>340.65</v>
      </c>
      <c r="H748" s="6">
        <f t="shared" si="112"/>
        <v>1.9926207055139041E-5</v>
      </c>
      <c r="I748" s="7">
        <f t="shared" si="113"/>
        <v>1158916576932337.8</v>
      </c>
      <c r="J748" s="6">
        <f t="shared" si="114"/>
        <v>1.0226038455893147</v>
      </c>
      <c r="K748" s="7">
        <f>J748*H748*首页!$B$12/P748</f>
        <v>0.69532757496605813</v>
      </c>
      <c r="L748" s="6">
        <f>首页!$B$9*0.0000000567*((C748^4-D748^4)/(C748-D748))</f>
        <v>7.7687338005019564</v>
      </c>
      <c r="M748" s="6">
        <f>IF(首页!$B$13="自然对流",IF(首页!$B$14="立式圆筒",首页!$B$10,PI()*B748/2),PI()*B748/2)</f>
        <v>55.2</v>
      </c>
      <c r="N748" s="7">
        <f>IF(首页!$B$13="强制对流",首页!$B$11*M748/H748,0)</f>
        <v>0</v>
      </c>
      <c r="O748" s="7">
        <f>IF(首页!$B$13="自然对流",IF(首页!$B$14="立式圆筒",(0.825+0.3063*I748^(1/6))^2+0.87*(M748/B748),(0.752+0.303*I748^(1/6))^2),0.3+SQRT((0.592*N748^0.5)^2+(0.0262*N748^0.8/(1-0.5/N748^0.1))^2))</f>
        <v>10049.110367193929</v>
      </c>
      <c r="P748" s="6">
        <f t="shared" si="115"/>
        <v>2.9510194925512497E-2</v>
      </c>
      <c r="Q748" s="6">
        <f t="shared" si="116"/>
        <v>5.3723044522442258</v>
      </c>
      <c r="R748" s="6">
        <f t="shared" si="117"/>
        <v>13.141038252746181</v>
      </c>
      <c r="S748" s="6">
        <f>IF($Y$2="按单位面积散热损失 qp",B748*LN(B748/首页!$B$4),LN(B748/首页!$B$4))</f>
        <v>4.1659803036698051</v>
      </c>
      <c r="T748" s="6">
        <f>IF($Y$2="按单位面积散热损失 qp",2*PI()*首页!$B$8*((E748-D748)/$Y$3-1/R748),2*PI()*首页!$B$8*((E748-D748)/$Y$4-1/(PI()*B748*R748)))</f>
        <v>4.0783671874386244E-2</v>
      </c>
      <c r="U748" t="str">
        <f t="shared" si="118"/>
        <v>按单位面积散热损失 qp</v>
      </c>
      <c r="V748" s="6">
        <f t="shared" si="119"/>
        <v>4.1251966317954185</v>
      </c>
    </row>
    <row r="749" spans="1:22" x14ac:dyDescent="0.15">
      <c r="A749">
        <v>744</v>
      </c>
      <c r="B749" s="6">
        <f>首页!$B$4+2*A749/1000</f>
        <v>1.6080000000000001</v>
      </c>
      <c r="C749" s="6">
        <f>首页!$B$7+273.15</f>
        <v>388.15</v>
      </c>
      <c r="D749" s="6">
        <f>首页!$B$6+273.15</f>
        <v>293.14999999999998</v>
      </c>
      <c r="E749" s="6">
        <f>首页!$B$5+273.15</f>
        <v>1373.15</v>
      </c>
      <c r="F749" s="6">
        <f t="shared" si="110"/>
        <v>95</v>
      </c>
      <c r="G749" s="6">
        <f t="shared" si="111"/>
        <v>340.65</v>
      </c>
      <c r="H749" s="6">
        <f t="shared" si="112"/>
        <v>1.9926207055139041E-5</v>
      </c>
      <c r="I749" s="7">
        <f t="shared" si="113"/>
        <v>1158916576932337.8</v>
      </c>
      <c r="J749" s="6">
        <f t="shared" si="114"/>
        <v>1.0226038455893147</v>
      </c>
      <c r="K749" s="7">
        <f>J749*H749*首页!$B$12/P749</f>
        <v>0.69532757496605813</v>
      </c>
      <c r="L749" s="6">
        <f>首页!$B$9*0.0000000567*((C749^4-D749^4)/(C749-D749))</f>
        <v>7.7687338005019564</v>
      </c>
      <c r="M749" s="6">
        <f>IF(首页!$B$13="自然对流",IF(首页!$B$14="立式圆筒",首页!$B$10,PI()*B749/2),PI()*B749/2)</f>
        <v>55.2</v>
      </c>
      <c r="N749" s="7">
        <f>IF(首页!$B$13="强制对流",首页!$B$11*M749/H749,0)</f>
        <v>0</v>
      </c>
      <c r="O749" s="7">
        <f>IF(首页!$B$13="自然对流",IF(首页!$B$14="立式圆筒",(0.825+0.3063*I749^(1/6))^2+0.87*(M749/B749),(0.752+0.303*I749^(1/6))^2),0.3+SQRT((0.592*N749^0.5)^2+(0.0262*N749^0.8/(1-0.5/N749^0.1))^2))</f>
        <v>10049.073174576692</v>
      </c>
      <c r="P749" s="6">
        <f t="shared" si="115"/>
        <v>2.9510194925512497E-2</v>
      </c>
      <c r="Q749" s="6">
        <f t="shared" si="116"/>
        <v>5.3722845688858127</v>
      </c>
      <c r="R749" s="6">
        <f t="shared" si="117"/>
        <v>13.141018369387769</v>
      </c>
      <c r="S749" s="6">
        <f>IF($Y$2="按单位面积散热损失 qp",B749*LN(B749/首页!$B$4),LN(B749/首页!$B$4))</f>
        <v>4.1731695687866406</v>
      </c>
      <c r="T749" s="6">
        <f>IF($Y$2="按单位面积散热损失 qp",2*PI()*首页!$B$8*((E749-D749)/$Y$3-1/R749),2*PI()*首页!$B$8*((E749-D749)/$Y$4-1/(PI()*B749*R749)))</f>
        <v>4.0783639318957343E-2</v>
      </c>
      <c r="U749" t="str">
        <f t="shared" si="118"/>
        <v>按单位面积散热损失 qp</v>
      </c>
      <c r="V749" s="6">
        <f t="shared" si="119"/>
        <v>4.1323859294676835</v>
      </c>
    </row>
    <row r="750" spans="1:22" x14ac:dyDescent="0.15">
      <c r="A750">
        <v>745</v>
      </c>
      <c r="B750" s="6">
        <f>首页!$B$4+2*A750/1000</f>
        <v>1.6099999999999999</v>
      </c>
      <c r="C750" s="6">
        <f>首页!$B$7+273.15</f>
        <v>388.15</v>
      </c>
      <c r="D750" s="6">
        <f>首页!$B$6+273.15</f>
        <v>293.14999999999998</v>
      </c>
      <c r="E750" s="6">
        <f>首页!$B$5+273.15</f>
        <v>1373.15</v>
      </c>
      <c r="F750" s="6">
        <f t="shared" si="110"/>
        <v>95</v>
      </c>
      <c r="G750" s="6">
        <f t="shared" si="111"/>
        <v>340.65</v>
      </c>
      <c r="H750" s="6">
        <f t="shared" si="112"/>
        <v>1.9926207055139041E-5</v>
      </c>
      <c r="I750" s="7">
        <f t="shared" si="113"/>
        <v>1158916576932337.8</v>
      </c>
      <c r="J750" s="6">
        <f t="shared" si="114"/>
        <v>1.0226038455893147</v>
      </c>
      <c r="K750" s="7">
        <f>J750*H750*首页!$B$12/P750</f>
        <v>0.69532757496605813</v>
      </c>
      <c r="L750" s="6">
        <f>首页!$B$9*0.0000000567*((C750^4-D750^4)/(C750-D750))</f>
        <v>7.7687338005019564</v>
      </c>
      <c r="M750" s="6">
        <f>IF(首页!$B$13="自然对流",IF(首页!$B$14="立式圆筒",首页!$B$10,PI()*B750/2),PI()*B750/2)</f>
        <v>55.2</v>
      </c>
      <c r="N750" s="7">
        <f>IF(首页!$B$13="强制对流",首页!$B$11*M750/H750,0)</f>
        <v>0</v>
      </c>
      <c r="O750" s="7">
        <f>IF(首页!$B$13="自然对流",IF(首页!$B$14="立式圆筒",(0.825+0.3063*I750^(1/6))^2+0.87*(M750/B750),(0.752+0.303*I750^(1/6))^2),0.3+SQRT((0.592*N750^0.5)^2+(0.0262*N750^0.8/(1-0.5/N750^0.1))^2))</f>
        <v>10049.036074363472</v>
      </c>
      <c r="P750" s="6">
        <f t="shared" si="115"/>
        <v>2.9510194925512497E-2</v>
      </c>
      <c r="Q750" s="6">
        <f t="shared" si="116"/>
        <v>5.3722647349270467</v>
      </c>
      <c r="R750" s="6">
        <f t="shared" si="117"/>
        <v>13.140998535429002</v>
      </c>
      <c r="S750" s="6">
        <f>IF($Y$2="按单位面积散热损失 qp",B750*LN(B750/首页!$B$4),LN(B750/首页!$B$4))</f>
        <v>4.1803613214663047</v>
      </c>
      <c r="T750" s="6">
        <f>IF($Y$2="按单位面积散热损失 qp",2*PI()*首页!$B$8*((E750-D750)/$Y$3-1/R750),2*PI()*首页!$B$8*((E750-D750)/$Y$4-1/(PI()*B750*R750)))</f>
        <v>4.0783606844313341E-2</v>
      </c>
      <c r="U750" t="str">
        <f t="shared" si="118"/>
        <v>按单位面积散热损失 qp</v>
      </c>
      <c r="V750" s="6">
        <f t="shared" si="119"/>
        <v>4.139577714621991</v>
      </c>
    </row>
    <row r="751" spans="1:22" x14ac:dyDescent="0.15">
      <c r="A751">
        <v>746</v>
      </c>
      <c r="B751" s="6">
        <f>首页!$B$4+2*A751/1000</f>
        <v>1.6120000000000001</v>
      </c>
      <c r="C751" s="6">
        <f>首页!$B$7+273.15</f>
        <v>388.15</v>
      </c>
      <c r="D751" s="6">
        <f>首页!$B$6+273.15</f>
        <v>293.14999999999998</v>
      </c>
      <c r="E751" s="6">
        <f>首页!$B$5+273.15</f>
        <v>1373.15</v>
      </c>
      <c r="F751" s="6">
        <f t="shared" si="110"/>
        <v>95</v>
      </c>
      <c r="G751" s="6">
        <f t="shared" si="111"/>
        <v>340.65</v>
      </c>
      <c r="H751" s="6">
        <f t="shared" si="112"/>
        <v>1.9926207055139041E-5</v>
      </c>
      <c r="I751" s="7">
        <f t="shared" si="113"/>
        <v>1158916576932337.8</v>
      </c>
      <c r="J751" s="6">
        <f t="shared" si="114"/>
        <v>1.0226038455893147</v>
      </c>
      <c r="K751" s="7">
        <f>J751*H751*首页!$B$12/P751</f>
        <v>0.69532757496605813</v>
      </c>
      <c r="L751" s="6">
        <f>首页!$B$9*0.0000000567*((C751^4-D751^4)/(C751-D751))</f>
        <v>7.7687338005019564</v>
      </c>
      <c r="M751" s="6">
        <f>IF(首页!$B$13="自然对流",IF(首页!$B$14="立式圆筒",首页!$B$10,PI()*B751/2),PI()*B751/2)</f>
        <v>55.2</v>
      </c>
      <c r="N751" s="7">
        <f>IF(首页!$B$13="强制对流",首页!$B$11*M751/H751,0)</f>
        <v>0</v>
      </c>
      <c r="O751" s="7">
        <f>IF(首页!$B$13="自然对流",IF(首页!$B$14="立式圆筒",(0.825+0.3063*I751^(1/6))^2+0.87*(M751/B751),(0.752+0.303*I751^(1/6))^2),0.3+SQRT((0.592*N751^0.5)^2+(0.0262*N751^0.8/(1-0.5/N751^0.1))^2))</f>
        <v>10048.999066210334</v>
      </c>
      <c r="P751" s="6">
        <f t="shared" si="115"/>
        <v>2.9510194925512497E-2</v>
      </c>
      <c r="Q751" s="6">
        <f t="shared" si="116"/>
        <v>5.3722449501840579</v>
      </c>
      <c r="R751" s="6">
        <f t="shared" si="117"/>
        <v>13.140978750686013</v>
      </c>
      <c r="S751" s="6">
        <f>IF($Y$2="按单位面积散热损失 qp",B751*LN(B751/首页!$B$4),LN(B751/首页!$B$4))</f>
        <v>4.1875555586186586</v>
      </c>
      <c r="T751" s="6">
        <f>IF($Y$2="按单位面积散热损失 qp",2*PI()*首页!$B$8*((E751-D751)/$Y$3-1/R751),2*PI()*首页!$B$8*((E751-D751)/$Y$4-1/(PI()*B751*R751)))</f>
        <v>4.078357445015391E-2</v>
      </c>
      <c r="U751" t="str">
        <f t="shared" si="118"/>
        <v>按单位面积散热损失 qp</v>
      </c>
      <c r="V751" s="6">
        <f t="shared" si="119"/>
        <v>4.1467719841685042</v>
      </c>
    </row>
    <row r="752" spans="1:22" x14ac:dyDescent="0.15">
      <c r="A752">
        <v>747</v>
      </c>
      <c r="B752" s="6">
        <f>首页!$B$4+2*A752/1000</f>
        <v>1.6139999999999999</v>
      </c>
      <c r="C752" s="6">
        <f>首页!$B$7+273.15</f>
        <v>388.15</v>
      </c>
      <c r="D752" s="6">
        <f>首页!$B$6+273.15</f>
        <v>293.14999999999998</v>
      </c>
      <c r="E752" s="6">
        <f>首页!$B$5+273.15</f>
        <v>1373.15</v>
      </c>
      <c r="F752" s="6">
        <f t="shared" si="110"/>
        <v>95</v>
      </c>
      <c r="G752" s="6">
        <f t="shared" si="111"/>
        <v>340.65</v>
      </c>
      <c r="H752" s="6">
        <f t="shared" si="112"/>
        <v>1.9926207055139041E-5</v>
      </c>
      <c r="I752" s="7">
        <f t="shared" si="113"/>
        <v>1158916576932337.8</v>
      </c>
      <c r="J752" s="6">
        <f t="shared" si="114"/>
        <v>1.0226038455893147</v>
      </c>
      <c r="K752" s="7">
        <f>J752*H752*首页!$B$12/P752</f>
        <v>0.69532757496605813</v>
      </c>
      <c r="L752" s="6">
        <f>首页!$B$9*0.0000000567*((C752^4-D752^4)/(C752-D752))</f>
        <v>7.7687338005019564</v>
      </c>
      <c r="M752" s="6">
        <f>IF(首页!$B$13="自然对流",IF(首页!$B$14="立式圆筒",首页!$B$10,PI()*B752/2),PI()*B752/2)</f>
        <v>55.2</v>
      </c>
      <c r="N752" s="7">
        <f>IF(首页!$B$13="强制对流",首页!$B$11*M752/H752,0)</f>
        <v>0</v>
      </c>
      <c r="O752" s="7">
        <f>IF(首页!$B$13="自然对流",IF(首页!$B$14="立式圆筒",(0.825+0.3063*I752^(1/6))^2+0.87*(M752/B752),(0.752+0.303*I752^(1/6))^2),0.3+SQRT((0.592*N752^0.5)^2+(0.0262*N752^0.8/(1-0.5/N752^0.1))^2))</f>
        <v>10048.962149775049</v>
      </c>
      <c r="P752" s="6">
        <f t="shared" si="115"/>
        <v>2.9510194925512497E-2</v>
      </c>
      <c r="Q752" s="6">
        <f t="shared" si="116"/>
        <v>5.3722252144738905</v>
      </c>
      <c r="R752" s="6">
        <f t="shared" si="117"/>
        <v>13.140959014975847</v>
      </c>
      <c r="S752" s="6">
        <f>IF($Y$2="按单位面积散热损失 qp",B752*LN(B752/首页!$B$4),LN(B752/首页!$B$4))</f>
        <v>4.1947522771612267</v>
      </c>
      <c r="T752" s="6">
        <f>IF($Y$2="按单位面积散热损失 qp",2*PI()*首页!$B$8*((E752-D752)/$Y$3-1/R752),2*PI()*首页!$B$8*((E752-D752)/$Y$4-1/(PI()*B752*R752)))</f>
        <v>4.0783542136180233E-2</v>
      </c>
      <c r="U752" t="str">
        <f t="shared" si="118"/>
        <v>按单位面积散热损失 qp</v>
      </c>
      <c r="V752" s="6">
        <f t="shared" si="119"/>
        <v>4.153968735025046</v>
      </c>
    </row>
    <row r="753" spans="1:22" x14ac:dyDescent="0.15">
      <c r="A753">
        <v>748</v>
      </c>
      <c r="B753" s="6">
        <f>首页!$B$4+2*A753/1000</f>
        <v>1.6160000000000001</v>
      </c>
      <c r="C753" s="6">
        <f>首页!$B$7+273.15</f>
        <v>388.15</v>
      </c>
      <c r="D753" s="6">
        <f>首页!$B$6+273.15</f>
        <v>293.14999999999998</v>
      </c>
      <c r="E753" s="6">
        <f>首页!$B$5+273.15</f>
        <v>1373.15</v>
      </c>
      <c r="F753" s="6">
        <f t="shared" si="110"/>
        <v>95</v>
      </c>
      <c r="G753" s="6">
        <f t="shared" si="111"/>
        <v>340.65</v>
      </c>
      <c r="H753" s="6">
        <f t="shared" si="112"/>
        <v>1.9926207055139041E-5</v>
      </c>
      <c r="I753" s="7">
        <f t="shared" si="113"/>
        <v>1158916576932337.8</v>
      </c>
      <c r="J753" s="6">
        <f t="shared" si="114"/>
        <v>1.0226038455893147</v>
      </c>
      <c r="K753" s="7">
        <f>J753*H753*首页!$B$12/P753</f>
        <v>0.69532757496605813</v>
      </c>
      <c r="L753" s="6">
        <f>首页!$B$9*0.0000000567*((C753^4-D753^4)/(C753-D753))</f>
        <v>7.7687338005019564</v>
      </c>
      <c r="M753" s="6">
        <f>IF(首页!$B$13="自然对流",IF(首页!$B$14="立式圆筒",首页!$B$10,PI()*B753/2),PI()*B753/2)</f>
        <v>55.2</v>
      </c>
      <c r="N753" s="7">
        <f>IF(首页!$B$13="强制对流",首页!$B$11*M753/H753,0)</f>
        <v>0</v>
      </c>
      <c r="O753" s="7">
        <f>IF(首页!$B$13="自然对流",IF(首页!$B$14="立式圆筒",(0.825+0.3063*I753^(1/6))^2+0.87*(M753/B753),(0.752+0.303*I753^(1/6))^2),0.3+SQRT((0.592*N753^0.5)^2+(0.0262*N753^0.8/(1-0.5/N753^0.1))^2))</f>
        <v>10048.925324717078</v>
      </c>
      <c r="P753" s="6">
        <f t="shared" si="115"/>
        <v>2.9510194925512497E-2</v>
      </c>
      <c r="Q753" s="6">
        <f t="shared" si="116"/>
        <v>5.3722055276144909</v>
      </c>
      <c r="R753" s="6">
        <f t="shared" si="117"/>
        <v>13.140939328116447</v>
      </c>
      <c r="S753" s="6">
        <f>IF($Y$2="按单位面积散热损失 qp",B753*LN(B753/首页!$B$4),LN(B753/首页!$B$4))</f>
        <v>4.2019514740191761</v>
      </c>
      <c r="T753" s="6">
        <f>IF($Y$2="按单位面积散热损失 qp",2*PI()*首页!$B$8*((E753-D753)/$Y$3-1/R753),2*PI()*首页!$B$8*((E753-D753)/$Y$4-1/(PI()*B753*R753)))</f>
        <v>4.0783509902094936E-2</v>
      </c>
      <c r="U753" t="str">
        <f t="shared" si="118"/>
        <v>按单位面积散热损失 qp</v>
      </c>
      <c r="V753" s="6">
        <f t="shared" si="119"/>
        <v>4.1611679641170811</v>
      </c>
    </row>
    <row r="754" spans="1:22" x14ac:dyDescent="0.15">
      <c r="A754">
        <v>749</v>
      </c>
      <c r="B754" s="6">
        <f>首页!$B$4+2*A754/1000</f>
        <v>1.6179999999999999</v>
      </c>
      <c r="C754" s="6">
        <f>首页!$B$7+273.15</f>
        <v>388.15</v>
      </c>
      <c r="D754" s="6">
        <f>首页!$B$6+273.15</f>
        <v>293.14999999999998</v>
      </c>
      <c r="E754" s="6">
        <f>首页!$B$5+273.15</f>
        <v>1373.15</v>
      </c>
      <c r="F754" s="6">
        <f t="shared" si="110"/>
        <v>95</v>
      </c>
      <c r="G754" s="6">
        <f t="shared" si="111"/>
        <v>340.65</v>
      </c>
      <c r="H754" s="6">
        <f t="shared" si="112"/>
        <v>1.9926207055139041E-5</v>
      </c>
      <c r="I754" s="7">
        <f t="shared" si="113"/>
        <v>1158916576932337.8</v>
      </c>
      <c r="J754" s="6">
        <f t="shared" si="114"/>
        <v>1.0226038455893147</v>
      </c>
      <c r="K754" s="7">
        <f>J754*H754*首页!$B$12/P754</f>
        <v>0.69532757496605813</v>
      </c>
      <c r="L754" s="6">
        <f>首页!$B$9*0.0000000567*((C754^4-D754^4)/(C754-D754))</f>
        <v>7.7687338005019564</v>
      </c>
      <c r="M754" s="6">
        <f>IF(首页!$B$13="自然对流",IF(首页!$B$14="立式圆筒",首页!$B$10,PI()*B754/2),PI()*B754/2)</f>
        <v>55.2</v>
      </c>
      <c r="N754" s="7">
        <f>IF(首页!$B$13="强制对流",首页!$B$11*M754/H754,0)</f>
        <v>0</v>
      </c>
      <c r="O754" s="7">
        <f>IF(首页!$B$13="自然对流",IF(首页!$B$14="立式圆筒",(0.825+0.3063*I754^(1/6))^2+0.87*(M754/B754),(0.752+0.303*I754^(1/6))^2),0.3+SQRT((0.592*N754^0.5)^2+(0.0262*N754^0.8/(1-0.5/N754^0.1))^2))</f>
        <v>10048.88859069757</v>
      </c>
      <c r="P754" s="6">
        <f t="shared" si="115"/>
        <v>2.9510194925512497E-2</v>
      </c>
      <c r="Q754" s="6">
        <f t="shared" si="116"/>
        <v>5.3721858894247081</v>
      </c>
      <c r="R754" s="6">
        <f t="shared" si="117"/>
        <v>13.140919689926665</v>
      </c>
      <c r="S754" s="6">
        <f>IF($Y$2="按单位面积散热损失 qp",B754*LN(B754/首页!$B$4),LN(B754/首页!$B$4))</f>
        <v>4.2091531461252805</v>
      </c>
      <c r="T754" s="6">
        <f>IF($Y$2="按单位面积散热损失 qp",2*PI()*首页!$B$8*((E754-D754)/$Y$3-1/R754),2*PI()*首页!$B$8*((E754-D754)/$Y$4-1/(PI()*B754*R754)))</f>
        <v>4.0783477747602132E-2</v>
      </c>
      <c r="U754" t="str">
        <f t="shared" si="118"/>
        <v>按单位面积散热损失 qp</v>
      </c>
      <c r="V754" s="6">
        <f t="shared" si="119"/>
        <v>4.1683696683776787</v>
      </c>
    </row>
    <row r="755" spans="1:22" x14ac:dyDescent="0.15">
      <c r="A755">
        <v>750</v>
      </c>
      <c r="B755" s="6">
        <f>首页!$B$4+2*A755/1000</f>
        <v>1.62</v>
      </c>
      <c r="C755" s="6">
        <f>首页!$B$7+273.15</f>
        <v>388.15</v>
      </c>
      <c r="D755" s="6">
        <f>首页!$B$6+273.15</f>
        <v>293.14999999999998</v>
      </c>
      <c r="E755" s="6">
        <f>首页!$B$5+273.15</f>
        <v>1373.15</v>
      </c>
      <c r="F755" s="6">
        <f t="shared" si="110"/>
        <v>95</v>
      </c>
      <c r="G755" s="6">
        <f t="shared" si="111"/>
        <v>340.65</v>
      </c>
      <c r="H755" s="6">
        <f t="shared" si="112"/>
        <v>1.9926207055139041E-5</v>
      </c>
      <c r="I755" s="7">
        <f t="shared" si="113"/>
        <v>1158916576932337.8</v>
      </c>
      <c r="J755" s="6">
        <f t="shared" si="114"/>
        <v>1.0226038455893147</v>
      </c>
      <c r="K755" s="7">
        <f>J755*H755*首页!$B$12/P755</f>
        <v>0.69532757496605813</v>
      </c>
      <c r="L755" s="6">
        <f>首页!$B$9*0.0000000567*((C755^4-D755^4)/(C755-D755))</f>
        <v>7.7687338005019564</v>
      </c>
      <c r="M755" s="6">
        <f>IF(首页!$B$13="自然对流",IF(首页!$B$14="立式圆筒",首页!$B$10,PI()*B755/2),PI()*B755/2)</f>
        <v>55.2</v>
      </c>
      <c r="N755" s="7">
        <f>IF(首页!$B$13="强制对流",首页!$B$11*M755/H755,0)</f>
        <v>0</v>
      </c>
      <c r="O755" s="7">
        <f>IF(首页!$B$13="自然对流",IF(首页!$B$14="立式圆筒",(0.825+0.3063*I755^(1/6))^2+0.87*(M755/B755),(0.752+0.303*I755^(1/6))^2),0.3+SQRT((0.592*N755^0.5)^2+(0.0262*N755^0.8/(1-0.5/N755^0.1))^2))</f>
        <v>10048.851947379344</v>
      </c>
      <c r="P755" s="6">
        <f t="shared" si="115"/>
        <v>2.9510194925512497E-2</v>
      </c>
      <c r="Q755" s="6">
        <f t="shared" si="116"/>
        <v>5.3721662997242801</v>
      </c>
      <c r="R755" s="6">
        <f t="shared" si="117"/>
        <v>13.140900100226236</v>
      </c>
      <c r="S755" s="6">
        <f>IF($Y$2="按单位面积散热损失 qp",B755*LN(B755/首页!$B$4),LN(B755/首页!$B$4))</f>
        <v>4.2163572904199018</v>
      </c>
      <c r="T755" s="6">
        <f>IF($Y$2="按单位面积散热损失 qp",2*PI()*首页!$B$8*((E755-D755)/$Y$3-1/R755),2*PI()*首页!$B$8*((E755-D755)/$Y$4-1/(PI()*B755*R755)))</f>
        <v>4.0783445672407381E-2</v>
      </c>
      <c r="U755" t="str">
        <f t="shared" si="118"/>
        <v>按单位面积散热损失 qp</v>
      </c>
      <c r="V755" s="6">
        <f t="shared" si="119"/>
        <v>4.1755738447474942</v>
      </c>
    </row>
    <row r="756" spans="1:22" x14ac:dyDescent="0.15">
      <c r="A756">
        <v>751</v>
      </c>
      <c r="B756" s="6">
        <f>首页!$B$4+2*A756/1000</f>
        <v>1.6219999999999999</v>
      </c>
      <c r="C756" s="6">
        <f>首页!$B$7+273.15</f>
        <v>388.15</v>
      </c>
      <c r="D756" s="6">
        <f>首页!$B$6+273.15</f>
        <v>293.14999999999998</v>
      </c>
      <c r="E756" s="6">
        <f>首页!$B$5+273.15</f>
        <v>1373.15</v>
      </c>
      <c r="F756" s="6">
        <f t="shared" si="110"/>
        <v>95</v>
      </c>
      <c r="G756" s="6">
        <f t="shared" si="111"/>
        <v>340.65</v>
      </c>
      <c r="H756" s="6">
        <f t="shared" si="112"/>
        <v>1.9926207055139041E-5</v>
      </c>
      <c r="I756" s="7">
        <f t="shared" si="113"/>
        <v>1158916576932337.8</v>
      </c>
      <c r="J756" s="6">
        <f t="shared" si="114"/>
        <v>1.0226038455893147</v>
      </c>
      <c r="K756" s="7">
        <f>J756*H756*首页!$B$12/P756</f>
        <v>0.69532757496605813</v>
      </c>
      <c r="L756" s="6">
        <f>首页!$B$9*0.0000000567*((C756^4-D756^4)/(C756-D756))</f>
        <v>7.7687338005019564</v>
      </c>
      <c r="M756" s="6">
        <f>IF(首页!$B$13="自然对流",IF(首页!$B$14="立式圆筒",首页!$B$10,PI()*B756/2),PI()*B756/2)</f>
        <v>55.2</v>
      </c>
      <c r="N756" s="7">
        <f>IF(首页!$B$13="强制对流",首页!$B$11*M756/H756,0)</f>
        <v>0</v>
      </c>
      <c r="O756" s="7">
        <f>IF(首页!$B$13="自然对流",IF(首页!$B$14="立式圆筒",(0.825+0.3063*I756^(1/6))^2+0.87*(M756/B756),(0.752+0.303*I756^(1/6))^2),0.3+SQRT((0.592*N756^0.5)^2+(0.0262*N756^0.8/(1-0.5/N756^0.1))^2))</f>
        <v>10048.815394426885</v>
      </c>
      <c r="P756" s="6">
        <f t="shared" si="115"/>
        <v>2.9510194925512497E-2</v>
      </c>
      <c r="Q756" s="6">
        <f t="shared" si="116"/>
        <v>5.3721467583338427</v>
      </c>
      <c r="R756" s="6">
        <f t="shared" si="117"/>
        <v>13.1408805588358</v>
      </c>
      <c r="S756" s="6">
        <f>IF($Y$2="按单位面积散热损失 qp",B756*LN(B756/首页!$B$4),LN(B756/首页!$B$4))</f>
        <v>4.2235639038509518</v>
      </c>
      <c r="T756" s="6">
        <f>IF($Y$2="按单位面积散热损失 qp",2*PI()*首页!$B$8*((E756-D756)/$Y$3-1/R756),2*PI()*首页!$B$8*((E756-D756)/$Y$4-1/(PI()*B756*R756)))</f>
        <v>4.0783413676217711E-2</v>
      </c>
      <c r="U756" t="str">
        <f t="shared" si="118"/>
        <v>按单位面积散热损失 qp</v>
      </c>
      <c r="V756" s="6">
        <f t="shared" si="119"/>
        <v>4.1827804901747339</v>
      </c>
    </row>
    <row r="757" spans="1:22" x14ac:dyDescent="0.15">
      <c r="A757">
        <v>752</v>
      </c>
      <c r="B757" s="6">
        <f>首页!$B$4+2*A757/1000</f>
        <v>1.6240000000000001</v>
      </c>
      <c r="C757" s="6">
        <f>首页!$B$7+273.15</f>
        <v>388.15</v>
      </c>
      <c r="D757" s="6">
        <f>首页!$B$6+273.15</f>
        <v>293.14999999999998</v>
      </c>
      <c r="E757" s="6">
        <f>首页!$B$5+273.15</f>
        <v>1373.15</v>
      </c>
      <c r="F757" s="6">
        <f t="shared" si="110"/>
        <v>95</v>
      </c>
      <c r="G757" s="6">
        <f t="shared" si="111"/>
        <v>340.65</v>
      </c>
      <c r="H757" s="6">
        <f t="shared" si="112"/>
        <v>1.9926207055139041E-5</v>
      </c>
      <c r="I757" s="7">
        <f t="shared" si="113"/>
        <v>1158916576932337.8</v>
      </c>
      <c r="J757" s="6">
        <f t="shared" si="114"/>
        <v>1.0226038455893147</v>
      </c>
      <c r="K757" s="7">
        <f>J757*H757*首页!$B$12/P757</f>
        <v>0.69532757496605813</v>
      </c>
      <c r="L757" s="6">
        <f>首页!$B$9*0.0000000567*((C757^4-D757^4)/(C757-D757))</f>
        <v>7.7687338005019564</v>
      </c>
      <c r="M757" s="6">
        <f>IF(首页!$B$13="自然对流",IF(首页!$B$14="立式圆筒",首页!$B$10,PI()*B757/2),PI()*B757/2)</f>
        <v>55.2</v>
      </c>
      <c r="N757" s="7">
        <f>IF(首页!$B$13="强制对流",首页!$B$11*M757/H757,0)</f>
        <v>0</v>
      </c>
      <c r="O757" s="7">
        <f>IF(首页!$B$13="自然对流",IF(首页!$B$14="立式圆筒",(0.825+0.3063*I757^(1/6))^2+0.87*(M757/B757),(0.752+0.303*I757^(1/6))^2),0.3+SQRT((0.592*N757^0.5)^2+(0.0262*N757^0.8/(1-0.5/N757^0.1))^2))</f>
        <v>10048.778931506329</v>
      </c>
      <c r="P757" s="6">
        <f t="shared" si="115"/>
        <v>2.9510194925512497E-2</v>
      </c>
      <c r="Q757" s="6">
        <f t="shared" si="116"/>
        <v>5.3721272650749086</v>
      </c>
      <c r="R757" s="6">
        <f t="shared" si="117"/>
        <v>13.140861065576864</v>
      </c>
      <c r="S757" s="6">
        <f>IF($Y$2="按单位面积散热损失 qp",B757*LN(B757/首页!$B$4),LN(B757/首页!$B$4))</f>
        <v>4.2307729833738739</v>
      </c>
      <c r="T757" s="6">
        <f>IF($Y$2="按单位面积散热损失 qp",2*PI()*首页!$B$8*((E757-D757)/$Y$3-1/R757),2*PI()*首页!$B$8*((E757-D757)/$Y$4-1/(PI()*B757*R757)))</f>
        <v>4.0783381758741577E-2</v>
      </c>
      <c r="U757" t="str">
        <f t="shared" si="118"/>
        <v>按单位面积散热损失 qp</v>
      </c>
      <c r="V757" s="6">
        <f t="shared" si="119"/>
        <v>4.1899896016151326</v>
      </c>
    </row>
    <row r="758" spans="1:22" x14ac:dyDescent="0.15">
      <c r="A758">
        <v>753</v>
      </c>
      <c r="B758" s="6">
        <f>首页!$B$4+2*A758/1000</f>
        <v>1.6259999999999999</v>
      </c>
      <c r="C758" s="6">
        <f>首页!$B$7+273.15</f>
        <v>388.15</v>
      </c>
      <c r="D758" s="6">
        <f>首页!$B$6+273.15</f>
        <v>293.14999999999998</v>
      </c>
      <c r="E758" s="6">
        <f>首页!$B$5+273.15</f>
        <v>1373.15</v>
      </c>
      <c r="F758" s="6">
        <f t="shared" si="110"/>
        <v>95</v>
      </c>
      <c r="G758" s="6">
        <f t="shared" si="111"/>
        <v>340.65</v>
      </c>
      <c r="H758" s="6">
        <f t="shared" si="112"/>
        <v>1.9926207055139041E-5</v>
      </c>
      <c r="I758" s="7">
        <f t="shared" si="113"/>
        <v>1158916576932337.8</v>
      </c>
      <c r="J758" s="6">
        <f t="shared" si="114"/>
        <v>1.0226038455893147</v>
      </c>
      <c r="K758" s="7">
        <f>J758*H758*首页!$B$12/P758</f>
        <v>0.69532757496605813</v>
      </c>
      <c r="L758" s="6">
        <f>首页!$B$9*0.0000000567*((C758^4-D758^4)/(C758-D758))</f>
        <v>7.7687338005019564</v>
      </c>
      <c r="M758" s="6">
        <f>IF(首页!$B$13="自然对流",IF(首页!$B$14="立式圆筒",首页!$B$10,PI()*B758/2),PI()*B758/2)</f>
        <v>55.2</v>
      </c>
      <c r="N758" s="7">
        <f>IF(首页!$B$13="强制对流",首页!$B$11*M758/H758,0)</f>
        <v>0</v>
      </c>
      <c r="O758" s="7">
        <f>IF(首页!$B$13="自然对流",IF(首页!$B$14="立式圆筒",(0.825+0.3063*I758^(1/6))^2+0.87*(M758/B758),(0.752+0.303*I758^(1/6))^2),0.3+SQRT((0.592*N758^0.5)^2+(0.0262*N758^0.8/(1-0.5/N758^0.1))^2))</f>
        <v>10048.742558285454</v>
      </c>
      <c r="P758" s="6">
        <f t="shared" si="115"/>
        <v>2.9510194925512497E-2</v>
      </c>
      <c r="Q758" s="6">
        <f t="shared" si="116"/>
        <v>5.3721078197698704</v>
      </c>
      <c r="R758" s="6">
        <f t="shared" si="117"/>
        <v>13.140841620271827</v>
      </c>
      <c r="S758" s="6">
        <f>IF($Y$2="按单位面积散热损失 qp",B758*LN(B758/首页!$B$4),LN(B758/首页!$B$4))</f>
        <v>4.237984525951604</v>
      </c>
      <c r="T758" s="6">
        <f>IF($Y$2="按单位面积散热损失 qp",2*PI()*首页!$B$8*((E758-D758)/$Y$3-1/R758),2*PI()*首页!$B$8*((E758-D758)/$Y$4-1/(PI()*B758*R758)))</f>
        <v>4.0783349919688877E-2</v>
      </c>
      <c r="U758" t="str">
        <f t="shared" si="118"/>
        <v>按单位面积散热损失 qp</v>
      </c>
      <c r="V758" s="6">
        <f t="shared" si="119"/>
        <v>4.197201176031915</v>
      </c>
    </row>
    <row r="759" spans="1:22" x14ac:dyDescent="0.15">
      <c r="A759">
        <v>754</v>
      </c>
      <c r="B759" s="6">
        <f>首页!$B$4+2*A759/1000</f>
        <v>1.6280000000000001</v>
      </c>
      <c r="C759" s="6">
        <f>首页!$B$7+273.15</f>
        <v>388.15</v>
      </c>
      <c r="D759" s="6">
        <f>首页!$B$6+273.15</f>
        <v>293.14999999999998</v>
      </c>
      <c r="E759" s="6">
        <f>首页!$B$5+273.15</f>
        <v>1373.15</v>
      </c>
      <c r="F759" s="6">
        <f t="shared" si="110"/>
        <v>95</v>
      </c>
      <c r="G759" s="6">
        <f t="shared" si="111"/>
        <v>340.65</v>
      </c>
      <c r="H759" s="6">
        <f t="shared" si="112"/>
        <v>1.9926207055139041E-5</v>
      </c>
      <c r="I759" s="7">
        <f t="shared" si="113"/>
        <v>1158916576932337.8</v>
      </c>
      <c r="J759" s="6">
        <f t="shared" si="114"/>
        <v>1.0226038455893147</v>
      </c>
      <c r="K759" s="7">
        <f>J759*H759*首页!$B$12/P759</f>
        <v>0.69532757496605813</v>
      </c>
      <c r="L759" s="6">
        <f>首页!$B$9*0.0000000567*((C759^4-D759^4)/(C759-D759))</f>
        <v>7.7687338005019564</v>
      </c>
      <c r="M759" s="6">
        <f>IF(首页!$B$13="自然对流",IF(首页!$B$14="立式圆筒",首页!$B$10,PI()*B759/2),PI()*B759/2)</f>
        <v>55.2</v>
      </c>
      <c r="N759" s="7">
        <f>IF(首页!$B$13="强制对流",首页!$B$11*M759/H759,0)</f>
        <v>0</v>
      </c>
      <c r="O759" s="7">
        <f>IF(首页!$B$13="自然对流",IF(首页!$B$14="立式圆筒",(0.825+0.3063*I759^(1/6))^2+0.87*(M759/B759),(0.752+0.303*I759^(1/6))^2),0.3+SQRT((0.592*N759^0.5)^2+(0.0262*N759^0.8/(1-0.5/N759^0.1))^2))</f>
        <v>10048.706274433671</v>
      </c>
      <c r="P759" s="6">
        <f t="shared" si="115"/>
        <v>2.9510194925512497E-2</v>
      </c>
      <c r="Q759" s="6">
        <f t="shared" si="116"/>
        <v>5.372088422241994</v>
      </c>
      <c r="R759" s="6">
        <f t="shared" si="117"/>
        <v>13.14082222274395</v>
      </c>
      <c r="S759" s="6">
        <f>IF($Y$2="按单位面积散热损失 qp",B759*LN(B759/首页!$B$4),LN(B759/首页!$B$4))</f>
        <v>4.2451985285545559</v>
      </c>
      <c r="T759" s="6">
        <f>IF($Y$2="按单位面积散热损失 qp",2*PI()*首页!$B$8*((E759-D759)/$Y$3-1/R759),2*PI()*首页!$B$8*((E759-D759)/$Y$4-1/(PI()*B759*R759)))</f>
        <v>4.0783318158770933E-2</v>
      </c>
      <c r="U759" t="str">
        <f t="shared" si="118"/>
        <v>按单位面积散热损失 qp</v>
      </c>
      <c r="V759" s="6">
        <f t="shared" si="119"/>
        <v>4.2044152103957853</v>
      </c>
    </row>
    <row r="760" spans="1:22" x14ac:dyDescent="0.15">
      <c r="A760">
        <v>755</v>
      </c>
      <c r="B760" s="6">
        <f>首页!$B$4+2*A760/1000</f>
        <v>1.63</v>
      </c>
      <c r="C760" s="6">
        <f>首页!$B$7+273.15</f>
        <v>388.15</v>
      </c>
      <c r="D760" s="6">
        <f>首页!$B$6+273.15</f>
        <v>293.14999999999998</v>
      </c>
      <c r="E760" s="6">
        <f>首页!$B$5+273.15</f>
        <v>1373.15</v>
      </c>
      <c r="F760" s="6">
        <f t="shared" si="110"/>
        <v>95</v>
      </c>
      <c r="G760" s="6">
        <f t="shared" si="111"/>
        <v>340.65</v>
      </c>
      <c r="H760" s="6">
        <f t="shared" si="112"/>
        <v>1.9926207055139041E-5</v>
      </c>
      <c r="I760" s="7">
        <f t="shared" si="113"/>
        <v>1158916576932337.8</v>
      </c>
      <c r="J760" s="6">
        <f t="shared" si="114"/>
        <v>1.0226038455893147</v>
      </c>
      <c r="K760" s="7">
        <f>J760*H760*首页!$B$12/P760</f>
        <v>0.69532757496605813</v>
      </c>
      <c r="L760" s="6">
        <f>首页!$B$9*0.0000000567*((C760^4-D760^4)/(C760-D760))</f>
        <v>7.7687338005019564</v>
      </c>
      <c r="M760" s="6">
        <f>IF(首页!$B$13="自然对流",IF(首页!$B$14="立式圆筒",首页!$B$10,PI()*B760/2),PI()*B760/2)</f>
        <v>55.2</v>
      </c>
      <c r="N760" s="7">
        <f>IF(首页!$B$13="强制对流",首页!$B$11*M760/H760,0)</f>
        <v>0</v>
      </c>
      <c r="O760" s="7">
        <f>IF(首页!$B$13="自然对流",IF(首页!$B$14="立式圆筒",(0.825+0.3063*I760^(1/6))^2+0.87*(M760/B760),(0.752+0.303*I760^(1/6))^2),0.3+SQRT((0.592*N760^0.5)^2+(0.0262*N760^0.8/(1-0.5/N760^0.1))^2))</f>
        <v>10048.670079622016</v>
      </c>
      <c r="P760" s="6">
        <f t="shared" si="115"/>
        <v>2.9510194925512497E-2</v>
      </c>
      <c r="Q760" s="6">
        <f t="shared" si="116"/>
        <v>5.3720690723154139</v>
      </c>
      <c r="R760" s="6">
        <f t="shared" si="117"/>
        <v>13.140802872817371</v>
      </c>
      <c r="S760" s="6">
        <f>IF($Y$2="按单位面积散热损失 qp",B760*LN(B760/首页!$B$4),LN(B760/首页!$B$4))</f>
        <v>4.2524149881605817</v>
      </c>
      <c r="T760" s="6">
        <f>IF($Y$2="按单位面积散热损失 qp",2*PI()*首页!$B$8*((E760-D760)/$Y$3-1/R760),2*PI()*首页!$B$8*((E760-D760)/$Y$4-1/(PI()*B760*R760)))</f>
        <v>4.078328647570046E-2</v>
      </c>
      <c r="U760" t="str">
        <f t="shared" si="118"/>
        <v>按单位面积散热损失 qp</v>
      </c>
      <c r="V760" s="6">
        <f t="shared" si="119"/>
        <v>4.2116317016848814</v>
      </c>
    </row>
    <row r="761" spans="1:22" x14ac:dyDescent="0.15">
      <c r="A761">
        <v>756</v>
      </c>
      <c r="B761" s="6">
        <f>首页!$B$4+2*A761/1000</f>
        <v>1.6320000000000001</v>
      </c>
      <c r="C761" s="6">
        <f>首页!$B$7+273.15</f>
        <v>388.15</v>
      </c>
      <c r="D761" s="6">
        <f>首页!$B$6+273.15</f>
        <v>293.14999999999998</v>
      </c>
      <c r="E761" s="6">
        <f>首页!$B$5+273.15</f>
        <v>1373.15</v>
      </c>
      <c r="F761" s="6">
        <f t="shared" si="110"/>
        <v>95</v>
      </c>
      <c r="G761" s="6">
        <f t="shared" si="111"/>
        <v>340.65</v>
      </c>
      <c r="H761" s="6">
        <f t="shared" si="112"/>
        <v>1.9926207055139041E-5</v>
      </c>
      <c r="I761" s="7">
        <f t="shared" si="113"/>
        <v>1158916576932337.8</v>
      </c>
      <c r="J761" s="6">
        <f t="shared" si="114"/>
        <v>1.0226038455893147</v>
      </c>
      <c r="K761" s="7">
        <f>J761*H761*首页!$B$12/P761</f>
        <v>0.69532757496605813</v>
      </c>
      <c r="L761" s="6">
        <f>首页!$B$9*0.0000000567*((C761^4-D761^4)/(C761-D761))</f>
        <v>7.7687338005019564</v>
      </c>
      <c r="M761" s="6">
        <f>IF(首页!$B$13="自然对流",IF(首页!$B$14="立式圆筒",首页!$B$10,PI()*B761/2),PI()*B761/2)</f>
        <v>55.2</v>
      </c>
      <c r="N761" s="7">
        <f>IF(首页!$B$13="强制对流",首页!$B$11*M761/H761,0)</f>
        <v>0</v>
      </c>
      <c r="O761" s="7">
        <f>IF(首页!$B$13="自然对流",IF(首页!$B$14="立式圆筒",(0.825+0.3063*I761^(1/6))^2+0.87*(M761/B761),(0.752+0.303*I761^(1/6))^2),0.3+SQRT((0.592*N761^0.5)^2+(0.0262*N761^0.8/(1-0.5/N761^0.1))^2))</f>
        <v>10048.633973523136</v>
      </c>
      <c r="P761" s="6">
        <f t="shared" si="115"/>
        <v>2.9510194925512497E-2</v>
      </c>
      <c r="Q761" s="6">
        <f t="shared" si="116"/>
        <v>5.3720497698151251</v>
      </c>
      <c r="R761" s="6">
        <f t="shared" si="117"/>
        <v>13.140783570317081</v>
      </c>
      <c r="S761" s="6">
        <f>IF($Y$2="按单位面积散热损失 qp",B761*LN(B761/首页!$B$4),LN(B761/首页!$B$4))</f>
        <v>4.2596339017549552</v>
      </c>
      <c r="T761" s="6">
        <f>IF($Y$2="按单位面积散热损失 qp",2*PI()*首页!$B$8*((E761-D761)/$Y$3-1/R761),2*PI()*首页!$B$8*((E761-D761)/$Y$4-1/(PI()*B761*R761)))</f>
        <v>4.0783254870191618E-2</v>
      </c>
      <c r="U761" t="str">
        <f t="shared" si="118"/>
        <v>按单位面积散热损失 qp</v>
      </c>
      <c r="V761" s="6">
        <f t="shared" si="119"/>
        <v>4.2188506468847633</v>
      </c>
    </row>
    <row r="762" spans="1:22" x14ac:dyDescent="0.15">
      <c r="A762">
        <v>757</v>
      </c>
      <c r="B762" s="6">
        <f>首页!$B$4+2*A762/1000</f>
        <v>1.6339999999999999</v>
      </c>
      <c r="C762" s="6">
        <f>首页!$B$7+273.15</f>
        <v>388.15</v>
      </c>
      <c r="D762" s="6">
        <f>首页!$B$6+273.15</f>
        <v>293.14999999999998</v>
      </c>
      <c r="E762" s="6">
        <f>首页!$B$5+273.15</f>
        <v>1373.15</v>
      </c>
      <c r="F762" s="6">
        <f t="shared" si="110"/>
        <v>95</v>
      </c>
      <c r="G762" s="6">
        <f t="shared" si="111"/>
        <v>340.65</v>
      </c>
      <c r="H762" s="6">
        <f t="shared" si="112"/>
        <v>1.9926207055139041E-5</v>
      </c>
      <c r="I762" s="7">
        <f t="shared" si="113"/>
        <v>1158916576932337.8</v>
      </c>
      <c r="J762" s="6">
        <f t="shared" si="114"/>
        <v>1.0226038455893147</v>
      </c>
      <c r="K762" s="7">
        <f>J762*H762*首页!$B$12/P762</f>
        <v>0.69532757496605813</v>
      </c>
      <c r="L762" s="6">
        <f>首页!$B$9*0.0000000567*((C762^4-D762^4)/(C762-D762))</f>
        <v>7.7687338005019564</v>
      </c>
      <c r="M762" s="6">
        <f>IF(首页!$B$13="自然对流",IF(首页!$B$14="立式圆筒",首页!$B$10,PI()*B762/2),PI()*B762/2)</f>
        <v>55.2</v>
      </c>
      <c r="N762" s="7">
        <f>IF(首页!$B$13="强制对流",首页!$B$11*M762/H762,0)</f>
        <v>0</v>
      </c>
      <c r="O762" s="7">
        <f>IF(首页!$B$13="自然对流",IF(首页!$B$14="立式圆筒",(0.825+0.3063*I762^(1/6))^2+0.87*(M762/B762),(0.752+0.303*I762^(1/6))^2),0.3+SQRT((0.592*N762^0.5)^2+(0.0262*N762^0.8/(1-0.5/N762^0.1))^2))</f>
        <v>10048.597955811278</v>
      </c>
      <c r="P762" s="6">
        <f t="shared" si="115"/>
        <v>2.9510194925512497E-2</v>
      </c>
      <c r="Q762" s="6">
        <f t="shared" si="116"/>
        <v>5.372030514566978</v>
      </c>
      <c r="R762" s="6">
        <f t="shared" si="117"/>
        <v>13.140764315068935</v>
      </c>
      <c r="S762" s="6">
        <f>IF($Y$2="按单位面积散热损失 qp",B762*LN(B762/首页!$B$4),LN(B762/首页!$B$4))</f>
        <v>4.2668552663303316</v>
      </c>
      <c r="T762" s="6">
        <f>IF($Y$2="按单位面积散热损失 qp",2*PI()*首页!$B$8*((E762-D762)/$Y$3-1/R762),2*PI()*首页!$B$8*((E762-D762)/$Y$4-1/(PI()*B762*R762)))</f>
        <v>4.0783223341959919E-2</v>
      </c>
      <c r="U762" t="str">
        <f t="shared" si="118"/>
        <v>按单位面积散热损失 qp</v>
      </c>
      <c r="V762" s="6">
        <f t="shared" si="119"/>
        <v>4.2260720429883714</v>
      </c>
    </row>
    <row r="763" spans="1:22" x14ac:dyDescent="0.15">
      <c r="A763">
        <v>758</v>
      </c>
      <c r="B763" s="6">
        <f>首页!$B$4+2*A763/1000</f>
        <v>1.6360000000000001</v>
      </c>
      <c r="C763" s="6">
        <f>首页!$B$7+273.15</f>
        <v>388.15</v>
      </c>
      <c r="D763" s="6">
        <f>首页!$B$6+273.15</f>
        <v>293.14999999999998</v>
      </c>
      <c r="E763" s="6">
        <f>首页!$B$5+273.15</f>
        <v>1373.15</v>
      </c>
      <c r="F763" s="6">
        <f t="shared" si="110"/>
        <v>95</v>
      </c>
      <c r="G763" s="6">
        <f t="shared" si="111"/>
        <v>340.65</v>
      </c>
      <c r="H763" s="6">
        <f t="shared" si="112"/>
        <v>1.9926207055139041E-5</v>
      </c>
      <c r="I763" s="7">
        <f t="shared" si="113"/>
        <v>1158916576932337.8</v>
      </c>
      <c r="J763" s="6">
        <f t="shared" si="114"/>
        <v>1.0226038455893147</v>
      </c>
      <c r="K763" s="7">
        <f>J763*H763*首页!$B$12/P763</f>
        <v>0.69532757496605813</v>
      </c>
      <c r="L763" s="6">
        <f>首页!$B$9*0.0000000567*((C763^4-D763^4)/(C763-D763))</f>
        <v>7.7687338005019564</v>
      </c>
      <c r="M763" s="6">
        <f>IF(首页!$B$13="自然对流",IF(首页!$B$14="立式圆筒",首页!$B$10,PI()*B763/2),PI()*B763/2)</f>
        <v>55.2</v>
      </c>
      <c r="N763" s="7">
        <f>IF(首页!$B$13="强制对流",首页!$B$11*M763/H763,0)</f>
        <v>0</v>
      </c>
      <c r="O763" s="7">
        <f>IF(首页!$B$13="自然对流",IF(首页!$B$14="立式圆筒",(0.825+0.3063*I763^(1/6))^2+0.87*(M763/B763),(0.752+0.303*I763^(1/6))^2),0.3+SQRT((0.592*N763^0.5)^2+(0.0262*N763^0.8/(1-0.5/N763^0.1))^2))</f>
        <v>10048.562026162284</v>
      </c>
      <c r="P763" s="6">
        <f t="shared" si="115"/>
        <v>2.9510194925512497E-2</v>
      </c>
      <c r="Q763" s="6">
        <f t="shared" si="116"/>
        <v>5.3720113063976775</v>
      </c>
      <c r="R763" s="6">
        <f t="shared" si="117"/>
        <v>13.140745106899633</v>
      </c>
      <c r="S763" s="6">
        <f>IF($Y$2="按单位面积散热损失 qp",B763*LN(B763/首页!$B$4),LN(B763/首页!$B$4))</f>
        <v>4.2740790788867375</v>
      </c>
      <c r="T763" s="6">
        <f>IF($Y$2="按单位面积散热损失 qp",2*PI()*首页!$B$8*((E763-D763)/$Y$3-1/R763),2*PI()*首页!$B$8*((E763-D763)/$Y$4-1/(PI()*B763*R763)))</f>
        <v>4.0783191890722319E-2</v>
      </c>
      <c r="U763" t="str">
        <f t="shared" si="118"/>
        <v>按单位面积散热损失 qp</v>
      </c>
      <c r="V763" s="6">
        <f t="shared" si="119"/>
        <v>4.2332958869960153</v>
      </c>
    </row>
    <row r="764" spans="1:22" x14ac:dyDescent="0.15">
      <c r="A764">
        <v>759</v>
      </c>
      <c r="B764" s="6">
        <f>首页!$B$4+2*A764/1000</f>
        <v>1.6379999999999999</v>
      </c>
      <c r="C764" s="6">
        <f>首页!$B$7+273.15</f>
        <v>388.15</v>
      </c>
      <c r="D764" s="6">
        <f>首页!$B$6+273.15</f>
        <v>293.14999999999998</v>
      </c>
      <c r="E764" s="6">
        <f>首页!$B$5+273.15</f>
        <v>1373.15</v>
      </c>
      <c r="F764" s="6">
        <f t="shared" si="110"/>
        <v>95</v>
      </c>
      <c r="G764" s="6">
        <f t="shared" si="111"/>
        <v>340.65</v>
      </c>
      <c r="H764" s="6">
        <f t="shared" si="112"/>
        <v>1.9926207055139041E-5</v>
      </c>
      <c r="I764" s="7">
        <f t="shared" si="113"/>
        <v>1158916576932337.8</v>
      </c>
      <c r="J764" s="6">
        <f t="shared" si="114"/>
        <v>1.0226038455893147</v>
      </c>
      <c r="K764" s="7">
        <f>J764*H764*首页!$B$12/P764</f>
        <v>0.69532757496605813</v>
      </c>
      <c r="L764" s="6">
        <f>首页!$B$9*0.0000000567*((C764^4-D764^4)/(C764-D764))</f>
        <v>7.7687338005019564</v>
      </c>
      <c r="M764" s="6">
        <f>IF(首页!$B$13="自然对流",IF(首页!$B$14="立式圆筒",首页!$B$10,PI()*B764/2),PI()*B764/2)</f>
        <v>55.2</v>
      </c>
      <c r="N764" s="7">
        <f>IF(首页!$B$13="强制对流",首页!$B$11*M764/H764,0)</f>
        <v>0</v>
      </c>
      <c r="O764" s="7">
        <f>IF(首页!$B$13="自然对流",IF(首页!$B$14="立式圆筒",(0.825+0.3063*I764^(1/6))^2+0.87*(M764/B764),(0.752+0.303*I764^(1/6))^2),0.3+SQRT((0.592*N764^0.5)^2+(0.0262*N764^0.8/(1-0.5/N764^0.1))^2))</f>
        <v>10048.526184253582</v>
      </c>
      <c r="P764" s="6">
        <f t="shared" si="115"/>
        <v>2.9510194925512497E-2</v>
      </c>
      <c r="Q764" s="6">
        <f t="shared" si="116"/>
        <v>5.3719921451347732</v>
      </c>
      <c r="R764" s="6">
        <f t="shared" si="117"/>
        <v>13.14072594563673</v>
      </c>
      <c r="S764" s="6">
        <f>IF($Y$2="按单位面积散热损失 qp",B764*LN(B764/首页!$B$4),LN(B764/首页!$B$4))</f>
        <v>4.2813053364315268</v>
      </c>
      <c r="T764" s="6">
        <f>IF($Y$2="按单位面积散热损失 qp",2*PI()*首页!$B$8*((E764-D764)/$Y$3-1/R764),2*PI()*首页!$B$8*((E764-D764)/$Y$4-1/(PI()*B764*R764)))</f>
        <v>4.0783160516197084E-2</v>
      </c>
      <c r="U764" t="str">
        <f t="shared" si="118"/>
        <v>按单位面积散热损失 qp</v>
      </c>
      <c r="V764" s="6">
        <f t="shared" si="119"/>
        <v>4.2405221759153298</v>
      </c>
    </row>
    <row r="765" spans="1:22" x14ac:dyDescent="0.15">
      <c r="A765">
        <v>760</v>
      </c>
      <c r="B765" s="6">
        <f>首页!$B$4+2*A765/1000</f>
        <v>1.6400000000000001</v>
      </c>
      <c r="C765" s="6">
        <f>首页!$B$7+273.15</f>
        <v>388.15</v>
      </c>
      <c r="D765" s="6">
        <f>首页!$B$6+273.15</f>
        <v>293.14999999999998</v>
      </c>
      <c r="E765" s="6">
        <f>首页!$B$5+273.15</f>
        <v>1373.15</v>
      </c>
      <c r="F765" s="6">
        <f t="shared" si="110"/>
        <v>95</v>
      </c>
      <c r="G765" s="6">
        <f t="shared" si="111"/>
        <v>340.65</v>
      </c>
      <c r="H765" s="6">
        <f t="shared" si="112"/>
        <v>1.9926207055139041E-5</v>
      </c>
      <c r="I765" s="7">
        <f t="shared" si="113"/>
        <v>1158916576932337.8</v>
      </c>
      <c r="J765" s="6">
        <f t="shared" si="114"/>
        <v>1.0226038455893147</v>
      </c>
      <c r="K765" s="7">
        <f>J765*H765*首页!$B$12/P765</f>
        <v>0.69532757496605813</v>
      </c>
      <c r="L765" s="6">
        <f>首页!$B$9*0.0000000567*((C765^4-D765^4)/(C765-D765))</f>
        <v>7.7687338005019564</v>
      </c>
      <c r="M765" s="6">
        <f>IF(首页!$B$13="自然对流",IF(首页!$B$14="立式圆筒",首页!$B$10,PI()*B765/2),PI()*B765/2)</f>
        <v>55.2</v>
      </c>
      <c r="N765" s="7">
        <f>IF(首页!$B$13="强制对流",首页!$B$11*M765/H765,0)</f>
        <v>0</v>
      </c>
      <c r="O765" s="7">
        <f>IF(首页!$B$13="自然对流",IF(首页!$B$14="立式圆筒",(0.825+0.3063*I765^(1/6))^2+0.87*(M765/B765),(0.752+0.303*I765^(1/6))^2),0.3+SQRT((0.592*N765^0.5)^2+(0.0262*N765^0.8/(1-0.5/N765^0.1))^2))</f>
        <v>10048.490429764168</v>
      </c>
      <c r="P765" s="6">
        <f t="shared" si="115"/>
        <v>2.9510194925512497E-2</v>
      </c>
      <c r="Q765" s="6">
        <f t="shared" si="116"/>
        <v>5.3719730306066564</v>
      </c>
      <c r="R765" s="6">
        <f t="shared" si="117"/>
        <v>13.140706831108613</v>
      </c>
      <c r="S765" s="6">
        <f>IF($Y$2="按单位面积散热损失 qp",B765*LN(B765/首页!$B$4),LN(B765/首页!$B$4))</f>
        <v>4.2885340359793656</v>
      </c>
      <c r="T765" s="6">
        <f>IF($Y$2="按单位面积散热损失 qp",2*PI()*首页!$B$8*((E765-D765)/$Y$3-1/R765),2*PI()*首页!$B$8*((E765-D765)/$Y$4-1/(PI()*B765*R765)))</f>
        <v>4.0783129218103946E-2</v>
      </c>
      <c r="U765" t="str">
        <f t="shared" si="118"/>
        <v>按单位面积散热损失 qp</v>
      </c>
      <c r="V765" s="6">
        <f t="shared" si="119"/>
        <v>4.2477509067612615</v>
      </c>
    </row>
    <row r="766" spans="1:22" x14ac:dyDescent="0.15">
      <c r="A766">
        <v>761</v>
      </c>
      <c r="B766" s="6">
        <f>首页!$B$4+2*A766/1000</f>
        <v>1.6419999999999999</v>
      </c>
      <c r="C766" s="6">
        <f>首页!$B$7+273.15</f>
        <v>388.15</v>
      </c>
      <c r="D766" s="6">
        <f>首页!$B$6+273.15</f>
        <v>293.14999999999998</v>
      </c>
      <c r="E766" s="6">
        <f>首页!$B$5+273.15</f>
        <v>1373.15</v>
      </c>
      <c r="F766" s="6">
        <f t="shared" si="110"/>
        <v>95</v>
      </c>
      <c r="G766" s="6">
        <f t="shared" si="111"/>
        <v>340.65</v>
      </c>
      <c r="H766" s="6">
        <f t="shared" si="112"/>
        <v>1.9926207055139041E-5</v>
      </c>
      <c r="I766" s="7">
        <f t="shared" si="113"/>
        <v>1158916576932337.8</v>
      </c>
      <c r="J766" s="6">
        <f t="shared" si="114"/>
        <v>1.0226038455893147</v>
      </c>
      <c r="K766" s="7">
        <f>J766*H766*首页!$B$12/P766</f>
        <v>0.69532757496605813</v>
      </c>
      <c r="L766" s="6">
        <f>首页!$B$9*0.0000000567*((C766^4-D766^4)/(C766-D766))</f>
        <v>7.7687338005019564</v>
      </c>
      <c r="M766" s="6">
        <f>IF(首页!$B$13="自然对流",IF(首页!$B$14="立式圆筒",首页!$B$10,PI()*B766/2),PI()*B766/2)</f>
        <v>55.2</v>
      </c>
      <c r="N766" s="7">
        <f>IF(首页!$B$13="强制对流",首页!$B$11*M766/H766,0)</f>
        <v>0</v>
      </c>
      <c r="O766" s="7">
        <f>IF(首页!$B$13="自然对流",IF(首页!$B$14="立式圆筒",(0.825+0.3063*I766^(1/6))^2+0.87*(M766/B766),(0.752+0.303*I766^(1/6))^2),0.3+SQRT((0.592*N766^0.5)^2+(0.0262*N766^0.8/(1-0.5/N766^0.1))^2))</f>
        <v>10048.454762374608</v>
      </c>
      <c r="P766" s="6">
        <f t="shared" si="115"/>
        <v>2.9510194925512497E-2</v>
      </c>
      <c r="Q766" s="6">
        <f t="shared" si="116"/>
        <v>5.3719539626425545</v>
      </c>
      <c r="R766" s="6">
        <f t="shared" si="117"/>
        <v>13.140687763144511</v>
      </c>
      <c r="S766" s="6">
        <f>IF($Y$2="按单位面积散热损失 qp",B766*LN(B766/首页!$B$4),LN(B766/首页!$B$4))</f>
        <v>4.295765174552197</v>
      </c>
      <c r="T766" s="6">
        <f>IF($Y$2="按单位面积散热损失 qp",2*PI()*首页!$B$8*((E766-D766)/$Y$3-1/R766),2*PI()*首页!$B$8*((E766-D766)/$Y$4-1/(PI()*B766*R766)))</f>
        <v>4.0783097996163906E-2</v>
      </c>
      <c r="U766" t="str">
        <f t="shared" si="118"/>
        <v>按单位面积散热损失 qp</v>
      </c>
      <c r="V766" s="6">
        <f t="shared" si="119"/>
        <v>4.2549820765560327</v>
      </c>
    </row>
    <row r="767" spans="1:22" x14ac:dyDescent="0.15">
      <c r="A767">
        <v>762</v>
      </c>
      <c r="B767" s="6">
        <f>首页!$B$4+2*A767/1000</f>
        <v>1.6440000000000001</v>
      </c>
      <c r="C767" s="6">
        <f>首页!$B$7+273.15</f>
        <v>388.15</v>
      </c>
      <c r="D767" s="6">
        <f>首页!$B$6+273.15</f>
        <v>293.14999999999998</v>
      </c>
      <c r="E767" s="6">
        <f>首页!$B$5+273.15</f>
        <v>1373.15</v>
      </c>
      <c r="F767" s="6">
        <f t="shared" si="110"/>
        <v>95</v>
      </c>
      <c r="G767" s="6">
        <f t="shared" si="111"/>
        <v>340.65</v>
      </c>
      <c r="H767" s="6">
        <f t="shared" si="112"/>
        <v>1.9926207055139041E-5</v>
      </c>
      <c r="I767" s="7">
        <f t="shared" si="113"/>
        <v>1158916576932337.8</v>
      </c>
      <c r="J767" s="6">
        <f t="shared" si="114"/>
        <v>1.0226038455893147</v>
      </c>
      <c r="K767" s="7">
        <f>J767*H767*首页!$B$12/P767</f>
        <v>0.69532757496605813</v>
      </c>
      <c r="L767" s="6">
        <f>首页!$B$9*0.0000000567*((C767^4-D767^4)/(C767-D767))</f>
        <v>7.7687338005019564</v>
      </c>
      <c r="M767" s="6">
        <f>IF(首页!$B$13="自然对流",IF(首页!$B$14="立式圆筒",首页!$B$10,PI()*B767/2),PI()*B767/2)</f>
        <v>55.2</v>
      </c>
      <c r="N767" s="7">
        <f>IF(首页!$B$13="强制对流",首页!$B$11*M767/H767,0)</f>
        <v>0</v>
      </c>
      <c r="O767" s="7">
        <f>IF(首页!$B$13="自然对流",IF(首页!$B$14="立式圆筒",(0.825+0.3063*I767^(1/6))^2+0.87*(M767/B767),(0.752+0.303*I767^(1/6))^2),0.3+SQRT((0.592*N767^0.5)^2+(0.0262*N767^0.8/(1-0.5/N767^0.1))^2))</f>
        <v>10048.419181767016</v>
      </c>
      <c r="P767" s="6">
        <f t="shared" si="115"/>
        <v>2.9510194925512497E-2</v>
      </c>
      <c r="Q767" s="6">
        <f t="shared" si="116"/>
        <v>5.3719349410725252</v>
      </c>
      <c r="R767" s="6">
        <f t="shared" si="117"/>
        <v>13.140668741574482</v>
      </c>
      <c r="S767" s="6">
        <f>IF($Y$2="按单位面积散热损失 qp",B767*LN(B767/首页!$B$4),LN(B767/首页!$B$4))</f>
        <v>4.3029987491792268</v>
      </c>
      <c r="T767" s="6">
        <f>IF($Y$2="按单位面积散热损失 qp",2*PI()*首页!$B$8*((E767-D767)/$Y$3-1/R767),2*PI()*首页!$B$8*((E767-D767)/$Y$4-1/(PI()*B767*R767)))</f>
        <v>4.0783066850099373E-2</v>
      </c>
      <c r="U767" t="str">
        <f t="shared" si="118"/>
        <v>按单位面积散热损失 qp</v>
      </c>
      <c r="V767" s="6">
        <f t="shared" si="119"/>
        <v>4.2622156823291277</v>
      </c>
    </row>
    <row r="768" spans="1:22" x14ac:dyDescent="0.15">
      <c r="A768">
        <v>763</v>
      </c>
      <c r="B768" s="6">
        <f>首页!$B$4+2*A768/1000</f>
        <v>1.6459999999999999</v>
      </c>
      <c r="C768" s="6">
        <f>首页!$B$7+273.15</f>
        <v>388.15</v>
      </c>
      <c r="D768" s="6">
        <f>首页!$B$6+273.15</f>
        <v>293.14999999999998</v>
      </c>
      <c r="E768" s="6">
        <f>首页!$B$5+273.15</f>
        <v>1373.15</v>
      </c>
      <c r="F768" s="6">
        <f t="shared" si="110"/>
        <v>95</v>
      </c>
      <c r="G768" s="6">
        <f t="shared" si="111"/>
        <v>340.65</v>
      </c>
      <c r="H768" s="6">
        <f t="shared" si="112"/>
        <v>1.9926207055139041E-5</v>
      </c>
      <c r="I768" s="7">
        <f t="shared" si="113"/>
        <v>1158916576932337.8</v>
      </c>
      <c r="J768" s="6">
        <f t="shared" si="114"/>
        <v>1.0226038455893147</v>
      </c>
      <c r="K768" s="7">
        <f>J768*H768*首页!$B$12/P768</f>
        <v>0.69532757496605813</v>
      </c>
      <c r="L768" s="6">
        <f>首页!$B$9*0.0000000567*((C768^4-D768^4)/(C768-D768))</f>
        <v>7.7687338005019564</v>
      </c>
      <c r="M768" s="6">
        <f>IF(首页!$B$13="自然对流",IF(首页!$B$14="立式圆筒",首页!$B$10,PI()*B768/2),PI()*B768/2)</f>
        <v>55.2</v>
      </c>
      <c r="N768" s="7">
        <f>IF(首页!$B$13="强制对流",首页!$B$11*M768/H768,0)</f>
        <v>0</v>
      </c>
      <c r="O768" s="7">
        <f>IF(首页!$B$13="自然对流",IF(首页!$B$14="立式圆筒",(0.825+0.3063*I768^(1/6))^2+0.87*(M768/B768),(0.752+0.303*I768^(1/6))^2),0.3+SQRT((0.592*N768^0.5)^2+(0.0262*N768^0.8/(1-0.5/N768^0.1))^2))</f>
        <v>10048.383687625057</v>
      </c>
      <c r="P768" s="6">
        <f t="shared" si="115"/>
        <v>2.9510194925512497E-2</v>
      </c>
      <c r="Q768" s="6">
        <f t="shared" si="116"/>
        <v>5.3719159657274549</v>
      </c>
      <c r="R768" s="6">
        <f t="shared" si="117"/>
        <v>13.140649766229412</v>
      </c>
      <c r="S768" s="6">
        <f>IF($Y$2="按单位面积散热损失 qp",B768*LN(B768/首页!$B$4),LN(B768/首页!$B$4))</f>
        <v>4.3102347568968788</v>
      </c>
      <c r="T768" s="6">
        <f>IF($Y$2="按单位面积散热损失 qp",2*PI()*首页!$B$8*((E768-D768)/$Y$3-1/R768),2*PI()*首页!$B$8*((E768-D768)/$Y$4-1/(PI()*B768*R768)))</f>
        <v>4.0783035779634096E-2</v>
      </c>
      <c r="U768" t="str">
        <f t="shared" si="118"/>
        <v>按单位面积散热损失 qp</v>
      </c>
      <c r="V768" s="6">
        <f t="shared" si="119"/>
        <v>4.2694517211172451</v>
      </c>
    </row>
    <row r="769" spans="1:22" x14ac:dyDescent="0.15">
      <c r="A769">
        <v>764</v>
      </c>
      <c r="B769" s="6">
        <f>首页!$B$4+2*A769/1000</f>
        <v>1.6480000000000001</v>
      </c>
      <c r="C769" s="6">
        <f>首页!$B$7+273.15</f>
        <v>388.15</v>
      </c>
      <c r="D769" s="6">
        <f>首页!$B$6+273.15</f>
        <v>293.14999999999998</v>
      </c>
      <c r="E769" s="6">
        <f>首页!$B$5+273.15</f>
        <v>1373.15</v>
      </c>
      <c r="F769" s="6">
        <f t="shared" si="110"/>
        <v>95</v>
      </c>
      <c r="G769" s="6">
        <f t="shared" si="111"/>
        <v>340.65</v>
      </c>
      <c r="H769" s="6">
        <f t="shared" si="112"/>
        <v>1.9926207055139041E-5</v>
      </c>
      <c r="I769" s="7">
        <f t="shared" si="113"/>
        <v>1158916576932337.8</v>
      </c>
      <c r="J769" s="6">
        <f t="shared" si="114"/>
        <v>1.0226038455893147</v>
      </c>
      <c r="K769" s="7">
        <f>J769*H769*首页!$B$12/P769</f>
        <v>0.69532757496605813</v>
      </c>
      <c r="L769" s="6">
        <f>首页!$B$9*0.0000000567*((C769^4-D769^4)/(C769-D769))</f>
        <v>7.7687338005019564</v>
      </c>
      <c r="M769" s="6">
        <f>IF(首页!$B$13="自然对流",IF(首页!$B$14="立式圆筒",首页!$B$10,PI()*B769/2),PI()*B769/2)</f>
        <v>55.2</v>
      </c>
      <c r="N769" s="7">
        <f>IF(首页!$B$13="强制对流",首页!$B$11*M769/H769,0)</f>
        <v>0</v>
      </c>
      <c r="O769" s="7">
        <f>IF(首页!$B$13="自然对流",IF(首页!$B$14="立式圆筒",(0.825+0.3063*I769^(1/6))^2+0.87*(M769/B769),(0.752+0.303*I769^(1/6))^2),0.3+SQRT((0.592*N769^0.5)^2+(0.0262*N769^0.8/(1-0.5/N769^0.1))^2))</f>
        <v>10048.348279633929</v>
      </c>
      <c r="P769" s="6">
        <f t="shared" si="115"/>
        <v>2.9510194925512497E-2</v>
      </c>
      <c r="Q769" s="6">
        <f t="shared" si="116"/>
        <v>5.3718970364390461</v>
      </c>
      <c r="R769" s="6">
        <f t="shared" si="117"/>
        <v>13.140630836941003</v>
      </c>
      <c r="S769" s="6">
        <f>IF($Y$2="按单位面积散热损失 qp",B769*LN(B769/首页!$B$4),LN(B769/首页!$B$4))</f>
        <v>4.3174731947487883</v>
      </c>
      <c r="T769" s="6">
        <f>IF($Y$2="按单位面积散热损失 qp",2*PI()*首页!$B$8*((E769-D769)/$Y$3-1/R769),2*PI()*首页!$B$8*((E769-D769)/$Y$4-1/(PI()*B769*R769)))</f>
        <v>4.0783004784493176E-2</v>
      </c>
      <c r="U769" t="str">
        <f t="shared" si="118"/>
        <v>按单位面积散热损失 qp</v>
      </c>
      <c r="V769" s="6">
        <f t="shared" si="119"/>
        <v>4.2766901899642953</v>
      </c>
    </row>
    <row r="770" spans="1:22" x14ac:dyDescent="0.15">
      <c r="A770">
        <v>765</v>
      </c>
      <c r="B770" s="6">
        <f>首页!$B$4+2*A770/1000</f>
        <v>1.65</v>
      </c>
      <c r="C770" s="6">
        <f>首页!$B$7+273.15</f>
        <v>388.15</v>
      </c>
      <c r="D770" s="6">
        <f>首页!$B$6+273.15</f>
        <v>293.14999999999998</v>
      </c>
      <c r="E770" s="6">
        <f>首页!$B$5+273.15</f>
        <v>1373.15</v>
      </c>
      <c r="F770" s="6">
        <f t="shared" si="110"/>
        <v>95</v>
      </c>
      <c r="G770" s="6">
        <f t="shared" si="111"/>
        <v>340.65</v>
      </c>
      <c r="H770" s="6">
        <f t="shared" si="112"/>
        <v>1.9926207055139041E-5</v>
      </c>
      <c r="I770" s="7">
        <f t="shared" si="113"/>
        <v>1158916576932337.8</v>
      </c>
      <c r="J770" s="6">
        <f t="shared" si="114"/>
        <v>1.0226038455893147</v>
      </c>
      <c r="K770" s="7">
        <f>J770*H770*首页!$B$12/P770</f>
        <v>0.69532757496605813</v>
      </c>
      <c r="L770" s="6">
        <f>首页!$B$9*0.0000000567*((C770^4-D770^4)/(C770-D770))</f>
        <v>7.7687338005019564</v>
      </c>
      <c r="M770" s="6">
        <f>IF(首页!$B$13="自然对流",IF(首页!$B$14="立式圆筒",首页!$B$10,PI()*B770/2),PI()*B770/2)</f>
        <v>55.2</v>
      </c>
      <c r="N770" s="7">
        <f>IF(首页!$B$13="强制对流",首页!$B$11*M770/H770,0)</f>
        <v>0</v>
      </c>
      <c r="O770" s="7">
        <f>IF(首页!$B$13="自然对流",IF(首页!$B$14="立式圆筒",(0.825+0.3063*I770^(1/6))^2+0.87*(M770/B770),(0.752+0.303*I770^(1/6))^2),0.3+SQRT((0.592*N770^0.5)^2+(0.0262*N770^0.8/(1-0.5/N770^0.1))^2))</f>
        <v>10048.312957480355</v>
      </c>
      <c r="P770" s="6">
        <f t="shared" si="115"/>
        <v>2.9510194925512497E-2</v>
      </c>
      <c r="Q770" s="6">
        <f t="shared" si="116"/>
        <v>5.3718781530398232</v>
      </c>
      <c r="R770" s="6">
        <f t="shared" si="117"/>
        <v>13.140611953541779</v>
      </c>
      <c r="S770" s="6">
        <f>IF($Y$2="按单位面积散热损失 qp",B770*LN(B770/首页!$B$4),LN(B770/首页!$B$4))</f>
        <v>4.324714059785757</v>
      </c>
      <c r="T770" s="6">
        <f>IF($Y$2="按单位面积散热损失 qp",2*PI()*首页!$B$8*((E770-D770)/$Y$3-1/R770),2*PI()*首页!$B$8*((E770-D770)/$Y$4-1/(PI()*B770*R770)))</f>
        <v>4.0782973864403015E-2</v>
      </c>
      <c r="U770" t="str">
        <f t="shared" si="118"/>
        <v>按单位面积散热损失 qp</v>
      </c>
      <c r="V770" s="6">
        <f t="shared" si="119"/>
        <v>4.2839310859213535</v>
      </c>
    </row>
    <row r="771" spans="1:22" x14ac:dyDescent="0.15">
      <c r="A771">
        <v>766</v>
      </c>
      <c r="B771" s="6">
        <f>首页!$B$4+2*A771/1000</f>
        <v>1.6520000000000001</v>
      </c>
      <c r="C771" s="6">
        <f>首页!$B$7+273.15</f>
        <v>388.15</v>
      </c>
      <c r="D771" s="6">
        <f>首页!$B$6+273.15</f>
        <v>293.14999999999998</v>
      </c>
      <c r="E771" s="6">
        <f>首页!$B$5+273.15</f>
        <v>1373.15</v>
      </c>
      <c r="F771" s="6">
        <f t="shared" si="110"/>
        <v>95</v>
      </c>
      <c r="G771" s="6">
        <f t="shared" si="111"/>
        <v>340.65</v>
      </c>
      <c r="H771" s="6">
        <f t="shared" si="112"/>
        <v>1.9926207055139041E-5</v>
      </c>
      <c r="I771" s="7">
        <f t="shared" si="113"/>
        <v>1158916576932337.8</v>
      </c>
      <c r="J771" s="6">
        <f t="shared" si="114"/>
        <v>1.0226038455893147</v>
      </c>
      <c r="K771" s="7">
        <f>J771*H771*首页!$B$12/P771</f>
        <v>0.69532757496605813</v>
      </c>
      <c r="L771" s="6">
        <f>首页!$B$9*0.0000000567*((C771^4-D771^4)/(C771-D771))</f>
        <v>7.7687338005019564</v>
      </c>
      <c r="M771" s="6">
        <f>IF(首页!$B$13="自然对流",IF(首页!$B$14="立式圆筒",首页!$B$10,PI()*B771/2),PI()*B771/2)</f>
        <v>55.2</v>
      </c>
      <c r="N771" s="7">
        <f>IF(首页!$B$13="强制对流",首页!$B$11*M771/H771,0)</f>
        <v>0</v>
      </c>
      <c r="O771" s="7">
        <f>IF(首页!$B$13="自然对流",IF(首页!$B$14="立式圆筒",(0.825+0.3063*I771^(1/6))^2+0.87*(M771/B771),(0.752+0.303*I771^(1/6))^2),0.3+SQRT((0.592*N771^0.5)^2+(0.0262*N771^0.8/(1-0.5/N771^0.1))^2))</f>
        <v>10048.277720852575</v>
      </c>
      <c r="P771" s="6">
        <f t="shared" si="115"/>
        <v>2.9510194925512497E-2</v>
      </c>
      <c r="Q771" s="6">
        <f t="shared" si="116"/>
        <v>5.3718593153631149</v>
      </c>
      <c r="R771" s="6">
        <f t="shared" si="117"/>
        <v>13.140593115865071</v>
      </c>
      <c r="S771" s="6">
        <f>IF($Y$2="按单位面积散热损失 qp",B771*LN(B771/首页!$B$4),LN(B771/首页!$B$4))</f>
        <v>4.3319573490657453</v>
      </c>
      <c r="T771" s="6">
        <f>IF($Y$2="按单位面积散热损失 qp",2*PI()*首页!$B$8*((E771-D771)/$Y$3-1/R771),2*PI()*首页!$B$8*((E771-D771)/$Y$4-1/(PI()*B771*R771)))</f>
        <v>4.0782943019091349E-2</v>
      </c>
      <c r="U771" t="str">
        <f t="shared" si="118"/>
        <v>按单位面积散热损失 qp</v>
      </c>
      <c r="V771" s="6">
        <f t="shared" si="119"/>
        <v>4.2911744060466539</v>
      </c>
    </row>
    <row r="772" spans="1:22" x14ac:dyDescent="0.15">
      <c r="A772">
        <v>767</v>
      </c>
      <c r="B772" s="6">
        <f>首页!$B$4+2*A772/1000</f>
        <v>1.6539999999999999</v>
      </c>
      <c r="C772" s="6">
        <f>首页!$B$7+273.15</f>
        <v>388.15</v>
      </c>
      <c r="D772" s="6">
        <f>首页!$B$6+273.15</f>
        <v>293.14999999999998</v>
      </c>
      <c r="E772" s="6">
        <f>首页!$B$5+273.15</f>
        <v>1373.15</v>
      </c>
      <c r="F772" s="6">
        <f t="shared" si="110"/>
        <v>95</v>
      </c>
      <c r="G772" s="6">
        <f t="shared" si="111"/>
        <v>340.65</v>
      </c>
      <c r="H772" s="6">
        <f t="shared" si="112"/>
        <v>1.9926207055139041E-5</v>
      </c>
      <c r="I772" s="7">
        <f t="shared" si="113"/>
        <v>1158916576932337.8</v>
      </c>
      <c r="J772" s="6">
        <f t="shared" si="114"/>
        <v>1.0226038455893147</v>
      </c>
      <c r="K772" s="7">
        <f>J772*H772*首页!$B$12/P772</f>
        <v>0.69532757496605813</v>
      </c>
      <c r="L772" s="6">
        <f>首页!$B$9*0.0000000567*((C772^4-D772^4)/(C772-D772))</f>
        <v>7.7687338005019564</v>
      </c>
      <c r="M772" s="6">
        <f>IF(首页!$B$13="自然对流",IF(首页!$B$14="立式圆筒",首页!$B$10,PI()*B772/2),PI()*B772/2)</f>
        <v>55.2</v>
      </c>
      <c r="N772" s="7">
        <f>IF(首页!$B$13="强制对流",首页!$B$11*M772/H772,0)</f>
        <v>0</v>
      </c>
      <c r="O772" s="7">
        <f>IF(首页!$B$13="自然对流",IF(首页!$B$14="立式圆筒",(0.825+0.3063*I772^(1/6))^2+0.87*(M772/B772),(0.752+0.303*I772^(1/6))^2),0.3+SQRT((0.592*N772^0.5)^2+(0.0262*N772^0.8/(1-0.5/N772^0.1))^2))</f>
        <v>10048.242569440341</v>
      </c>
      <c r="P772" s="6">
        <f t="shared" si="115"/>
        <v>2.9510194925512497E-2</v>
      </c>
      <c r="Q772" s="6">
        <f t="shared" si="116"/>
        <v>5.371840523243061</v>
      </c>
      <c r="R772" s="6">
        <f t="shared" si="117"/>
        <v>13.140574323745017</v>
      </c>
      <c r="S772" s="6">
        <f>IF($Y$2="按单位面积散热损失 qp",B772*LN(B772/首页!$B$4),LN(B772/首页!$B$4))</f>
        <v>4.3392030596538307</v>
      </c>
      <c r="T772" s="6">
        <f>IF($Y$2="按单位面积散热损失 qp",2*PI()*首页!$B$8*((E772-D772)/$Y$3-1/R772),2*PI()*首页!$B$8*((E772-D772)/$Y$4-1/(PI()*B772*R772)))</f>
        <v>4.0782912248287242E-2</v>
      </c>
      <c r="U772" t="str">
        <f t="shared" si="118"/>
        <v>按单位面积散热损失 qp</v>
      </c>
      <c r="V772" s="6">
        <f t="shared" si="119"/>
        <v>4.298420147405543</v>
      </c>
    </row>
    <row r="773" spans="1:22" x14ac:dyDescent="0.15">
      <c r="A773">
        <v>768</v>
      </c>
      <c r="B773" s="6">
        <f>首页!$B$4+2*A773/1000</f>
        <v>1.6560000000000001</v>
      </c>
      <c r="C773" s="6">
        <f>首页!$B$7+273.15</f>
        <v>388.15</v>
      </c>
      <c r="D773" s="6">
        <f>首页!$B$6+273.15</f>
        <v>293.14999999999998</v>
      </c>
      <c r="E773" s="6">
        <f>首页!$B$5+273.15</f>
        <v>1373.15</v>
      </c>
      <c r="F773" s="6">
        <f t="shared" ref="F773:F836" si="120">C773-D773</f>
        <v>95</v>
      </c>
      <c r="G773" s="6">
        <f t="shared" ref="G773:G836" si="121">(C773+D773)/2</f>
        <v>340.65</v>
      </c>
      <c r="H773" s="6">
        <f t="shared" ref="H773:H836" si="122">0.0000000042113*G773^2.5/(112+G773)</f>
        <v>1.9926207055139041E-5</v>
      </c>
      <c r="I773" s="7">
        <f t="shared" ref="I773:I836" si="123">9.81*M773^3*F773/(H773^2*G773)</f>
        <v>1158916576932337.8</v>
      </c>
      <c r="J773" s="6">
        <f t="shared" ref="J773:J836" si="124">348.35/G773</f>
        <v>1.0226038455893147</v>
      </c>
      <c r="K773" s="7">
        <f>J773*H773*首页!$B$12/P773</f>
        <v>0.69532757496605813</v>
      </c>
      <c r="L773" s="6">
        <f>首页!$B$9*0.0000000567*((C773^4-D773^4)/(C773-D773))</f>
        <v>7.7687338005019564</v>
      </c>
      <c r="M773" s="6">
        <f>IF(首页!$B$13="自然对流",IF(首页!$B$14="立式圆筒",首页!$B$10,PI()*B773/2),PI()*B773/2)</f>
        <v>55.2</v>
      </c>
      <c r="N773" s="7">
        <f>IF(首页!$B$13="强制对流",首页!$B$11*M773/H773,0)</f>
        <v>0</v>
      </c>
      <c r="O773" s="7">
        <f>IF(首页!$B$13="自然对流",IF(首页!$B$14="立式圆筒",(0.825+0.3063*I773^(1/6))^2+0.87*(M773/B773),(0.752+0.303*I773^(1/6))^2),0.3+SQRT((0.592*N773^0.5)^2+(0.0262*N773^0.8/(1-0.5/N773^0.1))^2))</f>
        <v>10048.2075029349</v>
      </c>
      <c r="P773" s="6">
        <f t="shared" ref="P773:P836" si="125">0.0243+0.000078421*(G773-273)-0.000000020755*(G773-273)^2</f>
        <v>2.9510194925512497E-2</v>
      </c>
      <c r="Q773" s="6">
        <f t="shared" ref="Q773:Q836" si="126">O773*P773/M773</f>
        <v>5.3718217765146026</v>
      </c>
      <c r="R773" s="6">
        <f t="shared" ref="R773:R836" si="127">L773+Q773</f>
        <v>13.14055557701656</v>
      </c>
      <c r="S773" s="6">
        <f>IF($Y$2="按单位面积散热损失 qp",B773*LN(B773/首页!$B$4),LN(B773/首页!$B$4))</f>
        <v>4.3464511886221917</v>
      </c>
      <c r="T773" s="6">
        <f>IF($Y$2="按单位面积散热损失 qp",2*PI()*首页!$B$8*((E773-D773)/$Y$3-1/R773),2*PI()*首页!$B$8*((E773-D773)/$Y$4-1/(PI()*B773*R773)))</f>
        <v>4.0782881551721072E-2</v>
      </c>
      <c r="U773" t="str">
        <f t="shared" ref="U773:U836" si="128">IF($Y$2="按单位面积散热损失 qp","按单位面积散热损失 qp","按单位长度散热损失 ql")</f>
        <v>按单位面积散热损失 qp</v>
      </c>
      <c r="V773" s="6">
        <f t="shared" ref="V773:V836" si="129">ABS(S773-T773)</f>
        <v>4.3056683070704702</v>
      </c>
    </row>
    <row r="774" spans="1:22" x14ac:dyDescent="0.15">
      <c r="A774">
        <v>769</v>
      </c>
      <c r="B774" s="6">
        <f>首页!$B$4+2*A774/1000</f>
        <v>1.6579999999999999</v>
      </c>
      <c r="C774" s="6">
        <f>首页!$B$7+273.15</f>
        <v>388.15</v>
      </c>
      <c r="D774" s="6">
        <f>首页!$B$6+273.15</f>
        <v>293.14999999999998</v>
      </c>
      <c r="E774" s="6">
        <f>首页!$B$5+273.15</f>
        <v>1373.15</v>
      </c>
      <c r="F774" s="6">
        <f t="shared" si="120"/>
        <v>95</v>
      </c>
      <c r="G774" s="6">
        <f t="shared" si="121"/>
        <v>340.65</v>
      </c>
      <c r="H774" s="6">
        <f t="shared" si="122"/>
        <v>1.9926207055139041E-5</v>
      </c>
      <c r="I774" s="7">
        <f t="shared" si="123"/>
        <v>1158916576932337.8</v>
      </c>
      <c r="J774" s="6">
        <f t="shared" si="124"/>
        <v>1.0226038455893147</v>
      </c>
      <c r="K774" s="7">
        <f>J774*H774*首页!$B$12/P774</f>
        <v>0.69532757496605813</v>
      </c>
      <c r="L774" s="6">
        <f>首页!$B$9*0.0000000567*((C774^4-D774^4)/(C774-D774))</f>
        <v>7.7687338005019564</v>
      </c>
      <c r="M774" s="6">
        <f>IF(首页!$B$13="自然对流",IF(首页!$B$14="立式圆筒",首页!$B$10,PI()*B774/2),PI()*B774/2)</f>
        <v>55.2</v>
      </c>
      <c r="N774" s="7">
        <f>IF(首页!$B$13="强制对流",首页!$B$11*M774/H774,0)</f>
        <v>0</v>
      </c>
      <c r="O774" s="7">
        <f>IF(首页!$B$13="自然对流",IF(首页!$B$14="立式圆筒",(0.825+0.3063*I774^(1/6))^2+0.87*(M774/B774),(0.752+0.303*I774^(1/6))^2),0.3+SQRT((0.592*N774^0.5)^2+(0.0262*N774^0.8/(1-0.5/N774^0.1))^2))</f>
        <v>10048.17252102899</v>
      </c>
      <c r="P774" s="6">
        <f t="shared" si="125"/>
        <v>2.9510194925512497E-2</v>
      </c>
      <c r="Q774" s="6">
        <f t="shared" si="126"/>
        <v>5.3718030750134744</v>
      </c>
      <c r="R774" s="6">
        <f t="shared" si="127"/>
        <v>13.14053687551543</v>
      </c>
      <c r="S774" s="6">
        <f>IF($Y$2="按单位面积散热损失 qp",B774*LN(B774/首页!$B$4),LN(B774/首页!$B$4))</f>
        <v>4.3537017330500758</v>
      </c>
      <c r="T774" s="6">
        <f>IF($Y$2="按单位面积散热损失 qp",2*PI()*首页!$B$8*((E774-D774)/$Y$3-1/R774),2*PI()*首页!$B$8*((E774-D774)/$Y$4-1/(PI()*B774*R774)))</f>
        <v>4.0782850929124474E-2</v>
      </c>
      <c r="U774" t="str">
        <f t="shared" si="128"/>
        <v>按单位面积散热损失 qp</v>
      </c>
      <c r="V774" s="6">
        <f t="shared" si="129"/>
        <v>4.3129188821209512</v>
      </c>
    </row>
    <row r="775" spans="1:22" x14ac:dyDescent="0.15">
      <c r="A775">
        <v>770</v>
      </c>
      <c r="B775" s="6">
        <f>首页!$B$4+2*A775/1000</f>
        <v>1.6600000000000001</v>
      </c>
      <c r="C775" s="6">
        <f>首页!$B$7+273.15</f>
        <v>388.15</v>
      </c>
      <c r="D775" s="6">
        <f>首页!$B$6+273.15</f>
        <v>293.14999999999998</v>
      </c>
      <c r="E775" s="6">
        <f>首页!$B$5+273.15</f>
        <v>1373.15</v>
      </c>
      <c r="F775" s="6">
        <f t="shared" si="120"/>
        <v>95</v>
      </c>
      <c r="G775" s="6">
        <f t="shared" si="121"/>
        <v>340.65</v>
      </c>
      <c r="H775" s="6">
        <f t="shared" si="122"/>
        <v>1.9926207055139041E-5</v>
      </c>
      <c r="I775" s="7">
        <f t="shared" si="123"/>
        <v>1158916576932337.8</v>
      </c>
      <c r="J775" s="6">
        <f t="shared" si="124"/>
        <v>1.0226038455893147</v>
      </c>
      <c r="K775" s="7">
        <f>J775*H775*首页!$B$12/P775</f>
        <v>0.69532757496605813</v>
      </c>
      <c r="L775" s="6">
        <f>首页!$B$9*0.0000000567*((C775^4-D775^4)/(C775-D775))</f>
        <v>7.7687338005019564</v>
      </c>
      <c r="M775" s="6">
        <f>IF(首页!$B$13="自然对流",IF(首页!$B$14="立式圆筒",首页!$B$10,PI()*B775/2),PI()*B775/2)</f>
        <v>55.2</v>
      </c>
      <c r="N775" s="7">
        <f>IF(首页!$B$13="强制对流",首页!$B$11*M775/H775,0)</f>
        <v>0</v>
      </c>
      <c r="O775" s="7">
        <f>IF(首页!$B$13="自然对流",IF(首页!$B$14="立式圆筒",(0.825+0.3063*I775^(1/6))^2+0.87*(M775/B775),(0.752+0.303*I775^(1/6))^2),0.3+SQRT((0.592*N775^0.5)^2+(0.0262*N775^0.8/(1-0.5/N775^0.1))^2))</f>
        <v>10048.137623416827</v>
      </c>
      <c r="P775" s="6">
        <f t="shared" si="125"/>
        <v>2.9510194925512497E-2</v>
      </c>
      <c r="Q775" s="6">
        <f t="shared" si="126"/>
        <v>5.3717844185762038</v>
      </c>
      <c r="R775" s="6">
        <f t="shared" si="127"/>
        <v>13.14051821907816</v>
      </c>
      <c r="S775" s="6">
        <f>IF($Y$2="按单位面积散热损失 qp",B775*LN(B775/首页!$B$4),LN(B775/首页!$B$4))</f>
        <v>4.3609546900237826</v>
      </c>
      <c r="T775" s="6">
        <f>IF($Y$2="按单位面积散热损失 qp",2*PI()*首页!$B$8*((E775-D775)/$Y$3-1/R775),2*PI()*首页!$B$8*((E775-D775)/$Y$4-1/(PI()*B775*R775)))</f>
        <v>4.0782820380230414E-2</v>
      </c>
      <c r="U775" t="str">
        <f t="shared" si="128"/>
        <v>按单位面积散热损失 qp</v>
      </c>
      <c r="V775" s="6">
        <f t="shared" si="129"/>
        <v>4.320171869643552</v>
      </c>
    </row>
    <row r="776" spans="1:22" x14ac:dyDescent="0.15">
      <c r="A776">
        <v>771</v>
      </c>
      <c r="B776" s="6">
        <f>首页!$B$4+2*A776/1000</f>
        <v>1.6619999999999999</v>
      </c>
      <c r="C776" s="6">
        <f>首页!$B$7+273.15</f>
        <v>388.15</v>
      </c>
      <c r="D776" s="6">
        <f>首页!$B$6+273.15</f>
        <v>293.14999999999998</v>
      </c>
      <c r="E776" s="6">
        <f>首页!$B$5+273.15</f>
        <v>1373.15</v>
      </c>
      <c r="F776" s="6">
        <f t="shared" si="120"/>
        <v>95</v>
      </c>
      <c r="G776" s="6">
        <f t="shared" si="121"/>
        <v>340.65</v>
      </c>
      <c r="H776" s="6">
        <f t="shared" si="122"/>
        <v>1.9926207055139041E-5</v>
      </c>
      <c r="I776" s="7">
        <f t="shared" si="123"/>
        <v>1158916576932337.8</v>
      </c>
      <c r="J776" s="6">
        <f t="shared" si="124"/>
        <v>1.0226038455893147</v>
      </c>
      <c r="K776" s="7">
        <f>J776*H776*首页!$B$12/P776</f>
        <v>0.69532757496605813</v>
      </c>
      <c r="L776" s="6">
        <f>首页!$B$9*0.0000000567*((C776^4-D776^4)/(C776-D776))</f>
        <v>7.7687338005019564</v>
      </c>
      <c r="M776" s="6">
        <f>IF(首页!$B$13="自然对流",IF(首页!$B$14="立式圆筒",首页!$B$10,PI()*B776/2),PI()*B776/2)</f>
        <v>55.2</v>
      </c>
      <c r="N776" s="7">
        <f>IF(首页!$B$13="强制对流",首页!$B$11*M776/H776,0)</f>
        <v>0</v>
      </c>
      <c r="O776" s="7">
        <f>IF(首页!$B$13="自然对流",IF(首页!$B$14="立式圆筒",(0.825+0.3063*I776^(1/6))^2+0.87*(M776/B776),(0.752+0.303*I776^(1/6))^2),0.3+SQRT((0.592*N776^0.5)^2+(0.0262*N776^0.8/(1-0.5/N776^0.1))^2))</f>
        <v>10048.102809794105</v>
      </c>
      <c r="P776" s="6">
        <f t="shared" si="125"/>
        <v>2.9510194925512497E-2</v>
      </c>
      <c r="Q776" s="6">
        <f t="shared" si="126"/>
        <v>5.3717658070401058</v>
      </c>
      <c r="R776" s="6">
        <f t="shared" si="127"/>
        <v>13.140499607542061</v>
      </c>
      <c r="S776" s="6">
        <f>IF($Y$2="按单位面积散热损失 qp",B776*LN(B776/首页!$B$4),LN(B776/首页!$B$4))</f>
        <v>4.3682100566366238</v>
      </c>
      <c r="T776" s="6">
        <f>IF($Y$2="按单位面积散热损失 qp",2*PI()*首页!$B$8*((E776-D776)/$Y$3-1/R776),2*PI()*首页!$B$8*((E776-D776)/$Y$4-1/(PI()*B776*R776)))</f>
        <v>4.0782789904773138E-2</v>
      </c>
      <c r="U776" t="str">
        <f t="shared" si="128"/>
        <v>按单位面积散热损失 qp</v>
      </c>
      <c r="V776" s="6">
        <f t="shared" si="129"/>
        <v>4.327427266731851</v>
      </c>
    </row>
    <row r="777" spans="1:22" x14ac:dyDescent="0.15">
      <c r="A777">
        <v>772</v>
      </c>
      <c r="B777" s="6">
        <f>首页!$B$4+2*A777/1000</f>
        <v>1.6640000000000001</v>
      </c>
      <c r="C777" s="6">
        <f>首页!$B$7+273.15</f>
        <v>388.15</v>
      </c>
      <c r="D777" s="6">
        <f>首页!$B$6+273.15</f>
        <v>293.14999999999998</v>
      </c>
      <c r="E777" s="6">
        <f>首页!$B$5+273.15</f>
        <v>1373.15</v>
      </c>
      <c r="F777" s="6">
        <f t="shared" si="120"/>
        <v>95</v>
      </c>
      <c r="G777" s="6">
        <f t="shared" si="121"/>
        <v>340.65</v>
      </c>
      <c r="H777" s="6">
        <f t="shared" si="122"/>
        <v>1.9926207055139041E-5</v>
      </c>
      <c r="I777" s="7">
        <f t="shared" si="123"/>
        <v>1158916576932337.8</v>
      </c>
      <c r="J777" s="6">
        <f t="shared" si="124"/>
        <v>1.0226038455893147</v>
      </c>
      <c r="K777" s="7">
        <f>J777*H777*首页!$B$12/P777</f>
        <v>0.69532757496605813</v>
      </c>
      <c r="L777" s="6">
        <f>首页!$B$9*0.0000000567*((C777^4-D777^4)/(C777-D777))</f>
        <v>7.7687338005019564</v>
      </c>
      <c r="M777" s="6">
        <f>IF(首页!$B$13="自然对流",IF(首页!$B$14="立式圆筒",首页!$B$10,PI()*B777/2),PI()*B777/2)</f>
        <v>55.2</v>
      </c>
      <c r="N777" s="7">
        <f>IF(首页!$B$13="强制对流",首页!$B$11*M777/H777,0)</f>
        <v>0</v>
      </c>
      <c r="O777" s="7">
        <f>IF(首页!$B$13="自然对流",IF(首页!$B$14="立式圆筒",(0.825+0.3063*I777^(1/6))^2+0.87*(M777/B777),(0.752+0.303*I777^(1/6))^2),0.3+SQRT((0.592*N777^0.5)^2+(0.0262*N777^0.8/(1-0.5/N777^0.1))^2))</f>
        <v>10048.068079857976</v>
      </c>
      <c r="P777" s="6">
        <f t="shared" si="125"/>
        <v>2.9510194925512497E-2</v>
      </c>
      <c r="Q777" s="6">
        <f t="shared" si="126"/>
        <v>5.3717472402432778</v>
      </c>
      <c r="R777" s="6">
        <f t="shared" si="127"/>
        <v>13.140481040745234</v>
      </c>
      <c r="S777" s="6">
        <f>IF($Y$2="按单位面积散热损失 qp",B777*LN(B777/首页!$B$4),LN(B777/首页!$B$4))</f>
        <v>4.3754678299889163</v>
      </c>
      <c r="T777" s="6">
        <f>IF($Y$2="按单位面积散热损失 qp",2*PI()*首页!$B$8*((E777-D777)/$Y$3-1/R777),2*PI()*首页!$B$8*((E777-D777)/$Y$4-1/(PI()*B777*R777)))</f>
        <v>4.0782759502488164E-2</v>
      </c>
      <c r="U777" t="str">
        <f t="shared" si="128"/>
        <v>按单位面积散热损失 qp</v>
      </c>
      <c r="V777" s="6">
        <f t="shared" si="129"/>
        <v>4.3346850704864277</v>
      </c>
    </row>
    <row r="778" spans="1:22" x14ac:dyDescent="0.15">
      <c r="A778">
        <v>773</v>
      </c>
      <c r="B778" s="6">
        <f>首页!$B$4+2*A778/1000</f>
        <v>1.6659999999999999</v>
      </c>
      <c r="C778" s="6">
        <f>首页!$B$7+273.15</f>
        <v>388.15</v>
      </c>
      <c r="D778" s="6">
        <f>首页!$B$6+273.15</f>
        <v>293.14999999999998</v>
      </c>
      <c r="E778" s="6">
        <f>首页!$B$5+273.15</f>
        <v>1373.15</v>
      </c>
      <c r="F778" s="6">
        <f t="shared" si="120"/>
        <v>95</v>
      </c>
      <c r="G778" s="6">
        <f t="shared" si="121"/>
        <v>340.65</v>
      </c>
      <c r="H778" s="6">
        <f t="shared" si="122"/>
        <v>1.9926207055139041E-5</v>
      </c>
      <c r="I778" s="7">
        <f t="shared" si="123"/>
        <v>1158916576932337.8</v>
      </c>
      <c r="J778" s="6">
        <f t="shared" si="124"/>
        <v>1.0226038455893147</v>
      </c>
      <c r="K778" s="7">
        <f>J778*H778*首页!$B$12/P778</f>
        <v>0.69532757496605813</v>
      </c>
      <c r="L778" s="6">
        <f>首页!$B$9*0.0000000567*((C778^4-D778^4)/(C778-D778))</f>
        <v>7.7687338005019564</v>
      </c>
      <c r="M778" s="6">
        <f>IF(首页!$B$13="自然对流",IF(首页!$B$14="立式圆筒",首页!$B$10,PI()*B778/2),PI()*B778/2)</f>
        <v>55.2</v>
      </c>
      <c r="N778" s="7">
        <f>IF(首页!$B$13="强制对流",首页!$B$11*M778/H778,0)</f>
        <v>0</v>
      </c>
      <c r="O778" s="7">
        <f>IF(首页!$B$13="自然对流",IF(首页!$B$14="立式圆筒",(0.825+0.3063*I778^(1/6))^2+0.87*(M778/B778),(0.752+0.303*I778^(1/6))^2),0.3+SQRT((0.592*N778^0.5)^2+(0.0262*N778^0.8/(1-0.5/N778^0.1))^2))</f>
        <v>10048.03343330705</v>
      </c>
      <c r="P778" s="6">
        <f t="shared" si="125"/>
        <v>2.9510194925512497E-2</v>
      </c>
      <c r="Q778" s="6">
        <f t="shared" si="126"/>
        <v>5.3717287180245945</v>
      </c>
      <c r="R778" s="6">
        <f t="shared" si="127"/>
        <v>13.140462518526551</v>
      </c>
      <c r="S778" s="6">
        <f>IF($Y$2="按单位面积散热损失 qp",B778*LN(B778/首页!$B$4),LN(B778/首页!$B$4))</f>
        <v>4.3827280071879393</v>
      </c>
      <c r="T778" s="6">
        <f>IF($Y$2="按单位面积散热损失 qp",2*PI()*首页!$B$8*((E778-D778)/$Y$3-1/R778),2*PI()*首页!$B$8*((E778-D778)/$Y$4-1/(PI()*B778*R778)))</f>
        <v>4.0782729173112271E-2</v>
      </c>
      <c r="U778" t="str">
        <f t="shared" si="128"/>
        <v>按单位面积散热损失 qp</v>
      </c>
      <c r="V778" s="6">
        <f t="shared" si="129"/>
        <v>4.3419452780148271</v>
      </c>
    </row>
    <row r="779" spans="1:22" x14ac:dyDescent="0.15">
      <c r="A779">
        <v>774</v>
      </c>
      <c r="B779" s="6">
        <f>首页!$B$4+2*A779/1000</f>
        <v>1.6680000000000001</v>
      </c>
      <c r="C779" s="6">
        <f>首页!$B$7+273.15</f>
        <v>388.15</v>
      </c>
      <c r="D779" s="6">
        <f>首页!$B$6+273.15</f>
        <v>293.14999999999998</v>
      </c>
      <c r="E779" s="6">
        <f>首页!$B$5+273.15</f>
        <v>1373.15</v>
      </c>
      <c r="F779" s="6">
        <f t="shared" si="120"/>
        <v>95</v>
      </c>
      <c r="G779" s="6">
        <f t="shared" si="121"/>
        <v>340.65</v>
      </c>
      <c r="H779" s="6">
        <f t="shared" si="122"/>
        <v>1.9926207055139041E-5</v>
      </c>
      <c r="I779" s="7">
        <f t="shared" si="123"/>
        <v>1158916576932337.8</v>
      </c>
      <c r="J779" s="6">
        <f t="shared" si="124"/>
        <v>1.0226038455893147</v>
      </c>
      <c r="K779" s="7">
        <f>J779*H779*首页!$B$12/P779</f>
        <v>0.69532757496605813</v>
      </c>
      <c r="L779" s="6">
        <f>首页!$B$9*0.0000000567*((C779^4-D779^4)/(C779-D779))</f>
        <v>7.7687338005019564</v>
      </c>
      <c r="M779" s="6">
        <f>IF(首页!$B$13="自然对流",IF(首页!$B$14="立式圆筒",首页!$B$10,PI()*B779/2),PI()*B779/2)</f>
        <v>55.2</v>
      </c>
      <c r="N779" s="7">
        <f>IF(首页!$B$13="强制对流",首页!$B$11*M779/H779,0)</f>
        <v>0</v>
      </c>
      <c r="O779" s="7">
        <f>IF(首页!$B$13="自然对流",IF(首页!$B$14="立式圆筒",(0.825+0.3063*I779^(1/6))^2+0.87*(M779/B779),(0.752+0.303*I779^(1/6))^2),0.3+SQRT((0.592*N779^0.5)^2+(0.0262*N779^0.8/(1-0.5/N779^0.1))^2))</f>
        <v>10047.998869841374</v>
      </c>
      <c r="P779" s="6">
        <f t="shared" si="125"/>
        <v>2.9510194925512497E-2</v>
      </c>
      <c r="Q779" s="6">
        <f t="shared" si="126"/>
        <v>5.3717102402236998</v>
      </c>
      <c r="R779" s="6">
        <f t="shared" si="127"/>
        <v>13.140444040725656</v>
      </c>
      <c r="S779" s="6">
        <f>IF($Y$2="按单位面积散热损失 qp",B779*LN(B779/首页!$B$4),LN(B779/首页!$B$4))</f>
        <v>4.3899905853479257</v>
      </c>
      <c r="T779" s="6">
        <f>IF($Y$2="按单位面积散热损失 qp",2*PI()*首页!$B$8*((E779-D779)/$Y$3-1/R779),2*PI()*首页!$B$8*((E779-D779)/$Y$4-1/(PI()*B779*R779)))</f>
        <v>4.0782698916383489E-2</v>
      </c>
      <c r="U779" t="str">
        <f t="shared" si="128"/>
        <v>按单位面积散热损失 qp</v>
      </c>
      <c r="V779" s="6">
        <f t="shared" si="129"/>
        <v>4.3492078864315422</v>
      </c>
    </row>
    <row r="780" spans="1:22" x14ac:dyDescent="0.15">
      <c r="A780">
        <v>775</v>
      </c>
      <c r="B780" s="6">
        <f>首页!$B$4+2*A780/1000</f>
        <v>1.67</v>
      </c>
      <c r="C780" s="6">
        <f>首页!$B$7+273.15</f>
        <v>388.15</v>
      </c>
      <c r="D780" s="6">
        <f>首页!$B$6+273.15</f>
        <v>293.14999999999998</v>
      </c>
      <c r="E780" s="6">
        <f>首页!$B$5+273.15</f>
        <v>1373.15</v>
      </c>
      <c r="F780" s="6">
        <f t="shared" si="120"/>
        <v>95</v>
      </c>
      <c r="G780" s="6">
        <f t="shared" si="121"/>
        <v>340.65</v>
      </c>
      <c r="H780" s="6">
        <f t="shared" si="122"/>
        <v>1.9926207055139041E-5</v>
      </c>
      <c r="I780" s="7">
        <f t="shared" si="123"/>
        <v>1158916576932337.8</v>
      </c>
      <c r="J780" s="6">
        <f t="shared" si="124"/>
        <v>1.0226038455893147</v>
      </c>
      <c r="K780" s="7">
        <f>J780*H780*首页!$B$12/P780</f>
        <v>0.69532757496605813</v>
      </c>
      <c r="L780" s="6">
        <f>首页!$B$9*0.0000000567*((C780^4-D780^4)/(C780-D780))</f>
        <v>7.7687338005019564</v>
      </c>
      <c r="M780" s="6">
        <f>IF(首页!$B$13="自然对流",IF(首页!$B$14="立式圆筒",首页!$B$10,PI()*B780/2),PI()*B780/2)</f>
        <v>55.2</v>
      </c>
      <c r="N780" s="7">
        <f>IF(首页!$B$13="强制对流",首页!$B$11*M780/H780,0)</f>
        <v>0</v>
      </c>
      <c r="O780" s="7">
        <f>IF(首页!$B$13="自然对流",IF(首页!$B$14="立式圆筒",(0.825+0.3063*I780^(1/6))^2+0.87*(M780/B780),(0.752+0.303*I780^(1/6))^2),0.3+SQRT((0.592*N780^0.5)^2+(0.0262*N780^0.8/(1-0.5/N780^0.1))^2))</f>
        <v>10047.964389162446</v>
      </c>
      <c r="P780" s="6">
        <f t="shared" si="125"/>
        <v>2.9510194925512497E-2</v>
      </c>
      <c r="Q780" s="6">
        <f t="shared" si="126"/>
        <v>5.3716918066810111</v>
      </c>
      <c r="R780" s="6">
        <f t="shared" si="127"/>
        <v>13.140425607182967</v>
      </c>
      <c r="S780" s="6">
        <f>IF($Y$2="按单位面积散热损失 qp",B780*LN(B780/首页!$B$4),LN(B780/首页!$B$4))</f>
        <v>4.3972555615900202</v>
      </c>
      <c r="T780" s="6">
        <f>IF($Y$2="按单位面积散热损失 qp",2*PI()*首页!$B$8*((E780-D780)/$Y$3-1/R780),2*PI()*首页!$B$8*((E780-D780)/$Y$4-1/(PI()*B780*R780)))</f>
        <v>4.0782668732041116E-2</v>
      </c>
      <c r="U780" t="str">
        <f t="shared" si="128"/>
        <v>按单位面积散热损失 qp</v>
      </c>
      <c r="V780" s="6">
        <f t="shared" si="129"/>
        <v>4.3564728928579788</v>
      </c>
    </row>
    <row r="781" spans="1:22" x14ac:dyDescent="0.15">
      <c r="A781">
        <v>776</v>
      </c>
      <c r="B781" s="6">
        <f>首页!$B$4+2*A781/1000</f>
        <v>1.6720000000000002</v>
      </c>
      <c r="C781" s="6">
        <f>首页!$B$7+273.15</f>
        <v>388.15</v>
      </c>
      <c r="D781" s="6">
        <f>首页!$B$6+273.15</f>
        <v>293.14999999999998</v>
      </c>
      <c r="E781" s="6">
        <f>首页!$B$5+273.15</f>
        <v>1373.15</v>
      </c>
      <c r="F781" s="6">
        <f t="shared" si="120"/>
        <v>95</v>
      </c>
      <c r="G781" s="6">
        <f t="shared" si="121"/>
        <v>340.65</v>
      </c>
      <c r="H781" s="6">
        <f t="shared" si="122"/>
        <v>1.9926207055139041E-5</v>
      </c>
      <c r="I781" s="7">
        <f t="shared" si="123"/>
        <v>1158916576932337.8</v>
      </c>
      <c r="J781" s="6">
        <f t="shared" si="124"/>
        <v>1.0226038455893147</v>
      </c>
      <c r="K781" s="7">
        <f>J781*H781*首页!$B$12/P781</f>
        <v>0.69532757496605813</v>
      </c>
      <c r="L781" s="6">
        <f>首页!$B$9*0.0000000567*((C781^4-D781^4)/(C781-D781))</f>
        <v>7.7687338005019564</v>
      </c>
      <c r="M781" s="6">
        <f>IF(首页!$B$13="自然对流",IF(首页!$B$14="立式圆筒",首页!$B$10,PI()*B781/2),PI()*B781/2)</f>
        <v>55.2</v>
      </c>
      <c r="N781" s="7">
        <f>IF(首页!$B$13="强制对流",首页!$B$11*M781/H781,0)</f>
        <v>0</v>
      </c>
      <c r="O781" s="7">
        <f>IF(首页!$B$13="自然对流",IF(首页!$B$14="立式圆筒",(0.825+0.3063*I781^(1/6))^2+0.87*(M781/B781),(0.752+0.303*I781^(1/6))^2),0.3+SQRT((0.592*N781^0.5)^2+(0.0262*N781^0.8/(1-0.5/N781^0.1))^2))</f>
        <v>10047.929990973178</v>
      </c>
      <c r="P781" s="6">
        <f t="shared" si="125"/>
        <v>2.9510194925512497E-2</v>
      </c>
      <c r="Q781" s="6">
        <f t="shared" si="126"/>
        <v>5.3716734172377079</v>
      </c>
      <c r="R781" s="6">
        <f t="shared" si="127"/>
        <v>13.140407217739664</v>
      </c>
      <c r="S781" s="6">
        <f>IF($Y$2="按单位面积散热损失 qp",B781*LN(B781/首页!$B$4),LN(B781/首页!$B$4))</f>
        <v>4.4045229330422693</v>
      </c>
      <c r="T781" s="6">
        <f>IF($Y$2="按单位面积散热损失 qp",2*PI()*首页!$B$8*((E781-D781)/$Y$3-1/R781),2*PI()*首页!$B$8*((E781-D781)/$Y$4-1/(PI()*B781*R781)))</f>
        <v>4.0782638619825715E-2</v>
      </c>
      <c r="U781" t="str">
        <f t="shared" si="128"/>
        <v>按单位面积散热损失 qp</v>
      </c>
      <c r="V781" s="6">
        <f t="shared" si="129"/>
        <v>4.3637402944224437</v>
      </c>
    </row>
    <row r="782" spans="1:22" x14ac:dyDescent="0.15">
      <c r="A782">
        <v>777</v>
      </c>
      <c r="B782" s="6">
        <f>首页!$B$4+2*A782/1000</f>
        <v>1.6739999999999999</v>
      </c>
      <c r="C782" s="6">
        <f>首页!$B$7+273.15</f>
        <v>388.15</v>
      </c>
      <c r="D782" s="6">
        <f>首页!$B$6+273.15</f>
        <v>293.14999999999998</v>
      </c>
      <c r="E782" s="6">
        <f>首页!$B$5+273.15</f>
        <v>1373.15</v>
      </c>
      <c r="F782" s="6">
        <f t="shared" si="120"/>
        <v>95</v>
      </c>
      <c r="G782" s="6">
        <f t="shared" si="121"/>
        <v>340.65</v>
      </c>
      <c r="H782" s="6">
        <f t="shared" si="122"/>
        <v>1.9926207055139041E-5</v>
      </c>
      <c r="I782" s="7">
        <f t="shared" si="123"/>
        <v>1158916576932337.8</v>
      </c>
      <c r="J782" s="6">
        <f t="shared" si="124"/>
        <v>1.0226038455893147</v>
      </c>
      <c r="K782" s="7">
        <f>J782*H782*首页!$B$12/P782</f>
        <v>0.69532757496605813</v>
      </c>
      <c r="L782" s="6">
        <f>首页!$B$9*0.0000000567*((C782^4-D782^4)/(C782-D782))</f>
        <v>7.7687338005019564</v>
      </c>
      <c r="M782" s="6">
        <f>IF(首页!$B$13="自然对流",IF(首页!$B$14="立式圆筒",首页!$B$10,PI()*B782/2),PI()*B782/2)</f>
        <v>55.2</v>
      </c>
      <c r="N782" s="7">
        <f>IF(首页!$B$13="强制对流",首页!$B$11*M782/H782,0)</f>
        <v>0</v>
      </c>
      <c r="O782" s="7">
        <f>IF(首页!$B$13="自然对流",IF(首页!$B$14="立式圆筒",(0.825+0.3063*I782^(1/6))^2+0.87*(M782/B782),(0.752+0.303*I782^(1/6))^2),0.3+SQRT((0.592*N782^0.5)^2+(0.0262*N782^0.8/(1-0.5/N782^0.1))^2))</f>
        <v>10047.89567497791</v>
      </c>
      <c r="P782" s="6">
        <f t="shared" si="125"/>
        <v>2.9510194925512497E-2</v>
      </c>
      <c r="Q782" s="6">
        <f t="shared" si="126"/>
        <v>5.3716550717357263</v>
      </c>
      <c r="R782" s="6">
        <f t="shared" si="127"/>
        <v>13.140388872237683</v>
      </c>
      <c r="S782" s="6">
        <f>IF($Y$2="按单位面积散热损失 qp",B782*LN(B782/首页!$B$4),LN(B782/首页!$B$4))</f>
        <v>4.4117926968395844</v>
      </c>
      <c r="T782" s="6">
        <f>IF($Y$2="按单位面积散热损失 qp",2*PI()*首页!$B$8*((E782-D782)/$Y$3-1/R782),2*PI()*首页!$B$8*((E782-D782)/$Y$4-1/(PI()*B782*R782)))</f>
        <v>4.0782608579479067E-2</v>
      </c>
      <c r="U782" t="str">
        <f t="shared" si="128"/>
        <v>按单位面积散热损失 qp</v>
      </c>
      <c r="V782" s="6">
        <f t="shared" si="129"/>
        <v>4.3710100882601051</v>
      </c>
    </row>
    <row r="783" spans="1:22" x14ac:dyDescent="0.15">
      <c r="A783">
        <v>778</v>
      </c>
      <c r="B783" s="6">
        <f>首页!$B$4+2*A783/1000</f>
        <v>1.6760000000000002</v>
      </c>
      <c r="C783" s="6">
        <f>首页!$B$7+273.15</f>
        <v>388.15</v>
      </c>
      <c r="D783" s="6">
        <f>首页!$B$6+273.15</f>
        <v>293.14999999999998</v>
      </c>
      <c r="E783" s="6">
        <f>首页!$B$5+273.15</f>
        <v>1373.15</v>
      </c>
      <c r="F783" s="6">
        <f t="shared" si="120"/>
        <v>95</v>
      </c>
      <c r="G783" s="6">
        <f t="shared" si="121"/>
        <v>340.65</v>
      </c>
      <c r="H783" s="6">
        <f t="shared" si="122"/>
        <v>1.9926207055139041E-5</v>
      </c>
      <c r="I783" s="7">
        <f t="shared" si="123"/>
        <v>1158916576932337.8</v>
      </c>
      <c r="J783" s="6">
        <f t="shared" si="124"/>
        <v>1.0226038455893147</v>
      </c>
      <c r="K783" s="7">
        <f>J783*H783*首页!$B$12/P783</f>
        <v>0.69532757496605813</v>
      </c>
      <c r="L783" s="6">
        <f>首页!$B$9*0.0000000567*((C783^4-D783^4)/(C783-D783))</f>
        <v>7.7687338005019564</v>
      </c>
      <c r="M783" s="6">
        <f>IF(首页!$B$13="自然对流",IF(首页!$B$14="立式圆筒",首页!$B$10,PI()*B783/2),PI()*B783/2)</f>
        <v>55.2</v>
      </c>
      <c r="N783" s="7">
        <f>IF(首页!$B$13="强制对流",首页!$B$11*M783/H783,0)</f>
        <v>0</v>
      </c>
      <c r="O783" s="7">
        <f>IF(首页!$B$13="自然对流",IF(首页!$B$14="立式圆筒",(0.825+0.3063*I783^(1/6))^2+0.87*(M783/B783),(0.752+0.303*I783^(1/6))^2),0.3+SQRT((0.592*N783^0.5)^2+(0.0262*N783^0.8/(1-0.5/N783^0.1))^2))</f>
        <v>10047.861440882394</v>
      </c>
      <c r="P783" s="6">
        <f t="shared" si="125"/>
        <v>2.9510194925512497E-2</v>
      </c>
      <c r="Q783" s="6">
        <f t="shared" si="126"/>
        <v>5.3716367700177585</v>
      </c>
      <c r="R783" s="6">
        <f t="shared" si="127"/>
        <v>13.140370570519714</v>
      </c>
      <c r="S783" s="6">
        <f>IF($Y$2="按单位面积散热损失 qp",B783*LN(B783/首页!$B$4),LN(B783/首页!$B$4))</f>
        <v>4.4190648501237311</v>
      </c>
      <c r="T783" s="6">
        <f>IF($Y$2="按单位面积散热损失 qp",2*PI()*首页!$B$8*((E783-D783)/$Y$3-1/R783),2*PI()*首页!$B$8*((E783-D783)/$Y$4-1/(PI()*B783*R783)))</f>
        <v>4.078257861074417E-2</v>
      </c>
      <c r="U783" t="str">
        <f t="shared" si="128"/>
        <v>按单位面积散热损失 qp</v>
      </c>
      <c r="V783" s="6">
        <f t="shared" si="129"/>
        <v>4.3782822715129868</v>
      </c>
    </row>
    <row r="784" spans="1:22" x14ac:dyDescent="0.15">
      <c r="A784">
        <v>779</v>
      </c>
      <c r="B784" s="6">
        <f>首页!$B$4+2*A784/1000</f>
        <v>1.6779999999999999</v>
      </c>
      <c r="C784" s="6">
        <f>首页!$B$7+273.15</f>
        <v>388.15</v>
      </c>
      <c r="D784" s="6">
        <f>首页!$B$6+273.15</f>
        <v>293.14999999999998</v>
      </c>
      <c r="E784" s="6">
        <f>首页!$B$5+273.15</f>
        <v>1373.15</v>
      </c>
      <c r="F784" s="6">
        <f t="shared" si="120"/>
        <v>95</v>
      </c>
      <c r="G784" s="6">
        <f t="shared" si="121"/>
        <v>340.65</v>
      </c>
      <c r="H784" s="6">
        <f t="shared" si="122"/>
        <v>1.9926207055139041E-5</v>
      </c>
      <c r="I784" s="7">
        <f t="shared" si="123"/>
        <v>1158916576932337.8</v>
      </c>
      <c r="J784" s="6">
        <f t="shared" si="124"/>
        <v>1.0226038455893147</v>
      </c>
      <c r="K784" s="7">
        <f>J784*H784*首页!$B$12/P784</f>
        <v>0.69532757496605813</v>
      </c>
      <c r="L784" s="6">
        <f>首页!$B$9*0.0000000567*((C784^4-D784^4)/(C784-D784))</f>
        <v>7.7687338005019564</v>
      </c>
      <c r="M784" s="6">
        <f>IF(首页!$B$13="自然对流",IF(首页!$B$14="立式圆筒",首页!$B$10,PI()*B784/2),PI()*B784/2)</f>
        <v>55.2</v>
      </c>
      <c r="N784" s="7">
        <f>IF(首页!$B$13="强制对流",首页!$B$11*M784/H784,0)</f>
        <v>0</v>
      </c>
      <c r="O784" s="7">
        <f>IF(首页!$B$13="自然对流",IF(首页!$B$14="立式圆筒",(0.825+0.3063*I784^(1/6))^2+0.87*(M784/B784),(0.752+0.303*I784^(1/6))^2),0.3+SQRT((0.592*N784^0.5)^2+(0.0262*N784^0.8/(1-0.5/N784^0.1))^2))</f>
        <v>10047.827288393779</v>
      </c>
      <c r="P784" s="6">
        <f t="shared" si="125"/>
        <v>2.9510194925512497E-2</v>
      </c>
      <c r="Q784" s="6">
        <f t="shared" si="126"/>
        <v>5.3716185119272479</v>
      </c>
      <c r="R784" s="6">
        <f t="shared" si="127"/>
        <v>13.140352312429204</v>
      </c>
      <c r="S784" s="6">
        <f>IF($Y$2="按单位面积散热损失 qp",B784*LN(B784/首页!$B$4),LN(B784/首页!$B$4))</f>
        <v>4.426339390043287</v>
      </c>
      <c r="T784" s="6">
        <f>IF($Y$2="按单位面积散热损失 qp",2*PI()*首页!$B$8*((E784-D784)/$Y$3-1/R784),2*PI()*首页!$B$8*((E784-D784)/$Y$4-1/(PI()*B784*R784)))</f>
        <v>4.0782548713365264E-2</v>
      </c>
      <c r="U784" t="str">
        <f t="shared" si="128"/>
        <v>按单位面积散热损失 qp</v>
      </c>
      <c r="V784" s="6">
        <f t="shared" si="129"/>
        <v>4.3855568413299215</v>
      </c>
    </row>
    <row r="785" spans="1:22" x14ac:dyDescent="0.15">
      <c r="A785">
        <v>780</v>
      </c>
      <c r="B785" s="6">
        <f>首页!$B$4+2*A785/1000</f>
        <v>1.6800000000000002</v>
      </c>
      <c r="C785" s="6">
        <f>首页!$B$7+273.15</f>
        <v>388.15</v>
      </c>
      <c r="D785" s="6">
        <f>首页!$B$6+273.15</f>
        <v>293.14999999999998</v>
      </c>
      <c r="E785" s="6">
        <f>首页!$B$5+273.15</f>
        <v>1373.15</v>
      </c>
      <c r="F785" s="6">
        <f t="shared" si="120"/>
        <v>95</v>
      </c>
      <c r="G785" s="6">
        <f t="shared" si="121"/>
        <v>340.65</v>
      </c>
      <c r="H785" s="6">
        <f t="shared" si="122"/>
        <v>1.9926207055139041E-5</v>
      </c>
      <c r="I785" s="7">
        <f t="shared" si="123"/>
        <v>1158916576932337.8</v>
      </c>
      <c r="J785" s="6">
        <f t="shared" si="124"/>
        <v>1.0226038455893147</v>
      </c>
      <c r="K785" s="7">
        <f>J785*H785*首页!$B$12/P785</f>
        <v>0.69532757496605813</v>
      </c>
      <c r="L785" s="6">
        <f>首页!$B$9*0.0000000567*((C785^4-D785^4)/(C785-D785))</f>
        <v>7.7687338005019564</v>
      </c>
      <c r="M785" s="6">
        <f>IF(首页!$B$13="自然对流",IF(首页!$B$14="立式圆筒",首页!$B$10,PI()*B785/2),PI()*B785/2)</f>
        <v>55.2</v>
      </c>
      <c r="N785" s="7">
        <f>IF(首页!$B$13="强制对流",首页!$B$11*M785/H785,0)</f>
        <v>0</v>
      </c>
      <c r="O785" s="7">
        <f>IF(首页!$B$13="自然对流",IF(首页!$B$14="立式圆筒",(0.825+0.3063*I785^(1/6))^2+0.87*(M785/B785),(0.752+0.303*I785^(1/6))^2),0.3+SQRT((0.592*N785^0.5)^2+(0.0262*N785^0.8/(1-0.5/N785^0.1))^2))</f>
        <v>10047.793217220615</v>
      </c>
      <c r="P785" s="6">
        <f t="shared" si="125"/>
        <v>2.9510194925512497E-2</v>
      </c>
      <c r="Q785" s="6">
        <f t="shared" si="126"/>
        <v>5.3716002973083814</v>
      </c>
      <c r="R785" s="6">
        <f t="shared" si="127"/>
        <v>13.140334097810339</v>
      </c>
      <c r="S785" s="6">
        <f>IF($Y$2="按单位面积散热损失 qp",B785*LN(B785/首页!$B$4),LN(B785/首页!$B$4))</f>
        <v>4.4336163137536353</v>
      </c>
      <c r="T785" s="6">
        <f>IF($Y$2="按单位面积散热损失 qp",2*PI()*首页!$B$8*((E785-D785)/$Y$3-1/R785),2*PI()*首页!$B$8*((E785-D785)/$Y$4-1/(PI()*B785*R785)))</f>
        <v>4.0782518887087817E-2</v>
      </c>
      <c r="U785" t="str">
        <f t="shared" si="128"/>
        <v>按单位面积散热损失 qp</v>
      </c>
      <c r="V785" s="6">
        <f t="shared" si="129"/>
        <v>4.3928337948665472</v>
      </c>
    </row>
    <row r="786" spans="1:22" x14ac:dyDescent="0.15">
      <c r="A786">
        <v>781</v>
      </c>
      <c r="B786" s="6">
        <f>首页!$B$4+2*A786/1000</f>
        <v>1.6819999999999999</v>
      </c>
      <c r="C786" s="6">
        <f>首页!$B$7+273.15</f>
        <v>388.15</v>
      </c>
      <c r="D786" s="6">
        <f>首页!$B$6+273.15</f>
        <v>293.14999999999998</v>
      </c>
      <c r="E786" s="6">
        <f>首页!$B$5+273.15</f>
        <v>1373.15</v>
      </c>
      <c r="F786" s="6">
        <f t="shared" si="120"/>
        <v>95</v>
      </c>
      <c r="G786" s="6">
        <f t="shared" si="121"/>
        <v>340.65</v>
      </c>
      <c r="H786" s="6">
        <f t="shared" si="122"/>
        <v>1.9926207055139041E-5</v>
      </c>
      <c r="I786" s="7">
        <f t="shared" si="123"/>
        <v>1158916576932337.8</v>
      </c>
      <c r="J786" s="6">
        <f t="shared" si="124"/>
        <v>1.0226038455893147</v>
      </c>
      <c r="K786" s="7">
        <f>J786*H786*首页!$B$12/P786</f>
        <v>0.69532757496605813</v>
      </c>
      <c r="L786" s="6">
        <f>首页!$B$9*0.0000000567*((C786^4-D786^4)/(C786-D786))</f>
        <v>7.7687338005019564</v>
      </c>
      <c r="M786" s="6">
        <f>IF(首页!$B$13="自然对流",IF(首页!$B$14="立式圆筒",首页!$B$10,PI()*B786/2),PI()*B786/2)</f>
        <v>55.2</v>
      </c>
      <c r="N786" s="7">
        <f>IF(首页!$B$13="强制对流",首页!$B$11*M786/H786,0)</f>
        <v>0</v>
      </c>
      <c r="O786" s="7">
        <f>IF(首页!$B$13="自然对流",IF(首页!$B$14="立式圆筒",(0.825+0.3063*I786^(1/6))^2+0.87*(M786/B786),(0.752+0.303*I786^(1/6))^2),0.3+SQRT((0.592*N786^0.5)^2+(0.0262*N786^0.8/(1-0.5/N786^0.1))^2))</f>
        <v>10047.759227072831</v>
      </c>
      <c r="P786" s="6">
        <f t="shared" si="125"/>
        <v>2.9510194925512497E-2</v>
      </c>
      <c r="Q786" s="6">
        <f t="shared" si="126"/>
        <v>5.3715821260060865</v>
      </c>
      <c r="R786" s="6">
        <f t="shared" si="127"/>
        <v>13.140315926508043</v>
      </c>
      <c r="S786" s="6">
        <f>IF($Y$2="按单位面积散热损失 qp",B786*LN(B786/首页!$B$4),LN(B786/首页!$B$4))</f>
        <v>4.440895618416925</v>
      </c>
      <c r="T786" s="6">
        <f>IF($Y$2="按单位面积散热损失 qp",2*PI()*首页!$B$8*((E786-D786)/$Y$3-1/R786),2*PI()*首页!$B$8*((E786-D786)/$Y$4-1/(PI()*B786*R786)))</f>
        <v>4.0782489131658481E-2</v>
      </c>
      <c r="U786" t="str">
        <f t="shared" si="128"/>
        <v>按单位面积散热损失 qp</v>
      </c>
      <c r="V786" s="6">
        <f t="shared" si="129"/>
        <v>4.4001131292852662</v>
      </c>
    </row>
    <row r="787" spans="1:22" x14ac:dyDescent="0.15">
      <c r="A787">
        <v>782</v>
      </c>
      <c r="B787" s="6">
        <f>首页!$B$4+2*A787/1000</f>
        <v>1.6840000000000002</v>
      </c>
      <c r="C787" s="6">
        <f>首页!$B$7+273.15</f>
        <v>388.15</v>
      </c>
      <c r="D787" s="6">
        <f>首页!$B$6+273.15</f>
        <v>293.14999999999998</v>
      </c>
      <c r="E787" s="6">
        <f>首页!$B$5+273.15</f>
        <v>1373.15</v>
      </c>
      <c r="F787" s="6">
        <f t="shared" si="120"/>
        <v>95</v>
      </c>
      <c r="G787" s="6">
        <f t="shared" si="121"/>
        <v>340.65</v>
      </c>
      <c r="H787" s="6">
        <f t="shared" si="122"/>
        <v>1.9926207055139041E-5</v>
      </c>
      <c r="I787" s="7">
        <f t="shared" si="123"/>
        <v>1158916576932337.8</v>
      </c>
      <c r="J787" s="6">
        <f t="shared" si="124"/>
        <v>1.0226038455893147</v>
      </c>
      <c r="K787" s="7">
        <f>J787*H787*首页!$B$12/P787</f>
        <v>0.69532757496605813</v>
      </c>
      <c r="L787" s="6">
        <f>首页!$B$9*0.0000000567*((C787^4-D787^4)/(C787-D787))</f>
        <v>7.7687338005019564</v>
      </c>
      <c r="M787" s="6">
        <f>IF(首页!$B$13="自然对流",IF(首页!$B$14="立式圆筒",首页!$B$10,PI()*B787/2),PI()*B787/2)</f>
        <v>55.2</v>
      </c>
      <c r="N787" s="7">
        <f>IF(首页!$B$13="强制对流",首页!$B$11*M787/H787,0)</f>
        <v>0</v>
      </c>
      <c r="O787" s="7">
        <f>IF(首页!$B$13="自然对流",IF(首页!$B$14="立式圆筒",(0.825+0.3063*I787^(1/6))^2+0.87*(M787/B787),(0.752+0.303*I787^(1/6))^2),0.3+SQRT((0.592*N787^0.5)^2+(0.0262*N787^0.8/(1-0.5/N787^0.1))^2))</f>
        <v>10047.725317661741</v>
      </c>
      <c r="P787" s="6">
        <f t="shared" si="125"/>
        <v>2.9510194925512497E-2</v>
      </c>
      <c r="Q787" s="6">
        <f t="shared" si="126"/>
        <v>5.3715639978660308</v>
      </c>
      <c r="R787" s="6">
        <f t="shared" si="127"/>
        <v>13.140297798367987</v>
      </c>
      <c r="S787" s="6">
        <f>IF($Y$2="按单位面积散热损失 qp",B787*LN(B787/首页!$B$4),LN(B787/首页!$B$4))</f>
        <v>4.4481773012020609</v>
      </c>
      <c r="T787" s="6">
        <f>IF($Y$2="按单位面积散热损失 qp",2*PI()*首页!$B$8*((E787-D787)/$Y$3-1/R787),2*PI()*首页!$B$8*((E787-D787)/$Y$4-1/(PI()*B787*R787)))</f>
        <v>4.0782459446825119E-2</v>
      </c>
      <c r="U787" t="str">
        <f t="shared" si="128"/>
        <v>按单位面积散热损失 qp</v>
      </c>
      <c r="V787" s="6">
        <f t="shared" si="129"/>
        <v>4.4073948417552362</v>
      </c>
    </row>
    <row r="788" spans="1:22" x14ac:dyDescent="0.15">
      <c r="A788">
        <v>783</v>
      </c>
      <c r="B788" s="6">
        <f>首页!$B$4+2*A788/1000</f>
        <v>1.6859999999999999</v>
      </c>
      <c r="C788" s="6">
        <f>首页!$B$7+273.15</f>
        <v>388.15</v>
      </c>
      <c r="D788" s="6">
        <f>首页!$B$6+273.15</f>
        <v>293.14999999999998</v>
      </c>
      <c r="E788" s="6">
        <f>首页!$B$5+273.15</f>
        <v>1373.15</v>
      </c>
      <c r="F788" s="6">
        <f t="shared" si="120"/>
        <v>95</v>
      </c>
      <c r="G788" s="6">
        <f t="shared" si="121"/>
        <v>340.65</v>
      </c>
      <c r="H788" s="6">
        <f t="shared" si="122"/>
        <v>1.9926207055139041E-5</v>
      </c>
      <c r="I788" s="7">
        <f t="shared" si="123"/>
        <v>1158916576932337.8</v>
      </c>
      <c r="J788" s="6">
        <f t="shared" si="124"/>
        <v>1.0226038455893147</v>
      </c>
      <c r="K788" s="7">
        <f>J788*H788*首页!$B$12/P788</f>
        <v>0.69532757496605813</v>
      </c>
      <c r="L788" s="6">
        <f>首页!$B$9*0.0000000567*((C788^4-D788^4)/(C788-D788))</f>
        <v>7.7687338005019564</v>
      </c>
      <c r="M788" s="6">
        <f>IF(首页!$B$13="自然对流",IF(首页!$B$14="立式圆筒",首页!$B$10,PI()*B788/2),PI()*B788/2)</f>
        <v>55.2</v>
      </c>
      <c r="N788" s="7">
        <f>IF(首页!$B$13="强制对流",首页!$B$11*M788/H788,0)</f>
        <v>0</v>
      </c>
      <c r="O788" s="7">
        <f>IF(首页!$B$13="自然对流",IF(首页!$B$14="立式圆筒",(0.825+0.3063*I788^(1/6))^2+0.87*(M788/B788),(0.752+0.303*I788^(1/6))^2),0.3+SQRT((0.592*N788^0.5)^2+(0.0262*N788^0.8/(1-0.5/N788^0.1))^2))</f>
        <v>10047.691488700024</v>
      </c>
      <c r="P788" s="6">
        <f t="shared" si="125"/>
        <v>2.9510194925512497E-2</v>
      </c>
      <c r="Q788" s="6">
        <f t="shared" si="126"/>
        <v>5.3715459127346117</v>
      </c>
      <c r="R788" s="6">
        <f t="shared" si="127"/>
        <v>13.140279713236568</v>
      </c>
      <c r="S788" s="6">
        <f>IF($Y$2="按单位面积散热损失 qp",B788*LN(B788/首页!$B$4),LN(B788/首页!$B$4))</f>
        <v>4.4554613592846666</v>
      </c>
      <c r="T788" s="6">
        <f>IF($Y$2="按单位面积散热损失 qp",2*PI()*首页!$B$8*((E788-D788)/$Y$3-1/R788),2*PI()*首页!$B$8*((E788-D788)/$Y$4-1/(PI()*B788*R788)))</f>
        <v>4.0782429832336792E-2</v>
      </c>
      <c r="U788" t="str">
        <f t="shared" si="128"/>
        <v>按单位面积散热损失 qp</v>
      </c>
      <c r="V788" s="6">
        <f t="shared" si="129"/>
        <v>4.4146789294523296</v>
      </c>
    </row>
    <row r="789" spans="1:22" x14ac:dyDescent="0.15">
      <c r="A789">
        <v>784</v>
      </c>
      <c r="B789" s="6">
        <f>首页!$B$4+2*A789/1000</f>
        <v>1.6880000000000002</v>
      </c>
      <c r="C789" s="6">
        <f>首页!$B$7+273.15</f>
        <v>388.15</v>
      </c>
      <c r="D789" s="6">
        <f>首页!$B$6+273.15</f>
        <v>293.14999999999998</v>
      </c>
      <c r="E789" s="6">
        <f>首页!$B$5+273.15</f>
        <v>1373.15</v>
      </c>
      <c r="F789" s="6">
        <f t="shared" si="120"/>
        <v>95</v>
      </c>
      <c r="G789" s="6">
        <f t="shared" si="121"/>
        <v>340.65</v>
      </c>
      <c r="H789" s="6">
        <f t="shared" si="122"/>
        <v>1.9926207055139041E-5</v>
      </c>
      <c r="I789" s="7">
        <f t="shared" si="123"/>
        <v>1158916576932337.8</v>
      </c>
      <c r="J789" s="6">
        <f t="shared" si="124"/>
        <v>1.0226038455893147</v>
      </c>
      <c r="K789" s="7">
        <f>J789*H789*首页!$B$12/P789</f>
        <v>0.69532757496605813</v>
      </c>
      <c r="L789" s="6">
        <f>首页!$B$9*0.0000000567*((C789^4-D789^4)/(C789-D789))</f>
        <v>7.7687338005019564</v>
      </c>
      <c r="M789" s="6">
        <f>IF(首页!$B$13="自然对流",IF(首页!$B$14="立式圆筒",首页!$B$10,PI()*B789/2),PI()*B789/2)</f>
        <v>55.2</v>
      </c>
      <c r="N789" s="7">
        <f>IF(首页!$B$13="强制对流",首页!$B$11*M789/H789,0)</f>
        <v>0</v>
      </c>
      <c r="O789" s="7">
        <f>IF(首页!$B$13="自然对流",IF(首页!$B$14="立式圆筒",(0.825+0.3063*I789^(1/6))^2+0.87*(M789/B789),(0.752+0.303*I789^(1/6))^2),0.3+SQRT((0.592*N789^0.5)^2+(0.0262*N789^0.8/(1-0.5/N789^0.1))^2))</f>
        <v>10047.657739901724</v>
      </c>
      <c r="P789" s="6">
        <f t="shared" si="125"/>
        <v>2.9510194925512497E-2</v>
      </c>
      <c r="Q789" s="6">
        <f t="shared" si="126"/>
        <v>5.3715278704589533</v>
      </c>
      <c r="R789" s="6">
        <f t="shared" si="127"/>
        <v>13.140261670960911</v>
      </c>
      <c r="S789" s="6">
        <f>IF($Y$2="按单位面积散热损失 qp",B789*LN(B789/首页!$B$4),LN(B789/首页!$B$4))</f>
        <v>4.4627477898470707</v>
      </c>
      <c r="T789" s="6">
        <f>IF($Y$2="按单位面积散热损失 qp",2*PI()*首页!$B$8*((E789-D789)/$Y$3-1/R789),2*PI()*首页!$B$8*((E789-D789)/$Y$4-1/(PI()*B789*R789)))</f>
        <v>4.0782400287943749E-2</v>
      </c>
      <c r="U789" t="str">
        <f t="shared" si="128"/>
        <v>按单位面积散热损失 qp</v>
      </c>
      <c r="V789" s="6">
        <f t="shared" si="129"/>
        <v>4.4219653895591273</v>
      </c>
    </row>
    <row r="790" spans="1:22" x14ac:dyDescent="0.15">
      <c r="A790">
        <v>785</v>
      </c>
      <c r="B790" s="6">
        <f>首页!$B$4+2*A790/1000</f>
        <v>1.69</v>
      </c>
      <c r="C790" s="6">
        <f>首页!$B$7+273.15</f>
        <v>388.15</v>
      </c>
      <c r="D790" s="6">
        <f>首页!$B$6+273.15</f>
        <v>293.14999999999998</v>
      </c>
      <c r="E790" s="6">
        <f>首页!$B$5+273.15</f>
        <v>1373.15</v>
      </c>
      <c r="F790" s="6">
        <f t="shared" si="120"/>
        <v>95</v>
      </c>
      <c r="G790" s="6">
        <f t="shared" si="121"/>
        <v>340.65</v>
      </c>
      <c r="H790" s="6">
        <f t="shared" si="122"/>
        <v>1.9926207055139041E-5</v>
      </c>
      <c r="I790" s="7">
        <f t="shared" si="123"/>
        <v>1158916576932337.8</v>
      </c>
      <c r="J790" s="6">
        <f t="shared" si="124"/>
        <v>1.0226038455893147</v>
      </c>
      <c r="K790" s="7">
        <f>J790*H790*首页!$B$12/P790</f>
        <v>0.69532757496605813</v>
      </c>
      <c r="L790" s="6">
        <f>首页!$B$9*0.0000000567*((C790^4-D790^4)/(C790-D790))</f>
        <v>7.7687338005019564</v>
      </c>
      <c r="M790" s="6">
        <f>IF(首页!$B$13="自然对流",IF(首页!$B$14="立式圆筒",首页!$B$10,PI()*B790/2),PI()*B790/2)</f>
        <v>55.2</v>
      </c>
      <c r="N790" s="7">
        <f>IF(首页!$B$13="强制对流",首页!$B$11*M790/H790,0)</f>
        <v>0</v>
      </c>
      <c r="O790" s="7">
        <f>IF(首页!$B$13="自然对流",IF(首页!$B$14="立式圆筒",(0.825+0.3063*I790^(1/6))^2+0.87*(M790/B790),(0.752+0.303*I790^(1/6))^2),0.3+SQRT((0.592*N790^0.5)^2+(0.0262*N790^0.8/(1-0.5/N790^0.1))^2))</f>
        <v>10047.624070982238</v>
      </c>
      <c r="P790" s="6">
        <f t="shared" si="125"/>
        <v>2.9510194925512497E-2</v>
      </c>
      <c r="Q790" s="6">
        <f t="shared" si="126"/>
        <v>5.3715098708869062</v>
      </c>
      <c r="R790" s="6">
        <f t="shared" si="127"/>
        <v>13.140243671388863</v>
      </c>
      <c r="S790" s="6">
        <f>IF($Y$2="按单位面积散热损失 qp",B790*LN(B790/首页!$B$4),LN(B790/首页!$B$4))</f>
        <v>4.4700365900782737</v>
      </c>
      <c r="T790" s="6">
        <f>IF($Y$2="按单位面积散热损失 qp",2*PI()*首页!$B$8*((E790-D790)/$Y$3-1/R790),2*PI()*首页!$B$8*((E790-D790)/$Y$4-1/(PI()*B790*R790)))</f>
        <v>4.078237081339741E-2</v>
      </c>
      <c r="U790" t="str">
        <f t="shared" si="128"/>
        <v>按单位面积散热损失 qp</v>
      </c>
      <c r="V790" s="6">
        <f t="shared" si="129"/>
        <v>4.4292542192648767</v>
      </c>
    </row>
    <row r="791" spans="1:22" x14ac:dyDescent="0.15">
      <c r="A791">
        <v>786</v>
      </c>
      <c r="B791" s="6">
        <f>首页!$B$4+2*A791/1000</f>
        <v>1.6920000000000002</v>
      </c>
      <c r="C791" s="6">
        <f>首页!$B$7+273.15</f>
        <v>388.15</v>
      </c>
      <c r="D791" s="6">
        <f>首页!$B$6+273.15</f>
        <v>293.14999999999998</v>
      </c>
      <c r="E791" s="6">
        <f>首页!$B$5+273.15</f>
        <v>1373.15</v>
      </c>
      <c r="F791" s="6">
        <f t="shared" si="120"/>
        <v>95</v>
      </c>
      <c r="G791" s="6">
        <f t="shared" si="121"/>
        <v>340.65</v>
      </c>
      <c r="H791" s="6">
        <f t="shared" si="122"/>
        <v>1.9926207055139041E-5</v>
      </c>
      <c r="I791" s="7">
        <f t="shared" si="123"/>
        <v>1158916576932337.8</v>
      </c>
      <c r="J791" s="6">
        <f t="shared" si="124"/>
        <v>1.0226038455893147</v>
      </c>
      <c r="K791" s="7">
        <f>J791*H791*首页!$B$12/P791</f>
        <v>0.69532757496605813</v>
      </c>
      <c r="L791" s="6">
        <f>首页!$B$9*0.0000000567*((C791^4-D791^4)/(C791-D791))</f>
        <v>7.7687338005019564</v>
      </c>
      <c r="M791" s="6">
        <f>IF(首页!$B$13="自然对流",IF(首页!$B$14="立式圆筒",首页!$B$10,PI()*B791/2),PI()*B791/2)</f>
        <v>55.2</v>
      </c>
      <c r="N791" s="7">
        <f>IF(首页!$B$13="强制对流",首页!$B$11*M791/H791,0)</f>
        <v>0</v>
      </c>
      <c r="O791" s="7">
        <f>IF(首页!$B$13="自然对流",IF(首页!$B$14="立式圆筒",(0.825+0.3063*I791^(1/6))^2+0.87*(M791/B791),(0.752+0.303*I791^(1/6))^2),0.3+SQRT((0.592*N791^0.5)^2+(0.0262*N791^0.8/(1-0.5/N791^0.1))^2))</f>
        <v>10047.590481658304</v>
      </c>
      <c r="P791" s="6">
        <f t="shared" si="125"/>
        <v>2.9510194925512497E-2</v>
      </c>
      <c r="Q791" s="6">
        <f t="shared" si="126"/>
        <v>5.3714919138670387</v>
      </c>
      <c r="R791" s="6">
        <f t="shared" si="127"/>
        <v>13.140225714368995</v>
      </c>
      <c r="S791" s="6">
        <f>IF($Y$2="按单位面积散热损失 qp",B791*LN(B791/首页!$B$4),LN(B791/首页!$B$4))</f>
        <v>4.4773277571739358</v>
      </c>
      <c r="T791" s="6">
        <f>IF($Y$2="按单位面积散热损失 qp",2*PI()*首页!$B$8*((E791-D791)/$Y$3-1/R791),2*PI()*首页!$B$8*((E791-D791)/$Y$4-1/(PI()*B791*R791)))</f>
        <v>4.0782341408450398E-2</v>
      </c>
      <c r="U791" t="str">
        <f t="shared" si="128"/>
        <v>按单位面积散热损失 qp</v>
      </c>
      <c r="V791" s="6">
        <f t="shared" si="129"/>
        <v>4.4365454157654858</v>
      </c>
    </row>
    <row r="792" spans="1:22" x14ac:dyDescent="0.15">
      <c r="A792">
        <v>787</v>
      </c>
      <c r="B792" s="6">
        <f>首页!$B$4+2*A792/1000</f>
        <v>1.694</v>
      </c>
      <c r="C792" s="6">
        <f>首页!$B$7+273.15</f>
        <v>388.15</v>
      </c>
      <c r="D792" s="6">
        <f>首页!$B$6+273.15</f>
        <v>293.14999999999998</v>
      </c>
      <c r="E792" s="6">
        <f>首页!$B$5+273.15</f>
        <v>1373.15</v>
      </c>
      <c r="F792" s="6">
        <f t="shared" si="120"/>
        <v>95</v>
      </c>
      <c r="G792" s="6">
        <f t="shared" si="121"/>
        <v>340.65</v>
      </c>
      <c r="H792" s="6">
        <f t="shared" si="122"/>
        <v>1.9926207055139041E-5</v>
      </c>
      <c r="I792" s="7">
        <f t="shared" si="123"/>
        <v>1158916576932337.8</v>
      </c>
      <c r="J792" s="6">
        <f t="shared" si="124"/>
        <v>1.0226038455893147</v>
      </c>
      <c r="K792" s="7">
        <f>J792*H792*首页!$B$12/P792</f>
        <v>0.69532757496605813</v>
      </c>
      <c r="L792" s="6">
        <f>首页!$B$9*0.0000000567*((C792^4-D792^4)/(C792-D792))</f>
        <v>7.7687338005019564</v>
      </c>
      <c r="M792" s="6">
        <f>IF(首页!$B$13="自然对流",IF(首页!$B$14="立式圆筒",首页!$B$10,PI()*B792/2),PI()*B792/2)</f>
        <v>55.2</v>
      </c>
      <c r="N792" s="7">
        <f>IF(首页!$B$13="强制对流",首页!$B$11*M792/H792,0)</f>
        <v>0</v>
      </c>
      <c r="O792" s="7">
        <f>IF(首页!$B$13="自然对流",IF(首页!$B$14="立式圆筒",(0.825+0.3063*I792^(1/6))^2+0.87*(M792/B792),(0.752+0.303*I792^(1/6))^2),0.3+SQRT((0.592*N792^0.5)^2+(0.0262*N792^0.8/(1-0.5/N792^0.1))^2))</f>
        <v>10047.556971648004</v>
      </c>
      <c r="P792" s="6">
        <f t="shared" si="125"/>
        <v>2.9510194925512497E-2</v>
      </c>
      <c r="Q792" s="6">
        <f t="shared" si="126"/>
        <v>5.3714739992486349</v>
      </c>
      <c r="R792" s="6">
        <f t="shared" si="127"/>
        <v>13.140207799750591</v>
      </c>
      <c r="S792" s="6">
        <f>IF($Y$2="按单位面积散热损失 qp",B792*LN(B792/首页!$B$4),LN(B792/首页!$B$4))</f>
        <v>4.4846212883363421</v>
      </c>
      <c r="T792" s="6">
        <f>IF($Y$2="按单位面积散热损失 qp",2*PI()*首页!$B$8*((E792-D792)/$Y$3-1/R792),2*PI()*首页!$B$8*((E792-D792)/$Y$4-1/(PI()*B792*R792)))</f>
        <v>4.0782312072856479E-2</v>
      </c>
      <c r="U792" t="str">
        <f t="shared" si="128"/>
        <v>按单位面积散热损失 qp</v>
      </c>
      <c r="V792" s="6">
        <f t="shared" si="129"/>
        <v>4.4438389762634856</v>
      </c>
    </row>
    <row r="793" spans="1:22" x14ac:dyDescent="0.15">
      <c r="A793">
        <v>788</v>
      </c>
      <c r="B793" s="6">
        <f>首页!$B$4+2*A793/1000</f>
        <v>1.6960000000000002</v>
      </c>
      <c r="C793" s="6">
        <f>首页!$B$7+273.15</f>
        <v>388.15</v>
      </c>
      <c r="D793" s="6">
        <f>首页!$B$6+273.15</f>
        <v>293.14999999999998</v>
      </c>
      <c r="E793" s="6">
        <f>首页!$B$5+273.15</f>
        <v>1373.15</v>
      </c>
      <c r="F793" s="6">
        <f t="shared" si="120"/>
        <v>95</v>
      </c>
      <c r="G793" s="6">
        <f t="shared" si="121"/>
        <v>340.65</v>
      </c>
      <c r="H793" s="6">
        <f t="shared" si="122"/>
        <v>1.9926207055139041E-5</v>
      </c>
      <c r="I793" s="7">
        <f t="shared" si="123"/>
        <v>1158916576932337.8</v>
      </c>
      <c r="J793" s="6">
        <f t="shared" si="124"/>
        <v>1.0226038455893147</v>
      </c>
      <c r="K793" s="7">
        <f>J793*H793*首页!$B$12/P793</f>
        <v>0.69532757496605813</v>
      </c>
      <c r="L793" s="6">
        <f>首页!$B$9*0.0000000567*((C793^4-D793^4)/(C793-D793))</f>
        <v>7.7687338005019564</v>
      </c>
      <c r="M793" s="6">
        <f>IF(首页!$B$13="自然对流",IF(首页!$B$14="立式圆筒",首页!$B$10,PI()*B793/2),PI()*B793/2)</f>
        <v>55.2</v>
      </c>
      <c r="N793" s="7">
        <f>IF(首页!$B$13="强制对流",首页!$B$11*M793/H793,0)</f>
        <v>0</v>
      </c>
      <c r="O793" s="7">
        <f>IF(首页!$B$13="自然对流",IF(首页!$B$14="立式圆筒",(0.825+0.3063*I793^(1/6))^2+0.87*(M793/B793),(0.752+0.303*I793^(1/6))^2),0.3+SQRT((0.592*N793^0.5)^2+(0.0262*N793^0.8/(1-0.5/N793^0.1))^2))</f>
        <v>10047.523540670749</v>
      </c>
      <c r="P793" s="6">
        <f t="shared" si="125"/>
        <v>2.9510194925512497E-2</v>
      </c>
      <c r="Q793" s="6">
        <f t="shared" si="126"/>
        <v>5.3714561268816903</v>
      </c>
      <c r="R793" s="6">
        <f t="shared" si="127"/>
        <v>13.140189927383647</v>
      </c>
      <c r="S793" s="6">
        <f>IF($Y$2="按单位面积散热损失 qp",B793*LN(B793/首页!$B$4),LN(B793/首页!$B$4))</f>
        <v>4.4919171807743856</v>
      </c>
      <c r="T793" s="6">
        <f>IF($Y$2="按单位面积散热损失 qp",2*PI()*首页!$B$8*((E793-D793)/$Y$3-1/R793),2*PI()*首页!$B$8*((E793-D793)/$Y$4-1/(PI()*B793*R793)))</f>
        <v>4.0782282806370564E-2</v>
      </c>
      <c r="U793" t="str">
        <f t="shared" si="128"/>
        <v>按单位面积散热损失 qp</v>
      </c>
      <c r="V793" s="6">
        <f t="shared" si="129"/>
        <v>4.4511348979680152</v>
      </c>
    </row>
    <row r="794" spans="1:22" x14ac:dyDescent="0.15">
      <c r="A794">
        <v>789</v>
      </c>
      <c r="B794" s="6">
        <f>首页!$B$4+2*A794/1000</f>
        <v>1.698</v>
      </c>
      <c r="C794" s="6">
        <f>首页!$B$7+273.15</f>
        <v>388.15</v>
      </c>
      <c r="D794" s="6">
        <f>首页!$B$6+273.15</f>
        <v>293.14999999999998</v>
      </c>
      <c r="E794" s="6">
        <f>首页!$B$5+273.15</f>
        <v>1373.15</v>
      </c>
      <c r="F794" s="6">
        <f t="shared" si="120"/>
        <v>95</v>
      </c>
      <c r="G794" s="6">
        <f t="shared" si="121"/>
        <v>340.65</v>
      </c>
      <c r="H794" s="6">
        <f t="shared" si="122"/>
        <v>1.9926207055139041E-5</v>
      </c>
      <c r="I794" s="7">
        <f t="shared" si="123"/>
        <v>1158916576932337.8</v>
      </c>
      <c r="J794" s="6">
        <f t="shared" si="124"/>
        <v>1.0226038455893147</v>
      </c>
      <c r="K794" s="7">
        <f>J794*H794*首页!$B$12/P794</f>
        <v>0.69532757496605813</v>
      </c>
      <c r="L794" s="6">
        <f>首页!$B$9*0.0000000567*((C794^4-D794^4)/(C794-D794))</f>
        <v>7.7687338005019564</v>
      </c>
      <c r="M794" s="6">
        <f>IF(首页!$B$13="自然对流",IF(首页!$B$14="立式圆筒",首页!$B$10,PI()*B794/2),PI()*B794/2)</f>
        <v>55.2</v>
      </c>
      <c r="N794" s="7">
        <f>IF(首页!$B$13="强制对流",首页!$B$11*M794/H794,0)</f>
        <v>0</v>
      </c>
      <c r="O794" s="7">
        <f>IF(首页!$B$13="自然对流",IF(首页!$B$14="立式圆筒",(0.825+0.3063*I794^(1/6))^2+0.87*(M794/B794),(0.752+0.303*I794^(1/6))^2),0.3+SQRT((0.592*N794^0.5)^2+(0.0262*N794^0.8/(1-0.5/N794^0.1))^2))</f>
        <v>10047.490188447267</v>
      </c>
      <c r="P794" s="6">
        <f t="shared" si="125"/>
        <v>2.9510194925512497E-2</v>
      </c>
      <c r="Q794" s="6">
        <f t="shared" si="126"/>
        <v>5.3714382966169048</v>
      </c>
      <c r="R794" s="6">
        <f t="shared" si="127"/>
        <v>13.14017209711886</v>
      </c>
      <c r="S794" s="6">
        <f>IF($Y$2="按单位面积散热损失 qp",B794*LN(B794/首页!$B$4),LN(B794/首页!$B$4))</f>
        <v>4.4992154317035409</v>
      </c>
      <c r="T794" s="6">
        <f>IF($Y$2="按单位面积散热损失 qp",2*PI()*首页!$B$8*((E794-D794)/$Y$3-1/R794),2*PI()*首页!$B$8*((E794-D794)/$Y$4-1/(PI()*B794*R794)))</f>
        <v>4.078225360874875E-2</v>
      </c>
      <c r="U794" t="str">
        <f t="shared" si="128"/>
        <v>按单位面积散热损失 qp</v>
      </c>
      <c r="V794" s="6">
        <f t="shared" si="129"/>
        <v>4.4584331780947926</v>
      </c>
    </row>
    <row r="795" spans="1:22" x14ac:dyDescent="0.15">
      <c r="A795">
        <v>790</v>
      </c>
      <c r="B795" s="6">
        <f>首页!$B$4+2*A795/1000</f>
        <v>1.7000000000000002</v>
      </c>
      <c r="C795" s="6">
        <f>首页!$B$7+273.15</f>
        <v>388.15</v>
      </c>
      <c r="D795" s="6">
        <f>首页!$B$6+273.15</f>
        <v>293.14999999999998</v>
      </c>
      <c r="E795" s="6">
        <f>首页!$B$5+273.15</f>
        <v>1373.15</v>
      </c>
      <c r="F795" s="6">
        <f t="shared" si="120"/>
        <v>95</v>
      </c>
      <c r="G795" s="6">
        <f t="shared" si="121"/>
        <v>340.65</v>
      </c>
      <c r="H795" s="6">
        <f t="shared" si="122"/>
        <v>1.9926207055139041E-5</v>
      </c>
      <c r="I795" s="7">
        <f t="shared" si="123"/>
        <v>1158916576932337.8</v>
      </c>
      <c r="J795" s="6">
        <f t="shared" si="124"/>
        <v>1.0226038455893147</v>
      </c>
      <c r="K795" s="7">
        <f>J795*H795*首页!$B$12/P795</f>
        <v>0.69532757496605813</v>
      </c>
      <c r="L795" s="6">
        <f>首页!$B$9*0.0000000567*((C795^4-D795^4)/(C795-D795))</f>
        <v>7.7687338005019564</v>
      </c>
      <c r="M795" s="6">
        <f>IF(首页!$B$13="自然对流",IF(首页!$B$14="立式圆筒",首页!$B$10,PI()*B795/2),PI()*B795/2)</f>
        <v>55.2</v>
      </c>
      <c r="N795" s="7">
        <f>IF(首页!$B$13="强制对流",首页!$B$11*M795/H795,0)</f>
        <v>0</v>
      </c>
      <c r="O795" s="7">
        <f>IF(首页!$B$13="自然对流",IF(首页!$B$14="立式圆筒",(0.825+0.3063*I795^(1/6))^2+0.87*(M795/B795),(0.752+0.303*I795^(1/6))^2),0.3+SQRT((0.592*N795^0.5)^2+(0.0262*N795^0.8/(1-0.5/N795^0.1))^2))</f>
        <v>10047.456914699605</v>
      </c>
      <c r="P795" s="6">
        <f t="shared" si="125"/>
        <v>2.9510194925512497E-2</v>
      </c>
      <c r="Q795" s="6">
        <f t="shared" si="126"/>
        <v>5.3714205083056834</v>
      </c>
      <c r="R795" s="6">
        <f t="shared" si="127"/>
        <v>13.14015430880764</v>
      </c>
      <c r="S795" s="6">
        <f>IF($Y$2="按单位面积散热损失 qp",B795*LN(B795/首页!$B$4),LN(B795/首页!$B$4))</f>
        <v>4.5065160383458451</v>
      </c>
      <c r="T795" s="6">
        <f>IF($Y$2="按单位面积散热损失 qp",2*PI()*首页!$B$8*((E795-D795)/$Y$3-1/R795),2*PI()*首页!$B$8*((E795-D795)/$Y$4-1/(PI()*B795*R795)))</f>
        <v>4.0782224479748268E-2</v>
      </c>
      <c r="U795" t="str">
        <f t="shared" si="128"/>
        <v>按单位面积散热损失 qp</v>
      </c>
      <c r="V795" s="6">
        <f t="shared" si="129"/>
        <v>4.4657338138660965</v>
      </c>
    </row>
    <row r="796" spans="1:22" x14ac:dyDescent="0.15">
      <c r="A796">
        <v>791</v>
      </c>
      <c r="B796" s="6">
        <f>首页!$B$4+2*A796/1000</f>
        <v>1.702</v>
      </c>
      <c r="C796" s="6">
        <f>首页!$B$7+273.15</f>
        <v>388.15</v>
      </c>
      <c r="D796" s="6">
        <f>首页!$B$6+273.15</f>
        <v>293.14999999999998</v>
      </c>
      <c r="E796" s="6">
        <f>首页!$B$5+273.15</f>
        <v>1373.15</v>
      </c>
      <c r="F796" s="6">
        <f t="shared" si="120"/>
        <v>95</v>
      </c>
      <c r="G796" s="6">
        <f t="shared" si="121"/>
        <v>340.65</v>
      </c>
      <c r="H796" s="6">
        <f t="shared" si="122"/>
        <v>1.9926207055139041E-5</v>
      </c>
      <c r="I796" s="7">
        <f t="shared" si="123"/>
        <v>1158916576932337.8</v>
      </c>
      <c r="J796" s="6">
        <f t="shared" si="124"/>
        <v>1.0226038455893147</v>
      </c>
      <c r="K796" s="7">
        <f>J796*H796*首页!$B$12/P796</f>
        <v>0.69532757496605813</v>
      </c>
      <c r="L796" s="6">
        <f>首页!$B$9*0.0000000567*((C796^4-D796^4)/(C796-D796))</f>
        <v>7.7687338005019564</v>
      </c>
      <c r="M796" s="6">
        <f>IF(首页!$B$13="自然对流",IF(首页!$B$14="立式圆筒",首页!$B$10,PI()*B796/2),PI()*B796/2)</f>
        <v>55.2</v>
      </c>
      <c r="N796" s="7">
        <f>IF(首页!$B$13="强制对流",首页!$B$11*M796/H796,0)</f>
        <v>0</v>
      </c>
      <c r="O796" s="7">
        <f>IF(首页!$B$13="自然对流",IF(首页!$B$14="立式圆筒",(0.825+0.3063*I796^(1/6))^2+0.87*(M796/B796),(0.752+0.303*I796^(1/6))^2),0.3+SQRT((0.592*N796^0.5)^2+(0.0262*N796^0.8/(1-0.5/N796^0.1))^2))</f>
        <v>10047.423719151117</v>
      </c>
      <c r="P796" s="6">
        <f t="shared" si="125"/>
        <v>2.9510194925512497E-2</v>
      </c>
      <c r="Q796" s="6">
        <f t="shared" si="126"/>
        <v>5.3714027618001294</v>
      </c>
      <c r="R796" s="6">
        <f t="shared" si="127"/>
        <v>13.140136562302086</v>
      </c>
      <c r="S796" s="6">
        <f>IF($Y$2="按单位面积散热损失 qp",B796*LN(B796/首页!$B$4),LN(B796/首页!$B$4))</f>
        <v>4.5138189979298673</v>
      </c>
      <c r="T796" s="6">
        <f>IF($Y$2="按单位面积散热损失 qp",2*PI()*首页!$B$8*((E796-D796)/$Y$3-1/R796),2*PI()*首页!$B$8*((E796-D796)/$Y$4-1/(PI()*B796*R796)))</f>
        <v>4.0782195419127483E-2</v>
      </c>
      <c r="U796" t="str">
        <f t="shared" si="128"/>
        <v>按单位面积散热损失 qp</v>
      </c>
      <c r="V796" s="6">
        <f t="shared" si="129"/>
        <v>4.4730368025107401</v>
      </c>
    </row>
    <row r="797" spans="1:22" x14ac:dyDescent="0.15">
      <c r="A797">
        <v>792</v>
      </c>
      <c r="B797" s="6">
        <f>首页!$B$4+2*A797/1000</f>
        <v>1.7040000000000002</v>
      </c>
      <c r="C797" s="6">
        <f>首页!$B$7+273.15</f>
        <v>388.15</v>
      </c>
      <c r="D797" s="6">
        <f>首页!$B$6+273.15</f>
        <v>293.14999999999998</v>
      </c>
      <c r="E797" s="6">
        <f>首页!$B$5+273.15</f>
        <v>1373.15</v>
      </c>
      <c r="F797" s="6">
        <f t="shared" si="120"/>
        <v>95</v>
      </c>
      <c r="G797" s="6">
        <f t="shared" si="121"/>
        <v>340.65</v>
      </c>
      <c r="H797" s="6">
        <f t="shared" si="122"/>
        <v>1.9926207055139041E-5</v>
      </c>
      <c r="I797" s="7">
        <f t="shared" si="123"/>
        <v>1158916576932337.8</v>
      </c>
      <c r="J797" s="6">
        <f t="shared" si="124"/>
        <v>1.0226038455893147</v>
      </c>
      <c r="K797" s="7">
        <f>J797*H797*首页!$B$12/P797</f>
        <v>0.69532757496605813</v>
      </c>
      <c r="L797" s="6">
        <f>首页!$B$9*0.0000000567*((C797^4-D797^4)/(C797-D797))</f>
        <v>7.7687338005019564</v>
      </c>
      <c r="M797" s="6">
        <f>IF(首页!$B$13="自然对流",IF(首页!$B$14="立式圆筒",首页!$B$10,PI()*B797/2),PI()*B797/2)</f>
        <v>55.2</v>
      </c>
      <c r="N797" s="7">
        <f>IF(首页!$B$13="强制对流",首页!$B$11*M797/H797,0)</f>
        <v>0</v>
      </c>
      <c r="O797" s="7">
        <f>IF(首页!$B$13="自然对流",IF(首页!$B$14="立式圆筒",(0.825+0.3063*I797^(1/6))^2+0.87*(M797/B797),(0.752+0.303*I797^(1/6))^2),0.3+SQRT((0.592*N797^0.5)^2+(0.0262*N797^0.8/(1-0.5/N797^0.1))^2))</f>
        <v>10047.390601526449</v>
      </c>
      <c r="P797" s="6">
        <f t="shared" si="125"/>
        <v>2.9510194925512497E-2</v>
      </c>
      <c r="Q797" s="6">
        <f t="shared" si="126"/>
        <v>5.3713850569530388</v>
      </c>
      <c r="R797" s="6">
        <f t="shared" si="127"/>
        <v>13.140118857454995</v>
      </c>
      <c r="S797" s="6">
        <f>IF($Y$2="按单位面积散热损失 qp",B797*LN(B797/首页!$B$4),LN(B797/首页!$B$4))</f>
        <v>4.5211243076906955</v>
      </c>
      <c r="T797" s="6">
        <f>IF($Y$2="按单位面积散热损失 qp",2*PI()*首页!$B$8*((E797-D797)/$Y$3-1/R797),2*PI()*首页!$B$8*((E797-D797)/$Y$4-1/(PI()*B797*R797)))</f>
        <v>4.0782166426645887E-2</v>
      </c>
      <c r="U797" t="str">
        <f t="shared" si="128"/>
        <v>按单位面积散热损失 qp</v>
      </c>
      <c r="V797" s="6">
        <f t="shared" si="129"/>
        <v>4.4803421412640496</v>
      </c>
    </row>
    <row r="798" spans="1:22" x14ac:dyDescent="0.15">
      <c r="A798">
        <v>793</v>
      </c>
      <c r="B798" s="6">
        <f>首页!$B$4+2*A798/1000</f>
        <v>1.706</v>
      </c>
      <c r="C798" s="6">
        <f>首页!$B$7+273.15</f>
        <v>388.15</v>
      </c>
      <c r="D798" s="6">
        <f>首页!$B$6+273.15</f>
        <v>293.14999999999998</v>
      </c>
      <c r="E798" s="6">
        <f>首页!$B$5+273.15</f>
        <v>1373.15</v>
      </c>
      <c r="F798" s="6">
        <f t="shared" si="120"/>
        <v>95</v>
      </c>
      <c r="G798" s="6">
        <f t="shared" si="121"/>
        <v>340.65</v>
      </c>
      <c r="H798" s="6">
        <f t="shared" si="122"/>
        <v>1.9926207055139041E-5</v>
      </c>
      <c r="I798" s="7">
        <f t="shared" si="123"/>
        <v>1158916576932337.8</v>
      </c>
      <c r="J798" s="6">
        <f t="shared" si="124"/>
        <v>1.0226038455893147</v>
      </c>
      <c r="K798" s="7">
        <f>J798*H798*首页!$B$12/P798</f>
        <v>0.69532757496605813</v>
      </c>
      <c r="L798" s="6">
        <f>首页!$B$9*0.0000000567*((C798^4-D798^4)/(C798-D798))</f>
        <v>7.7687338005019564</v>
      </c>
      <c r="M798" s="6">
        <f>IF(首页!$B$13="自然对流",IF(首页!$B$14="立式圆筒",首页!$B$10,PI()*B798/2),PI()*B798/2)</f>
        <v>55.2</v>
      </c>
      <c r="N798" s="7">
        <f>IF(首页!$B$13="强制对流",首页!$B$11*M798/H798,0)</f>
        <v>0</v>
      </c>
      <c r="O798" s="7">
        <f>IF(首页!$B$13="自然对流",IF(首页!$B$14="立式圆筒",(0.825+0.3063*I798^(1/6))^2+0.87*(M798/B798),(0.752+0.303*I798^(1/6))^2),0.3+SQRT((0.592*N798^0.5)^2+(0.0262*N798^0.8/(1-0.5/N798^0.1))^2))</f>
        <v>10047.357561551547</v>
      </c>
      <c r="P798" s="6">
        <f t="shared" si="125"/>
        <v>2.9510194925512497E-2</v>
      </c>
      <c r="Q798" s="6">
        <f t="shared" si="126"/>
        <v>5.3713673936178994</v>
      </c>
      <c r="R798" s="6">
        <f t="shared" si="127"/>
        <v>13.140101194119856</v>
      </c>
      <c r="S798" s="6">
        <f>IF($Y$2="按单位面积散热损失 qp",B798*LN(B798/首页!$B$4),LN(B798/首页!$B$4))</f>
        <v>4.5284319648699007</v>
      </c>
      <c r="T798" s="6">
        <f>IF($Y$2="按单位面积散热损失 qp",2*PI()*首页!$B$8*((E798-D798)/$Y$3-1/R798),2*PI()*首页!$B$8*((E798-D798)/$Y$4-1/(PI()*B798*R798)))</f>
        <v>4.0782137502064122E-2</v>
      </c>
      <c r="U798" t="str">
        <f t="shared" si="128"/>
        <v>按单位面积散热损失 qp</v>
      </c>
      <c r="V798" s="6">
        <f t="shared" si="129"/>
        <v>4.4876498273678367</v>
      </c>
    </row>
    <row r="799" spans="1:22" x14ac:dyDescent="0.15">
      <c r="A799">
        <v>794</v>
      </c>
      <c r="B799" s="6">
        <f>首页!$B$4+2*A799/1000</f>
        <v>1.7080000000000002</v>
      </c>
      <c r="C799" s="6">
        <f>首页!$B$7+273.15</f>
        <v>388.15</v>
      </c>
      <c r="D799" s="6">
        <f>首页!$B$6+273.15</f>
        <v>293.14999999999998</v>
      </c>
      <c r="E799" s="6">
        <f>首页!$B$5+273.15</f>
        <v>1373.15</v>
      </c>
      <c r="F799" s="6">
        <f t="shared" si="120"/>
        <v>95</v>
      </c>
      <c r="G799" s="6">
        <f t="shared" si="121"/>
        <v>340.65</v>
      </c>
      <c r="H799" s="6">
        <f t="shared" si="122"/>
        <v>1.9926207055139041E-5</v>
      </c>
      <c r="I799" s="7">
        <f t="shared" si="123"/>
        <v>1158916576932337.8</v>
      </c>
      <c r="J799" s="6">
        <f t="shared" si="124"/>
        <v>1.0226038455893147</v>
      </c>
      <c r="K799" s="7">
        <f>J799*H799*首页!$B$12/P799</f>
        <v>0.69532757496605813</v>
      </c>
      <c r="L799" s="6">
        <f>首页!$B$9*0.0000000567*((C799^4-D799^4)/(C799-D799))</f>
        <v>7.7687338005019564</v>
      </c>
      <c r="M799" s="6">
        <f>IF(首页!$B$13="自然对流",IF(首页!$B$14="立式圆筒",首页!$B$10,PI()*B799/2),PI()*B799/2)</f>
        <v>55.2</v>
      </c>
      <c r="N799" s="7">
        <f>IF(首页!$B$13="强制对流",首页!$B$11*M799/H799,0)</f>
        <v>0</v>
      </c>
      <c r="O799" s="7">
        <f>IF(首页!$B$13="自然对流",IF(首页!$B$14="立式圆筒",(0.825+0.3063*I799^(1/6))^2+0.87*(M799/B799),(0.752+0.303*I799^(1/6))^2),0.3+SQRT((0.592*N799^0.5)^2+(0.0262*N799^0.8/(1-0.5/N799^0.1))^2))</f>
        <v>10047.324598953635</v>
      </c>
      <c r="P799" s="6">
        <f t="shared" si="125"/>
        <v>2.9510194925512497E-2</v>
      </c>
      <c r="Q799" s="6">
        <f t="shared" si="126"/>
        <v>5.3713497716488847</v>
      </c>
      <c r="R799" s="6">
        <f t="shared" si="127"/>
        <v>13.140083572150841</v>
      </c>
      <c r="S799" s="6">
        <f>IF($Y$2="按单位面积散热损失 qp",B799*LN(B799/首页!$B$4),LN(B799/首页!$B$4))</f>
        <v>4.5357419667155305</v>
      </c>
      <c r="T799" s="6">
        <f>IF($Y$2="按单位面积散热损失 qp",2*PI()*首页!$B$8*((E799-D799)/$Y$3-1/R799),2*PI()*首页!$B$8*((E799-D799)/$Y$4-1/(PI()*B799*R799)))</f>
        <v>4.0782108645143943E-2</v>
      </c>
      <c r="U799" t="str">
        <f t="shared" si="128"/>
        <v>按单位面积散热损失 qp</v>
      </c>
      <c r="V799" s="6">
        <f t="shared" si="129"/>
        <v>4.4949598580703869</v>
      </c>
    </row>
    <row r="800" spans="1:22" x14ac:dyDescent="0.15">
      <c r="A800">
        <v>795</v>
      </c>
      <c r="B800" s="6">
        <f>首页!$B$4+2*A800/1000</f>
        <v>1.71</v>
      </c>
      <c r="C800" s="6">
        <f>首页!$B$7+273.15</f>
        <v>388.15</v>
      </c>
      <c r="D800" s="6">
        <f>首页!$B$6+273.15</f>
        <v>293.14999999999998</v>
      </c>
      <c r="E800" s="6">
        <f>首页!$B$5+273.15</f>
        <v>1373.15</v>
      </c>
      <c r="F800" s="6">
        <f t="shared" si="120"/>
        <v>95</v>
      </c>
      <c r="G800" s="6">
        <f t="shared" si="121"/>
        <v>340.65</v>
      </c>
      <c r="H800" s="6">
        <f t="shared" si="122"/>
        <v>1.9926207055139041E-5</v>
      </c>
      <c r="I800" s="7">
        <f t="shared" si="123"/>
        <v>1158916576932337.8</v>
      </c>
      <c r="J800" s="6">
        <f t="shared" si="124"/>
        <v>1.0226038455893147</v>
      </c>
      <c r="K800" s="7">
        <f>J800*H800*首页!$B$12/P800</f>
        <v>0.69532757496605813</v>
      </c>
      <c r="L800" s="6">
        <f>首页!$B$9*0.0000000567*((C800^4-D800^4)/(C800-D800))</f>
        <v>7.7687338005019564</v>
      </c>
      <c r="M800" s="6">
        <f>IF(首页!$B$13="自然对流",IF(首页!$B$14="立式圆筒",首页!$B$10,PI()*B800/2),PI()*B800/2)</f>
        <v>55.2</v>
      </c>
      <c r="N800" s="7">
        <f>IF(首页!$B$13="强制对流",首页!$B$11*M800/H800,0)</f>
        <v>0</v>
      </c>
      <c r="O800" s="7">
        <f>IF(首页!$B$13="自然对流",IF(首页!$B$14="立式圆筒",(0.825+0.3063*I800^(1/6))^2+0.87*(M800/B800),(0.752+0.303*I800^(1/6))^2),0.3+SQRT((0.592*N800^0.5)^2+(0.0262*N800^0.8/(1-0.5/N800^0.1))^2))</f>
        <v>10047.291713461216</v>
      </c>
      <c r="P800" s="6">
        <f t="shared" si="125"/>
        <v>2.9510194925512497E-2</v>
      </c>
      <c r="Q800" s="6">
        <f t="shared" si="126"/>
        <v>5.3713321909008496</v>
      </c>
      <c r="R800" s="6">
        <f t="shared" si="127"/>
        <v>13.140065991402807</v>
      </c>
      <c r="S800" s="6">
        <f>IF($Y$2="按单位面积散热损失 qp",B800*LN(B800/首页!$B$4),LN(B800/首页!$B$4))</f>
        <v>4.5430543104820673</v>
      </c>
      <c r="T800" s="6">
        <f>IF($Y$2="按单位面积散热损失 qp",2*PI()*首页!$B$8*((E800-D800)/$Y$3-1/R800),2*PI()*首页!$B$8*((E800-D800)/$Y$4-1/(PI()*B800*R800)))</f>
        <v>4.0782079855648197E-2</v>
      </c>
      <c r="U800" t="str">
        <f t="shared" si="128"/>
        <v>按单位面积散热损失 qp</v>
      </c>
      <c r="V800" s="6">
        <f t="shared" si="129"/>
        <v>4.5022722306264189</v>
      </c>
    </row>
    <row r="801" spans="1:22" x14ac:dyDescent="0.15">
      <c r="A801">
        <v>796</v>
      </c>
      <c r="B801" s="6">
        <f>首页!$B$4+2*A801/1000</f>
        <v>1.7120000000000002</v>
      </c>
      <c r="C801" s="6">
        <f>首页!$B$7+273.15</f>
        <v>388.15</v>
      </c>
      <c r="D801" s="6">
        <f>首页!$B$6+273.15</f>
        <v>293.14999999999998</v>
      </c>
      <c r="E801" s="6">
        <f>首页!$B$5+273.15</f>
        <v>1373.15</v>
      </c>
      <c r="F801" s="6">
        <f t="shared" si="120"/>
        <v>95</v>
      </c>
      <c r="G801" s="6">
        <f t="shared" si="121"/>
        <v>340.65</v>
      </c>
      <c r="H801" s="6">
        <f t="shared" si="122"/>
        <v>1.9926207055139041E-5</v>
      </c>
      <c r="I801" s="7">
        <f t="shared" si="123"/>
        <v>1158916576932337.8</v>
      </c>
      <c r="J801" s="6">
        <f t="shared" si="124"/>
        <v>1.0226038455893147</v>
      </c>
      <c r="K801" s="7">
        <f>J801*H801*首页!$B$12/P801</f>
        <v>0.69532757496605813</v>
      </c>
      <c r="L801" s="6">
        <f>首页!$B$9*0.0000000567*((C801^4-D801^4)/(C801-D801))</f>
        <v>7.7687338005019564</v>
      </c>
      <c r="M801" s="6">
        <f>IF(首页!$B$13="自然对流",IF(首页!$B$14="立式圆筒",首页!$B$10,PI()*B801/2),PI()*B801/2)</f>
        <v>55.2</v>
      </c>
      <c r="N801" s="7">
        <f>IF(首页!$B$13="强制对流",首页!$B$11*M801/H801,0)</f>
        <v>0</v>
      </c>
      <c r="O801" s="7">
        <f>IF(首页!$B$13="自然对流",IF(首页!$B$14="立式圆筒",(0.825+0.3063*I801^(1/6))^2+0.87*(M801/B801),(0.752+0.303*I801^(1/6))^2),0.3+SQRT((0.592*N801^0.5)^2+(0.0262*N801^0.8/(1-0.5/N801^0.1))^2))</f>
        <v>10047.258904804059</v>
      </c>
      <c r="P801" s="6">
        <f t="shared" si="125"/>
        <v>2.9510194925512497E-2</v>
      </c>
      <c r="Q801" s="6">
        <f t="shared" si="126"/>
        <v>5.3713146512293291</v>
      </c>
      <c r="R801" s="6">
        <f t="shared" si="127"/>
        <v>13.140048451731285</v>
      </c>
      <c r="S801" s="6">
        <f>IF($Y$2="按单位面积散热损失 qp",B801*LN(B801/首页!$B$4),LN(B801/首页!$B$4))</f>
        <v>4.5503689934304266</v>
      </c>
      <c r="T801" s="6">
        <f>IF($Y$2="按单位面积散热损失 qp",2*PI()*首页!$B$8*((E801-D801)/$Y$3-1/R801),2*PI()*首页!$B$8*((E801-D801)/$Y$4-1/(PI()*B801*R801)))</f>
        <v>4.0782051133340873E-2</v>
      </c>
      <c r="U801" t="str">
        <f t="shared" si="128"/>
        <v>按单位面积散热损失 qp</v>
      </c>
      <c r="V801" s="6">
        <f t="shared" si="129"/>
        <v>4.5095869422970853</v>
      </c>
    </row>
    <row r="802" spans="1:22" x14ac:dyDescent="0.15">
      <c r="A802">
        <v>797</v>
      </c>
      <c r="B802" s="6">
        <f>首页!$B$4+2*A802/1000</f>
        <v>1.714</v>
      </c>
      <c r="C802" s="6">
        <f>首页!$B$7+273.15</f>
        <v>388.15</v>
      </c>
      <c r="D802" s="6">
        <f>首页!$B$6+273.15</f>
        <v>293.14999999999998</v>
      </c>
      <c r="E802" s="6">
        <f>首页!$B$5+273.15</f>
        <v>1373.15</v>
      </c>
      <c r="F802" s="6">
        <f t="shared" si="120"/>
        <v>95</v>
      </c>
      <c r="G802" s="6">
        <f t="shared" si="121"/>
        <v>340.65</v>
      </c>
      <c r="H802" s="6">
        <f t="shared" si="122"/>
        <v>1.9926207055139041E-5</v>
      </c>
      <c r="I802" s="7">
        <f t="shared" si="123"/>
        <v>1158916576932337.8</v>
      </c>
      <c r="J802" s="6">
        <f t="shared" si="124"/>
        <v>1.0226038455893147</v>
      </c>
      <c r="K802" s="7">
        <f>J802*H802*首页!$B$12/P802</f>
        <v>0.69532757496605813</v>
      </c>
      <c r="L802" s="6">
        <f>首页!$B$9*0.0000000567*((C802^4-D802^4)/(C802-D802))</f>
        <v>7.7687338005019564</v>
      </c>
      <c r="M802" s="6">
        <f>IF(首页!$B$13="自然对流",IF(首页!$B$14="立式圆筒",首页!$B$10,PI()*B802/2),PI()*B802/2)</f>
        <v>55.2</v>
      </c>
      <c r="N802" s="7">
        <f>IF(首页!$B$13="强制对流",首页!$B$11*M802/H802,0)</f>
        <v>0</v>
      </c>
      <c r="O802" s="7">
        <f>IF(首页!$B$13="自然对流",IF(首页!$B$14="立式圆筒",(0.825+0.3063*I802^(1/6))^2+0.87*(M802/B802),(0.752+0.303*I802^(1/6))^2),0.3+SQRT((0.592*N802^0.5)^2+(0.0262*N802^0.8/(1-0.5/N802^0.1))^2))</f>
        <v>10047.226172713195</v>
      </c>
      <c r="P802" s="6">
        <f t="shared" si="125"/>
        <v>2.9510194925512497E-2</v>
      </c>
      <c r="Q802" s="6">
        <f t="shared" si="126"/>
        <v>5.3712971524905297</v>
      </c>
      <c r="R802" s="6">
        <f t="shared" si="127"/>
        <v>13.140030952992486</v>
      </c>
      <c r="S802" s="6">
        <f>IF($Y$2="按单位面积散热损失 qp",B802*LN(B802/首页!$B$4),LN(B802/首页!$B$4))</f>
        <v>4.5576860128279142</v>
      </c>
      <c r="T802" s="6">
        <f>IF($Y$2="按单位面积散热损失 qp",2*PI()*首页!$B$8*((E802-D802)/$Y$3-1/R802),2*PI()*首页!$B$8*((E802-D802)/$Y$4-1/(PI()*B802*R802)))</f>
        <v>4.0782022477987005E-2</v>
      </c>
      <c r="U802" t="str">
        <f t="shared" si="128"/>
        <v>按单位面积散热损失 qp</v>
      </c>
      <c r="V802" s="6">
        <f t="shared" si="129"/>
        <v>4.5169039903499275</v>
      </c>
    </row>
    <row r="803" spans="1:22" x14ac:dyDescent="0.15">
      <c r="A803">
        <v>798</v>
      </c>
      <c r="B803" s="6">
        <f>首页!$B$4+2*A803/1000</f>
        <v>1.7160000000000002</v>
      </c>
      <c r="C803" s="6">
        <f>首页!$B$7+273.15</f>
        <v>388.15</v>
      </c>
      <c r="D803" s="6">
        <f>首页!$B$6+273.15</f>
        <v>293.14999999999998</v>
      </c>
      <c r="E803" s="6">
        <f>首页!$B$5+273.15</f>
        <v>1373.15</v>
      </c>
      <c r="F803" s="6">
        <f t="shared" si="120"/>
        <v>95</v>
      </c>
      <c r="G803" s="6">
        <f t="shared" si="121"/>
        <v>340.65</v>
      </c>
      <c r="H803" s="6">
        <f t="shared" si="122"/>
        <v>1.9926207055139041E-5</v>
      </c>
      <c r="I803" s="7">
        <f t="shared" si="123"/>
        <v>1158916576932337.8</v>
      </c>
      <c r="J803" s="6">
        <f t="shared" si="124"/>
        <v>1.0226038455893147</v>
      </c>
      <c r="K803" s="7">
        <f>J803*H803*首页!$B$12/P803</f>
        <v>0.69532757496605813</v>
      </c>
      <c r="L803" s="6">
        <f>首页!$B$9*0.0000000567*((C803^4-D803^4)/(C803-D803))</f>
        <v>7.7687338005019564</v>
      </c>
      <c r="M803" s="6">
        <f>IF(首页!$B$13="自然对流",IF(首页!$B$14="立式圆筒",首页!$B$10,PI()*B803/2),PI()*B803/2)</f>
        <v>55.2</v>
      </c>
      <c r="N803" s="7">
        <f>IF(首页!$B$13="强制对流",首页!$B$11*M803/H803,0)</f>
        <v>0</v>
      </c>
      <c r="O803" s="7">
        <f>IF(首页!$B$13="自然对流",IF(首页!$B$14="立式圆筒",(0.825+0.3063*I803^(1/6))^2+0.87*(M803/B803),(0.752+0.303*I803^(1/6))^2),0.3+SQRT((0.592*N803^0.5)^2+(0.0262*N803^0.8/(1-0.5/N803^0.1))^2))</f>
        <v>10047.193516920914</v>
      </c>
      <c r="P803" s="6">
        <f t="shared" si="125"/>
        <v>2.9510194925512497E-2</v>
      </c>
      <c r="Q803" s="6">
        <f t="shared" si="126"/>
        <v>5.3712796945413324</v>
      </c>
      <c r="R803" s="6">
        <f t="shared" si="127"/>
        <v>13.140013495043288</v>
      </c>
      <c r="S803" s="6">
        <f>IF($Y$2="按单位面积散热损失 qp",B803*LN(B803/首页!$B$4),LN(B803/首页!$B$4))</f>
        <v>4.5650053659482195</v>
      </c>
      <c r="T803" s="6">
        <f>IF($Y$2="按单位面积散热损失 qp",2*PI()*首页!$B$8*((E803-D803)/$Y$3-1/R803),2*PI()*首页!$B$8*((E803-D803)/$Y$4-1/(PI()*B803*R803)))</f>
        <v>4.0781993889352795E-2</v>
      </c>
      <c r="U803" t="str">
        <f t="shared" si="128"/>
        <v>按单位面积散热损失 qp</v>
      </c>
      <c r="V803" s="6">
        <f t="shared" si="129"/>
        <v>4.5242233720588665</v>
      </c>
    </row>
    <row r="804" spans="1:22" x14ac:dyDescent="0.15">
      <c r="A804">
        <v>799</v>
      </c>
      <c r="B804" s="6">
        <f>首页!$B$4+2*A804/1000</f>
        <v>1.718</v>
      </c>
      <c r="C804" s="6">
        <f>首页!$B$7+273.15</f>
        <v>388.15</v>
      </c>
      <c r="D804" s="6">
        <f>首页!$B$6+273.15</f>
        <v>293.14999999999998</v>
      </c>
      <c r="E804" s="6">
        <f>首页!$B$5+273.15</f>
        <v>1373.15</v>
      </c>
      <c r="F804" s="6">
        <f t="shared" si="120"/>
        <v>95</v>
      </c>
      <c r="G804" s="6">
        <f t="shared" si="121"/>
        <v>340.65</v>
      </c>
      <c r="H804" s="6">
        <f t="shared" si="122"/>
        <v>1.9926207055139041E-5</v>
      </c>
      <c r="I804" s="7">
        <f t="shared" si="123"/>
        <v>1158916576932337.8</v>
      </c>
      <c r="J804" s="6">
        <f t="shared" si="124"/>
        <v>1.0226038455893147</v>
      </c>
      <c r="K804" s="7">
        <f>J804*H804*首页!$B$12/P804</f>
        <v>0.69532757496605813</v>
      </c>
      <c r="L804" s="6">
        <f>首页!$B$9*0.0000000567*((C804^4-D804^4)/(C804-D804))</f>
        <v>7.7687338005019564</v>
      </c>
      <c r="M804" s="6">
        <f>IF(首页!$B$13="自然对流",IF(首页!$B$14="立式圆筒",首页!$B$10,PI()*B804/2),PI()*B804/2)</f>
        <v>55.2</v>
      </c>
      <c r="N804" s="7">
        <f>IF(首页!$B$13="强制对流",首页!$B$11*M804/H804,0)</f>
        <v>0</v>
      </c>
      <c r="O804" s="7">
        <f>IF(首页!$B$13="自然对流",IF(首页!$B$14="立式圆筒",(0.825+0.3063*I804^(1/6))^2+0.87*(M804/B804),(0.752+0.303*I804^(1/6))^2),0.3+SQRT((0.592*N804^0.5)^2+(0.0262*N804^0.8/(1-0.5/N804^0.1))^2))</f>
        <v>10047.160937160745</v>
      </c>
      <c r="P804" s="6">
        <f t="shared" si="125"/>
        <v>2.9510194925512497E-2</v>
      </c>
      <c r="Q804" s="6">
        <f t="shared" si="126"/>
        <v>5.371262277239282</v>
      </c>
      <c r="R804" s="6">
        <f t="shared" si="127"/>
        <v>13.139996077741237</v>
      </c>
      <c r="S804" s="6">
        <f>IF($Y$2="按单位面积散热损失 qp",B804*LN(B804/首页!$B$4),LN(B804/首页!$B$4))</f>
        <v>4.5723270500713813</v>
      </c>
      <c r="T804" s="6">
        <f>IF($Y$2="按单位面积散热损失 qp",2*PI()*首页!$B$8*((E804-D804)/$Y$3-1/R804),2*PI()*首页!$B$8*((E804-D804)/$Y$4-1/(PI()*B804*R804)))</f>
        <v>4.0781965367205478E-2</v>
      </c>
      <c r="U804" t="str">
        <f t="shared" si="128"/>
        <v>按单位面积散热损失 qp</v>
      </c>
      <c r="V804" s="6">
        <f t="shared" si="129"/>
        <v>4.5315450847041756</v>
      </c>
    </row>
    <row r="805" spans="1:22" x14ac:dyDescent="0.15">
      <c r="A805">
        <v>800</v>
      </c>
      <c r="B805" s="6">
        <f>首页!$B$4+2*A805/1000</f>
        <v>1.7200000000000002</v>
      </c>
      <c r="C805" s="6">
        <f>首页!$B$7+273.15</f>
        <v>388.15</v>
      </c>
      <c r="D805" s="6">
        <f>首页!$B$6+273.15</f>
        <v>293.14999999999998</v>
      </c>
      <c r="E805" s="6">
        <f>首页!$B$5+273.15</f>
        <v>1373.15</v>
      </c>
      <c r="F805" s="6">
        <f t="shared" si="120"/>
        <v>95</v>
      </c>
      <c r="G805" s="6">
        <f t="shared" si="121"/>
        <v>340.65</v>
      </c>
      <c r="H805" s="6">
        <f t="shared" si="122"/>
        <v>1.9926207055139041E-5</v>
      </c>
      <c r="I805" s="7">
        <f t="shared" si="123"/>
        <v>1158916576932337.8</v>
      </c>
      <c r="J805" s="6">
        <f t="shared" si="124"/>
        <v>1.0226038455893147</v>
      </c>
      <c r="K805" s="7">
        <f>J805*H805*首页!$B$12/P805</f>
        <v>0.69532757496605813</v>
      </c>
      <c r="L805" s="6">
        <f>首页!$B$9*0.0000000567*((C805^4-D805^4)/(C805-D805))</f>
        <v>7.7687338005019564</v>
      </c>
      <c r="M805" s="6">
        <f>IF(首页!$B$13="自然对流",IF(首页!$B$14="立式圆筒",首页!$B$10,PI()*B805/2),PI()*B805/2)</f>
        <v>55.2</v>
      </c>
      <c r="N805" s="7">
        <f>IF(首页!$B$13="强制对流",首页!$B$11*M805/H805,0)</f>
        <v>0</v>
      </c>
      <c r="O805" s="7">
        <f>IF(首页!$B$13="自然对流",IF(首页!$B$14="立式圆筒",(0.825+0.3063*I805^(1/6))^2+0.87*(M805/B805),(0.752+0.303*I805^(1/6))^2),0.3+SQRT((0.592*N805^0.5)^2+(0.0262*N805^0.8/(1-0.5/N805^0.1))^2))</f>
        <v>10047.128433167458</v>
      </c>
      <c r="P805" s="6">
        <f t="shared" si="125"/>
        <v>2.9510194925512497E-2</v>
      </c>
      <c r="Q805" s="6">
        <f t="shared" si="126"/>
        <v>5.3712449004425835</v>
      </c>
      <c r="R805" s="6">
        <f t="shared" si="127"/>
        <v>13.139978700944539</v>
      </c>
      <c r="S805" s="6">
        <f>IF($Y$2="按单位面积散热损失 qp",B805*LN(B805/首页!$B$4),LN(B805/首页!$B$4))</f>
        <v>4.5796510624837792</v>
      </c>
      <c r="T805" s="6">
        <f>IF($Y$2="按单位面积散热损失 qp",2*PI()*首页!$B$8*((E805-D805)/$Y$3-1/R805),2*PI()*首页!$B$8*((E805-D805)/$Y$4-1/(PI()*B805*R805)))</f>
        <v>4.0781936911313377E-2</v>
      </c>
      <c r="U805" t="str">
        <f t="shared" si="128"/>
        <v>按单位面积散热损失 qp</v>
      </c>
      <c r="V805" s="6">
        <f t="shared" si="129"/>
        <v>4.5388691255724662</v>
      </c>
    </row>
    <row r="806" spans="1:22" x14ac:dyDescent="0.15">
      <c r="A806">
        <v>801</v>
      </c>
      <c r="B806" s="6">
        <f>首页!$B$4+2*A806/1000</f>
        <v>1.722</v>
      </c>
      <c r="C806" s="6">
        <f>首页!$B$7+273.15</f>
        <v>388.15</v>
      </c>
      <c r="D806" s="6">
        <f>首页!$B$6+273.15</f>
        <v>293.14999999999998</v>
      </c>
      <c r="E806" s="6">
        <f>首页!$B$5+273.15</f>
        <v>1373.15</v>
      </c>
      <c r="F806" s="6">
        <f t="shared" si="120"/>
        <v>95</v>
      </c>
      <c r="G806" s="6">
        <f t="shared" si="121"/>
        <v>340.65</v>
      </c>
      <c r="H806" s="6">
        <f t="shared" si="122"/>
        <v>1.9926207055139041E-5</v>
      </c>
      <c r="I806" s="7">
        <f t="shared" si="123"/>
        <v>1158916576932337.8</v>
      </c>
      <c r="J806" s="6">
        <f t="shared" si="124"/>
        <v>1.0226038455893147</v>
      </c>
      <c r="K806" s="7">
        <f>J806*H806*首页!$B$12/P806</f>
        <v>0.69532757496605813</v>
      </c>
      <c r="L806" s="6">
        <f>首页!$B$9*0.0000000567*((C806^4-D806^4)/(C806-D806))</f>
        <v>7.7687338005019564</v>
      </c>
      <c r="M806" s="6">
        <f>IF(首页!$B$13="自然对流",IF(首页!$B$14="立式圆筒",首页!$B$10,PI()*B806/2),PI()*B806/2)</f>
        <v>55.2</v>
      </c>
      <c r="N806" s="7">
        <f>IF(首页!$B$13="强制对流",首页!$B$11*M806/H806,0)</f>
        <v>0</v>
      </c>
      <c r="O806" s="7">
        <f>IF(首页!$B$13="自然对流",IF(首页!$B$14="立式圆筒",(0.825+0.3063*I806^(1/6))^2+0.87*(M806/B806),(0.752+0.303*I806^(1/6))^2),0.3+SQRT((0.592*N806^0.5)^2+(0.0262*N806^0.8/(1-0.5/N806^0.1))^2))</f>
        <v>10047.09600467706</v>
      </c>
      <c r="P806" s="6">
        <f t="shared" si="125"/>
        <v>2.9510194925512497E-2</v>
      </c>
      <c r="Q806" s="6">
        <f t="shared" si="126"/>
        <v>5.3712275640101055</v>
      </c>
      <c r="R806" s="6">
        <f t="shared" si="127"/>
        <v>13.139961364512061</v>
      </c>
      <c r="S806" s="6">
        <f>IF($Y$2="按单位面积散热损失 qp",B806*LN(B806/首页!$B$4),LN(B806/首页!$B$4))</f>
        <v>4.5869774004780952</v>
      </c>
      <c r="T806" s="6">
        <f>IF($Y$2="按单位面积散热损失 qp",2*PI()*首页!$B$8*((E806-D806)/$Y$3-1/R806),2*PI()*首页!$B$8*((E806-D806)/$Y$4-1/(PI()*B806*R806)))</f>
        <v>4.0781908521445913E-2</v>
      </c>
      <c r="U806" t="str">
        <f t="shared" si="128"/>
        <v>按单位面积散热损失 qp</v>
      </c>
      <c r="V806" s="6">
        <f t="shared" si="129"/>
        <v>4.5461954919566496</v>
      </c>
    </row>
    <row r="807" spans="1:22" x14ac:dyDescent="0.15">
      <c r="A807">
        <v>802</v>
      </c>
      <c r="B807" s="6">
        <f>首页!$B$4+2*A807/1000</f>
        <v>1.7240000000000002</v>
      </c>
      <c r="C807" s="6">
        <f>首页!$B$7+273.15</f>
        <v>388.15</v>
      </c>
      <c r="D807" s="6">
        <f>首页!$B$6+273.15</f>
        <v>293.14999999999998</v>
      </c>
      <c r="E807" s="6">
        <f>首页!$B$5+273.15</f>
        <v>1373.15</v>
      </c>
      <c r="F807" s="6">
        <f t="shared" si="120"/>
        <v>95</v>
      </c>
      <c r="G807" s="6">
        <f t="shared" si="121"/>
        <v>340.65</v>
      </c>
      <c r="H807" s="6">
        <f t="shared" si="122"/>
        <v>1.9926207055139041E-5</v>
      </c>
      <c r="I807" s="7">
        <f t="shared" si="123"/>
        <v>1158916576932337.8</v>
      </c>
      <c r="J807" s="6">
        <f t="shared" si="124"/>
        <v>1.0226038455893147</v>
      </c>
      <c r="K807" s="7">
        <f>J807*H807*首页!$B$12/P807</f>
        <v>0.69532757496605813</v>
      </c>
      <c r="L807" s="6">
        <f>首页!$B$9*0.0000000567*((C807^4-D807^4)/(C807-D807))</f>
        <v>7.7687338005019564</v>
      </c>
      <c r="M807" s="6">
        <f>IF(首页!$B$13="自然对流",IF(首页!$B$14="立式圆筒",首页!$B$10,PI()*B807/2),PI()*B807/2)</f>
        <v>55.2</v>
      </c>
      <c r="N807" s="7">
        <f>IF(首页!$B$13="强制对流",首页!$B$11*M807/H807,0)</f>
        <v>0</v>
      </c>
      <c r="O807" s="7">
        <f>IF(首页!$B$13="自然对流",IF(首页!$B$14="立式圆筒",(0.825+0.3063*I807^(1/6))^2+0.87*(M807/B807),(0.752+0.303*I807^(1/6))^2),0.3+SQRT((0.592*N807^0.5)^2+(0.0262*N807^0.8/(1-0.5/N807^0.1))^2))</f>
        <v>10047.063651426779</v>
      </c>
      <c r="P807" s="6">
        <f t="shared" si="125"/>
        <v>2.9510194925512497E-2</v>
      </c>
      <c r="Q807" s="6">
        <f t="shared" si="126"/>
        <v>5.3712102678013682</v>
      </c>
      <c r="R807" s="6">
        <f t="shared" si="127"/>
        <v>13.139944068303326</v>
      </c>
      <c r="S807" s="6">
        <f>IF($Y$2="按单位面积散热损失 qp",B807*LN(B807/首页!$B$4),LN(B807/首页!$B$4))</f>
        <v>4.594306061353306</v>
      </c>
      <c r="T807" s="6">
        <f>IF($Y$2="按单位面积散热损失 qp",2*PI()*首页!$B$8*((E807-D807)/$Y$3-1/R807),2*PI()*首页!$B$8*((E807-D807)/$Y$4-1/(PI()*B807*R807)))</f>
        <v>4.0781880197373561E-2</v>
      </c>
      <c r="U807" t="str">
        <f t="shared" si="128"/>
        <v>按单位面积散热损失 qp</v>
      </c>
      <c r="V807" s="6">
        <f t="shared" si="129"/>
        <v>4.5535241811559324</v>
      </c>
    </row>
    <row r="808" spans="1:22" x14ac:dyDescent="0.15">
      <c r="A808">
        <v>803</v>
      </c>
      <c r="B808" s="6">
        <f>首页!$B$4+2*A808/1000</f>
        <v>1.726</v>
      </c>
      <c r="C808" s="6">
        <f>首页!$B$7+273.15</f>
        <v>388.15</v>
      </c>
      <c r="D808" s="6">
        <f>首页!$B$6+273.15</f>
        <v>293.14999999999998</v>
      </c>
      <c r="E808" s="6">
        <f>首页!$B$5+273.15</f>
        <v>1373.15</v>
      </c>
      <c r="F808" s="6">
        <f t="shared" si="120"/>
        <v>95</v>
      </c>
      <c r="G808" s="6">
        <f t="shared" si="121"/>
        <v>340.65</v>
      </c>
      <c r="H808" s="6">
        <f t="shared" si="122"/>
        <v>1.9926207055139041E-5</v>
      </c>
      <c r="I808" s="7">
        <f t="shared" si="123"/>
        <v>1158916576932337.8</v>
      </c>
      <c r="J808" s="6">
        <f t="shared" si="124"/>
        <v>1.0226038455893147</v>
      </c>
      <c r="K808" s="7">
        <f>J808*H808*首页!$B$12/P808</f>
        <v>0.69532757496605813</v>
      </c>
      <c r="L808" s="6">
        <f>首页!$B$9*0.0000000567*((C808^4-D808^4)/(C808-D808))</f>
        <v>7.7687338005019564</v>
      </c>
      <c r="M808" s="6">
        <f>IF(首页!$B$13="自然对流",IF(首页!$B$14="立式圆筒",首页!$B$10,PI()*B808/2),PI()*B808/2)</f>
        <v>55.2</v>
      </c>
      <c r="N808" s="7">
        <f>IF(首页!$B$13="强制对流",首页!$B$11*M808/H808,0)</f>
        <v>0</v>
      </c>
      <c r="O808" s="7">
        <f>IF(首页!$B$13="自然对流",IF(首页!$B$14="立式圆筒",(0.825+0.3063*I808^(1/6))^2+0.87*(M808/B808),(0.752+0.303*I808^(1/6))^2),0.3+SQRT((0.592*N808^0.5)^2+(0.0262*N808^0.8/(1-0.5/N808^0.1))^2))</f>
        <v>10047.031373155061</v>
      </c>
      <c r="P808" s="6">
        <f t="shared" si="125"/>
        <v>2.9510194925512497E-2</v>
      </c>
      <c r="Q808" s="6">
        <f t="shared" si="126"/>
        <v>5.3711930116765467</v>
      </c>
      <c r="R808" s="6">
        <f t="shared" si="127"/>
        <v>13.139926812178503</v>
      </c>
      <c r="S808" s="6">
        <f>IF($Y$2="按单位面积散热损失 qp",B808*LN(B808/首页!$B$4),LN(B808/首页!$B$4))</f>
        <v>4.6016370424146507</v>
      </c>
      <c r="T808" s="6">
        <f>IF($Y$2="按单位面积散热损失 qp",2*PI()*首页!$B$8*((E808-D808)/$Y$3-1/R808),2*PI()*首页!$B$8*((E808-D808)/$Y$4-1/(PI()*B808*R808)))</f>
        <v>4.0781851938867852E-2</v>
      </c>
      <c r="U808" t="str">
        <f t="shared" si="128"/>
        <v>按单位面积散热损失 qp</v>
      </c>
      <c r="V808" s="6">
        <f t="shared" si="129"/>
        <v>4.5608551904757828</v>
      </c>
    </row>
    <row r="809" spans="1:22" x14ac:dyDescent="0.15">
      <c r="A809">
        <v>804</v>
      </c>
      <c r="B809" s="6">
        <f>首页!$B$4+2*A809/1000</f>
        <v>1.7280000000000002</v>
      </c>
      <c r="C809" s="6">
        <f>首页!$B$7+273.15</f>
        <v>388.15</v>
      </c>
      <c r="D809" s="6">
        <f>首页!$B$6+273.15</f>
        <v>293.14999999999998</v>
      </c>
      <c r="E809" s="6">
        <f>首页!$B$5+273.15</f>
        <v>1373.15</v>
      </c>
      <c r="F809" s="6">
        <f t="shared" si="120"/>
        <v>95</v>
      </c>
      <c r="G809" s="6">
        <f t="shared" si="121"/>
        <v>340.65</v>
      </c>
      <c r="H809" s="6">
        <f t="shared" si="122"/>
        <v>1.9926207055139041E-5</v>
      </c>
      <c r="I809" s="7">
        <f t="shared" si="123"/>
        <v>1158916576932337.8</v>
      </c>
      <c r="J809" s="6">
        <f t="shared" si="124"/>
        <v>1.0226038455893147</v>
      </c>
      <c r="K809" s="7">
        <f>J809*H809*首页!$B$12/P809</f>
        <v>0.69532757496605813</v>
      </c>
      <c r="L809" s="6">
        <f>首页!$B$9*0.0000000567*((C809^4-D809^4)/(C809-D809))</f>
        <v>7.7687338005019564</v>
      </c>
      <c r="M809" s="6">
        <f>IF(首页!$B$13="自然对流",IF(首页!$B$14="立式圆筒",首页!$B$10,PI()*B809/2),PI()*B809/2)</f>
        <v>55.2</v>
      </c>
      <c r="N809" s="7">
        <f>IF(首页!$B$13="强制对流",首页!$B$11*M809/H809,0)</f>
        <v>0</v>
      </c>
      <c r="O809" s="7">
        <f>IF(首页!$B$13="自然对流",IF(首页!$B$14="立式圆筒",(0.825+0.3063*I809^(1/6))^2+0.87*(M809/B809),(0.752+0.303*I809^(1/6))^2),0.3+SQRT((0.592*N809^0.5)^2+(0.0262*N809^0.8/(1-0.5/N809^0.1))^2))</f>
        <v>10046.999169601566</v>
      </c>
      <c r="P809" s="6">
        <f t="shared" si="125"/>
        <v>2.9510194925512497E-2</v>
      </c>
      <c r="Q809" s="6">
        <f t="shared" si="126"/>
        <v>5.3711757954964563</v>
      </c>
      <c r="R809" s="6">
        <f t="shared" si="127"/>
        <v>13.139909595998413</v>
      </c>
      <c r="S809" s="6">
        <f>IF($Y$2="按单位面积散热损失 qp",B809*LN(B809/首页!$B$4),LN(B809/首页!$B$4))</f>
        <v>4.6089703409736194</v>
      </c>
      <c r="T809" s="6">
        <f>IF($Y$2="按单位面积散热损失 qp",2*PI()*首页!$B$8*((E809-D809)/$Y$3-1/R809),2*PI()*首页!$B$8*((E809-D809)/$Y$4-1/(PI()*B809*R809)))</f>
        <v>4.0781823745701391E-2</v>
      </c>
      <c r="U809" t="str">
        <f t="shared" si="128"/>
        <v>按单位面积散热损失 qp</v>
      </c>
      <c r="V809" s="6">
        <f t="shared" si="129"/>
        <v>4.5681885172279175</v>
      </c>
    </row>
    <row r="810" spans="1:22" x14ac:dyDescent="0.15">
      <c r="A810">
        <v>805</v>
      </c>
      <c r="B810" s="6">
        <f>首页!$B$4+2*A810/1000</f>
        <v>1.73</v>
      </c>
      <c r="C810" s="6">
        <f>首页!$B$7+273.15</f>
        <v>388.15</v>
      </c>
      <c r="D810" s="6">
        <f>首页!$B$6+273.15</f>
        <v>293.14999999999998</v>
      </c>
      <c r="E810" s="6">
        <f>首页!$B$5+273.15</f>
        <v>1373.15</v>
      </c>
      <c r="F810" s="6">
        <f t="shared" si="120"/>
        <v>95</v>
      </c>
      <c r="G810" s="6">
        <f t="shared" si="121"/>
        <v>340.65</v>
      </c>
      <c r="H810" s="6">
        <f t="shared" si="122"/>
        <v>1.9926207055139041E-5</v>
      </c>
      <c r="I810" s="7">
        <f t="shared" si="123"/>
        <v>1158916576932337.8</v>
      </c>
      <c r="J810" s="6">
        <f t="shared" si="124"/>
        <v>1.0226038455893147</v>
      </c>
      <c r="K810" s="7">
        <f>J810*H810*首页!$B$12/P810</f>
        <v>0.69532757496605813</v>
      </c>
      <c r="L810" s="6">
        <f>首页!$B$9*0.0000000567*((C810^4-D810^4)/(C810-D810))</f>
        <v>7.7687338005019564</v>
      </c>
      <c r="M810" s="6">
        <f>IF(首页!$B$13="自然对流",IF(首页!$B$14="立式圆筒",首页!$B$10,PI()*B810/2),PI()*B810/2)</f>
        <v>55.2</v>
      </c>
      <c r="N810" s="7">
        <f>IF(首页!$B$13="强制对流",首页!$B$11*M810/H810,0)</f>
        <v>0</v>
      </c>
      <c r="O810" s="7">
        <f>IF(首页!$B$13="自然对流",IF(首页!$B$14="立式圆筒",(0.825+0.3063*I810^(1/6))^2+0.87*(M810/B810),(0.752+0.303*I810^(1/6))^2),0.3+SQRT((0.592*N810^0.5)^2+(0.0262*N810^0.8/(1-0.5/N810^0.1))^2))</f>
        <v>10046.967040507154</v>
      </c>
      <c r="P810" s="6">
        <f t="shared" si="125"/>
        <v>2.9510194925512497E-2</v>
      </c>
      <c r="Q810" s="6">
        <f t="shared" si="126"/>
        <v>5.3711586191225633</v>
      </c>
      <c r="R810" s="6">
        <f t="shared" si="127"/>
        <v>13.13989241962452</v>
      </c>
      <c r="S810" s="6">
        <f>IF($Y$2="按单位面积散热损失 qp",B810*LN(B810/首页!$B$4),LN(B810/首页!$B$4))</f>
        <v>4.6163059543479177</v>
      </c>
      <c r="T810" s="6">
        <f>IF($Y$2="按单位面积散热损失 qp",2*PI()*首页!$B$8*((E810-D810)/$Y$3-1/R810),2*PI()*首页!$B$8*((E810-D810)/$Y$4-1/(PI()*B810*R810)))</f>
        <v>4.0781795617647817E-2</v>
      </c>
      <c r="U810" t="str">
        <f t="shared" si="128"/>
        <v>按单位面积散热损失 qp</v>
      </c>
      <c r="V810" s="6">
        <f t="shared" si="129"/>
        <v>4.5755241587302695</v>
      </c>
    </row>
    <row r="811" spans="1:22" x14ac:dyDescent="0.15">
      <c r="A811">
        <v>806</v>
      </c>
      <c r="B811" s="6">
        <f>首页!$B$4+2*A811/1000</f>
        <v>1.7320000000000002</v>
      </c>
      <c r="C811" s="6">
        <f>首页!$B$7+273.15</f>
        <v>388.15</v>
      </c>
      <c r="D811" s="6">
        <f>首页!$B$6+273.15</f>
        <v>293.14999999999998</v>
      </c>
      <c r="E811" s="6">
        <f>首页!$B$5+273.15</f>
        <v>1373.15</v>
      </c>
      <c r="F811" s="6">
        <f t="shared" si="120"/>
        <v>95</v>
      </c>
      <c r="G811" s="6">
        <f t="shared" si="121"/>
        <v>340.65</v>
      </c>
      <c r="H811" s="6">
        <f t="shared" si="122"/>
        <v>1.9926207055139041E-5</v>
      </c>
      <c r="I811" s="7">
        <f t="shared" si="123"/>
        <v>1158916576932337.8</v>
      </c>
      <c r="J811" s="6">
        <f t="shared" si="124"/>
        <v>1.0226038455893147</v>
      </c>
      <c r="K811" s="7">
        <f>J811*H811*首页!$B$12/P811</f>
        <v>0.69532757496605813</v>
      </c>
      <c r="L811" s="6">
        <f>首页!$B$9*0.0000000567*((C811^4-D811^4)/(C811-D811))</f>
        <v>7.7687338005019564</v>
      </c>
      <c r="M811" s="6">
        <f>IF(首页!$B$13="自然对流",IF(首页!$B$14="立式圆筒",首页!$B$10,PI()*B811/2),PI()*B811/2)</f>
        <v>55.2</v>
      </c>
      <c r="N811" s="7">
        <f>IF(首页!$B$13="强制对流",首页!$B$11*M811/H811,0)</f>
        <v>0</v>
      </c>
      <c r="O811" s="7">
        <f>IF(首页!$B$13="自然对流",IF(首页!$B$14="立式圆筒",(0.825+0.3063*I811^(1/6))^2+0.87*(M811/B811),(0.752+0.303*I811^(1/6))^2),0.3+SQRT((0.592*N811^0.5)^2+(0.0262*N811^0.8/(1-0.5/N811^0.1))^2))</f>
        <v>10046.934985613883</v>
      </c>
      <c r="P811" s="6">
        <f t="shared" si="125"/>
        <v>2.9510194925512497E-2</v>
      </c>
      <c r="Q811" s="6">
        <f t="shared" si="126"/>
        <v>5.3711414824169701</v>
      </c>
      <c r="R811" s="6">
        <f t="shared" si="127"/>
        <v>13.139875282918926</v>
      </c>
      <c r="S811" s="6">
        <f>IF($Y$2="按单位面积散热损失 qp",B811*LN(B811/首页!$B$4),LN(B811/首页!$B$4))</f>
        <v>4.6236438798614605</v>
      </c>
      <c r="T811" s="6">
        <f>IF($Y$2="按单位面积散热损失 qp",2*PI()*首页!$B$8*((E811-D811)/$Y$3-1/R811),2*PI()*首页!$B$8*((E811-D811)/$Y$4-1/(PI()*B811*R811)))</f>
        <v>4.0781767554481825E-2</v>
      </c>
      <c r="U811" t="str">
        <f t="shared" si="128"/>
        <v>按单位面积散热损失 qp</v>
      </c>
      <c r="V811" s="6">
        <f t="shared" si="129"/>
        <v>4.5828621123069784</v>
      </c>
    </row>
    <row r="812" spans="1:22" x14ac:dyDescent="0.15">
      <c r="A812">
        <v>807</v>
      </c>
      <c r="B812" s="6">
        <f>首页!$B$4+2*A812/1000</f>
        <v>1.734</v>
      </c>
      <c r="C812" s="6">
        <f>首页!$B$7+273.15</f>
        <v>388.15</v>
      </c>
      <c r="D812" s="6">
        <f>首页!$B$6+273.15</f>
        <v>293.14999999999998</v>
      </c>
      <c r="E812" s="6">
        <f>首页!$B$5+273.15</f>
        <v>1373.15</v>
      </c>
      <c r="F812" s="6">
        <f t="shared" si="120"/>
        <v>95</v>
      </c>
      <c r="G812" s="6">
        <f t="shared" si="121"/>
        <v>340.65</v>
      </c>
      <c r="H812" s="6">
        <f t="shared" si="122"/>
        <v>1.9926207055139041E-5</v>
      </c>
      <c r="I812" s="7">
        <f t="shared" si="123"/>
        <v>1158916576932337.8</v>
      </c>
      <c r="J812" s="6">
        <f t="shared" si="124"/>
        <v>1.0226038455893147</v>
      </c>
      <c r="K812" s="7">
        <f>J812*H812*首页!$B$12/P812</f>
        <v>0.69532757496605813</v>
      </c>
      <c r="L812" s="6">
        <f>首页!$B$9*0.0000000567*((C812^4-D812^4)/(C812-D812))</f>
        <v>7.7687338005019564</v>
      </c>
      <c r="M812" s="6">
        <f>IF(首页!$B$13="自然对流",IF(首页!$B$14="立式圆筒",首页!$B$10,PI()*B812/2),PI()*B812/2)</f>
        <v>55.2</v>
      </c>
      <c r="N812" s="7">
        <f>IF(首页!$B$13="强制对流",首页!$B$11*M812/H812,0)</f>
        <v>0</v>
      </c>
      <c r="O812" s="7">
        <f>IF(首页!$B$13="自然对流",IF(首页!$B$14="立式圆筒",(0.825+0.3063*I812^(1/6))^2+0.87*(M812/B812),(0.752+0.303*I812^(1/6))^2),0.3+SQRT((0.592*N812^0.5)^2+(0.0262*N812^0.8/(1-0.5/N812^0.1))^2))</f>
        <v>10046.903004665004</v>
      </c>
      <c r="P812" s="6">
        <f t="shared" si="125"/>
        <v>2.9510194925512497E-2</v>
      </c>
      <c r="Q812" s="6">
        <f t="shared" si="126"/>
        <v>5.3711243852424175</v>
      </c>
      <c r="R812" s="6">
        <f t="shared" si="127"/>
        <v>13.139858185744373</v>
      </c>
      <c r="S812" s="6">
        <f>IF($Y$2="按单位面积散热损失 qp",B812*LN(B812/首页!$B$4),LN(B812/首页!$B$4))</f>
        <v>4.6309841148443365</v>
      </c>
      <c r="T812" s="6">
        <f>IF($Y$2="按单位面积散热损失 qp",2*PI()*首页!$B$8*((E812-D812)/$Y$3-1/R812),2*PI()*首页!$B$8*((E812-D812)/$Y$4-1/(PI()*B812*R812)))</f>
        <v>4.0781739555979142E-2</v>
      </c>
      <c r="U812" t="str">
        <f t="shared" si="128"/>
        <v>按单位面积散热损失 qp</v>
      </c>
      <c r="V812" s="6">
        <f t="shared" si="129"/>
        <v>4.5902023752883574</v>
      </c>
    </row>
    <row r="813" spans="1:22" x14ac:dyDescent="0.15">
      <c r="A813">
        <v>808</v>
      </c>
      <c r="B813" s="6">
        <f>首页!$B$4+2*A813/1000</f>
        <v>1.7360000000000002</v>
      </c>
      <c r="C813" s="6">
        <f>首页!$B$7+273.15</f>
        <v>388.15</v>
      </c>
      <c r="D813" s="6">
        <f>首页!$B$6+273.15</f>
        <v>293.14999999999998</v>
      </c>
      <c r="E813" s="6">
        <f>首页!$B$5+273.15</f>
        <v>1373.15</v>
      </c>
      <c r="F813" s="6">
        <f t="shared" si="120"/>
        <v>95</v>
      </c>
      <c r="G813" s="6">
        <f t="shared" si="121"/>
        <v>340.65</v>
      </c>
      <c r="H813" s="6">
        <f t="shared" si="122"/>
        <v>1.9926207055139041E-5</v>
      </c>
      <c r="I813" s="7">
        <f t="shared" si="123"/>
        <v>1158916576932337.8</v>
      </c>
      <c r="J813" s="6">
        <f t="shared" si="124"/>
        <v>1.0226038455893147</v>
      </c>
      <c r="K813" s="7">
        <f>J813*H813*首页!$B$12/P813</f>
        <v>0.69532757496605813</v>
      </c>
      <c r="L813" s="6">
        <f>首页!$B$9*0.0000000567*((C813^4-D813^4)/(C813-D813))</f>
        <v>7.7687338005019564</v>
      </c>
      <c r="M813" s="6">
        <f>IF(首页!$B$13="自然对流",IF(首页!$B$14="立式圆筒",首页!$B$10,PI()*B813/2),PI()*B813/2)</f>
        <v>55.2</v>
      </c>
      <c r="N813" s="7">
        <f>IF(首页!$B$13="强制对流",首页!$B$11*M813/H813,0)</f>
        <v>0</v>
      </c>
      <c r="O813" s="7">
        <f>IF(首页!$B$13="自然对流",IF(首页!$B$14="立式圆筒",(0.825+0.3063*I813^(1/6))^2+0.87*(M813/B813),(0.752+0.303*I813^(1/6))^2),0.3+SQRT((0.592*N813^0.5)^2+(0.0262*N813^0.8/(1-0.5/N813^0.1))^2))</f>
        <v>10046.871097404946</v>
      </c>
      <c r="P813" s="6">
        <f t="shared" si="125"/>
        <v>2.9510194925512497E-2</v>
      </c>
      <c r="Q813" s="6">
        <f t="shared" si="126"/>
        <v>5.3711073274622745</v>
      </c>
      <c r="R813" s="6">
        <f t="shared" si="127"/>
        <v>13.139841127964232</v>
      </c>
      <c r="S813" s="6">
        <f>IF($Y$2="按单位面积散热损失 qp",B813*LN(B813/首页!$B$4),LN(B813/首页!$B$4))</f>
        <v>4.6383266566328016</v>
      </c>
      <c r="T813" s="6">
        <f>IF($Y$2="按单位面积散热损失 qp",2*PI()*首页!$B$8*((E813-D813)/$Y$3-1/R813),2*PI()*首页!$B$8*((E813-D813)/$Y$4-1/(PI()*B813*R813)))</f>
        <v>4.078171162191653E-2</v>
      </c>
      <c r="U813" t="str">
        <f t="shared" si="128"/>
        <v>按单位面积散热损失 qp</v>
      </c>
      <c r="V813" s="6">
        <f t="shared" si="129"/>
        <v>4.5975449450108847</v>
      </c>
    </row>
    <row r="814" spans="1:22" x14ac:dyDescent="0.15">
      <c r="A814">
        <v>809</v>
      </c>
      <c r="B814" s="6">
        <f>首页!$B$4+2*A814/1000</f>
        <v>1.738</v>
      </c>
      <c r="C814" s="6">
        <f>首页!$B$7+273.15</f>
        <v>388.15</v>
      </c>
      <c r="D814" s="6">
        <f>首页!$B$6+273.15</f>
        <v>293.14999999999998</v>
      </c>
      <c r="E814" s="6">
        <f>首页!$B$5+273.15</f>
        <v>1373.15</v>
      </c>
      <c r="F814" s="6">
        <f t="shared" si="120"/>
        <v>95</v>
      </c>
      <c r="G814" s="6">
        <f t="shared" si="121"/>
        <v>340.65</v>
      </c>
      <c r="H814" s="6">
        <f t="shared" si="122"/>
        <v>1.9926207055139041E-5</v>
      </c>
      <c r="I814" s="7">
        <f t="shared" si="123"/>
        <v>1158916576932337.8</v>
      </c>
      <c r="J814" s="6">
        <f t="shared" si="124"/>
        <v>1.0226038455893147</v>
      </c>
      <c r="K814" s="7">
        <f>J814*H814*首页!$B$12/P814</f>
        <v>0.69532757496605813</v>
      </c>
      <c r="L814" s="6">
        <f>首页!$B$9*0.0000000567*((C814^4-D814^4)/(C814-D814))</f>
        <v>7.7687338005019564</v>
      </c>
      <c r="M814" s="6">
        <f>IF(首页!$B$13="自然对流",IF(首页!$B$14="立式圆筒",首页!$B$10,PI()*B814/2),PI()*B814/2)</f>
        <v>55.2</v>
      </c>
      <c r="N814" s="7">
        <f>IF(首页!$B$13="强制对流",首页!$B$11*M814/H814,0)</f>
        <v>0</v>
      </c>
      <c r="O814" s="7">
        <f>IF(首页!$B$13="自然对流",IF(首页!$B$14="立式圆筒",(0.825+0.3063*I814^(1/6))^2+0.87*(M814/B814),(0.752+0.303*I814^(1/6))^2),0.3+SQRT((0.592*N814^0.5)^2+(0.0262*N814^0.8/(1-0.5/N814^0.1))^2))</f>
        <v>10046.839263579319</v>
      </c>
      <c r="P814" s="6">
        <f t="shared" si="125"/>
        <v>2.9510194925512497E-2</v>
      </c>
      <c r="Q814" s="6">
        <f t="shared" si="126"/>
        <v>5.3710903089405448</v>
      </c>
      <c r="R814" s="6">
        <f t="shared" si="127"/>
        <v>13.1398241094425</v>
      </c>
      <c r="S814" s="6">
        <f>IF($Y$2="按单位面积散热损失 qp",B814*LN(B814/首页!$B$4),LN(B814/首页!$B$4))</f>
        <v>4.6456715025692406</v>
      </c>
      <c r="T814" s="6">
        <f>IF($Y$2="按单位面积散热损失 qp",2*PI()*首页!$B$8*((E814-D814)/$Y$3-1/R814),2*PI()*首页!$B$8*((E814-D814)/$Y$4-1/(PI()*B814*R814)))</f>
        <v>4.0781683752071758E-2</v>
      </c>
      <c r="U814" t="str">
        <f t="shared" si="128"/>
        <v>按单位面积散热损失 qp</v>
      </c>
      <c r="V814" s="6">
        <f t="shared" si="129"/>
        <v>4.6048898188171687</v>
      </c>
    </row>
    <row r="815" spans="1:22" x14ac:dyDescent="0.15">
      <c r="A815">
        <v>810</v>
      </c>
      <c r="B815" s="6">
        <f>首页!$B$4+2*A815/1000</f>
        <v>1.7400000000000002</v>
      </c>
      <c r="C815" s="6">
        <f>首页!$B$7+273.15</f>
        <v>388.15</v>
      </c>
      <c r="D815" s="6">
        <f>首页!$B$6+273.15</f>
        <v>293.14999999999998</v>
      </c>
      <c r="E815" s="6">
        <f>首页!$B$5+273.15</f>
        <v>1373.15</v>
      </c>
      <c r="F815" s="6">
        <f t="shared" si="120"/>
        <v>95</v>
      </c>
      <c r="G815" s="6">
        <f t="shared" si="121"/>
        <v>340.65</v>
      </c>
      <c r="H815" s="6">
        <f t="shared" si="122"/>
        <v>1.9926207055139041E-5</v>
      </c>
      <c r="I815" s="7">
        <f t="shared" si="123"/>
        <v>1158916576932337.8</v>
      </c>
      <c r="J815" s="6">
        <f t="shared" si="124"/>
        <v>1.0226038455893147</v>
      </c>
      <c r="K815" s="7">
        <f>J815*H815*首页!$B$12/P815</f>
        <v>0.69532757496605813</v>
      </c>
      <c r="L815" s="6">
        <f>首页!$B$9*0.0000000567*((C815^4-D815^4)/(C815-D815))</f>
        <v>7.7687338005019564</v>
      </c>
      <c r="M815" s="6">
        <f>IF(首页!$B$13="自然对流",IF(首页!$B$14="立式圆筒",首页!$B$10,PI()*B815/2),PI()*B815/2)</f>
        <v>55.2</v>
      </c>
      <c r="N815" s="7">
        <f>IF(首页!$B$13="强制对流",首页!$B$11*M815/H815,0)</f>
        <v>0</v>
      </c>
      <c r="O815" s="7">
        <f>IF(首页!$B$13="自然对流",IF(首页!$B$14="立式圆筒",(0.825+0.3063*I815^(1/6))^2+0.87*(M815/B815),(0.752+0.303*I815^(1/6))^2),0.3+SQRT((0.592*N815^0.5)^2+(0.0262*N815^0.8/(1-0.5/N815^0.1))^2))</f>
        <v>10046.8075029349</v>
      </c>
      <c r="P815" s="6">
        <f t="shared" si="125"/>
        <v>2.9510194925512497E-2</v>
      </c>
      <c r="Q815" s="6">
        <f t="shared" si="126"/>
        <v>5.3710733295418542</v>
      </c>
      <c r="R815" s="6">
        <f t="shared" si="127"/>
        <v>13.13980713004381</v>
      </c>
      <c r="S815" s="6">
        <f>IF($Y$2="按单位面积散热损失 qp",B815*LN(B815/首页!$B$4),LN(B815/首页!$B$4))</f>
        <v>4.6530186500021609</v>
      </c>
      <c r="T815" s="6">
        <f>IF($Y$2="按单位面积散热损失 qp",2*PI()*首页!$B$8*((E815-D815)/$Y$3-1/R815),2*PI()*首页!$B$8*((E815-D815)/$Y$4-1/(PI()*B815*R815)))</f>
        <v>4.0781655946223669E-2</v>
      </c>
      <c r="U815" t="str">
        <f t="shared" si="128"/>
        <v>按单位面积散热损失 qp</v>
      </c>
      <c r="V815" s="6">
        <f t="shared" si="129"/>
        <v>4.6122369940559373</v>
      </c>
    </row>
    <row r="816" spans="1:22" x14ac:dyDescent="0.15">
      <c r="A816">
        <v>811</v>
      </c>
      <c r="B816" s="6">
        <f>首页!$B$4+2*A816/1000</f>
        <v>1.742</v>
      </c>
      <c r="C816" s="6">
        <f>首页!$B$7+273.15</f>
        <v>388.15</v>
      </c>
      <c r="D816" s="6">
        <f>首页!$B$6+273.15</f>
        <v>293.14999999999998</v>
      </c>
      <c r="E816" s="6">
        <f>首页!$B$5+273.15</f>
        <v>1373.15</v>
      </c>
      <c r="F816" s="6">
        <f t="shared" si="120"/>
        <v>95</v>
      </c>
      <c r="G816" s="6">
        <f t="shared" si="121"/>
        <v>340.65</v>
      </c>
      <c r="H816" s="6">
        <f t="shared" si="122"/>
        <v>1.9926207055139041E-5</v>
      </c>
      <c r="I816" s="7">
        <f t="shared" si="123"/>
        <v>1158916576932337.8</v>
      </c>
      <c r="J816" s="6">
        <f t="shared" si="124"/>
        <v>1.0226038455893147</v>
      </c>
      <c r="K816" s="7">
        <f>J816*H816*首页!$B$12/P816</f>
        <v>0.69532757496605813</v>
      </c>
      <c r="L816" s="6">
        <f>首页!$B$9*0.0000000567*((C816^4-D816^4)/(C816-D816))</f>
        <v>7.7687338005019564</v>
      </c>
      <c r="M816" s="6">
        <f>IF(首页!$B$13="自然对流",IF(首页!$B$14="立式圆筒",首页!$B$10,PI()*B816/2),PI()*B816/2)</f>
        <v>55.2</v>
      </c>
      <c r="N816" s="7">
        <f>IF(首页!$B$13="强制对流",首页!$B$11*M816/H816,0)</f>
        <v>0</v>
      </c>
      <c r="O816" s="7">
        <f>IF(首页!$B$13="自然对流",IF(首页!$B$14="立式圆筒",(0.825+0.3063*I816^(1/6))^2+0.87*(M816/B816),(0.752+0.303*I816^(1/6))^2),0.3+SQRT((0.592*N816^0.5)^2+(0.0262*N816^0.8/(1-0.5/N816^0.1))^2))</f>
        <v>10046.775815219629</v>
      </c>
      <c r="P816" s="6">
        <f t="shared" si="125"/>
        <v>2.9510194925512497E-2</v>
      </c>
      <c r="Q816" s="6">
        <f t="shared" si="126"/>
        <v>5.3710563891314491</v>
      </c>
      <c r="R816" s="6">
        <f t="shared" si="127"/>
        <v>13.139790189633406</v>
      </c>
      <c r="S816" s="6">
        <f>IF($Y$2="按单位面积散热损失 qp",B816*LN(B816/首页!$B$4),LN(B816/首页!$B$4))</f>
        <v>4.6603680962861604</v>
      </c>
      <c r="T816" s="6">
        <f>IF($Y$2="按单位面积散热损失 qp",2*PI()*首页!$B$8*((E816-D816)/$Y$3-1/R816),2*PI()*首页!$B$8*((E816-D816)/$Y$4-1/(PI()*B816*R816)))</f>
        <v>4.0781628204152057E-2</v>
      </c>
      <c r="U816" t="str">
        <f t="shared" si="128"/>
        <v>按单位面积散热损失 qp</v>
      </c>
      <c r="V816" s="6">
        <f t="shared" si="129"/>
        <v>4.6195864680820087</v>
      </c>
    </row>
    <row r="817" spans="1:22" x14ac:dyDescent="0.15">
      <c r="A817">
        <v>812</v>
      </c>
      <c r="B817" s="6">
        <f>首页!$B$4+2*A817/1000</f>
        <v>1.7440000000000002</v>
      </c>
      <c r="C817" s="6">
        <f>首页!$B$7+273.15</f>
        <v>388.15</v>
      </c>
      <c r="D817" s="6">
        <f>首页!$B$6+273.15</f>
        <v>293.14999999999998</v>
      </c>
      <c r="E817" s="6">
        <f>首页!$B$5+273.15</f>
        <v>1373.15</v>
      </c>
      <c r="F817" s="6">
        <f t="shared" si="120"/>
        <v>95</v>
      </c>
      <c r="G817" s="6">
        <f t="shared" si="121"/>
        <v>340.65</v>
      </c>
      <c r="H817" s="6">
        <f t="shared" si="122"/>
        <v>1.9926207055139041E-5</v>
      </c>
      <c r="I817" s="7">
        <f t="shared" si="123"/>
        <v>1158916576932337.8</v>
      </c>
      <c r="J817" s="6">
        <f t="shared" si="124"/>
        <v>1.0226038455893147</v>
      </c>
      <c r="K817" s="7">
        <f>J817*H817*首页!$B$12/P817</f>
        <v>0.69532757496605813</v>
      </c>
      <c r="L817" s="6">
        <f>首页!$B$9*0.0000000567*((C817^4-D817^4)/(C817-D817))</f>
        <v>7.7687338005019564</v>
      </c>
      <c r="M817" s="6">
        <f>IF(首页!$B$13="自然对流",IF(首页!$B$14="立式圆筒",首页!$B$10,PI()*B817/2),PI()*B817/2)</f>
        <v>55.2</v>
      </c>
      <c r="N817" s="7">
        <f>IF(首页!$B$13="强制对流",首页!$B$11*M817/H817,0)</f>
        <v>0</v>
      </c>
      <c r="O817" s="7">
        <f>IF(首页!$B$13="自然对流",IF(首页!$B$14="立式圆筒",(0.825+0.3063*I817^(1/6))^2+0.87*(M817/B817),(0.752+0.303*I817^(1/6))^2),0.3+SQRT((0.592*N817^0.5)^2+(0.0262*N817^0.8/(1-0.5/N817^0.1))^2))</f>
        <v>10046.744200182606</v>
      </c>
      <c r="P817" s="6">
        <f t="shared" si="125"/>
        <v>2.9510194925512497E-2</v>
      </c>
      <c r="Q817" s="6">
        <f t="shared" si="126"/>
        <v>5.3710394875751959</v>
      </c>
      <c r="R817" s="6">
        <f t="shared" si="127"/>
        <v>13.139773288077151</v>
      </c>
      <c r="S817" s="6">
        <f>IF($Y$2="按单位面积散热损失 qp",B817*LN(B817/首页!$B$4),LN(B817/首页!$B$4))</f>
        <v>4.6677198387819177</v>
      </c>
      <c r="T817" s="6">
        <f>IF($Y$2="按单位面积散热损失 qp",2*PI()*首页!$B$8*((E817-D817)/$Y$3-1/R817),2*PI()*首页!$B$8*((E817-D817)/$Y$4-1/(PI()*B817*R817)))</f>
        <v>4.0781600525637771E-2</v>
      </c>
      <c r="U817" t="str">
        <f t="shared" si="128"/>
        <v>按单位面积散热损失 qp</v>
      </c>
      <c r="V817" s="6">
        <f t="shared" si="129"/>
        <v>4.6269382382562796</v>
      </c>
    </row>
    <row r="818" spans="1:22" x14ac:dyDescent="0.15">
      <c r="A818">
        <v>813</v>
      </c>
      <c r="B818" s="6">
        <f>首页!$B$4+2*A818/1000</f>
        <v>1.746</v>
      </c>
      <c r="C818" s="6">
        <f>首页!$B$7+273.15</f>
        <v>388.15</v>
      </c>
      <c r="D818" s="6">
        <f>首页!$B$6+273.15</f>
        <v>293.14999999999998</v>
      </c>
      <c r="E818" s="6">
        <f>首页!$B$5+273.15</f>
        <v>1373.15</v>
      </c>
      <c r="F818" s="6">
        <f t="shared" si="120"/>
        <v>95</v>
      </c>
      <c r="G818" s="6">
        <f t="shared" si="121"/>
        <v>340.65</v>
      </c>
      <c r="H818" s="6">
        <f t="shared" si="122"/>
        <v>1.9926207055139041E-5</v>
      </c>
      <c r="I818" s="7">
        <f t="shared" si="123"/>
        <v>1158916576932337.8</v>
      </c>
      <c r="J818" s="6">
        <f t="shared" si="124"/>
        <v>1.0226038455893147</v>
      </c>
      <c r="K818" s="7">
        <f>J818*H818*首页!$B$12/P818</f>
        <v>0.69532757496605813</v>
      </c>
      <c r="L818" s="6">
        <f>首页!$B$9*0.0000000567*((C818^4-D818^4)/(C818-D818))</f>
        <v>7.7687338005019564</v>
      </c>
      <c r="M818" s="6">
        <f>IF(首页!$B$13="自然对流",IF(首页!$B$14="立式圆筒",首页!$B$10,PI()*B818/2),PI()*B818/2)</f>
        <v>55.2</v>
      </c>
      <c r="N818" s="7">
        <f>IF(首页!$B$13="强制对流",首页!$B$11*M818/H818,0)</f>
        <v>0</v>
      </c>
      <c r="O818" s="7">
        <f>IF(首页!$B$13="自然对流",IF(首页!$B$14="立式圆筒",(0.825+0.3063*I818^(1/6))^2+0.87*(M818/B818),(0.752+0.303*I818^(1/6))^2),0.3+SQRT((0.592*N818^0.5)^2+(0.0262*N818^0.8/(1-0.5/N818^0.1))^2))</f>
        <v>10046.712657574075</v>
      </c>
      <c r="P818" s="6">
        <f t="shared" si="125"/>
        <v>2.9510194925512497E-2</v>
      </c>
      <c r="Q818" s="6">
        <f t="shared" si="126"/>
        <v>5.3710226247395765</v>
      </c>
      <c r="R818" s="6">
        <f t="shared" si="127"/>
        <v>13.139756425241533</v>
      </c>
      <c r="S818" s="6">
        <f>IF($Y$2="按单位面积散热损失 qp",B818*LN(B818/首页!$B$4),LN(B818/首页!$B$4))</f>
        <v>4.6750738748561576</v>
      </c>
      <c r="T818" s="6">
        <f>IF($Y$2="按单位面积散热损失 qp",2*PI()*首页!$B$8*((E818-D818)/$Y$3-1/R818),2*PI()*首页!$B$8*((E818-D818)/$Y$4-1/(PI()*B818*R818)))</f>
        <v>4.0781572910462624E-2</v>
      </c>
      <c r="U818" t="str">
        <f t="shared" si="128"/>
        <v>按单位面积散热损失 qp</v>
      </c>
      <c r="V818" s="6">
        <f t="shared" si="129"/>
        <v>4.6342923019456945</v>
      </c>
    </row>
    <row r="819" spans="1:22" x14ac:dyDescent="0.15">
      <c r="A819">
        <v>814</v>
      </c>
      <c r="B819" s="6">
        <f>首页!$B$4+2*A819/1000</f>
        <v>1.7479999999999998</v>
      </c>
      <c r="C819" s="6">
        <f>首页!$B$7+273.15</f>
        <v>388.15</v>
      </c>
      <c r="D819" s="6">
        <f>首页!$B$6+273.15</f>
        <v>293.14999999999998</v>
      </c>
      <c r="E819" s="6">
        <f>首页!$B$5+273.15</f>
        <v>1373.15</v>
      </c>
      <c r="F819" s="6">
        <f t="shared" si="120"/>
        <v>95</v>
      </c>
      <c r="G819" s="6">
        <f t="shared" si="121"/>
        <v>340.65</v>
      </c>
      <c r="H819" s="6">
        <f t="shared" si="122"/>
        <v>1.9926207055139041E-5</v>
      </c>
      <c r="I819" s="7">
        <f t="shared" si="123"/>
        <v>1158916576932337.8</v>
      </c>
      <c r="J819" s="6">
        <f t="shared" si="124"/>
        <v>1.0226038455893147</v>
      </c>
      <c r="K819" s="7">
        <f>J819*H819*首页!$B$12/P819</f>
        <v>0.69532757496605813</v>
      </c>
      <c r="L819" s="6">
        <f>首页!$B$9*0.0000000567*((C819^4-D819^4)/(C819-D819))</f>
        <v>7.7687338005019564</v>
      </c>
      <c r="M819" s="6">
        <f>IF(首页!$B$13="自然对流",IF(首页!$B$14="立式圆筒",首页!$B$10,PI()*B819/2),PI()*B819/2)</f>
        <v>55.2</v>
      </c>
      <c r="N819" s="7">
        <f>IF(首页!$B$13="强制对流",首页!$B$11*M819/H819,0)</f>
        <v>0</v>
      </c>
      <c r="O819" s="7">
        <f>IF(首页!$B$13="自然对流",IF(首页!$B$14="立式圆筒",(0.825+0.3063*I819^(1/6))^2+0.87*(M819/B819),(0.752+0.303*I819^(1/6))^2),0.3+SQRT((0.592*N819^0.5)^2+(0.0262*N819^0.8/(1-0.5/N819^0.1))^2))</f>
        <v>10046.681187145427</v>
      </c>
      <c r="P819" s="6">
        <f t="shared" si="125"/>
        <v>2.9510194925512497E-2</v>
      </c>
      <c r="Q819" s="6">
        <f t="shared" si="126"/>
        <v>5.3710058004916821</v>
      </c>
      <c r="R819" s="6">
        <f t="shared" si="127"/>
        <v>13.139739600993639</v>
      </c>
      <c r="S819" s="6">
        <f>IF($Y$2="按单位面积散热损失 qp",B819*LN(B819/首页!$B$4),LN(B819/首页!$B$4))</f>
        <v>4.6824302018816431</v>
      </c>
      <c r="T819" s="6">
        <f>IF($Y$2="按单位面积散热损失 qp",2*PI()*首页!$B$8*((E819-D819)/$Y$3-1/R819),2*PI()*首页!$B$8*((E819-D819)/$Y$4-1/(PI()*B819*R819)))</f>
        <v>4.0781545358409478E-2</v>
      </c>
      <c r="U819" t="str">
        <f t="shared" si="128"/>
        <v>按单位面积散热损失 qp</v>
      </c>
      <c r="V819" s="6">
        <f t="shared" si="129"/>
        <v>4.641648656523234</v>
      </c>
    </row>
    <row r="820" spans="1:22" x14ac:dyDescent="0.15">
      <c r="A820">
        <v>815</v>
      </c>
      <c r="B820" s="6">
        <f>首页!$B$4+2*A820/1000</f>
        <v>1.75</v>
      </c>
      <c r="C820" s="6">
        <f>首页!$B$7+273.15</f>
        <v>388.15</v>
      </c>
      <c r="D820" s="6">
        <f>首页!$B$6+273.15</f>
        <v>293.14999999999998</v>
      </c>
      <c r="E820" s="6">
        <f>首页!$B$5+273.15</f>
        <v>1373.15</v>
      </c>
      <c r="F820" s="6">
        <f t="shared" si="120"/>
        <v>95</v>
      </c>
      <c r="G820" s="6">
        <f t="shared" si="121"/>
        <v>340.65</v>
      </c>
      <c r="H820" s="6">
        <f t="shared" si="122"/>
        <v>1.9926207055139041E-5</v>
      </c>
      <c r="I820" s="7">
        <f t="shared" si="123"/>
        <v>1158916576932337.8</v>
      </c>
      <c r="J820" s="6">
        <f t="shared" si="124"/>
        <v>1.0226038455893147</v>
      </c>
      <c r="K820" s="7">
        <f>J820*H820*首页!$B$12/P820</f>
        <v>0.69532757496605813</v>
      </c>
      <c r="L820" s="6">
        <f>首页!$B$9*0.0000000567*((C820^4-D820^4)/(C820-D820))</f>
        <v>7.7687338005019564</v>
      </c>
      <c r="M820" s="6">
        <f>IF(首页!$B$13="自然对流",IF(首页!$B$14="立式圆筒",首页!$B$10,PI()*B820/2),PI()*B820/2)</f>
        <v>55.2</v>
      </c>
      <c r="N820" s="7">
        <f>IF(首页!$B$13="强制对流",首页!$B$11*M820/H820,0)</f>
        <v>0</v>
      </c>
      <c r="O820" s="7">
        <f>IF(首页!$B$13="自然对流",IF(首页!$B$14="立式圆筒",(0.825+0.3063*I820^(1/6))^2+0.87*(M820/B820),(0.752+0.303*I820^(1/6))^2),0.3+SQRT((0.592*N820^0.5)^2+(0.0262*N820^0.8/(1-0.5/N820^0.1))^2))</f>
        <v>10046.649788649185</v>
      </c>
      <c r="P820" s="6">
        <f t="shared" si="125"/>
        <v>2.9510194925512497E-2</v>
      </c>
      <c r="Q820" s="6">
        <f t="shared" si="126"/>
        <v>5.3709890146992096</v>
      </c>
      <c r="R820" s="6">
        <f t="shared" si="127"/>
        <v>13.139722815201166</v>
      </c>
      <c r="S820" s="6">
        <f>IF($Y$2="按单位面积散热损失 qp",B820*LN(B820/首页!$B$4),LN(B820/首页!$B$4))</f>
        <v>4.6897888172371491</v>
      </c>
      <c r="T820" s="6">
        <f>IF($Y$2="按单位面积散热损失 qp",2*PI()*首页!$B$8*((E820-D820)/$Y$3-1/R820),2*PI()*首页!$B$8*((E820-D820)/$Y$4-1/(PI()*B820*R820)))</f>
        <v>4.0781517869262131E-2</v>
      </c>
      <c r="U820" t="str">
        <f t="shared" si="128"/>
        <v>按单位面积散热损失 qp</v>
      </c>
      <c r="V820" s="6">
        <f t="shared" si="129"/>
        <v>4.649007299367887</v>
      </c>
    </row>
    <row r="821" spans="1:22" x14ac:dyDescent="0.15">
      <c r="A821">
        <v>816</v>
      </c>
      <c r="B821" s="6">
        <f>首页!$B$4+2*A821/1000</f>
        <v>1.7519999999999998</v>
      </c>
      <c r="C821" s="6">
        <f>首页!$B$7+273.15</f>
        <v>388.15</v>
      </c>
      <c r="D821" s="6">
        <f>首页!$B$6+273.15</f>
        <v>293.14999999999998</v>
      </c>
      <c r="E821" s="6">
        <f>首页!$B$5+273.15</f>
        <v>1373.15</v>
      </c>
      <c r="F821" s="6">
        <f t="shared" si="120"/>
        <v>95</v>
      </c>
      <c r="G821" s="6">
        <f t="shared" si="121"/>
        <v>340.65</v>
      </c>
      <c r="H821" s="6">
        <f t="shared" si="122"/>
        <v>1.9926207055139041E-5</v>
      </c>
      <c r="I821" s="7">
        <f t="shared" si="123"/>
        <v>1158916576932337.8</v>
      </c>
      <c r="J821" s="6">
        <f t="shared" si="124"/>
        <v>1.0226038455893147</v>
      </c>
      <c r="K821" s="7">
        <f>J821*H821*首页!$B$12/P821</f>
        <v>0.69532757496605813</v>
      </c>
      <c r="L821" s="6">
        <f>首页!$B$9*0.0000000567*((C821^4-D821^4)/(C821-D821))</f>
        <v>7.7687338005019564</v>
      </c>
      <c r="M821" s="6">
        <f>IF(首页!$B$13="自然对流",IF(首页!$B$14="立式圆筒",首页!$B$10,PI()*B821/2),PI()*B821/2)</f>
        <v>55.2</v>
      </c>
      <c r="N821" s="7">
        <f>IF(首页!$B$13="强制对流",首页!$B$11*M821/H821,0)</f>
        <v>0</v>
      </c>
      <c r="O821" s="7">
        <f>IF(首页!$B$13="自然对流",IF(首页!$B$14="立式圆筒",(0.825+0.3063*I821^(1/6))^2+0.87*(M821/B821),(0.752+0.303*I821^(1/6))^2),0.3+SQRT((0.592*N821^0.5)^2+(0.0262*N821^0.8/(1-0.5/N821^0.1))^2))</f>
        <v>10046.618461839009</v>
      </c>
      <c r="P821" s="6">
        <f t="shared" si="125"/>
        <v>2.9510194925512497E-2</v>
      </c>
      <c r="Q821" s="6">
        <f t="shared" si="126"/>
        <v>5.3709722672304654</v>
      </c>
      <c r="R821" s="6">
        <f t="shared" si="127"/>
        <v>13.139706067732423</v>
      </c>
      <c r="S821" s="6">
        <f>IF($Y$2="按单位面积散热损失 qp",B821*LN(B821/首页!$B$4),LN(B821/首页!$B$4))</f>
        <v>4.6971497183074362</v>
      </c>
      <c r="T821" s="6">
        <f>IF($Y$2="按单位面积散热损失 qp",2*PI()*首页!$B$8*((E821-D821)/$Y$3-1/R821),2*PI()*首页!$B$8*((E821-D821)/$Y$4-1/(PI()*B821*R821)))</f>
        <v>4.0781490442805393E-2</v>
      </c>
      <c r="U821" t="str">
        <f t="shared" si="128"/>
        <v>按单位面积散热损失 qp</v>
      </c>
      <c r="V821" s="6">
        <f t="shared" si="129"/>
        <v>4.6563682278646308</v>
      </c>
    </row>
    <row r="822" spans="1:22" x14ac:dyDescent="0.15">
      <c r="A822">
        <v>817</v>
      </c>
      <c r="B822" s="6">
        <f>首页!$B$4+2*A822/1000</f>
        <v>1.754</v>
      </c>
      <c r="C822" s="6">
        <f>首页!$B$7+273.15</f>
        <v>388.15</v>
      </c>
      <c r="D822" s="6">
        <f>首页!$B$6+273.15</f>
        <v>293.14999999999998</v>
      </c>
      <c r="E822" s="6">
        <f>首页!$B$5+273.15</f>
        <v>1373.15</v>
      </c>
      <c r="F822" s="6">
        <f t="shared" si="120"/>
        <v>95</v>
      </c>
      <c r="G822" s="6">
        <f t="shared" si="121"/>
        <v>340.65</v>
      </c>
      <c r="H822" s="6">
        <f t="shared" si="122"/>
        <v>1.9926207055139041E-5</v>
      </c>
      <c r="I822" s="7">
        <f t="shared" si="123"/>
        <v>1158916576932337.8</v>
      </c>
      <c r="J822" s="6">
        <f t="shared" si="124"/>
        <v>1.0226038455893147</v>
      </c>
      <c r="K822" s="7">
        <f>J822*H822*首页!$B$12/P822</f>
        <v>0.69532757496605813</v>
      </c>
      <c r="L822" s="6">
        <f>首页!$B$9*0.0000000567*((C822^4-D822^4)/(C822-D822))</f>
        <v>7.7687338005019564</v>
      </c>
      <c r="M822" s="6">
        <f>IF(首页!$B$13="自然对流",IF(首页!$B$14="立式圆筒",首页!$B$10,PI()*B822/2),PI()*B822/2)</f>
        <v>55.2</v>
      </c>
      <c r="N822" s="7">
        <f>IF(首页!$B$13="强制对流",首页!$B$11*M822/H822,0)</f>
        <v>0</v>
      </c>
      <c r="O822" s="7">
        <f>IF(首页!$B$13="自然对流",IF(首页!$B$14="立式圆筒",(0.825+0.3063*I822^(1/6))^2+0.87*(M822/B822),(0.752+0.303*I822^(1/6))^2),0.3+SQRT((0.592*N822^0.5)^2+(0.0262*N822^0.8/(1-0.5/N822^0.1))^2))</f>
        <v>10046.587206469678</v>
      </c>
      <c r="P822" s="6">
        <f t="shared" si="125"/>
        <v>2.9510194925512497E-2</v>
      </c>
      <c r="Q822" s="6">
        <f t="shared" si="126"/>
        <v>5.3709555579543524</v>
      </c>
      <c r="R822" s="6">
        <f t="shared" si="127"/>
        <v>13.139689358456309</v>
      </c>
      <c r="S822" s="6">
        <f>IF($Y$2="按单位面积散热损失 qp",B822*LN(B822/首页!$B$4),LN(B822/首页!$B$4))</f>
        <v>4.7045129024832448</v>
      </c>
      <c r="T822" s="6">
        <f>IF($Y$2="按单位面积散热损失 qp",2*PI()*首页!$B$8*((E822-D822)/$Y$3-1/R822),2*PI()*首页!$B$8*((E822-D822)/$Y$4-1/(PI()*B822*R822)))</f>
        <v>4.0781463078825075E-2</v>
      </c>
      <c r="U822" t="str">
        <f t="shared" si="128"/>
        <v>按单位面积散热损失 qp</v>
      </c>
      <c r="V822" s="6">
        <f t="shared" si="129"/>
        <v>4.6637314394044198</v>
      </c>
    </row>
    <row r="823" spans="1:22" x14ac:dyDescent="0.15">
      <c r="A823">
        <v>818</v>
      </c>
      <c r="B823" s="6">
        <f>首页!$B$4+2*A823/1000</f>
        <v>1.7559999999999998</v>
      </c>
      <c r="C823" s="6">
        <f>首页!$B$7+273.15</f>
        <v>388.15</v>
      </c>
      <c r="D823" s="6">
        <f>首页!$B$6+273.15</f>
        <v>293.14999999999998</v>
      </c>
      <c r="E823" s="6">
        <f>首页!$B$5+273.15</f>
        <v>1373.15</v>
      </c>
      <c r="F823" s="6">
        <f t="shared" si="120"/>
        <v>95</v>
      </c>
      <c r="G823" s="6">
        <f t="shared" si="121"/>
        <v>340.65</v>
      </c>
      <c r="H823" s="6">
        <f t="shared" si="122"/>
        <v>1.9926207055139041E-5</v>
      </c>
      <c r="I823" s="7">
        <f t="shared" si="123"/>
        <v>1158916576932337.8</v>
      </c>
      <c r="J823" s="6">
        <f t="shared" si="124"/>
        <v>1.0226038455893147</v>
      </c>
      <c r="K823" s="7">
        <f>J823*H823*首页!$B$12/P823</f>
        <v>0.69532757496605813</v>
      </c>
      <c r="L823" s="6">
        <f>首页!$B$9*0.0000000567*((C823^4-D823^4)/(C823-D823))</f>
        <v>7.7687338005019564</v>
      </c>
      <c r="M823" s="6">
        <f>IF(首页!$B$13="自然对流",IF(首页!$B$14="立式圆筒",首页!$B$10,PI()*B823/2),PI()*B823/2)</f>
        <v>55.2</v>
      </c>
      <c r="N823" s="7">
        <f>IF(首页!$B$13="强制对流",首页!$B$11*M823/H823,0)</f>
        <v>0</v>
      </c>
      <c r="O823" s="7">
        <f>IF(首页!$B$13="自然对流",IF(首页!$B$14="立式圆筒",(0.825+0.3063*I823^(1/6))^2+0.87*(M823/B823),(0.752+0.303*I823^(1/6))^2),0.3+SQRT((0.592*N823^0.5)^2+(0.0262*N823^0.8/(1-0.5/N823^0.1))^2))</f>
        <v>10046.556022297087</v>
      </c>
      <c r="P823" s="6">
        <f t="shared" si="125"/>
        <v>2.9510194925512497E-2</v>
      </c>
      <c r="Q823" s="6">
        <f t="shared" si="126"/>
        <v>5.3709388867403716</v>
      </c>
      <c r="R823" s="6">
        <f t="shared" si="127"/>
        <v>13.139672687242328</v>
      </c>
      <c r="S823" s="6">
        <f>IF($Y$2="按单位面积散热损失 qp",B823*LN(B823/首页!$B$4),LN(B823/首页!$B$4))</f>
        <v>4.7118783671612556</v>
      </c>
      <c r="T823" s="6">
        <f>IF($Y$2="按单位面积散热损失 qp",2*PI()*首页!$B$8*((E823-D823)/$Y$3-1/R823),2*PI()*首页!$B$8*((E823-D823)/$Y$4-1/(PI()*B823*R823)))</f>
        <v>4.0781435777107924E-2</v>
      </c>
      <c r="U823" t="str">
        <f t="shared" si="128"/>
        <v>按单位面积散热损失 qp</v>
      </c>
      <c r="V823" s="6">
        <f t="shared" si="129"/>
        <v>4.6710969313841479</v>
      </c>
    </row>
    <row r="824" spans="1:22" x14ac:dyDescent="0.15">
      <c r="A824">
        <v>819</v>
      </c>
      <c r="B824" s="6">
        <f>首页!$B$4+2*A824/1000</f>
        <v>1.758</v>
      </c>
      <c r="C824" s="6">
        <f>首页!$B$7+273.15</f>
        <v>388.15</v>
      </c>
      <c r="D824" s="6">
        <f>首页!$B$6+273.15</f>
        <v>293.14999999999998</v>
      </c>
      <c r="E824" s="6">
        <f>首页!$B$5+273.15</f>
        <v>1373.15</v>
      </c>
      <c r="F824" s="6">
        <f t="shared" si="120"/>
        <v>95</v>
      </c>
      <c r="G824" s="6">
        <f t="shared" si="121"/>
        <v>340.65</v>
      </c>
      <c r="H824" s="6">
        <f t="shared" si="122"/>
        <v>1.9926207055139041E-5</v>
      </c>
      <c r="I824" s="7">
        <f t="shared" si="123"/>
        <v>1158916576932337.8</v>
      </c>
      <c r="J824" s="6">
        <f t="shared" si="124"/>
        <v>1.0226038455893147</v>
      </c>
      <c r="K824" s="7">
        <f>J824*H824*首页!$B$12/P824</f>
        <v>0.69532757496605813</v>
      </c>
      <c r="L824" s="6">
        <f>首页!$B$9*0.0000000567*((C824^4-D824^4)/(C824-D824))</f>
        <v>7.7687338005019564</v>
      </c>
      <c r="M824" s="6">
        <f>IF(首页!$B$13="自然对流",IF(首页!$B$14="立式圆筒",首页!$B$10,PI()*B824/2),PI()*B824/2)</f>
        <v>55.2</v>
      </c>
      <c r="N824" s="7">
        <f>IF(首页!$B$13="强制对流",首页!$B$11*M824/H824,0)</f>
        <v>0</v>
      </c>
      <c r="O824" s="7">
        <f>IF(首页!$B$13="自然对流",IF(首页!$B$14="立式圆筒",(0.825+0.3063*I824^(1/6))^2+0.87*(M824/B824),(0.752+0.303*I824^(1/6))^2),0.3+SQRT((0.592*N824^0.5)^2+(0.0262*N824^0.8/(1-0.5/N824^0.1))^2))</f>
        <v>10046.524909078245</v>
      </c>
      <c r="P824" s="6">
        <f t="shared" si="125"/>
        <v>2.9510194925512497E-2</v>
      </c>
      <c r="Q824" s="6">
        <f t="shared" si="126"/>
        <v>5.3709222534586178</v>
      </c>
      <c r="R824" s="6">
        <f t="shared" si="127"/>
        <v>13.139656053960575</v>
      </c>
      <c r="S824" s="6">
        <f>IF($Y$2="按单位面积散热损失 qp",B824*LN(B824/首页!$B$4),LN(B824/首页!$B$4))</f>
        <v>4.7192461097440885</v>
      </c>
      <c r="T824" s="6">
        <f>IF($Y$2="按单位面积散热损失 qp",2*PI()*首页!$B$8*((E824-D824)/$Y$3-1/R824),2*PI()*首页!$B$8*((E824-D824)/$Y$4-1/(PI()*B824*R824)))</f>
        <v>4.0781408537441673E-2</v>
      </c>
      <c r="U824" t="str">
        <f t="shared" si="128"/>
        <v>按单位面积散热损失 qp</v>
      </c>
      <c r="V824" s="6">
        <f t="shared" si="129"/>
        <v>4.6784647012066465</v>
      </c>
    </row>
    <row r="825" spans="1:22" x14ac:dyDescent="0.15">
      <c r="A825">
        <v>820</v>
      </c>
      <c r="B825" s="6">
        <f>首页!$B$4+2*A825/1000</f>
        <v>1.7599999999999998</v>
      </c>
      <c r="C825" s="6">
        <f>首页!$B$7+273.15</f>
        <v>388.15</v>
      </c>
      <c r="D825" s="6">
        <f>首页!$B$6+273.15</f>
        <v>293.14999999999998</v>
      </c>
      <c r="E825" s="6">
        <f>首页!$B$5+273.15</f>
        <v>1373.15</v>
      </c>
      <c r="F825" s="6">
        <f t="shared" si="120"/>
        <v>95</v>
      </c>
      <c r="G825" s="6">
        <f t="shared" si="121"/>
        <v>340.65</v>
      </c>
      <c r="H825" s="6">
        <f t="shared" si="122"/>
        <v>1.9926207055139041E-5</v>
      </c>
      <c r="I825" s="7">
        <f t="shared" si="123"/>
        <v>1158916576932337.8</v>
      </c>
      <c r="J825" s="6">
        <f t="shared" si="124"/>
        <v>1.0226038455893147</v>
      </c>
      <c r="K825" s="7">
        <f>J825*H825*首页!$B$12/P825</f>
        <v>0.69532757496605813</v>
      </c>
      <c r="L825" s="6">
        <f>首页!$B$9*0.0000000567*((C825^4-D825^4)/(C825-D825))</f>
        <v>7.7687338005019564</v>
      </c>
      <c r="M825" s="6">
        <f>IF(首页!$B$13="自然对流",IF(首页!$B$14="立式圆筒",首页!$B$10,PI()*B825/2),PI()*B825/2)</f>
        <v>55.2</v>
      </c>
      <c r="N825" s="7">
        <f>IF(首页!$B$13="强制对流",首页!$B$11*M825/H825,0)</f>
        <v>0</v>
      </c>
      <c r="O825" s="7">
        <f>IF(首页!$B$13="自然对流",IF(首页!$B$14="立式圆筒",(0.825+0.3063*I825^(1/6))^2+0.87*(M825/B825),(0.752+0.303*I825^(1/6))^2),0.3+SQRT((0.592*N825^0.5)^2+(0.0262*N825^0.8/(1-0.5/N825^0.1))^2))</f>
        <v>10046.493866571263</v>
      </c>
      <c r="P825" s="6">
        <f t="shared" si="125"/>
        <v>2.9510194925512497E-2</v>
      </c>
      <c r="Q825" s="6">
        <f t="shared" si="126"/>
        <v>5.3709056579797769</v>
      </c>
      <c r="R825" s="6">
        <f t="shared" si="127"/>
        <v>13.139639458481733</v>
      </c>
      <c r="S825" s="6">
        <f>IF($Y$2="按单位面积散热损失 qp",B825*LN(B825/首页!$B$4),LN(B825/首页!$B$4))</f>
        <v>4.7266161276402663</v>
      </c>
      <c r="T825" s="6">
        <f>IF($Y$2="按单位面积散热损失 qp",2*PI()*首页!$B$8*((E825-D825)/$Y$3-1/R825),2*PI()*首页!$B$8*((E825-D825)/$Y$4-1/(PI()*B825*R825)))</f>
        <v>4.0781381359615024E-2</v>
      </c>
      <c r="U825" t="str">
        <f t="shared" si="128"/>
        <v>按单位面积散热损失 qp</v>
      </c>
      <c r="V825" s="6">
        <f t="shared" si="129"/>
        <v>4.6858347462806513</v>
      </c>
    </row>
    <row r="826" spans="1:22" x14ac:dyDescent="0.15">
      <c r="A826">
        <v>821</v>
      </c>
      <c r="B826" s="6">
        <f>首页!$B$4+2*A826/1000</f>
        <v>1.762</v>
      </c>
      <c r="C826" s="6">
        <f>首页!$B$7+273.15</f>
        <v>388.15</v>
      </c>
      <c r="D826" s="6">
        <f>首页!$B$6+273.15</f>
        <v>293.14999999999998</v>
      </c>
      <c r="E826" s="6">
        <f>首页!$B$5+273.15</f>
        <v>1373.15</v>
      </c>
      <c r="F826" s="6">
        <f t="shared" si="120"/>
        <v>95</v>
      </c>
      <c r="G826" s="6">
        <f t="shared" si="121"/>
        <v>340.65</v>
      </c>
      <c r="H826" s="6">
        <f t="shared" si="122"/>
        <v>1.9926207055139041E-5</v>
      </c>
      <c r="I826" s="7">
        <f t="shared" si="123"/>
        <v>1158916576932337.8</v>
      </c>
      <c r="J826" s="6">
        <f t="shared" si="124"/>
        <v>1.0226038455893147</v>
      </c>
      <c r="K826" s="7">
        <f>J826*H826*首页!$B$12/P826</f>
        <v>0.69532757496605813</v>
      </c>
      <c r="L826" s="6">
        <f>首页!$B$9*0.0000000567*((C826^4-D826^4)/(C826-D826))</f>
        <v>7.7687338005019564</v>
      </c>
      <c r="M826" s="6">
        <f>IF(首页!$B$13="自然对流",IF(首页!$B$14="立式圆筒",首页!$B$10,PI()*B826/2),PI()*B826/2)</f>
        <v>55.2</v>
      </c>
      <c r="N826" s="7">
        <f>IF(首页!$B$13="强制对流",首页!$B$11*M826/H826,0)</f>
        <v>0</v>
      </c>
      <c r="O826" s="7">
        <f>IF(首页!$B$13="自然对流",IF(首页!$B$14="立式圆筒",(0.825+0.3063*I826^(1/6))^2+0.87*(M826/B826),(0.752+0.303*I826^(1/6))^2),0.3+SQRT((0.592*N826^0.5)^2+(0.0262*N826^0.8/(1-0.5/N826^0.1))^2))</f>
        <v>10046.462894535354</v>
      </c>
      <c r="P826" s="6">
        <f t="shared" si="125"/>
        <v>2.9510194925512497E-2</v>
      </c>
      <c r="Q826" s="6">
        <f t="shared" si="126"/>
        <v>5.3708891001751233</v>
      </c>
      <c r="R826" s="6">
        <f t="shared" si="127"/>
        <v>13.139622900677079</v>
      </c>
      <c r="S826" s="6">
        <f>IF($Y$2="按单位面积散热损失 qp",B826*LN(B826/首页!$B$4),LN(B826/首页!$B$4))</f>
        <v>4.7339884182642074</v>
      </c>
      <c r="T826" s="6">
        <f>IF($Y$2="按单位面积散热损失 qp",2*PI()*首页!$B$8*((E826-D826)/$Y$3-1/R826),2*PI()*首页!$B$8*((E826-D826)/$Y$4-1/(PI()*B826*R826)))</f>
        <v>4.0781354243417639E-2</v>
      </c>
      <c r="U826" t="str">
        <f t="shared" si="128"/>
        <v>按单位面积散热损失 qp</v>
      </c>
      <c r="V826" s="6">
        <f t="shared" si="129"/>
        <v>4.6932070640207897</v>
      </c>
    </row>
    <row r="827" spans="1:22" x14ac:dyDescent="0.15">
      <c r="A827">
        <v>822</v>
      </c>
      <c r="B827" s="6">
        <f>首页!$B$4+2*A827/1000</f>
        <v>1.7639999999999998</v>
      </c>
      <c r="C827" s="6">
        <f>首页!$B$7+273.15</f>
        <v>388.15</v>
      </c>
      <c r="D827" s="6">
        <f>首页!$B$6+273.15</f>
        <v>293.14999999999998</v>
      </c>
      <c r="E827" s="6">
        <f>首页!$B$5+273.15</f>
        <v>1373.15</v>
      </c>
      <c r="F827" s="6">
        <f t="shared" si="120"/>
        <v>95</v>
      </c>
      <c r="G827" s="6">
        <f t="shared" si="121"/>
        <v>340.65</v>
      </c>
      <c r="H827" s="6">
        <f t="shared" si="122"/>
        <v>1.9926207055139041E-5</v>
      </c>
      <c r="I827" s="7">
        <f t="shared" si="123"/>
        <v>1158916576932337.8</v>
      </c>
      <c r="J827" s="6">
        <f t="shared" si="124"/>
        <v>1.0226038455893147</v>
      </c>
      <c r="K827" s="7">
        <f>J827*H827*首页!$B$12/P827</f>
        <v>0.69532757496605813</v>
      </c>
      <c r="L827" s="6">
        <f>首页!$B$9*0.0000000567*((C827^4-D827^4)/(C827-D827))</f>
        <v>7.7687338005019564</v>
      </c>
      <c r="M827" s="6">
        <f>IF(首页!$B$13="自然对流",IF(首页!$B$14="立式圆筒",首页!$B$10,PI()*B827/2),PI()*B827/2)</f>
        <v>55.2</v>
      </c>
      <c r="N827" s="7">
        <f>IF(首页!$B$13="强制对流",首页!$B$11*M827/H827,0)</f>
        <v>0</v>
      </c>
      <c r="O827" s="7">
        <f>IF(首页!$B$13="自然对流",IF(首页!$B$14="立式圆筒",(0.825+0.3063*I827^(1/6))^2+0.87*(M827/B827),(0.752+0.303*I827^(1/6))^2),0.3+SQRT((0.592*N827^0.5)^2+(0.0262*N827^0.8/(1-0.5/N827^0.1))^2))</f>
        <v>10046.431992730819</v>
      </c>
      <c r="P827" s="6">
        <f t="shared" si="125"/>
        <v>2.9510194925512497E-2</v>
      </c>
      <c r="Q827" s="6">
        <f t="shared" si="126"/>
        <v>5.3708725799165107</v>
      </c>
      <c r="R827" s="6">
        <f t="shared" si="127"/>
        <v>13.139606380418467</v>
      </c>
      <c r="S827" s="6">
        <f>IF($Y$2="按单位面积散热损失 qp",B827*LN(B827/首页!$B$4),LN(B827/首页!$B$4))</f>
        <v>4.741362979036194</v>
      </c>
      <c r="T827" s="6">
        <f>IF($Y$2="按单位面积散热损失 qp",2*PI()*首页!$B$8*((E827-D827)/$Y$3-1/R827),2*PI()*首页!$B$8*((E827-D827)/$Y$4-1/(PI()*B827*R827)))</f>
        <v>4.0781327188640117E-2</v>
      </c>
      <c r="U827" t="str">
        <f t="shared" si="128"/>
        <v>按单位面积散热损失 qp</v>
      </c>
      <c r="V827" s="6">
        <f t="shared" si="129"/>
        <v>4.7005816518475543</v>
      </c>
    </row>
    <row r="828" spans="1:22" x14ac:dyDescent="0.15">
      <c r="A828">
        <v>823</v>
      </c>
      <c r="B828" s="6">
        <f>首页!$B$4+2*A828/1000</f>
        <v>1.766</v>
      </c>
      <c r="C828" s="6">
        <f>首页!$B$7+273.15</f>
        <v>388.15</v>
      </c>
      <c r="D828" s="6">
        <f>首页!$B$6+273.15</f>
        <v>293.14999999999998</v>
      </c>
      <c r="E828" s="6">
        <f>首页!$B$5+273.15</f>
        <v>1373.15</v>
      </c>
      <c r="F828" s="6">
        <f t="shared" si="120"/>
        <v>95</v>
      </c>
      <c r="G828" s="6">
        <f t="shared" si="121"/>
        <v>340.65</v>
      </c>
      <c r="H828" s="6">
        <f t="shared" si="122"/>
        <v>1.9926207055139041E-5</v>
      </c>
      <c r="I828" s="7">
        <f t="shared" si="123"/>
        <v>1158916576932337.8</v>
      </c>
      <c r="J828" s="6">
        <f t="shared" si="124"/>
        <v>1.0226038455893147</v>
      </c>
      <c r="K828" s="7">
        <f>J828*H828*首页!$B$12/P828</f>
        <v>0.69532757496605813</v>
      </c>
      <c r="L828" s="6">
        <f>首页!$B$9*0.0000000567*((C828^4-D828^4)/(C828-D828))</f>
        <v>7.7687338005019564</v>
      </c>
      <c r="M828" s="6">
        <f>IF(首页!$B$13="自然对流",IF(首页!$B$14="立式圆筒",首页!$B$10,PI()*B828/2),PI()*B828/2)</f>
        <v>55.2</v>
      </c>
      <c r="N828" s="7">
        <f>IF(首页!$B$13="强制对流",首页!$B$11*M828/H828,0)</f>
        <v>0</v>
      </c>
      <c r="O828" s="7">
        <f>IF(首页!$B$13="自然对流",IF(首页!$B$14="立式圆筒",(0.825+0.3063*I828^(1/6))^2+0.87*(M828/B828),(0.752+0.303*I828^(1/6))^2),0.3+SQRT((0.592*N828^0.5)^2+(0.0262*N828^0.8/(1-0.5/N828^0.1))^2))</f>
        <v>10046.401160919046</v>
      </c>
      <c r="P828" s="6">
        <f t="shared" si="125"/>
        <v>2.9510194925512497E-2</v>
      </c>
      <c r="Q828" s="6">
        <f t="shared" si="126"/>
        <v>5.3708560970763779</v>
      </c>
      <c r="R828" s="6">
        <f t="shared" si="127"/>
        <v>13.139589897578334</v>
      </c>
      <c r="S828" s="6">
        <f>IF($Y$2="按单位面积散热损失 qp",B828*LN(B828/首页!$B$4),LN(B828/首页!$B$4))</f>
        <v>4.7487398073823632</v>
      </c>
      <c r="T828" s="6">
        <f>IF($Y$2="按单位面积散热损失 qp",2*PI()*首页!$B$8*((E828-D828)/$Y$3-1/R828),2*PI()*首页!$B$8*((E828-D828)/$Y$4-1/(PI()*B828*R828)))</f>
        <v>4.0781300195074019E-2</v>
      </c>
      <c r="U828" t="str">
        <f t="shared" si="128"/>
        <v>按单位面积散热损失 qp</v>
      </c>
      <c r="V828" s="6">
        <f t="shared" si="129"/>
        <v>4.7079585071872891</v>
      </c>
    </row>
    <row r="829" spans="1:22" x14ac:dyDescent="0.15">
      <c r="A829">
        <v>824</v>
      </c>
      <c r="B829" s="6">
        <f>首页!$B$4+2*A829/1000</f>
        <v>1.7679999999999998</v>
      </c>
      <c r="C829" s="6">
        <f>首页!$B$7+273.15</f>
        <v>388.15</v>
      </c>
      <c r="D829" s="6">
        <f>首页!$B$6+273.15</f>
        <v>293.14999999999998</v>
      </c>
      <c r="E829" s="6">
        <f>首页!$B$5+273.15</f>
        <v>1373.15</v>
      </c>
      <c r="F829" s="6">
        <f t="shared" si="120"/>
        <v>95</v>
      </c>
      <c r="G829" s="6">
        <f t="shared" si="121"/>
        <v>340.65</v>
      </c>
      <c r="H829" s="6">
        <f t="shared" si="122"/>
        <v>1.9926207055139041E-5</v>
      </c>
      <c r="I829" s="7">
        <f t="shared" si="123"/>
        <v>1158916576932337.8</v>
      </c>
      <c r="J829" s="6">
        <f t="shared" si="124"/>
        <v>1.0226038455893147</v>
      </c>
      <c r="K829" s="7">
        <f>J829*H829*首页!$B$12/P829</f>
        <v>0.69532757496605813</v>
      </c>
      <c r="L829" s="6">
        <f>首页!$B$9*0.0000000567*((C829^4-D829^4)/(C829-D829))</f>
        <v>7.7687338005019564</v>
      </c>
      <c r="M829" s="6">
        <f>IF(首页!$B$13="自然对流",IF(首页!$B$14="立式圆筒",首页!$B$10,PI()*B829/2),PI()*B829/2)</f>
        <v>55.2</v>
      </c>
      <c r="N829" s="7">
        <f>IF(首页!$B$13="强制对流",首页!$B$11*M829/H829,0)</f>
        <v>0</v>
      </c>
      <c r="O829" s="7">
        <f>IF(首页!$B$13="自然对流",IF(首页!$B$14="立式圆筒",(0.825+0.3063*I829^(1/6))^2+0.87*(M829/B829),(0.752+0.303*I829^(1/6))^2),0.3+SQRT((0.592*N829^0.5)^2+(0.0262*N829^0.8/(1-0.5/N829^0.1))^2))</f>
        <v>10046.370398862502</v>
      </c>
      <c r="P829" s="6">
        <f t="shared" si="125"/>
        <v>2.9510194925512497E-2</v>
      </c>
      <c r="Q829" s="6">
        <f t="shared" si="126"/>
        <v>5.3708396515277386</v>
      </c>
      <c r="R829" s="6">
        <f t="shared" si="127"/>
        <v>13.139573452029694</v>
      </c>
      <c r="S829" s="6">
        <f>IF($Y$2="按单位面积散热损失 qp",B829*LN(B829/首页!$B$4),LN(B829/首页!$B$4))</f>
        <v>4.7561189007346796</v>
      </c>
      <c r="T829" s="6">
        <f>IF($Y$2="按单位面积散热损失 qp",2*PI()*首页!$B$8*((E829-D829)/$Y$3-1/R829),2*PI()*首页!$B$8*((E829-D829)/$Y$4-1/(PI()*B829*R829)))</f>
        <v>4.0781273262511845E-2</v>
      </c>
      <c r="U829" t="str">
        <f t="shared" si="128"/>
        <v>按单位面积散热损失 qp</v>
      </c>
      <c r="V829" s="6">
        <f t="shared" si="129"/>
        <v>4.7153376274721674</v>
      </c>
    </row>
    <row r="830" spans="1:22" x14ac:dyDescent="0.15">
      <c r="A830">
        <v>825</v>
      </c>
      <c r="B830" s="6">
        <f>首页!$B$4+2*A830/1000</f>
        <v>1.77</v>
      </c>
      <c r="C830" s="6">
        <f>首页!$B$7+273.15</f>
        <v>388.15</v>
      </c>
      <c r="D830" s="6">
        <f>首页!$B$6+273.15</f>
        <v>293.14999999999998</v>
      </c>
      <c r="E830" s="6">
        <f>首页!$B$5+273.15</f>
        <v>1373.15</v>
      </c>
      <c r="F830" s="6">
        <f t="shared" si="120"/>
        <v>95</v>
      </c>
      <c r="G830" s="6">
        <f t="shared" si="121"/>
        <v>340.65</v>
      </c>
      <c r="H830" s="6">
        <f t="shared" si="122"/>
        <v>1.9926207055139041E-5</v>
      </c>
      <c r="I830" s="7">
        <f t="shared" si="123"/>
        <v>1158916576932337.8</v>
      </c>
      <c r="J830" s="6">
        <f t="shared" si="124"/>
        <v>1.0226038455893147</v>
      </c>
      <c r="K830" s="7">
        <f>J830*H830*首页!$B$12/P830</f>
        <v>0.69532757496605813</v>
      </c>
      <c r="L830" s="6">
        <f>首页!$B$9*0.0000000567*((C830^4-D830^4)/(C830-D830))</f>
        <v>7.7687338005019564</v>
      </c>
      <c r="M830" s="6">
        <f>IF(首页!$B$13="自然对流",IF(首页!$B$14="立式圆筒",首页!$B$10,PI()*B830/2),PI()*B830/2)</f>
        <v>55.2</v>
      </c>
      <c r="N830" s="7">
        <f>IF(首页!$B$13="强制对流",首页!$B$11*M830/H830,0)</f>
        <v>0</v>
      </c>
      <c r="O830" s="7">
        <f>IF(首页!$B$13="自然对流",IF(首页!$B$14="立式圆筒",(0.825+0.3063*I830^(1/6))^2+0.87*(M830/B830),(0.752+0.303*I830^(1/6))^2),0.3+SQRT((0.592*N830^0.5)^2+(0.0262*N830^0.8/(1-0.5/N830^0.1))^2))</f>
        <v>10046.33970632473</v>
      </c>
      <c r="P830" s="6">
        <f t="shared" si="125"/>
        <v>2.9510194925512497E-2</v>
      </c>
      <c r="Q830" s="6">
        <f t="shared" si="126"/>
        <v>5.37082324314418</v>
      </c>
      <c r="R830" s="6">
        <f t="shared" si="127"/>
        <v>13.139557043646136</v>
      </c>
      <c r="S830" s="6">
        <f>IF($Y$2="按单位面积散热损失 qp",B830*LN(B830/首页!$B$4),LN(B830/首页!$B$4))</f>
        <v>4.763500256530917</v>
      </c>
      <c r="T830" s="6">
        <f>IF($Y$2="按单位面积散热损失 qp",2*PI()*首页!$B$8*((E830-D830)/$Y$3-1/R830),2*PI()*首页!$B$8*((E830-D830)/$Y$4-1/(PI()*B830*R830)))</f>
        <v>4.0781246390747032E-2</v>
      </c>
      <c r="U830" t="str">
        <f t="shared" si="128"/>
        <v>按单位面积散热损失 qp</v>
      </c>
      <c r="V830" s="6">
        <f t="shared" si="129"/>
        <v>4.7227190101401701</v>
      </c>
    </row>
    <row r="831" spans="1:22" x14ac:dyDescent="0.15">
      <c r="A831">
        <v>826</v>
      </c>
      <c r="B831" s="6">
        <f>首页!$B$4+2*A831/1000</f>
        <v>1.7719999999999998</v>
      </c>
      <c r="C831" s="6">
        <f>首页!$B$7+273.15</f>
        <v>388.15</v>
      </c>
      <c r="D831" s="6">
        <f>首页!$B$6+273.15</f>
        <v>293.14999999999998</v>
      </c>
      <c r="E831" s="6">
        <f>首页!$B$5+273.15</f>
        <v>1373.15</v>
      </c>
      <c r="F831" s="6">
        <f t="shared" si="120"/>
        <v>95</v>
      </c>
      <c r="G831" s="6">
        <f t="shared" si="121"/>
        <v>340.65</v>
      </c>
      <c r="H831" s="6">
        <f t="shared" si="122"/>
        <v>1.9926207055139041E-5</v>
      </c>
      <c r="I831" s="7">
        <f t="shared" si="123"/>
        <v>1158916576932337.8</v>
      </c>
      <c r="J831" s="6">
        <f t="shared" si="124"/>
        <v>1.0226038455893147</v>
      </c>
      <c r="K831" s="7">
        <f>J831*H831*首页!$B$12/P831</f>
        <v>0.69532757496605813</v>
      </c>
      <c r="L831" s="6">
        <f>首页!$B$9*0.0000000567*((C831^4-D831^4)/(C831-D831))</f>
        <v>7.7687338005019564</v>
      </c>
      <c r="M831" s="6">
        <f>IF(首页!$B$13="自然对流",IF(首页!$B$14="立式圆筒",首页!$B$10,PI()*B831/2),PI()*B831/2)</f>
        <v>55.2</v>
      </c>
      <c r="N831" s="7">
        <f>IF(首页!$B$13="强制对流",首页!$B$11*M831/H831,0)</f>
        <v>0</v>
      </c>
      <c r="O831" s="7">
        <f>IF(首页!$B$13="自然对流",IF(首页!$B$14="立式圆筒",(0.825+0.3063*I831^(1/6))^2+0.87*(M831/B831),(0.752+0.303*I831^(1/6))^2),0.3+SQRT((0.592*N831^0.5)^2+(0.0262*N831^0.8/(1-0.5/N831^0.1))^2))</f>
        <v>10046.30908307034</v>
      </c>
      <c r="P831" s="6">
        <f t="shared" si="125"/>
        <v>2.9510194925512497E-2</v>
      </c>
      <c r="Q831" s="6">
        <f t="shared" si="126"/>
        <v>5.3708068717998625</v>
      </c>
      <c r="R831" s="6">
        <f t="shared" si="127"/>
        <v>13.13954067230182</v>
      </c>
      <c r="S831" s="6">
        <f>IF($Y$2="按单位面积散热损失 qp",B831*LN(B831/首页!$B$4),LN(B831/首页!$B$4))</f>
        <v>4.7708838722146405</v>
      </c>
      <c r="T831" s="6">
        <f>IF($Y$2="按单位面积散热损失 qp",2*PI()*首页!$B$8*((E831-D831)/$Y$3-1/R831),2*PI()*首页!$B$8*((E831-D831)/$Y$4-1/(PI()*B831*R831)))</f>
        <v>4.0781219579573945E-2</v>
      </c>
      <c r="U831" t="str">
        <f t="shared" si="128"/>
        <v>按单位面积散热损失 qp</v>
      </c>
      <c r="V831" s="6">
        <f t="shared" si="129"/>
        <v>4.7301026526350665</v>
      </c>
    </row>
    <row r="832" spans="1:22" x14ac:dyDescent="0.15">
      <c r="A832">
        <v>827</v>
      </c>
      <c r="B832" s="6">
        <f>首页!$B$4+2*A832/1000</f>
        <v>1.774</v>
      </c>
      <c r="C832" s="6">
        <f>首页!$B$7+273.15</f>
        <v>388.15</v>
      </c>
      <c r="D832" s="6">
        <f>首页!$B$6+273.15</f>
        <v>293.14999999999998</v>
      </c>
      <c r="E832" s="6">
        <f>首页!$B$5+273.15</f>
        <v>1373.15</v>
      </c>
      <c r="F832" s="6">
        <f t="shared" si="120"/>
        <v>95</v>
      </c>
      <c r="G832" s="6">
        <f t="shared" si="121"/>
        <v>340.65</v>
      </c>
      <c r="H832" s="6">
        <f t="shared" si="122"/>
        <v>1.9926207055139041E-5</v>
      </c>
      <c r="I832" s="7">
        <f t="shared" si="123"/>
        <v>1158916576932337.8</v>
      </c>
      <c r="J832" s="6">
        <f t="shared" si="124"/>
        <v>1.0226038455893147</v>
      </c>
      <c r="K832" s="7">
        <f>J832*H832*首页!$B$12/P832</f>
        <v>0.69532757496605813</v>
      </c>
      <c r="L832" s="6">
        <f>首页!$B$9*0.0000000567*((C832^4-D832^4)/(C832-D832))</f>
        <v>7.7687338005019564</v>
      </c>
      <c r="M832" s="6">
        <f>IF(首页!$B$13="自然对流",IF(首页!$B$14="立式圆筒",首页!$B$10,PI()*B832/2),PI()*B832/2)</f>
        <v>55.2</v>
      </c>
      <c r="N832" s="7">
        <f>IF(首页!$B$13="强制对流",首页!$B$11*M832/H832,0)</f>
        <v>0</v>
      </c>
      <c r="O832" s="7">
        <f>IF(首页!$B$13="自然对流",IF(首页!$B$14="立式圆筒",(0.825+0.3063*I832^(1/6))^2+0.87*(M832/B832),(0.752+0.303*I832^(1/6))^2),0.3+SQRT((0.592*N832^0.5)^2+(0.0262*N832^0.8/(1-0.5/N832^0.1))^2))</f>
        <v>10046.278528865001</v>
      </c>
      <c r="P832" s="6">
        <f t="shared" si="125"/>
        <v>2.9510194925512497E-2</v>
      </c>
      <c r="Q832" s="6">
        <f t="shared" si="126"/>
        <v>5.3707905373695128</v>
      </c>
      <c r="R832" s="6">
        <f t="shared" si="127"/>
        <v>13.139524337871469</v>
      </c>
      <c r="S832" s="6">
        <f>IF($Y$2="按单位面积散热损失 qp",B832*LN(B832/首页!$B$4),LN(B832/首页!$B$4))</f>
        <v>4.7782697452351872</v>
      </c>
      <c r="T832" s="6">
        <f>IF($Y$2="按单位面积散热损失 qp",2*PI()*首页!$B$8*((E832-D832)/$Y$3-1/R832),2*PI()*首页!$B$8*((E832-D832)/$Y$4-1/(PI()*B832*R832)))</f>
        <v>4.0781192828787872E-2</v>
      </c>
      <c r="U832" t="str">
        <f t="shared" si="128"/>
        <v>按单位面积散热损失 qp</v>
      </c>
      <c r="V832" s="6">
        <f t="shared" si="129"/>
        <v>4.7374885524063997</v>
      </c>
    </row>
    <row r="833" spans="1:22" x14ac:dyDescent="0.15">
      <c r="A833">
        <v>828</v>
      </c>
      <c r="B833" s="6">
        <f>首页!$B$4+2*A833/1000</f>
        <v>1.7759999999999998</v>
      </c>
      <c r="C833" s="6">
        <f>首页!$B$7+273.15</f>
        <v>388.15</v>
      </c>
      <c r="D833" s="6">
        <f>首页!$B$6+273.15</f>
        <v>293.14999999999998</v>
      </c>
      <c r="E833" s="6">
        <f>首页!$B$5+273.15</f>
        <v>1373.15</v>
      </c>
      <c r="F833" s="6">
        <f t="shared" si="120"/>
        <v>95</v>
      </c>
      <c r="G833" s="6">
        <f t="shared" si="121"/>
        <v>340.65</v>
      </c>
      <c r="H833" s="6">
        <f t="shared" si="122"/>
        <v>1.9926207055139041E-5</v>
      </c>
      <c r="I833" s="7">
        <f t="shared" si="123"/>
        <v>1158916576932337.8</v>
      </c>
      <c r="J833" s="6">
        <f t="shared" si="124"/>
        <v>1.0226038455893147</v>
      </c>
      <c r="K833" s="7">
        <f>J833*H833*首页!$B$12/P833</f>
        <v>0.69532757496605813</v>
      </c>
      <c r="L833" s="6">
        <f>首页!$B$9*0.0000000567*((C833^4-D833^4)/(C833-D833))</f>
        <v>7.7687338005019564</v>
      </c>
      <c r="M833" s="6">
        <f>IF(首页!$B$13="自然对流",IF(首页!$B$14="立式圆筒",首页!$B$10,PI()*B833/2),PI()*B833/2)</f>
        <v>55.2</v>
      </c>
      <c r="N833" s="7">
        <f>IF(首页!$B$13="强制对流",首页!$B$11*M833/H833,0)</f>
        <v>0</v>
      </c>
      <c r="O833" s="7">
        <f>IF(首页!$B$13="自然对流",IF(首页!$B$14="立式圆筒",(0.825+0.3063*I833^(1/6))^2+0.87*(M833/B833),(0.752+0.303*I833^(1/6))^2),0.3+SQRT((0.592*N833^0.5)^2+(0.0262*N833^0.8/(1-0.5/N833^0.1))^2))</f>
        <v>10046.24804347544</v>
      </c>
      <c r="P833" s="6">
        <f t="shared" si="125"/>
        <v>2.9510194925512497E-2</v>
      </c>
      <c r="Q833" s="6">
        <f t="shared" si="126"/>
        <v>5.3707742397284193</v>
      </c>
      <c r="R833" s="6">
        <f t="shared" si="127"/>
        <v>13.139508040230375</v>
      </c>
      <c r="S833" s="6">
        <f>IF($Y$2="按单位面积散热损失 qp",B833*LN(B833/首页!$B$4),LN(B833/首页!$B$4))</f>
        <v>4.7856578730476427</v>
      </c>
      <c r="T833" s="6">
        <f>IF($Y$2="按单位面积散热损失 qp",2*PI()*首页!$B$8*((E833-D833)/$Y$3-1/R833),2*PI()*首页!$B$8*((E833-D833)/$Y$4-1/(PI()*B833*R833)))</f>
        <v>4.078116613818502E-2</v>
      </c>
      <c r="U833" t="str">
        <f t="shared" si="128"/>
        <v>按单位面积散热损失 qp</v>
      </c>
      <c r="V833" s="6">
        <f t="shared" si="129"/>
        <v>4.7448767069094577</v>
      </c>
    </row>
    <row r="834" spans="1:22" x14ac:dyDescent="0.15">
      <c r="A834">
        <v>829</v>
      </c>
      <c r="B834" s="6">
        <f>首页!$B$4+2*A834/1000</f>
        <v>1.778</v>
      </c>
      <c r="C834" s="6">
        <f>首页!$B$7+273.15</f>
        <v>388.15</v>
      </c>
      <c r="D834" s="6">
        <f>首页!$B$6+273.15</f>
        <v>293.14999999999998</v>
      </c>
      <c r="E834" s="6">
        <f>首页!$B$5+273.15</f>
        <v>1373.15</v>
      </c>
      <c r="F834" s="6">
        <f t="shared" si="120"/>
        <v>95</v>
      </c>
      <c r="G834" s="6">
        <f t="shared" si="121"/>
        <v>340.65</v>
      </c>
      <c r="H834" s="6">
        <f t="shared" si="122"/>
        <v>1.9926207055139041E-5</v>
      </c>
      <c r="I834" s="7">
        <f t="shared" si="123"/>
        <v>1158916576932337.8</v>
      </c>
      <c r="J834" s="6">
        <f t="shared" si="124"/>
        <v>1.0226038455893147</v>
      </c>
      <c r="K834" s="7">
        <f>J834*H834*首页!$B$12/P834</f>
        <v>0.69532757496605813</v>
      </c>
      <c r="L834" s="6">
        <f>首页!$B$9*0.0000000567*((C834^4-D834^4)/(C834-D834))</f>
        <v>7.7687338005019564</v>
      </c>
      <c r="M834" s="6">
        <f>IF(首页!$B$13="自然对流",IF(首页!$B$14="立式圆筒",首页!$B$10,PI()*B834/2),PI()*B834/2)</f>
        <v>55.2</v>
      </c>
      <c r="N834" s="7">
        <f>IF(首页!$B$13="强制对流",首页!$B$11*M834/H834,0)</f>
        <v>0</v>
      </c>
      <c r="O834" s="7">
        <f>IF(首页!$B$13="自然对流",IF(首页!$B$14="立式圆筒",(0.825+0.3063*I834^(1/6))^2+0.87*(M834/B834),(0.752+0.303*I834^(1/6))^2),0.3+SQRT((0.592*N834^0.5)^2+(0.0262*N834^0.8/(1-0.5/N834^0.1))^2))</f>
        <v>10046.217626669433</v>
      </c>
      <c r="P834" s="6">
        <f t="shared" si="125"/>
        <v>2.9510194925512497E-2</v>
      </c>
      <c r="Q834" s="6">
        <f t="shared" si="126"/>
        <v>5.3707579787524358</v>
      </c>
      <c r="R834" s="6">
        <f t="shared" si="127"/>
        <v>13.139491779254392</v>
      </c>
      <c r="S834" s="6">
        <f>IF($Y$2="按单位面积散热损失 qp",B834*LN(B834/首页!$B$4),LN(B834/首页!$B$4))</f>
        <v>4.7930482531128273</v>
      </c>
      <c r="T834" s="6">
        <f>IF($Y$2="按单位面积散热损失 qp",2*PI()*首页!$B$8*((E834-D834)/$Y$3-1/R834),2*PI()*首页!$B$8*((E834-D834)/$Y$4-1/(PI()*B834*R834)))</f>
        <v>4.0781139507562549E-2</v>
      </c>
      <c r="U834" t="str">
        <f t="shared" si="128"/>
        <v>按单位面积散热损失 qp</v>
      </c>
      <c r="V834" s="6">
        <f t="shared" si="129"/>
        <v>4.7522671136052645</v>
      </c>
    </row>
    <row r="835" spans="1:22" x14ac:dyDescent="0.15">
      <c r="A835">
        <v>830</v>
      </c>
      <c r="B835" s="6">
        <f>首页!$B$4+2*A835/1000</f>
        <v>1.7799999999999998</v>
      </c>
      <c r="C835" s="6">
        <f>首页!$B$7+273.15</f>
        <v>388.15</v>
      </c>
      <c r="D835" s="6">
        <f>首页!$B$6+273.15</f>
        <v>293.14999999999998</v>
      </c>
      <c r="E835" s="6">
        <f>首页!$B$5+273.15</f>
        <v>1373.15</v>
      </c>
      <c r="F835" s="6">
        <f t="shared" si="120"/>
        <v>95</v>
      </c>
      <c r="G835" s="6">
        <f t="shared" si="121"/>
        <v>340.65</v>
      </c>
      <c r="H835" s="6">
        <f t="shared" si="122"/>
        <v>1.9926207055139041E-5</v>
      </c>
      <c r="I835" s="7">
        <f t="shared" si="123"/>
        <v>1158916576932337.8</v>
      </c>
      <c r="J835" s="6">
        <f t="shared" si="124"/>
        <v>1.0226038455893147</v>
      </c>
      <c r="K835" s="7">
        <f>J835*H835*首页!$B$12/P835</f>
        <v>0.69532757496605813</v>
      </c>
      <c r="L835" s="6">
        <f>首页!$B$9*0.0000000567*((C835^4-D835^4)/(C835-D835))</f>
        <v>7.7687338005019564</v>
      </c>
      <c r="M835" s="6">
        <f>IF(首页!$B$13="自然对流",IF(首页!$B$14="立式圆筒",首页!$B$10,PI()*B835/2),PI()*B835/2)</f>
        <v>55.2</v>
      </c>
      <c r="N835" s="7">
        <f>IF(首页!$B$13="强制对流",首页!$B$11*M835/H835,0)</f>
        <v>0</v>
      </c>
      <c r="O835" s="7">
        <f>IF(首页!$B$13="自然对流",IF(首页!$B$14="立式圆筒",(0.825+0.3063*I835^(1/6))^2+0.87*(M835/B835),(0.752+0.303*I835^(1/6))^2),0.3+SQRT((0.592*N835^0.5)^2+(0.0262*N835^0.8/(1-0.5/N835^0.1))^2))</f>
        <v>10046.187278215799</v>
      </c>
      <c r="P835" s="6">
        <f t="shared" si="125"/>
        <v>2.9510194925512497E-2</v>
      </c>
      <c r="Q835" s="6">
        <f t="shared" si="126"/>
        <v>5.3707417543179714</v>
      </c>
      <c r="R835" s="6">
        <f t="shared" si="127"/>
        <v>13.139475554819928</v>
      </c>
      <c r="S835" s="6">
        <f>IF($Y$2="按单位面积散热损失 qp",B835*LN(B835/首页!$B$4),LN(B835/首页!$B$4))</f>
        <v>4.80044088289727</v>
      </c>
      <c r="T835" s="6">
        <f>IF($Y$2="按单位面积散热损失 qp",2*PI()*首页!$B$8*((E835-D835)/$Y$3-1/R835),2*PI()*首页!$B$8*((E835-D835)/$Y$4-1/(PI()*B835*R835)))</f>
        <v>4.0781112936718475E-2</v>
      </c>
      <c r="U835" t="str">
        <f t="shared" si="128"/>
        <v>按单位面积散热损失 qp</v>
      </c>
      <c r="V835" s="6">
        <f t="shared" si="129"/>
        <v>4.7596597699605514</v>
      </c>
    </row>
    <row r="836" spans="1:22" x14ac:dyDescent="0.15">
      <c r="A836">
        <v>831</v>
      </c>
      <c r="B836" s="6">
        <f>首页!$B$4+2*A836/1000</f>
        <v>1.782</v>
      </c>
      <c r="C836" s="6">
        <f>首页!$B$7+273.15</f>
        <v>388.15</v>
      </c>
      <c r="D836" s="6">
        <f>首页!$B$6+273.15</f>
        <v>293.14999999999998</v>
      </c>
      <c r="E836" s="6">
        <f>首页!$B$5+273.15</f>
        <v>1373.15</v>
      </c>
      <c r="F836" s="6">
        <f t="shared" si="120"/>
        <v>95</v>
      </c>
      <c r="G836" s="6">
        <f t="shared" si="121"/>
        <v>340.65</v>
      </c>
      <c r="H836" s="6">
        <f t="shared" si="122"/>
        <v>1.9926207055139041E-5</v>
      </c>
      <c r="I836" s="7">
        <f t="shared" si="123"/>
        <v>1158916576932337.8</v>
      </c>
      <c r="J836" s="6">
        <f t="shared" si="124"/>
        <v>1.0226038455893147</v>
      </c>
      <c r="K836" s="7">
        <f>J836*H836*首页!$B$12/P836</f>
        <v>0.69532757496605813</v>
      </c>
      <c r="L836" s="6">
        <f>首页!$B$9*0.0000000567*((C836^4-D836^4)/(C836-D836))</f>
        <v>7.7687338005019564</v>
      </c>
      <c r="M836" s="6">
        <f>IF(首页!$B$13="自然对流",IF(首页!$B$14="立式圆筒",首页!$B$10,PI()*B836/2),PI()*B836/2)</f>
        <v>55.2</v>
      </c>
      <c r="N836" s="7">
        <f>IF(首页!$B$13="强制对流",首页!$B$11*M836/H836,0)</f>
        <v>0</v>
      </c>
      <c r="O836" s="7">
        <f>IF(首页!$B$13="自然对流",IF(首页!$B$14="立式圆筒",(0.825+0.3063*I836^(1/6))^2+0.87*(M836/B836),(0.752+0.303*I836^(1/6))^2),0.3+SQRT((0.592*N836^0.5)^2+(0.0262*N836^0.8/(1-0.5/N836^0.1))^2))</f>
        <v>10046.156997884395</v>
      </c>
      <c r="P836" s="6">
        <f t="shared" si="125"/>
        <v>2.9510194925512497E-2</v>
      </c>
      <c r="Q836" s="6">
        <f t="shared" si="126"/>
        <v>5.3707255663019904</v>
      </c>
      <c r="R836" s="6">
        <f t="shared" si="127"/>
        <v>13.139459366803948</v>
      </c>
      <c r="S836" s="6">
        <f>IF($Y$2="按单位面积散热损失 qp",B836*LN(B836/首页!$B$4),LN(B836/首页!$B$4))</f>
        <v>4.8078357598731998</v>
      </c>
      <c r="T836" s="6">
        <f>IF($Y$2="按单位面积散热损失 qp",2*PI()*首页!$B$8*((E836-D836)/$Y$3-1/R836),2*PI()*首页!$B$8*((E836-D836)/$Y$4-1/(PI()*B836*R836)))</f>
        <v>4.0781086425451751E-2</v>
      </c>
      <c r="U836" t="str">
        <f t="shared" si="128"/>
        <v>按单位面积散热损失 qp</v>
      </c>
      <c r="V836" s="6">
        <f t="shared" si="129"/>
        <v>4.7670546734477481</v>
      </c>
    </row>
    <row r="837" spans="1:22" x14ac:dyDescent="0.15">
      <c r="A837">
        <v>832</v>
      </c>
      <c r="B837" s="6">
        <f>首页!$B$4+2*A837/1000</f>
        <v>1.7839999999999998</v>
      </c>
      <c r="C837" s="6">
        <f>首页!$B$7+273.15</f>
        <v>388.15</v>
      </c>
      <c r="D837" s="6">
        <f>首页!$B$6+273.15</f>
        <v>293.14999999999998</v>
      </c>
      <c r="E837" s="6">
        <f>首页!$B$5+273.15</f>
        <v>1373.15</v>
      </c>
      <c r="F837" s="6">
        <f t="shared" ref="F837:F900" si="130">C837-D837</f>
        <v>95</v>
      </c>
      <c r="G837" s="6">
        <f t="shared" ref="G837:G900" si="131">(C837+D837)/2</f>
        <v>340.65</v>
      </c>
      <c r="H837" s="6">
        <f t="shared" ref="H837:H900" si="132">0.0000000042113*G837^2.5/(112+G837)</f>
        <v>1.9926207055139041E-5</v>
      </c>
      <c r="I837" s="7">
        <f t="shared" ref="I837:I900" si="133">9.81*M837^3*F837/(H837^2*G837)</f>
        <v>1158916576932337.8</v>
      </c>
      <c r="J837" s="6">
        <f t="shared" ref="J837:J900" si="134">348.35/G837</f>
        <v>1.0226038455893147</v>
      </c>
      <c r="K837" s="7">
        <f>J837*H837*首页!$B$12/P837</f>
        <v>0.69532757496605813</v>
      </c>
      <c r="L837" s="6">
        <f>首页!$B$9*0.0000000567*((C837^4-D837^4)/(C837-D837))</f>
        <v>7.7687338005019564</v>
      </c>
      <c r="M837" s="6">
        <f>IF(首页!$B$13="自然对流",IF(首页!$B$14="立式圆筒",首页!$B$10,PI()*B837/2),PI()*B837/2)</f>
        <v>55.2</v>
      </c>
      <c r="N837" s="7">
        <f>IF(首页!$B$13="强制对流",首页!$B$11*M837/H837,0)</f>
        <v>0</v>
      </c>
      <c r="O837" s="7">
        <f>IF(首页!$B$13="自然对流",IF(首页!$B$14="立式圆筒",(0.825+0.3063*I837^(1/6))^2+0.87*(M837/B837),(0.752+0.303*I837^(1/6))^2),0.3+SQRT((0.592*N837^0.5)^2+(0.0262*N837^0.8/(1-0.5/N837^0.1))^2))</f>
        <v>10046.126785446111</v>
      </c>
      <c r="P837" s="6">
        <f t="shared" ref="P837:P900" si="135">0.0243+0.000078421*(G837-273)-0.000000020755*(G837-273)^2</f>
        <v>2.9510194925512497E-2</v>
      </c>
      <c r="Q837" s="6">
        <f t="shared" ref="Q837:Q900" si="136">O837*P837/M837</f>
        <v>5.3707094145820111</v>
      </c>
      <c r="R837" s="6">
        <f t="shared" ref="R837:R900" si="137">L837+Q837</f>
        <v>13.139443215083968</v>
      </c>
      <c r="S837" s="6">
        <f>IF($Y$2="按单位面积散热损失 qp",B837*LN(B837/首页!$B$4),LN(B837/首页!$B$4))</f>
        <v>4.8152328815185088</v>
      </c>
      <c r="T837" s="6">
        <f>IF($Y$2="按单位面积散热损失 qp",2*PI()*首页!$B$8*((E837-D837)/$Y$3-1/R837),2*PI()*首页!$B$8*((E837-D837)/$Y$4-1/(PI()*B837*R837)))</f>
        <v>4.0781059973562218E-2</v>
      </c>
      <c r="U837" t="str">
        <f t="shared" ref="U837:U900" si="138">IF($Y$2="按单位面积散热损失 qp","按单位面积散热损失 qp","按单位长度散热损失 ql")</f>
        <v>按单位面积散热损失 qp</v>
      </c>
      <c r="V837" s="6">
        <f t="shared" ref="V837:V900" si="139">ABS(S837-T837)</f>
        <v>4.7744518215449467</v>
      </c>
    </row>
    <row r="838" spans="1:22" x14ac:dyDescent="0.15">
      <c r="A838">
        <v>833</v>
      </c>
      <c r="B838" s="6">
        <f>首页!$B$4+2*A838/1000</f>
        <v>1.786</v>
      </c>
      <c r="C838" s="6">
        <f>首页!$B$7+273.15</f>
        <v>388.15</v>
      </c>
      <c r="D838" s="6">
        <f>首页!$B$6+273.15</f>
        <v>293.14999999999998</v>
      </c>
      <c r="E838" s="6">
        <f>首页!$B$5+273.15</f>
        <v>1373.15</v>
      </c>
      <c r="F838" s="6">
        <f t="shared" si="130"/>
        <v>95</v>
      </c>
      <c r="G838" s="6">
        <f t="shared" si="131"/>
        <v>340.65</v>
      </c>
      <c r="H838" s="6">
        <f t="shared" si="132"/>
        <v>1.9926207055139041E-5</v>
      </c>
      <c r="I838" s="7">
        <f t="shared" si="133"/>
        <v>1158916576932337.8</v>
      </c>
      <c r="J838" s="6">
        <f t="shared" si="134"/>
        <v>1.0226038455893147</v>
      </c>
      <c r="K838" s="7">
        <f>J838*H838*首页!$B$12/P838</f>
        <v>0.69532757496605813</v>
      </c>
      <c r="L838" s="6">
        <f>首页!$B$9*0.0000000567*((C838^4-D838^4)/(C838-D838))</f>
        <v>7.7687338005019564</v>
      </c>
      <c r="M838" s="6">
        <f>IF(首页!$B$13="自然对流",IF(首页!$B$14="立式圆筒",首页!$B$10,PI()*B838/2),PI()*B838/2)</f>
        <v>55.2</v>
      </c>
      <c r="N838" s="7">
        <f>IF(首页!$B$13="强制对流",首页!$B$11*M838/H838,0)</f>
        <v>0</v>
      </c>
      <c r="O838" s="7">
        <f>IF(首页!$B$13="自然对流",IF(首页!$B$14="立式圆筒",(0.825+0.3063*I838^(1/6))^2+0.87*(M838/B838),(0.752+0.303*I838^(1/6))^2),0.3+SQRT((0.592*N838^0.5)^2+(0.0262*N838^0.8/(1-0.5/N838^0.1))^2))</f>
        <v>10046.096640672862</v>
      </c>
      <c r="P838" s="6">
        <f t="shared" si="135"/>
        <v>2.9510194925512497E-2</v>
      </c>
      <c r="Q838" s="6">
        <f t="shared" si="136"/>
        <v>5.3706932990360947</v>
      </c>
      <c r="R838" s="6">
        <f t="shared" si="137"/>
        <v>13.13942709953805</v>
      </c>
      <c r="S838" s="6">
        <f>IF($Y$2="按单位面积散热损失 qp",B838*LN(B838/首页!$B$4),LN(B838/首页!$B$4))</f>
        <v>4.8226322453167558</v>
      </c>
      <c r="T838" s="6">
        <f>IF($Y$2="按单位面积散热损失 qp",2*PI()*首页!$B$8*((E838-D838)/$Y$3-1/R838),2*PI()*首页!$B$8*((E838-D838)/$Y$4-1/(PI()*B838*R838)))</f>
        <v>4.0781033580850619E-2</v>
      </c>
      <c r="U838" t="str">
        <f t="shared" si="138"/>
        <v>按单位面积散热损失 qp</v>
      </c>
      <c r="V838" s="6">
        <f t="shared" si="139"/>
        <v>4.7818512117359049</v>
      </c>
    </row>
    <row r="839" spans="1:22" x14ac:dyDescent="0.15">
      <c r="A839">
        <v>834</v>
      </c>
      <c r="B839" s="6">
        <f>首页!$B$4+2*A839/1000</f>
        <v>1.7879999999999998</v>
      </c>
      <c r="C839" s="6">
        <f>首页!$B$7+273.15</f>
        <v>388.15</v>
      </c>
      <c r="D839" s="6">
        <f>首页!$B$6+273.15</f>
        <v>293.14999999999998</v>
      </c>
      <c r="E839" s="6">
        <f>首页!$B$5+273.15</f>
        <v>1373.15</v>
      </c>
      <c r="F839" s="6">
        <f t="shared" si="130"/>
        <v>95</v>
      </c>
      <c r="G839" s="6">
        <f t="shared" si="131"/>
        <v>340.65</v>
      </c>
      <c r="H839" s="6">
        <f t="shared" si="132"/>
        <v>1.9926207055139041E-5</v>
      </c>
      <c r="I839" s="7">
        <f t="shared" si="133"/>
        <v>1158916576932337.8</v>
      </c>
      <c r="J839" s="6">
        <f t="shared" si="134"/>
        <v>1.0226038455893147</v>
      </c>
      <c r="K839" s="7">
        <f>J839*H839*首页!$B$12/P839</f>
        <v>0.69532757496605813</v>
      </c>
      <c r="L839" s="6">
        <f>首页!$B$9*0.0000000567*((C839^4-D839^4)/(C839-D839))</f>
        <v>7.7687338005019564</v>
      </c>
      <c r="M839" s="6">
        <f>IF(首页!$B$13="自然对流",IF(首页!$B$14="立式圆筒",首页!$B$10,PI()*B839/2),PI()*B839/2)</f>
        <v>55.2</v>
      </c>
      <c r="N839" s="7">
        <f>IF(首页!$B$13="强制对流",首页!$B$11*M839/H839,0)</f>
        <v>0</v>
      </c>
      <c r="O839" s="7">
        <f>IF(首页!$B$13="自然对流",IF(首页!$B$14="立式圆筒",(0.825+0.3063*I839^(1/6))^2+0.87*(M839/B839),(0.752+0.303*I839^(1/6))^2),0.3+SQRT((0.592*N839^0.5)^2+(0.0262*N839^0.8/(1-0.5/N839^0.1))^2))</f>
        <v>10046.066563337585</v>
      </c>
      <c r="P839" s="6">
        <f t="shared" si="135"/>
        <v>2.9510194925512497E-2</v>
      </c>
      <c r="Q839" s="6">
        <f t="shared" si="136"/>
        <v>5.3706772195428538</v>
      </c>
      <c r="R839" s="6">
        <f t="shared" si="137"/>
        <v>13.139411020044811</v>
      </c>
      <c r="S839" s="6">
        <f>IF($Y$2="按单位面积散热损失 qp",B839*LN(B839/首页!$B$4),LN(B839/首页!$B$4))</f>
        <v>4.8300338487571262</v>
      </c>
      <c r="T839" s="6">
        <f>IF($Y$2="按单位面积散热损失 qp",2*PI()*首页!$B$8*((E839-D839)/$Y$3-1/R839),2*PI()*首页!$B$8*((E839-D839)/$Y$4-1/(PI()*B839*R839)))</f>
        <v>4.0781007247118611E-2</v>
      </c>
      <c r="U839" t="str">
        <f t="shared" si="138"/>
        <v>按单位面积散热损失 qp</v>
      </c>
      <c r="V839" s="6">
        <f t="shared" si="139"/>
        <v>4.7892528415100077</v>
      </c>
    </row>
    <row r="840" spans="1:22" x14ac:dyDescent="0.15">
      <c r="A840">
        <v>835</v>
      </c>
      <c r="B840" s="6">
        <f>首页!$B$4+2*A840/1000</f>
        <v>1.79</v>
      </c>
      <c r="C840" s="6">
        <f>首页!$B$7+273.15</f>
        <v>388.15</v>
      </c>
      <c r="D840" s="6">
        <f>首页!$B$6+273.15</f>
        <v>293.14999999999998</v>
      </c>
      <c r="E840" s="6">
        <f>首页!$B$5+273.15</f>
        <v>1373.15</v>
      </c>
      <c r="F840" s="6">
        <f t="shared" si="130"/>
        <v>95</v>
      </c>
      <c r="G840" s="6">
        <f t="shared" si="131"/>
        <v>340.65</v>
      </c>
      <c r="H840" s="6">
        <f t="shared" si="132"/>
        <v>1.9926207055139041E-5</v>
      </c>
      <c r="I840" s="7">
        <f t="shared" si="133"/>
        <v>1158916576932337.8</v>
      </c>
      <c r="J840" s="6">
        <f t="shared" si="134"/>
        <v>1.0226038455893147</v>
      </c>
      <c r="K840" s="7">
        <f>J840*H840*首页!$B$12/P840</f>
        <v>0.69532757496605813</v>
      </c>
      <c r="L840" s="6">
        <f>首页!$B$9*0.0000000567*((C840^4-D840^4)/(C840-D840))</f>
        <v>7.7687338005019564</v>
      </c>
      <c r="M840" s="6">
        <f>IF(首页!$B$13="自然对流",IF(首页!$B$14="立式圆筒",首页!$B$10,PI()*B840/2),PI()*B840/2)</f>
        <v>55.2</v>
      </c>
      <c r="N840" s="7">
        <f>IF(首页!$B$13="强制对流",首页!$B$11*M840/H840,0)</f>
        <v>0</v>
      </c>
      <c r="O840" s="7">
        <f>IF(首页!$B$13="自然对流",IF(首页!$B$14="立式圆筒",(0.825+0.3063*I840^(1/6))^2+0.87*(M840/B840),(0.752+0.303*I840^(1/6))^2),0.3+SQRT((0.592*N840^0.5)^2+(0.0262*N840^0.8/(1-0.5/N840^0.1))^2))</f>
        <v>10046.03655321423</v>
      </c>
      <c r="P840" s="6">
        <f t="shared" si="135"/>
        <v>2.9510194925512497E-2</v>
      </c>
      <c r="Q840" s="6">
        <f t="shared" si="136"/>
        <v>5.370661175981442</v>
      </c>
      <c r="R840" s="6">
        <f t="shared" si="137"/>
        <v>13.139394976483398</v>
      </c>
      <c r="S840" s="6">
        <f>IF($Y$2="按单位面积散热损失 qp",B840*LN(B840/首页!$B$4),LN(B840/首页!$B$4))</f>
        <v>4.8374376893344309</v>
      </c>
      <c r="T840" s="6">
        <f>IF($Y$2="按单位面积散热损失 qp",2*PI()*首页!$B$8*((E840-D840)/$Y$3-1/R840),2*PI()*首页!$B$8*((E840-D840)/$Y$4-1/(PI()*B840*R840)))</f>
        <v>4.0780980972168687E-2</v>
      </c>
      <c r="U840" t="str">
        <f t="shared" si="138"/>
        <v>按单位面积散热损失 qp</v>
      </c>
      <c r="V840" s="6">
        <f t="shared" si="139"/>
        <v>4.7966567083622618</v>
      </c>
    </row>
    <row r="841" spans="1:22" x14ac:dyDescent="0.15">
      <c r="A841">
        <v>836</v>
      </c>
      <c r="B841" s="6">
        <f>首页!$B$4+2*A841/1000</f>
        <v>1.7919999999999998</v>
      </c>
      <c r="C841" s="6">
        <f>首页!$B$7+273.15</f>
        <v>388.15</v>
      </c>
      <c r="D841" s="6">
        <f>首页!$B$6+273.15</f>
        <v>293.14999999999998</v>
      </c>
      <c r="E841" s="6">
        <f>首页!$B$5+273.15</f>
        <v>1373.15</v>
      </c>
      <c r="F841" s="6">
        <f t="shared" si="130"/>
        <v>95</v>
      </c>
      <c r="G841" s="6">
        <f t="shared" si="131"/>
        <v>340.65</v>
      </c>
      <c r="H841" s="6">
        <f t="shared" si="132"/>
        <v>1.9926207055139041E-5</v>
      </c>
      <c r="I841" s="7">
        <f t="shared" si="133"/>
        <v>1158916576932337.8</v>
      </c>
      <c r="J841" s="6">
        <f t="shared" si="134"/>
        <v>1.0226038455893147</v>
      </c>
      <c r="K841" s="7">
        <f>J841*H841*首页!$B$12/P841</f>
        <v>0.69532757496605813</v>
      </c>
      <c r="L841" s="6">
        <f>首页!$B$9*0.0000000567*((C841^4-D841^4)/(C841-D841))</f>
        <v>7.7687338005019564</v>
      </c>
      <c r="M841" s="6">
        <f>IF(首页!$B$13="自然对流",IF(首页!$B$14="立式圆筒",首页!$B$10,PI()*B841/2),PI()*B841/2)</f>
        <v>55.2</v>
      </c>
      <c r="N841" s="7">
        <f>IF(首页!$B$13="强制对流",首页!$B$11*M841/H841,0)</f>
        <v>0</v>
      </c>
      <c r="O841" s="7">
        <f>IF(首页!$B$13="自然对流",IF(首页!$B$14="立式圆筒",(0.825+0.3063*I841^(1/6))^2+0.87*(M841/B841),(0.752+0.303*I841^(1/6))^2),0.3+SQRT((0.592*N841^0.5)^2+(0.0262*N841^0.8/(1-0.5/N841^0.1))^2))</f>
        <v>10046.006610077757</v>
      </c>
      <c r="P841" s="6">
        <f t="shared" si="135"/>
        <v>2.9510194925512497E-2</v>
      </c>
      <c r="Q841" s="6">
        <f t="shared" si="136"/>
        <v>5.370645168231551</v>
      </c>
      <c r="R841" s="6">
        <f t="shared" si="137"/>
        <v>13.139378968733507</v>
      </c>
      <c r="S841" s="6">
        <f>IF($Y$2="按单位面积散热损失 qp",B841*LN(B841/首页!$B$4),LN(B841/首页!$B$4))</f>
        <v>4.8448437645490703</v>
      </c>
      <c r="T841" s="6">
        <f>IF($Y$2="按单位面积散热损失 qp",2*PI()*首页!$B$8*((E841-D841)/$Y$3-1/R841),2*PI()*首页!$B$8*((E841-D841)/$Y$4-1/(PI()*B841*R841)))</f>
        <v>4.0780954755804247E-2</v>
      </c>
      <c r="U841" t="str">
        <f t="shared" si="138"/>
        <v>按单位面积散热损失 qp</v>
      </c>
      <c r="V841" s="6">
        <f t="shared" si="139"/>
        <v>4.8040628097932663</v>
      </c>
    </row>
    <row r="842" spans="1:22" x14ac:dyDescent="0.15">
      <c r="A842">
        <v>837</v>
      </c>
      <c r="B842" s="6">
        <f>首页!$B$4+2*A842/1000</f>
        <v>1.794</v>
      </c>
      <c r="C842" s="6">
        <f>首页!$B$7+273.15</f>
        <v>388.15</v>
      </c>
      <c r="D842" s="6">
        <f>首页!$B$6+273.15</f>
        <v>293.14999999999998</v>
      </c>
      <c r="E842" s="6">
        <f>首页!$B$5+273.15</f>
        <v>1373.15</v>
      </c>
      <c r="F842" s="6">
        <f t="shared" si="130"/>
        <v>95</v>
      </c>
      <c r="G842" s="6">
        <f t="shared" si="131"/>
        <v>340.65</v>
      </c>
      <c r="H842" s="6">
        <f t="shared" si="132"/>
        <v>1.9926207055139041E-5</v>
      </c>
      <c r="I842" s="7">
        <f t="shared" si="133"/>
        <v>1158916576932337.8</v>
      </c>
      <c r="J842" s="6">
        <f t="shared" si="134"/>
        <v>1.0226038455893147</v>
      </c>
      <c r="K842" s="7">
        <f>J842*H842*首页!$B$12/P842</f>
        <v>0.69532757496605813</v>
      </c>
      <c r="L842" s="6">
        <f>首页!$B$9*0.0000000567*((C842^4-D842^4)/(C842-D842))</f>
        <v>7.7687338005019564</v>
      </c>
      <c r="M842" s="6">
        <f>IF(首页!$B$13="自然对流",IF(首页!$B$14="立式圆筒",首页!$B$10,PI()*B842/2),PI()*B842/2)</f>
        <v>55.2</v>
      </c>
      <c r="N842" s="7">
        <f>IF(首页!$B$13="强制对流",首页!$B$11*M842/H842,0)</f>
        <v>0</v>
      </c>
      <c r="O842" s="7">
        <f>IF(首页!$B$13="自然对流",IF(首页!$B$14="立式圆筒",(0.825+0.3063*I842^(1/6))^2+0.87*(M842/B842),(0.752+0.303*I842^(1/6))^2),0.3+SQRT((0.592*N842^0.5)^2+(0.0262*N842^0.8/(1-0.5/N842^0.1))^2))</f>
        <v>10045.97673370413</v>
      </c>
      <c r="P842" s="6">
        <f t="shared" si="135"/>
        <v>2.9510194925512497E-2</v>
      </c>
      <c r="Q842" s="6">
        <f t="shared" si="136"/>
        <v>5.3706291961734101</v>
      </c>
      <c r="R842" s="6">
        <f t="shared" si="137"/>
        <v>13.139362996675366</v>
      </c>
      <c r="S842" s="6">
        <f>IF($Y$2="按单位面积散热损失 qp",B842*LN(B842/首页!$B$4),LN(B842/首页!$B$4))</f>
        <v>4.8522520719070323</v>
      </c>
      <c r="T842" s="6">
        <f>IF($Y$2="按单位面积散热损失 qp",2*PI()*首页!$B$8*((E842-D842)/$Y$3-1/R842),2*PI()*首页!$B$8*((E842-D842)/$Y$4-1/(PI()*B842*R842)))</f>
        <v>4.0780928597829592E-2</v>
      </c>
      <c r="U842" t="str">
        <f t="shared" si="138"/>
        <v>按单位面积散热损失 qp</v>
      </c>
      <c r="V842" s="6">
        <f t="shared" si="139"/>
        <v>4.8114711433092028</v>
      </c>
    </row>
    <row r="843" spans="1:22" x14ac:dyDescent="0.15">
      <c r="A843">
        <v>838</v>
      </c>
      <c r="B843" s="6">
        <f>首页!$B$4+2*A843/1000</f>
        <v>1.7959999999999998</v>
      </c>
      <c r="C843" s="6">
        <f>首页!$B$7+273.15</f>
        <v>388.15</v>
      </c>
      <c r="D843" s="6">
        <f>首页!$B$6+273.15</f>
        <v>293.14999999999998</v>
      </c>
      <c r="E843" s="6">
        <f>首页!$B$5+273.15</f>
        <v>1373.15</v>
      </c>
      <c r="F843" s="6">
        <f t="shared" si="130"/>
        <v>95</v>
      </c>
      <c r="G843" s="6">
        <f t="shared" si="131"/>
        <v>340.65</v>
      </c>
      <c r="H843" s="6">
        <f t="shared" si="132"/>
        <v>1.9926207055139041E-5</v>
      </c>
      <c r="I843" s="7">
        <f t="shared" si="133"/>
        <v>1158916576932337.8</v>
      </c>
      <c r="J843" s="6">
        <f t="shared" si="134"/>
        <v>1.0226038455893147</v>
      </c>
      <c r="K843" s="7">
        <f>J843*H843*首页!$B$12/P843</f>
        <v>0.69532757496605813</v>
      </c>
      <c r="L843" s="6">
        <f>首页!$B$9*0.0000000567*((C843^4-D843^4)/(C843-D843))</f>
        <v>7.7687338005019564</v>
      </c>
      <c r="M843" s="6">
        <f>IF(首页!$B$13="自然对流",IF(首页!$B$14="立式圆筒",首页!$B$10,PI()*B843/2),PI()*B843/2)</f>
        <v>55.2</v>
      </c>
      <c r="N843" s="7">
        <f>IF(首页!$B$13="强制对流",首页!$B$11*M843/H843,0)</f>
        <v>0</v>
      </c>
      <c r="O843" s="7">
        <f>IF(首页!$B$13="自然对流",IF(首页!$B$14="立式圆筒",(0.825+0.3063*I843^(1/6))^2+0.87*(M843/B843),(0.752+0.303*I843^(1/6))^2),0.3+SQRT((0.592*N843^0.5)^2+(0.0262*N843^0.8/(1-0.5/N843^0.1))^2))</f>
        <v>10045.946923870311</v>
      </c>
      <c r="P843" s="6">
        <f t="shared" si="135"/>
        <v>2.9510194925512497E-2</v>
      </c>
      <c r="Q843" s="6">
        <f t="shared" si="136"/>
        <v>5.3706132596877811</v>
      </c>
      <c r="R843" s="6">
        <f t="shared" si="137"/>
        <v>13.139347060189738</v>
      </c>
      <c r="S843" s="6">
        <f>IF($Y$2="按单位面积散热损失 qp",B843*LN(B843/首页!$B$4),LN(B843/首页!$B$4))</f>
        <v>4.8596626089198569</v>
      </c>
      <c r="T843" s="6">
        <f>IF($Y$2="按单位面积散热损失 qp",2*PI()*首页!$B$8*((E843-D843)/$Y$3-1/R843),2*PI()*首页!$B$8*((E843-D843)/$Y$4-1/(PI()*B843*R843)))</f>
        <v>4.0780902498049838E-2</v>
      </c>
      <c r="U843" t="str">
        <f t="shared" si="138"/>
        <v>按单位面积散热损失 qp</v>
      </c>
      <c r="V843" s="6">
        <f t="shared" si="139"/>
        <v>4.8188817064218075</v>
      </c>
    </row>
    <row r="844" spans="1:22" x14ac:dyDescent="0.15">
      <c r="A844">
        <v>839</v>
      </c>
      <c r="B844" s="6">
        <f>首页!$B$4+2*A844/1000</f>
        <v>1.798</v>
      </c>
      <c r="C844" s="6">
        <f>首页!$B$7+273.15</f>
        <v>388.15</v>
      </c>
      <c r="D844" s="6">
        <f>首页!$B$6+273.15</f>
        <v>293.14999999999998</v>
      </c>
      <c r="E844" s="6">
        <f>首页!$B$5+273.15</f>
        <v>1373.15</v>
      </c>
      <c r="F844" s="6">
        <f t="shared" si="130"/>
        <v>95</v>
      </c>
      <c r="G844" s="6">
        <f t="shared" si="131"/>
        <v>340.65</v>
      </c>
      <c r="H844" s="6">
        <f t="shared" si="132"/>
        <v>1.9926207055139041E-5</v>
      </c>
      <c r="I844" s="7">
        <f t="shared" si="133"/>
        <v>1158916576932337.8</v>
      </c>
      <c r="J844" s="6">
        <f t="shared" si="134"/>
        <v>1.0226038455893147</v>
      </c>
      <c r="K844" s="7">
        <f>J844*H844*首页!$B$12/P844</f>
        <v>0.69532757496605813</v>
      </c>
      <c r="L844" s="6">
        <f>首页!$B$9*0.0000000567*((C844^4-D844^4)/(C844-D844))</f>
        <v>7.7687338005019564</v>
      </c>
      <c r="M844" s="6">
        <f>IF(首页!$B$13="自然对流",IF(首页!$B$14="立式圆筒",首页!$B$10,PI()*B844/2),PI()*B844/2)</f>
        <v>55.2</v>
      </c>
      <c r="N844" s="7">
        <f>IF(首页!$B$13="强制对流",首页!$B$11*M844/H844,0)</f>
        <v>0</v>
      </c>
      <c r="O844" s="7">
        <f>IF(首页!$B$13="自然对流",IF(首页!$B$14="立式圆筒",(0.825+0.3063*I844^(1/6))^2+0.87*(M844/B844),(0.752+0.303*I844^(1/6))^2),0.3+SQRT((0.592*N844^0.5)^2+(0.0262*N844^0.8/(1-0.5/N844^0.1))^2))</f>
        <v>10045.917180354254</v>
      </c>
      <c r="P844" s="6">
        <f t="shared" si="135"/>
        <v>2.9510194925512497E-2</v>
      </c>
      <c r="Q844" s="6">
        <f t="shared" si="136"/>
        <v>5.3705973586559583</v>
      </c>
      <c r="R844" s="6">
        <f t="shared" si="137"/>
        <v>13.139331159157916</v>
      </c>
      <c r="S844" s="6">
        <f>IF($Y$2="按单位面积散热损失 qp",B844*LN(B844/首页!$B$4),LN(B844/首页!$B$4))</f>
        <v>4.8670753731046359</v>
      </c>
      <c r="T844" s="6">
        <f>IF($Y$2="按单位面积散热损失 qp",2*PI()*首页!$B$8*((E844-D844)/$Y$3-1/R844),2*PI()*首页!$B$8*((E844-D844)/$Y$4-1/(PI()*B844*R844)))</f>
        <v>4.0780876456271008E-2</v>
      </c>
      <c r="U844" t="str">
        <f t="shared" si="138"/>
        <v>按单位面积散热损失 qp</v>
      </c>
      <c r="V844" s="6">
        <f t="shared" si="139"/>
        <v>4.826294496648365</v>
      </c>
    </row>
    <row r="845" spans="1:22" x14ac:dyDescent="0.15">
      <c r="A845">
        <v>840</v>
      </c>
      <c r="B845" s="6">
        <f>首页!$B$4+2*A845/1000</f>
        <v>1.7999999999999998</v>
      </c>
      <c r="C845" s="6">
        <f>首页!$B$7+273.15</f>
        <v>388.15</v>
      </c>
      <c r="D845" s="6">
        <f>首页!$B$6+273.15</f>
        <v>293.14999999999998</v>
      </c>
      <c r="E845" s="6">
        <f>首页!$B$5+273.15</f>
        <v>1373.15</v>
      </c>
      <c r="F845" s="6">
        <f t="shared" si="130"/>
        <v>95</v>
      </c>
      <c r="G845" s="6">
        <f t="shared" si="131"/>
        <v>340.65</v>
      </c>
      <c r="H845" s="6">
        <f t="shared" si="132"/>
        <v>1.9926207055139041E-5</v>
      </c>
      <c r="I845" s="7">
        <f t="shared" si="133"/>
        <v>1158916576932337.8</v>
      </c>
      <c r="J845" s="6">
        <f t="shared" si="134"/>
        <v>1.0226038455893147</v>
      </c>
      <c r="K845" s="7">
        <f>J845*H845*首页!$B$12/P845</f>
        <v>0.69532757496605813</v>
      </c>
      <c r="L845" s="6">
        <f>首页!$B$9*0.0000000567*((C845^4-D845^4)/(C845-D845))</f>
        <v>7.7687338005019564</v>
      </c>
      <c r="M845" s="6">
        <f>IF(首页!$B$13="自然对流",IF(首页!$B$14="立式圆筒",首页!$B$10,PI()*B845/2),PI()*B845/2)</f>
        <v>55.2</v>
      </c>
      <c r="N845" s="7">
        <f>IF(首页!$B$13="强制对流",首页!$B$11*M845/H845,0)</f>
        <v>0</v>
      </c>
      <c r="O845" s="7">
        <f>IF(首页!$B$13="自然对流",IF(首页!$B$14="立式圆筒",(0.825+0.3063*I845^(1/6))^2+0.87*(M845/B845),(0.752+0.303*I845^(1/6))^2),0.3+SQRT((0.592*N845^0.5)^2+(0.0262*N845^0.8/(1-0.5/N845^0.1))^2))</f>
        <v>10045.8875029349</v>
      </c>
      <c r="P845" s="6">
        <f t="shared" si="135"/>
        <v>2.9510194925512497E-2</v>
      </c>
      <c r="Q845" s="6">
        <f t="shared" si="136"/>
        <v>5.3705814929597624</v>
      </c>
      <c r="R845" s="6">
        <f t="shared" si="137"/>
        <v>13.139315293461719</v>
      </c>
      <c r="S845" s="6">
        <f>IF($Y$2="按单位面积散热损失 qp",B845*LN(B845/首页!$B$4),LN(B845/首页!$B$4))</f>
        <v>4.8744903619839777</v>
      </c>
      <c r="T845" s="6">
        <f>IF($Y$2="按单位面积散热损失 qp",2*PI()*首页!$B$8*((E845-D845)/$Y$3-1/R845),2*PI()*首页!$B$8*((E845-D845)/$Y$4-1/(PI()*B845*R845)))</f>
        <v>4.0780850472299977E-2</v>
      </c>
      <c r="U845" t="str">
        <f t="shared" si="138"/>
        <v>按单位面积散热损失 qp</v>
      </c>
      <c r="V845" s="6">
        <f t="shared" si="139"/>
        <v>4.8337095115116773</v>
      </c>
    </row>
    <row r="846" spans="1:22" x14ac:dyDescent="0.15">
      <c r="A846">
        <v>841</v>
      </c>
      <c r="B846" s="6">
        <f>首页!$B$4+2*A846/1000</f>
        <v>1.802</v>
      </c>
      <c r="C846" s="6">
        <f>首页!$B$7+273.15</f>
        <v>388.15</v>
      </c>
      <c r="D846" s="6">
        <f>首页!$B$6+273.15</f>
        <v>293.14999999999998</v>
      </c>
      <c r="E846" s="6">
        <f>首页!$B$5+273.15</f>
        <v>1373.15</v>
      </c>
      <c r="F846" s="6">
        <f t="shared" si="130"/>
        <v>95</v>
      </c>
      <c r="G846" s="6">
        <f t="shared" si="131"/>
        <v>340.65</v>
      </c>
      <c r="H846" s="6">
        <f t="shared" si="132"/>
        <v>1.9926207055139041E-5</v>
      </c>
      <c r="I846" s="7">
        <f t="shared" si="133"/>
        <v>1158916576932337.8</v>
      </c>
      <c r="J846" s="6">
        <f t="shared" si="134"/>
        <v>1.0226038455893147</v>
      </c>
      <c r="K846" s="7">
        <f>J846*H846*首页!$B$12/P846</f>
        <v>0.69532757496605813</v>
      </c>
      <c r="L846" s="6">
        <f>首页!$B$9*0.0000000567*((C846^4-D846^4)/(C846-D846))</f>
        <v>7.7687338005019564</v>
      </c>
      <c r="M846" s="6">
        <f>IF(首页!$B$13="自然对流",IF(首页!$B$14="立式圆筒",首页!$B$10,PI()*B846/2),PI()*B846/2)</f>
        <v>55.2</v>
      </c>
      <c r="N846" s="7">
        <f>IF(首页!$B$13="强制对流",首页!$B$11*M846/H846,0)</f>
        <v>0</v>
      </c>
      <c r="O846" s="7">
        <f>IF(首页!$B$13="自然对流",IF(首页!$B$14="立式圆筒",(0.825+0.3063*I846^(1/6))^2+0.87*(M846/B846),(0.752+0.303*I846^(1/6))^2),0.3+SQRT((0.592*N846^0.5)^2+(0.0262*N846^0.8/(1-0.5/N846^0.1))^2))</f>
        <v>10045.85789139217</v>
      </c>
      <c r="P846" s="6">
        <f t="shared" si="135"/>
        <v>2.9510194925512497E-2</v>
      </c>
      <c r="Q846" s="6">
        <f t="shared" si="136"/>
        <v>5.3705656624815381</v>
      </c>
      <c r="R846" s="6">
        <f t="shared" si="137"/>
        <v>13.139299462983494</v>
      </c>
      <c r="S846" s="6">
        <f>IF($Y$2="按单位面积散热损失 qp",B846*LN(B846/首页!$B$4),LN(B846/首页!$B$4))</f>
        <v>4.881907573086</v>
      </c>
      <c r="T846" s="6">
        <f>IF($Y$2="按单位面积散热损失 qp",2*PI()*首页!$B$8*((E846-D846)/$Y$3-1/R846),2*PI()*首页!$B$8*((E846-D846)/$Y$4-1/(PI()*B846*R846)))</f>
        <v>4.0780824545944477E-2</v>
      </c>
      <c r="U846" t="str">
        <f t="shared" si="138"/>
        <v>按单位面积散热损失 qp</v>
      </c>
      <c r="V846" s="6">
        <f t="shared" si="139"/>
        <v>4.8411267485400558</v>
      </c>
    </row>
    <row r="847" spans="1:22" x14ac:dyDescent="0.15">
      <c r="A847">
        <v>842</v>
      </c>
      <c r="B847" s="6">
        <f>首页!$B$4+2*A847/1000</f>
        <v>1.8039999999999998</v>
      </c>
      <c r="C847" s="6">
        <f>首页!$B$7+273.15</f>
        <v>388.15</v>
      </c>
      <c r="D847" s="6">
        <f>首页!$B$6+273.15</f>
        <v>293.14999999999998</v>
      </c>
      <c r="E847" s="6">
        <f>首页!$B$5+273.15</f>
        <v>1373.15</v>
      </c>
      <c r="F847" s="6">
        <f t="shared" si="130"/>
        <v>95</v>
      </c>
      <c r="G847" s="6">
        <f t="shared" si="131"/>
        <v>340.65</v>
      </c>
      <c r="H847" s="6">
        <f t="shared" si="132"/>
        <v>1.9926207055139041E-5</v>
      </c>
      <c r="I847" s="7">
        <f t="shared" si="133"/>
        <v>1158916576932337.8</v>
      </c>
      <c r="J847" s="6">
        <f t="shared" si="134"/>
        <v>1.0226038455893147</v>
      </c>
      <c r="K847" s="7">
        <f>J847*H847*首页!$B$12/P847</f>
        <v>0.69532757496605813</v>
      </c>
      <c r="L847" s="6">
        <f>首页!$B$9*0.0000000567*((C847^4-D847^4)/(C847-D847))</f>
        <v>7.7687338005019564</v>
      </c>
      <c r="M847" s="6">
        <f>IF(首页!$B$13="自然对流",IF(首页!$B$14="立式圆筒",首页!$B$10,PI()*B847/2),PI()*B847/2)</f>
        <v>55.2</v>
      </c>
      <c r="N847" s="7">
        <f>IF(首页!$B$13="强制对流",首页!$B$11*M847/H847,0)</f>
        <v>0</v>
      </c>
      <c r="O847" s="7">
        <f>IF(首页!$B$13="自然对流",IF(首页!$B$14="立式圆筒",(0.825+0.3063*I847^(1/6))^2+0.87*(M847/B847),(0.752+0.303*I847^(1/6))^2),0.3+SQRT((0.592*N847^0.5)^2+(0.0262*N847^0.8/(1-0.5/N847^0.1))^2))</f>
        <v>10045.828345506961</v>
      </c>
      <c r="P847" s="6">
        <f t="shared" si="135"/>
        <v>2.9510194925512497E-2</v>
      </c>
      <c r="Q847" s="6">
        <f t="shared" si="136"/>
        <v>5.3705498671041507</v>
      </c>
      <c r="R847" s="6">
        <f t="shared" si="137"/>
        <v>13.139283667606108</v>
      </c>
      <c r="S847" s="6">
        <f>IF($Y$2="按单位面积散热损失 qp",B847*LN(B847/首页!$B$4),LN(B847/首页!$B$4))</f>
        <v>4.8893270039443033</v>
      </c>
      <c r="T847" s="6">
        <f>IF($Y$2="按单位面积散热损失 qp",2*PI()*首页!$B$8*((E847-D847)/$Y$3-1/R847),2*PI()*首页!$B$8*((E847-D847)/$Y$4-1/(PI()*B847*R847)))</f>
        <v>4.0780798677013085E-2</v>
      </c>
      <c r="U847" t="str">
        <f t="shared" si="138"/>
        <v>按单位面积散热损失 qp</v>
      </c>
      <c r="V847" s="6">
        <f t="shared" si="139"/>
        <v>4.8485462052672901</v>
      </c>
    </row>
    <row r="848" spans="1:22" x14ac:dyDescent="0.15">
      <c r="A848">
        <v>843</v>
      </c>
      <c r="B848" s="6">
        <f>首页!$B$4+2*A848/1000</f>
        <v>1.806</v>
      </c>
      <c r="C848" s="6">
        <f>首页!$B$7+273.15</f>
        <v>388.15</v>
      </c>
      <c r="D848" s="6">
        <f>首页!$B$6+273.15</f>
        <v>293.14999999999998</v>
      </c>
      <c r="E848" s="6">
        <f>首页!$B$5+273.15</f>
        <v>1373.15</v>
      </c>
      <c r="F848" s="6">
        <f t="shared" si="130"/>
        <v>95</v>
      </c>
      <c r="G848" s="6">
        <f t="shared" si="131"/>
        <v>340.65</v>
      </c>
      <c r="H848" s="6">
        <f t="shared" si="132"/>
        <v>1.9926207055139041E-5</v>
      </c>
      <c r="I848" s="7">
        <f t="shared" si="133"/>
        <v>1158916576932337.8</v>
      </c>
      <c r="J848" s="6">
        <f t="shared" si="134"/>
        <v>1.0226038455893147</v>
      </c>
      <c r="K848" s="7">
        <f>J848*H848*首页!$B$12/P848</f>
        <v>0.69532757496605813</v>
      </c>
      <c r="L848" s="6">
        <f>首页!$B$9*0.0000000567*((C848^4-D848^4)/(C848-D848))</f>
        <v>7.7687338005019564</v>
      </c>
      <c r="M848" s="6">
        <f>IF(首页!$B$13="自然对流",IF(首页!$B$14="立式圆筒",首页!$B$10,PI()*B848/2),PI()*B848/2)</f>
        <v>55.2</v>
      </c>
      <c r="N848" s="7">
        <f>IF(首页!$B$13="强制对流",首页!$B$11*M848/H848,0)</f>
        <v>0</v>
      </c>
      <c r="O848" s="7">
        <f>IF(首页!$B$13="自然对流",IF(首页!$B$14="立式圆筒",(0.825+0.3063*I848^(1/6))^2+0.87*(M848/B848),(0.752+0.303*I848^(1/6))^2),0.3+SQRT((0.592*N848^0.5)^2+(0.0262*N848^0.8/(1-0.5/N848^0.1))^2))</f>
        <v>10045.798865061146</v>
      </c>
      <c r="P848" s="6">
        <f t="shared" si="135"/>
        <v>2.9510194925512497E-2</v>
      </c>
      <c r="Q848" s="6">
        <f t="shared" si="136"/>
        <v>5.3705341067109886</v>
      </c>
      <c r="R848" s="6">
        <f t="shared" si="137"/>
        <v>13.139267907212945</v>
      </c>
      <c r="S848" s="6">
        <f>IF($Y$2="按单位面积散热损失 qp",B848*LN(B848/首页!$B$4),LN(B848/首页!$B$4))</f>
        <v>4.8967486520979628</v>
      </c>
      <c r="T848" s="6">
        <f>IF($Y$2="按单位面积散热损失 qp",2*PI()*首页!$B$8*((E848-D848)/$Y$3-1/R848),2*PI()*首页!$B$8*((E848-D848)/$Y$4-1/(PI()*B848*R848)))</f>
        <v>4.0780772865315236E-2</v>
      </c>
      <c r="U848" t="str">
        <f t="shared" si="138"/>
        <v>按单位面积散热损失 qp</v>
      </c>
      <c r="V848" s="6">
        <f t="shared" si="139"/>
        <v>4.8559678792326473</v>
      </c>
    </row>
    <row r="849" spans="1:22" x14ac:dyDescent="0.15">
      <c r="A849">
        <v>844</v>
      </c>
      <c r="B849" s="6">
        <f>首页!$B$4+2*A849/1000</f>
        <v>1.8079999999999998</v>
      </c>
      <c r="C849" s="6">
        <f>首页!$B$7+273.15</f>
        <v>388.15</v>
      </c>
      <c r="D849" s="6">
        <f>首页!$B$6+273.15</f>
        <v>293.14999999999998</v>
      </c>
      <c r="E849" s="6">
        <f>首页!$B$5+273.15</f>
        <v>1373.15</v>
      </c>
      <c r="F849" s="6">
        <f t="shared" si="130"/>
        <v>95</v>
      </c>
      <c r="G849" s="6">
        <f t="shared" si="131"/>
        <v>340.65</v>
      </c>
      <c r="H849" s="6">
        <f t="shared" si="132"/>
        <v>1.9926207055139041E-5</v>
      </c>
      <c r="I849" s="7">
        <f t="shared" si="133"/>
        <v>1158916576932337.8</v>
      </c>
      <c r="J849" s="6">
        <f t="shared" si="134"/>
        <v>1.0226038455893147</v>
      </c>
      <c r="K849" s="7">
        <f>J849*H849*首页!$B$12/P849</f>
        <v>0.69532757496605813</v>
      </c>
      <c r="L849" s="6">
        <f>首页!$B$9*0.0000000567*((C849^4-D849^4)/(C849-D849))</f>
        <v>7.7687338005019564</v>
      </c>
      <c r="M849" s="6">
        <f>IF(首页!$B$13="自然对流",IF(首页!$B$14="立式圆筒",首页!$B$10,PI()*B849/2),PI()*B849/2)</f>
        <v>55.2</v>
      </c>
      <c r="N849" s="7">
        <f>IF(首页!$B$13="强制对流",首页!$B$11*M849/H849,0)</f>
        <v>0</v>
      </c>
      <c r="O849" s="7">
        <f>IF(首页!$B$13="自然对流",IF(首页!$B$14="立式圆筒",(0.825+0.3063*I849^(1/6))^2+0.87*(M849/B849),(0.752+0.303*I849^(1/6))^2),0.3+SQRT((0.592*N849^0.5)^2+(0.0262*N849^0.8/(1-0.5/N849^0.1))^2))</f>
        <v>10045.769449837555</v>
      </c>
      <c r="P849" s="6">
        <f t="shared" si="135"/>
        <v>2.9510194925512497E-2</v>
      </c>
      <c r="Q849" s="6">
        <f t="shared" si="136"/>
        <v>5.3705183811859536</v>
      </c>
      <c r="R849" s="6">
        <f t="shared" si="137"/>
        <v>13.13925218168791</v>
      </c>
      <c r="S849" s="6">
        <f>IF($Y$2="按单位面积散热损失 qp",B849*LN(B849/首页!$B$4),LN(B849/首页!$B$4))</f>
        <v>4.9041725150914965</v>
      </c>
      <c r="T849" s="6">
        <f>IF($Y$2="按单位面积散热损失 qp",2*PI()*首页!$B$8*((E849-D849)/$Y$3-1/R849),2*PI()*首页!$B$8*((E849-D849)/$Y$4-1/(PI()*B849*R849)))</f>
        <v>4.0780747110661195E-2</v>
      </c>
      <c r="U849" t="str">
        <f t="shared" si="138"/>
        <v>按单位面积散热损失 qp</v>
      </c>
      <c r="V849" s="6">
        <f t="shared" si="139"/>
        <v>4.8633917679808354</v>
      </c>
    </row>
    <row r="850" spans="1:22" x14ac:dyDescent="0.15">
      <c r="A850">
        <v>845</v>
      </c>
      <c r="B850" s="6">
        <f>首页!$B$4+2*A850/1000</f>
        <v>1.81</v>
      </c>
      <c r="C850" s="6">
        <f>首页!$B$7+273.15</f>
        <v>388.15</v>
      </c>
      <c r="D850" s="6">
        <f>首页!$B$6+273.15</f>
        <v>293.14999999999998</v>
      </c>
      <c r="E850" s="6">
        <f>首页!$B$5+273.15</f>
        <v>1373.15</v>
      </c>
      <c r="F850" s="6">
        <f t="shared" si="130"/>
        <v>95</v>
      </c>
      <c r="G850" s="6">
        <f t="shared" si="131"/>
        <v>340.65</v>
      </c>
      <c r="H850" s="6">
        <f t="shared" si="132"/>
        <v>1.9926207055139041E-5</v>
      </c>
      <c r="I850" s="7">
        <f t="shared" si="133"/>
        <v>1158916576932337.8</v>
      </c>
      <c r="J850" s="6">
        <f t="shared" si="134"/>
        <v>1.0226038455893147</v>
      </c>
      <c r="K850" s="7">
        <f>J850*H850*首页!$B$12/P850</f>
        <v>0.69532757496605813</v>
      </c>
      <c r="L850" s="6">
        <f>首页!$B$9*0.0000000567*((C850^4-D850^4)/(C850-D850))</f>
        <v>7.7687338005019564</v>
      </c>
      <c r="M850" s="6">
        <f>IF(首页!$B$13="自然对流",IF(首页!$B$14="立式圆筒",首页!$B$10,PI()*B850/2),PI()*B850/2)</f>
        <v>55.2</v>
      </c>
      <c r="N850" s="7">
        <f>IF(首页!$B$13="强制对流",首页!$B$11*M850/H850,0)</f>
        <v>0</v>
      </c>
      <c r="O850" s="7">
        <f>IF(首页!$B$13="自然对流",IF(首页!$B$14="立式圆筒",(0.825+0.3063*I850^(1/6))^2+0.87*(M850/B850),(0.752+0.303*I850^(1/6))^2),0.3+SQRT((0.592*N850^0.5)^2+(0.0262*N850^0.8/(1-0.5/N850^0.1))^2))</f>
        <v>10045.740099619983</v>
      </c>
      <c r="P850" s="6">
        <f t="shared" si="135"/>
        <v>2.9510194925512497E-2</v>
      </c>
      <c r="Q850" s="6">
        <f t="shared" si="136"/>
        <v>5.3705026904134607</v>
      </c>
      <c r="R850" s="6">
        <f t="shared" si="137"/>
        <v>13.139236490915417</v>
      </c>
      <c r="S850" s="6">
        <f>IF($Y$2="按单位面积散热损失 qp",B850*LN(B850/首页!$B$4),LN(B850/首页!$B$4))</f>
        <v>4.9115985904748642</v>
      </c>
      <c r="T850" s="6">
        <f>IF($Y$2="按单位面积散热损失 qp",2*PI()*首页!$B$8*((E850-D850)/$Y$3-1/R850),2*PI()*首页!$B$8*((E850-D850)/$Y$4-1/(PI()*B850*R850)))</f>
        <v>4.078072141286207E-2</v>
      </c>
      <c r="U850" t="str">
        <f t="shared" si="138"/>
        <v>按单位面积散热损失 qp</v>
      </c>
      <c r="V850" s="6">
        <f t="shared" si="139"/>
        <v>4.8708178690620025</v>
      </c>
    </row>
    <row r="851" spans="1:22" x14ac:dyDescent="0.15">
      <c r="A851">
        <v>846</v>
      </c>
      <c r="B851" s="6">
        <f>首页!$B$4+2*A851/1000</f>
        <v>1.8119999999999998</v>
      </c>
      <c r="C851" s="6">
        <f>首页!$B$7+273.15</f>
        <v>388.15</v>
      </c>
      <c r="D851" s="6">
        <f>首页!$B$6+273.15</f>
        <v>293.14999999999998</v>
      </c>
      <c r="E851" s="6">
        <f>首页!$B$5+273.15</f>
        <v>1373.15</v>
      </c>
      <c r="F851" s="6">
        <f t="shared" si="130"/>
        <v>95</v>
      </c>
      <c r="G851" s="6">
        <f t="shared" si="131"/>
        <v>340.65</v>
      </c>
      <c r="H851" s="6">
        <f t="shared" si="132"/>
        <v>1.9926207055139041E-5</v>
      </c>
      <c r="I851" s="7">
        <f t="shared" si="133"/>
        <v>1158916576932337.8</v>
      </c>
      <c r="J851" s="6">
        <f t="shared" si="134"/>
        <v>1.0226038455893147</v>
      </c>
      <c r="K851" s="7">
        <f>J851*H851*首页!$B$12/P851</f>
        <v>0.69532757496605813</v>
      </c>
      <c r="L851" s="6">
        <f>首页!$B$9*0.0000000567*((C851^4-D851^4)/(C851-D851))</f>
        <v>7.7687338005019564</v>
      </c>
      <c r="M851" s="6">
        <f>IF(首页!$B$13="自然对流",IF(首页!$B$14="立式圆筒",首页!$B$10,PI()*B851/2),PI()*B851/2)</f>
        <v>55.2</v>
      </c>
      <c r="N851" s="7">
        <f>IF(首页!$B$13="强制对流",首页!$B$11*M851/H851,0)</f>
        <v>0</v>
      </c>
      <c r="O851" s="7">
        <f>IF(首页!$B$13="自然对流",IF(首页!$B$14="立式圆筒",(0.825+0.3063*I851^(1/6))^2+0.87*(M851/B851),(0.752+0.303*I851^(1/6))^2),0.3+SQRT((0.592*N851^0.5)^2+(0.0262*N851^0.8/(1-0.5/N851^0.1))^2))</f>
        <v>10045.710814193179</v>
      </c>
      <c r="P851" s="6">
        <f t="shared" si="135"/>
        <v>2.9510194925512497E-2</v>
      </c>
      <c r="Q851" s="6">
        <f t="shared" si="136"/>
        <v>5.3704870342784332</v>
      </c>
      <c r="R851" s="6">
        <f t="shared" si="137"/>
        <v>13.139220834780389</v>
      </c>
      <c r="S851" s="6">
        <f>IF($Y$2="按单位面积散热损失 qp",B851*LN(B851/首页!$B$4),LN(B851/首页!$B$4))</f>
        <v>4.9190268758034321</v>
      </c>
      <c r="T851" s="6">
        <f>IF($Y$2="按单位面积散热损失 qp",2*PI()*首页!$B$8*((E851-D851)/$Y$3-1/R851),2*PI()*首页!$B$8*((E851-D851)/$Y$4-1/(PI()*B851*R851)))</f>
        <v>4.0780695771729811E-2</v>
      </c>
      <c r="U851" t="str">
        <f t="shared" si="138"/>
        <v>按单位面积散热损失 qp</v>
      </c>
      <c r="V851" s="6">
        <f t="shared" si="139"/>
        <v>4.8782461800317023</v>
      </c>
    </row>
    <row r="852" spans="1:22" x14ac:dyDescent="0.15">
      <c r="A852">
        <v>847</v>
      </c>
      <c r="B852" s="6">
        <f>首页!$B$4+2*A852/1000</f>
        <v>1.8140000000000001</v>
      </c>
      <c r="C852" s="6">
        <f>首页!$B$7+273.15</f>
        <v>388.15</v>
      </c>
      <c r="D852" s="6">
        <f>首页!$B$6+273.15</f>
        <v>293.14999999999998</v>
      </c>
      <c r="E852" s="6">
        <f>首页!$B$5+273.15</f>
        <v>1373.15</v>
      </c>
      <c r="F852" s="6">
        <f t="shared" si="130"/>
        <v>95</v>
      </c>
      <c r="G852" s="6">
        <f t="shared" si="131"/>
        <v>340.65</v>
      </c>
      <c r="H852" s="6">
        <f t="shared" si="132"/>
        <v>1.9926207055139041E-5</v>
      </c>
      <c r="I852" s="7">
        <f t="shared" si="133"/>
        <v>1158916576932337.8</v>
      </c>
      <c r="J852" s="6">
        <f t="shared" si="134"/>
        <v>1.0226038455893147</v>
      </c>
      <c r="K852" s="7">
        <f>J852*H852*首页!$B$12/P852</f>
        <v>0.69532757496605813</v>
      </c>
      <c r="L852" s="6">
        <f>首页!$B$9*0.0000000567*((C852^4-D852^4)/(C852-D852))</f>
        <v>7.7687338005019564</v>
      </c>
      <c r="M852" s="6">
        <f>IF(首页!$B$13="自然对流",IF(首页!$B$14="立式圆筒",首页!$B$10,PI()*B852/2),PI()*B852/2)</f>
        <v>55.2</v>
      </c>
      <c r="N852" s="7">
        <f>IF(首页!$B$13="强制对流",首页!$B$11*M852/H852,0)</f>
        <v>0</v>
      </c>
      <c r="O852" s="7">
        <f>IF(首页!$B$13="自然对流",IF(首页!$B$14="立式圆筒",(0.825+0.3063*I852^(1/6))^2+0.87*(M852/B852),(0.752+0.303*I852^(1/6))^2),0.3+SQRT((0.592*N852^0.5)^2+(0.0262*N852^0.8/(1-0.5/N852^0.1))^2))</f>
        <v>10045.681593342839</v>
      </c>
      <c r="P852" s="6">
        <f t="shared" si="135"/>
        <v>2.9510194925512497E-2</v>
      </c>
      <c r="Q852" s="6">
        <f t="shared" si="136"/>
        <v>5.3704714126663067</v>
      </c>
      <c r="R852" s="6">
        <f t="shared" si="137"/>
        <v>13.139205213168264</v>
      </c>
      <c r="S852" s="6">
        <f>IF($Y$2="按单位面积散热损失 qp",B852*LN(B852/首页!$B$4),LN(B852/首页!$B$4))</f>
        <v>4.9264573686379673</v>
      </c>
      <c r="T852" s="6">
        <f>IF($Y$2="按单位面积散热损失 qp",2*PI()*首页!$B$8*((E852-D852)/$Y$3-1/R852),2*PI()*首页!$B$8*((E852-D852)/$Y$4-1/(PI()*B852*R852)))</f>
        <v>4.0780670187077178E-2</v>
      </c>
      <c r="U852" t="str">
        <f t="shared" si="138"/>
        <v>按单位面积散热损失 qp</v>
      </c>
      <c r="V852" s="6">
        <f t="shared" si="139"/>
        <v>4.8856766984508901</v>
      </c>
    </row>
    <row r="853" spans="1:22" x14ac:dyDescent="0.15">
      <c r="A853">
        <v>848</v>
      </c>
      <c r="B853" s="6">
        <f>首页!$B$4+2*A853/1000</f>
        <v>1.8159999999999998</v>
      </c>
      <c r="C853" s="6">
        <f>首页!$B$7+273.15</f>
        <v>388.15</v>
      </c>
      <c r="D853" s="6">
        <f>首页!$B$6+273.15</f>
        <v>293.14999999999998</v>
      </c>
      <c r="E853" s="6">
        <f>首页!$B$5+273.15</f>
        <v>1373.15</v>
      </c>
      <c r="F853" s="6">
        <f t="shared" si="130"/>
        <v>95</v>
      </c>
      <c r="G853" s="6">
        <f t="shared" si="131"/>
        <v>340.65</v>
      </c>
      <c r="H853" s="6">
        <f t="shared" si="132"/>
        <v>1.9926207055139041E-5</v>
      </c>
      <c r="I853" s="7">
        <f t="shared" si="133"/>
        <v>1158916576932337.8</v>
      </c>
      <c r="J853" s="6">
        <f t="shared" si="134"/>
        <v>1.0226038455893147</v>
      </c>
      <c r="K853" s="7">
        <f>J853*H853*首页!$B$12/P853</f>
        <v>0.69532757496605813</v>
      </c>
      <c r="L853" s="6">
        <f>首页!$B$9*0.0000000567*((C853^4-D853^4)/(C853-D853))</f>
        <v>7.7687338005019564</v>
      </c>
      <c r="M853" s="6">
        <f>IF(首页!$B$13="自然对流",IF(首页!$B$14="立式圆筒",首页!$B$10,PI()*B853/2),PI()*B853/2)</f>
        <v>55.2</v>
      </c>
      <c r="N853" s="7">
        <f>IF(首页!$B$13="强制对流",首页!$B$11*M853/H853,0)</f>
        <v>0</v>
      </c>
      <c r="O853" s="7">
        <f>IF(首页!$B$13="自然对流",IF(首页!$B$14="立式圆筒",(0.825+0.3063*I853^(1/6))^2+0.87*(M853/B853),(0.752+0.303*I853^(1/6))^2),0.3+SQRT((0.592*N853^0.5)^2+(0.0262*N853^0.8/(1-0.5/N853^0.1))^2))</f>
        <v>10045.652436855604</v>
      </c>
      <c r="P853" s="6">
        <f t="shared" si="135"/>
        <v>2.9510194925512497E-2</v>
      </c>
      <c r="Q853" s="6">
        <f t="shared" si="136"/>
        <v>5.3704558254630159</v>
      </c>
      <c r="R853" s="6">
        <f t="shared" si="137"/>
        <v>13.139189625964972</v>
      </c>
      <c r="S853" s="6">
        <f>IF($Y$2="按单位面积散热损失 qp",B853*LN(B853/首页!$B$4),LN(B853/首页!$B$4))</f>
        <v>4.9338900665446133</v>
      </c>
      <c r="T853" s="6">
        <f>IF($Y$2="按单位面积散热损失 qp",2*PI()*首页!$B$8*((E853-D853)/$Y$3-1/R853),2*PI()*首页!$B$8*((E853-D853)/$Y$4-1/(PI()*B853*R853)))</f>
        <v>4.0780644658717766E-2</v>
      </c>
      <c r="U853" t="str">
        <f t="shared" si="138"/>
        <v>按单位面积散热损失 qp</v>
      </c>
      <c r="V853" s="6">
        <f t="shared" si="139"/>
        <v>4.8931094218858959</v>
      </c>
    </row>
    <row r="854" spans="1:22" x14ac:dyDescent="0.15">
      <c r="A854">
        <v>849</v>
      </c>
      <c r="B854" s="6">
        <f>首页!$B$4+2*A854/1000</f>
        <v>1.8180000000000001</v>
      </c>
      <c r="C854" s="6">
        <f>首页!$B$7+273.15</f>
        <v>388.15</v>
      </c>
      <c r="D854" s="6">
        <f>首页!$B$6+273.15</f>
        <v>293.14999999999998</v>
      </c>
      <c r="E854" s="6">
        <f>首页!$B$5+273.15</f>
        <v>1373.15</v>
      </c>
      <c r="F854" s="6">
        <f t="shared" si="130"/>
        <v>95</v>
      </c>
      <c r="G854" s="6">
        <f t="shared" si="131"/>
        <v>340.65</v>
      </c>
      <c r="H854" s="6">
        <f t="shared" si="132"/>
        <v>1.9926207055139041E-5</v>
      </c>
      <c r="I854" s="7">
        <f t="shared" si="133"/>
        <v>1158916576932337.8</v>
      </c>
      <c r="J854" s="6">
        <f t="shared" si="134"/>
        <v>1.0226038455893147</v>
      </c>
      <c r="K854" s="7">
        <f>J854*H854*首页!$B$12/P854</f>
        <v>0.69532757496605813</v>
      </c>
      <c r="L854" s="6">
        <f>首页!$B$9*0.0000000567*((C854^4-D854^4)/(C854-D854))</f>
        <v>7.7687338005019564</v>
      </c>
      <c r="M854" s="6">
        <f>IF(首页!$B$13="自然对流",IF(首页!$B$14="立式圆筒",首页!$B$10,PI()*B854/2),PI()*B854/2)</f>
        <v>55.2</v>
      </c>
      <c r="N854" s="7">
        <f>IF(首页!$B$13="强制对流",首页!$B$11*M854/H854,0)</f>
        <v>0</v>
      </c>
      <c r="O854" s="7">
        <f>IF(首页!$B$13="自然对流",IF(首页!$B$14="立式圆筒",(0.825+0.3063*I854^(1/6))^2+0.87*(M854/B854),(0.752+0.303*I854^(1/6))^2),0.3+SQRT((0.592*N854^0.5)^2+(0.0262*N854^0.8/(1-0.5/N854^0.1))^2))</f>
        <v>10045.623344519057</v>
      </c>
      <c r="P854" s="6">
        <f t="shared" si="135"/>
        <v>2.9510194925512497E-2</v>
      </c>
      <c r="Q854" s="6">
        <f t="shared" si="136"/>
        <v>5.370440272555002</v>
      </c>
      <c r="R854" s="6">
        <f t="shared" si="137"/>
        <v>13.139174073056958</v>
      </c>
      <c r="S854" s="6">
        <f>IF($Y$2="按单位面积散热损失 qp",B854*LN(B854/首页!$B$4),LN(B854/首页!$B$4))</f>
        <v>4.9413249670948778</v>
      </c>
      <c r="T854" s="6">
        <f>IF($Y$2="按单位面积散热损失 qp",2*PI()*首页!$B$8*((E854-D854)/$Y$3-1/R854),2*PI()*首页!$B$8*((E854-D854)/$Y$4-1/(PI()*B854*R854)))</f>
        <v>4.0780619186465999E-2</v>
      </c>
      <c r="U854" t="str">
        <f t="shared" si="138"/>
        <v>按单位面积散热损失 qp</v>
      </c>
      <c r="V854" s="6">
        <f t="shared" si="139"/>
        <v>4.9005443479084114</v>
      </c>
    </row>
    <row r="855" spans="1:22" x14ac:dyDescent="0.15">
      <c r="A855">
        <v>850</v>
      </c>
      <c r="B855" s="6">
        <f>首页!$B$4+2*A855/1000</f>
        <v>1.8199999999999998</v>
      </c>
      <c r="C855" s="6">
        <f>首页!$B$7+273.15</f>
        <v>388.15</v>
      </c>
      <c r="D855" s="6">
        <f>首页!$B$6+273.15</f>
        <v>293.14999999999998</v>
      </c>
      <c r="E855" s="6">
        <f>首页!$B$5+273.15</f>
        <v>1373.15</v>
      </c>
      <c r="F855" s="6">
        <f t="shared" si="130"/>
        <v>95</v>
      </c>
      <c r="G855" s="6">
        <f t="shared" si="131"/>
        <v>340.65</v>
      </c>
      <c r="H855" s="6">
        <f t="shared" si="132"/>
        <v>1.9926207055139041E-5</v>
      </c>
      <c r="I855" s="7">
        <f t="shared" si="133"/>
        <v>1158916576932337.8</v>
      </c>
      <c r="J855" s="6">
        <f t="shared" si="134"/>
        <v>1.0226038455893147</v>
      </c>
      <c r="K855" s="7">
        <f>J855*H855*首页!$B$12/P855</f>
        <v>0.69532757496605813</v>
      </c>
      <c r="L855" s="6">
        <f>首页!$B$9*0.0000000567*((C855^4-D855^4)/(C855-D855))</f>
        <v>7.7687338005019564</v>
      </c>
      <c r="M855" s="6">
        <f>IF(首页!$B$13="自然对流",IF(首页!$B$14="立式圆筒",首页!$B$10,PI()*B855/2),PI()*B855/2)</f>
        <v>55.2</v>
      </c>
      <c r="N855" s="7">
        <f>IF(首页!$B$13="强制对流",首页!$B$11*M855/H855,0)</f>
        <v>0</v>
      </c>
      <c r="O855" s="7">
        <f>IF(首页!$B$13="自然对流",IF(首页!$B$14="立式圆筒",(0.825+0.3063*I855^(1/6))^2+0.87*(M855/B855),(0.752+0.303*I855^(1/6))^2),0.3+SQRT((0.592*N855^0.5)^2+(0.0262*N855^0.8/(1-0.5/N855^0.1))^2))</f>
        <v>10045.594316121713</v>
      </c>
      <c r="P855" s="6">
        <f t="shared" si="135"/>
        <v>2.9510194925512497E-2</v>
      </c>
      <c r="Q855" s="6">
        <f t="shared" si="136"/>
        <v>5.3704247538292051</v>
      </c>
      <c r="R855" s="6">
        <f t="shared" si="137"/>
        <v>13.139158554331161</v>
      </c>
      <c r="S855" s="6">
        <f>IF($Y$2="按单位面积散热损失 qp",B855*LN(B855/首页!$B$4),LN(B855/首页!$B$4))</f>
        <v>4.9487620678656059</v>
      </c>
      <c r="T855" s="6">
        <f>IF($Y$2="按单位面积散热损失 qp",2*PI()*首页!$B$8*((E855-D855)/$Y$3-1/R855),2*PI()*首页!$B$8*((E855-D855)/$Y$4-1/(PI()*B855*R855)))</f>
        <v>4.078059377013709E-2</v>
      </c>
      <c r="U855" t="str">
        <f t="shared" si="138"/>
        <v>按单位面积散热损失 qp</v>
      </c>
      <c r="V855" s="6">
        <f t="shared" si="139"/>
        <v>4.907981474095469</v>
      </c>
    </row>
    <row r="856" spans="1:22" x14ac:dyDescent="0.15">
      <c r="A856">
        <v>851</v>
      </c>
      <c r="B856" s="6">
        <f>首页!$B$4+2*A856/1000</f>
        <v>1.8220000000000001</v>
      </c>
      <c r="C856" s="6">
        <f>首页!$B$7+273.15</f>
        <v>388.15</v>
      </c>
      <c r="D856" s="6">
        <f>首页!$B$6+273.15</f>
        <v>293.14999999999998</v>
      </c>
      <c r="E856" s="6">
        <f>首页!$B$5+273.15</f>
        <v>1373.15</v>
      </c>
      <c r="F856" s="6">
        <f t="shared" si="130"/>
        <v>95</v>
      </c>
      <c r="G856" s="6">
        <f t="shared" si="131"/>
        <v>340.65</v>
      </c>
      <c r="H856" s="6">
        <f t="shared" si="132"/>
        <v>1.9926207055139041E-5</v>
      </c>
      <c r="I856" s="7">
        <f t="shared" si="133"/>
        <v>1158916576932337.8</v>
      </c>
      <c r="J856" s="6">
        <f t="shared" si="134"/>
        <v>1.0226038455893147</v>
      </c>
      <c r="K856" s="7">
        <f>J856*H856*首页!$B$12/P856</f>
        <v>0.69532757496605813</v>
      </c>
      <c r="L856" s="6">
        <f>首页!$B$9*0.0000000567*((C856^4-D856^4)/(C856-D856))</f>
        <v>7.7687338005019564</v>
      </c>
      <c r="M856" s="6">
        <f>IF(首页!$B$13="自然对流",IF(首页!$B$14="立式圆筒",首页!$B$10,PI()*B856/2),PI()*B856/2)</f>
        <v>55.2</v>
      </c>
      <c r="N856" s="7">
        <f>IF(首页!$B$13="强制对流",首页!$B$11*M856/H856,0)</f>
        <v>0</v>
      </c>
      <c r="O856" s="7">
        <f>IF(首页!$B$13="自然对流",IF(首页!$B$14="立式圆筒",(0.825+0.3063*I856^(1/6))^2+0.87*(M856/B856),(0.752+0.303*I856^(1/6))^2),0.3+SQRT((0.592*N856^0.5)^2+(0.0262*N856^0.8/(1-0.5/N856^0.1))^2))</f>
        <v>10045.565351453011</v>
      </c>
      <c r="P856" s="6">
        <f t="shared" si="135"/>
        <v>2.9510194925512497E-2</v>
      </c>
      <c r="Q856" s="6">
        <f t="shared" si="136"/>
        <v>5.3704092691730576</v>
      </c>
      <c r="R856" s="6">
        <f t="shared" si="137"/>
        <v>13.139143069675015</v>
      </c>
      <c r="S856" s="6">
        <f>IF($Y$2="按单位面积散热损失 qp",B856*LN(B856/首页!$B$4),LN(B856/首页!$B$4))</f>
        <v>4.956201366438977</v>
      </c>
      <c r="T856" s="6">
        <f>IF($Y$2="按单位面积散热损失 qp",2*PI()*首页!$B$8*((E856-D856)/$Y$3-1/R856),2*PI()*首页!$B$8*((E856-D856)/$Y$4-1/(PI()*B856*R856)))</f>
        <v>4.0780568409547094E-2</v>
      </c>
      <c r="U856" t="str">
        <f t="shared" si="138"/>
        <v>按单位面积散热损失 qp</v>
      </c>
      <c r="V856" s="6">
        <f t="shared" si="139"/>
        <v>4.9154207980294302</v>
      </c>
    </row>
    <row r="857" spans="1:22" x14ac:dyDescent="0.15">
      <c r="A857">
        <v>852</v>
      </c>
      <c r="B857" s="6">
        <f>首页!$B$4+2*A857/1000</f>
        <v>1.8239999999999998</v>
      </c>
      <c r="C857" s="6">
        <f>首页!$B$7+273.15</f>
        <v>388.15</v>
      </c>
      <c r="D857" s="6">
        <f>首页!$B$6+273.15</f>
        <v>293.14999999999998</v>
      </c>
      <c r="E857" s="6">
        <f>首页!$B$5+273.15</f>
        <v>1373.15</v>
      </c>
      <c r="F857" s="6">
        <f t="shared" si="130"/>
        <v>95</v>
      </c>
      <c r="G857" s="6">
        <f t="shared" si="131"/>
        <v>340.65</v>
      </c>
      <c r="H857" s="6">
        <f t="shared" si="132"/>
        <v>1.9926207055139041E-5</v>
      </c>
      <c r="I857" s="7">
        <f t="shared" si="133"/>
        <v>1158916576932337.8</v>
      </c>
      <c r="J857" s="6">
        <f t="shared" si="134"/>
        <v>1.0226038455893147</v>
      </c>
      <c r="K857" s="7">
        <f>J857*H857*首页!$B$12/P857</f>
        <v>0.69532757496605813</v>
      </c>
      <c r="L857" s="6">
        <f>首页!$B$9*0.0000000567*((C857^4-D857^4)/(C857-D857))</f>
        <v>7.7687338005019564</v>
      </c>
      <c r="M857" s="6">
        <f>IF(首页!$B$13="自然对流",IF(首页!$B$14="立式圆筒",首页!$B$10,PI()*B857/2),PI()*B857/2)</f>
        <v>55.2</v>
      </c>
      <c r="N857" s="7">
        <f>IF(首页!$B$13="强制对流",首页!$B$11*M857/H857,0)</f>
        <v>0</v>
      </c>
      <c r="O857" s="7">
        <f>IF(首页!$B$13="自然对流",IF(首页!$B$14="立式圆筒",(0.825+0.3063*I857^(1/6))^2+0.87*(M857/B857),(0.752+0.303*I857^(1/6))^2),0.3+SQRT((0.592*N857^0.5)^2+(0.0262*N857^0.8/(1-0.5/N857^0.1))^2))</f>
        <v>10045.536450303322</v>
      </c>
      <c r="P857" s="6">
        <f t="shared" si="135"/>
        <v>2.9510194925512497E-2</v>
      </c>
      <c r="Q857" s="6">
        <f t="shared" si="136"/>
        <v>5.3703938184744908</v>
      </c>
      <c r="R857" s="6">
        <f t="shared" si="137"/>
        <v>13.139127618976447</v>
      </c>
      <c r="S857" s="6">
        <f>IF($Y$2="按单位面积散热损失 qp",B857*LN(B857/首页!$B$4),LN(B857/首页!$B$4))</f>
        <v>4.9636428604024685</v>
      </c>
      <c r="T857" s="6">
        <f>IF($Y$2="按单位面积散热损失 qp",2*PI()*首页!$B$8*((E857-D857)/$Y$3-1/R857),2*PI()*首页!$B$8*((E857-D857)/$Y$4-1/(PI()*B857*R857)))</f>
        <v>4.0780543104512845E-2</v>
      </c>
      <c r="U857" t="str">
        <f t="shared" si="138"/>
        <v>按单位面积散热损失 qp</v>
      </c>
      <c r="V857" s="6">
        <f t="shared" si="139"/>
        <v>4.9228623172979553</v>
      </c>
    </row>
    <row r="858" spans="1:22" x14ac:dyDescent="0.15">
      <c r="A858">
        <v>853</v>
      </c>
      <c r="B858" s="6">
        <f>首页!$B$4+2*A858/1000</f>
        <v>1.8260000000000001</v>
      </c>
      <c r="C858" s="6">
        <f>首页!$B$7+273.15</f>
        <v>388.15</v>
      </c>
      <c r="D858" s="6">
        <f>首页!$B$6+273.15</f>
        <v>293.14999999999998</v>
      </c>
      <c r="E858" s="6">
        <f>首页!$B$5+273.15</f>
        <v>1373.15</v>
      </c>
      <c r="F858" s="6">
        <f t="shared" si="130"/>
        <v>95</v>
      </c>
      <c r="G858" s="6">
        <f t="shared" si="131"/>
        <v>340.65</v>
      </c>
      <c r="H858" s="6">
        <f t="shared" si="132"/>
        <v>1.9926207055139041E-5</v>
      </c>
      <c r="I858" s="7">
        <f t="shared" si="133"/>
        <v>1158916576932337.8</v>
      </c>
      <c r="J858" s="6">
        <f t="shared" si="134"/>
        <v>1.0226038455893147</v>
      </c>
      <c r="K858" s="7">
        <f>J858*H858*首页!$B$12/P858</f>
        <v>0.69532757496605813</v>
      </c>
      <c r="L858" s="6">
        <f>首页!$B$9*0.0000000567*((C858^4-D858^4)/(C858-D858))</f>
        <v>7.7687338005019564</v>
      </c>
      <c r="M858" s="6">
        <f>IF(首页!$B$13="自然对流",IF(首页!$B$14="立式圆筒",首页!$B$10,PI()*B858/2),PI()*B858/2)</f>
        <v>55.2</v>
      </c>
      <c r="N858" s="7">
        <f>IF(首页!$B$13="强制对流",首页!$B$11*M858/H858,0)</f>
        <v>0</v>
      </c>
      <c r="O858" s="7">
        <f>IF(首页!$B$13="自然对流",IF(首页!$B$14="立式圆筒",(0.825+0.3063*I858^(1/6))^2+0.87*(M858/B858),(0.752+0.303*I858^(1/6))^2),0.3+SQRT((0.592*N858^0.5)^2+(0.0262*N858^0.8/(1-0.5/N858^0.1))^2))</f>
        <v>10045.507612463925</v>
      </c>
      <c r="P858" s="6">
        <f t="shared" si="135"/>
        <v>2.9510194925512497E-2</v>
      </c>
      <c r="Q858" s="6">
        <f t="shared" si="136"/>
        <v>5.370378401621922</v>
      </c>
      <c r="R858" s="6">
        <f t="shared" si="137"/>
        <v>13.139112202123879</v>
      </c>
      <c r="S858" s="6">
        <f>IF($Y$2="按单位面积散热损失 qp",B858*LN(B858/首页!$B$4),LN(B858/首页!$B$4))</f>
        <v>4.9710865473488575</v>
      </c>
      <c r="T858" s="6">
        <f>IF($Y$2="按单位面积散热损失 qp",2*PI()*首页!$B$8*((E858-D858)/$Y$3-1/R858),2*PI()*首页!$B$8*((E858-D858)/$Y$4-1/(PI()*B858*R858)))</f>
        <v>4.078051785485199E-2</v>
      </c>
      <c r="U858" t="str">
        <f t="shared" si="138"/>
        <v>按单位面积散热损失 qp</v>
      </c>
      <c r="V858" s="6">
        <f t="shared" si="139"/>
        <v>4.9303060294940053</v>
      </c>
    </row>
    <row r="859" spans="1:22" x14ac:dyDescent="0.15">
      <c r="A859">
        <v>854</v>
      </c>
      <c r="B859" s="6">
        <f>首页!$B$4+2*A859/1000</f>
        <v>1.8279999999999998</v>
      </c>
      <c r="C859" s="6">
        <f>首页!$B$7+273.15</f>
        <v>388.15</v>
      </c>
      <c r="D859" s="6">
        <f>首页!$B$6+273.15</f>
        <v>293.14999999999998</v>
      </c>
      <c r="E859" s="6">
        <f>首页!$B$5+273.15</f>
        <v>1373.15</v>
      </c>
      <c r="F859" s="6">
        <f t="shared" si="130"/>
        <v>95</v>
      </c>
      <c r="G859" s="6">
        <f t="shared" si="131"/>
        <v>340.65</v>
      </c>
      <c r="H859" s="6">
        <f t="shared" si="132"/>
        <v>1.9926207055139041E-5</v>
      </c>
      <c r="I859" s="7">
        <f t="shared" si="133"/>
        <v>1158916576932337.8</v>
      </c>
      <c r="J859" s="6">
        <f t="shared" si="134"/>
        <v>1.0226038455893147</v>
      </c>
      <c r="K859" s="7">
        <f>J859*H859*首页!$B$12/P859</f>
        <v>0.69532757496605813</v>
      </c>
      <c r="L859" s="6">
        <f>首页!$B$9*0.0000000567*((C859^4-D859^4)/(C859-D859))</f>
        <v>7.7687338005019564</v>
      </c>
      <c r="M859" s="6">
        <f>IF(首页!$B$13="自然对流",IF(首页!$B$14="立式圆筒",首页!$B$10,PI()*B859/2),PI()*B859/2)</f>
        <v>55.2</v>
      </c>
      <c r="N859" s="7">
        <f>IF(首页!$B$13="强制对流",首页!$B$11*M859/H859,0)</f>
        <v>0</v>
      </c>
      <c r="O859" s="7">
        <f>IF(首页!$B$13="自然对流",IF(首页!$B$14="立式圆筒",(0.825+0.3063*I859^(1/6))^2+0.87*(M859/B859),(0.752+0.303*I859^(1/6))^2),0.3+SQRT((0.592*N859^0.5)^2+(0.0262*N859^0.8/(1-0.5/N859^0.1))^2))</f>
        <v>10045.478837727022</v>
      </c>
      <c r="P859" s="6">
        <f t="shared" si="135"/>
        <v>2.9510194925512497E-2</v>
      </c>
      <c r="Q859" s="6">
        <f t="shared" si="136"/>
        <v>5.3703630185042597</v>
      </c>
      <c r="R859" s="6">
        <f t="shared" si="137"/>
        <v>13.139096819006216</v>
      </c>
      <c r="S859" s="6">
        <f>IF($Y$2="按单位面积散热损失 qp",B859*LN(B859/首页!$B$4),LN(B859/首页!$B$4))</f>
        <v>4.9785324248761853</v>
      </c>
      <c r="T859" s="6">
        <f>IF($Y$2="按单位面积散热损失 qp",2*PI()*首页!$B$8*((E859-D859)/$Y$3-1/R859),2*PI()*首页!$B$8*((E859-D859)/$Y$4-1/(PI()*B859*R859)))</f>
        <v>4.0780492660382972E-2</v>
      </c>
      <c r="U859" t="str">
        <f t="shared" si="138"/>
        <v>按单位面积散热损失 qp</v>
      </c>
      <c r="V859" s="6">
        <f t="shared" si="139"/>
        <v>4.9377519322158019</v>
      </c>
    </row>
    <row r="860" spans="1:22" x14ac:dyDescent="0.15">
      <c r="A860">
        <v>855</v>
      </c>
      <c r="B860" s="6">
        <f>首页!$B$4+2*A860/1000</f>
        <v>1.83</v>
      </c>
      <c r="C860" s="6">
        <f>首页!$B$7+273.15</f>
        <v>388.15</v>
      </c>
      <c r="D860" s="6">
        <f>首页!$B$6+273.15</f>
        <v>293.14999999999998</v>
      </c>
      <c r="E860" s="6">
        <f>首页!$B$5+273.15</f>
        <v>1373.15</v>
      </c>
      <c r="F860" s="6">
        <f t="shared" si="130"/>
        <v>95</v>
      </c>
      <c r="G860" s="6">
        <f t="shared" si="131"/>
        <v>340.65</v>
      </c>
      <c r="H860" s="6">
        <f t="shared" si="132"/>
        <v>1.9926207055139041E-5</v>
      </c>
      <c r="I860" s="7">
        <f t="shared" si="133"/>
        <v>1158916576932337.8</v>
      </c>
      <c r="J860" s="6">
        <f t="shared" si="134"/>
        <v>1.0226038455893147</v>
      </c>
      <c r="K860" s="7">
        <f>J860*H860*首页!$B$12/P860</f>
        <v>0.69532757496605813</v>
      </c>
      <c r="L860" s="6">
        <f>首页!$B$9*0.0000000567*((C860^4-D860^4)/(C860-D860))</f>
        <v>7.7687338005019564</v>
      </c>
      <c r="M860" s="6">
        <f>IF(首页!$B$13="自然对流",IF(首页!$B$14="立式圆筒",首页!$B$10,PI()*B860/2),PI()*B860/2)</f>
        <v>55.2</v>
      </c>
      <c r="N860" s="7">
        <f>IF(首页!$B$13="强制对流",首页!$B$11*M860/H860,0)</f>
        <v>0</v>
      </c>
      <c r="O860" s="7">
        <f>IF(首页!$B$13="自然对流",IF(首页!$B$14="立式圆筒",(0.825+0.3063*I860^(1/6))^2+0.87*(M860/B860),(0.752+0.303*I860^(1/6))^2),0.3+SQRT((0.592*N860^0.5)^2+(0.0262*N860^0.8/(1-0.5/N860^0.1))^2))</f>
        <v>10045.45012588572</v>
      </c>
      <c r="P860" s="6">
        <f t="shared" si="135"/>
        <v>2.9510194925512497E-2</v>
      </c>
      <c r="Q860" s="6">
        <f t="shared" si="136"/>
        <v>5.3703476690108989</v>
      </c>
      <c r="R860" s="6">
        <f t="shared" si="137"/>
        <v>13.139081469512856</v>
      </c>
      <c r="S860" s="6">
        <f>IF($Y$2="按单位面积散热损失 qp",B860*LN(B860/首页!$B$4),LN(B860/首页!$B$4))</f>
        <v>4.9859804905877594</v>
      </c>
      <c r="T860" s="6">
        <f>IF($Y$2="按单位面积散热损失 qp",2*PI()*首页!$B$8*((E860-D860)/$Y$3-1/R860),2*PI()*首页!$B$8*((E860-D860)/$Y$4-1/(PI()*B860*R860)))</f>
        <v>4.0780467520925047E-2</v>
      </c>
      <c r="U860" t="str">
        <f t="shared" si="138"/>
        <v>按单位面积散热损失 qp</v>
      </c>
      <c r="V860" s="6">
        <f t="shared" si="139"/>
        <v>4.9452000230668345</v>
      </c>
    </row>
    <row r="861" spans="1:22" x14ac:dyDescent="0.15">
      <c r="A861">
        <v>856</v>
      </c>
      <c r="B861" s="6">
        <f>首页!$B$4+2*A861/1000</f>
        <v>1.8319999999999999</v>
      </c>
      <c r="C861" s="6">
        <f>首页!$B$7+273.15</f>
        <v>388.15</v>
      </c>
      <c r="D861" s="6">
        <f>首页!$B$6+273.15</f>
        <v>293.14999999999998</v>
      </c>
      <c r="E861" s="6">
        <f>首页!$B$5+273.15</f>
        <v>1373.15</v>
      </c>
      <c r="F861" s="6">
        <f t="shared" si="130"/>
        <v>95</v>
      </c>
      <c r="G861" s="6">
        <f t="shared" si="131"/>
        <v>340.65</v>
      </c>
      <c r="H861" s="6">
        <f t="shared" si="132"/>
        <v>1.9926207055139041E-5</v>
      </c>
      <c r="I861" s="7">
        <f t="shared" si="133"/>
        <v>1158916576932337.8</v>
      </c>
      <c r="J861" s="6">
        <f t="shared" si="134"/>
        <v>1.0226038455893147</v>
      </c>
      <c r="K861" s="7">
        <f>J861*H861*首页!$B$12/P861</f>
        <v>0.69532757496605813</v>
      </c>
      <c r="L861" s="6">
        <f>首页!$B$9*0.0000000567*((C861^4-D861^4)/(C861-D861))</f>
        <v>7.7687338005019564</v>
      </c>
      <c r="M861" s="6">
        <f>IF(首页!$B$13="自然对流",IF(首页!$B$14="立式圆筒",首页!$B$10,PI()*B861/2),PI()*B861/2)</f>
        <v>55.2</v>
      </c>
      <c r="N861" s="7">
        <f>IF(首页!$B$13="强制对流",首页!$B$11*M861/H861,0)</f>
        <v>0</v>
      </c>
      <c r="O861" s="7">
        <f>IF(首页!$B$13="自然对流",IF(首页!$B$14="立式圆筒",(0.825+0.3063*I861^(1/6))^2+0.87*(M861/B861),(0.752+0.303*I861^(1/6))^2),0.3+SQRT((0.592*N861^0.5)^2+(0.0262*N861^0.8/(1-0.5/N861^0.1))^2))</f>
        <v>10045.421476734027</v>
      </c>
      <c r="P861" s="6">
        <f t="shared" si="135"/>
        <v>2.9510194925512497E-2</v>
      </c>
      <c r="Q861" s="6">
        <f t="shared" si="136"/>
        <v>5.3703323530317153</v>
      </c>
      <c r="R861" s="6">
        <f t="shared" si="137"/>
        <v>13.139066153533673</v>
      </c>
      <c r="S861" s="6">
        <f>IF($Y$2="按单位面积散热损失 qp",B861*LN(B861/首页!$B$4),LN(B861/首页!$B$4))</f>
        <v>4.9934307420921176</v>
      </c>
      <c r="T861" s="6">
        <f>IF($Y$2="按单位面积散热损失 qp",2*PI()*首页!$B$8*((E861-D861)/$Y$3-1/R861),2*PI()*首页!$B$8*((E861-D861)/$Y$4-1/(PI()*B861*R861)))</f>
        <v>4.0780442436298206E-2</v>
      </c>
      <c r="U861" t="str">
        <f t="shared" si="138"/>
        <v>按单位面积散热损失 qp</v>
      </c>
      <c r="V861" s="6">
        <f t="shared" si="139"/>
        <v>4.9526502996558195</v>
      </c>
    </row>
    <row r="862" spans="1:22" x14ac:dyDescent="0.15">
      <c r="A862">
        <v>857</v>
      </c>
      <c r="B862" s="6">
        <f>首页!$B$4+2*A862/1000</f>
        <v>1.8340000000000001</v>
      </c>
      <c r="C862" s="6">
        <f>首页!$B$7+273.15</f>
        <v>388.15</v>
      </c>
      <c r="D862" s="6">
        <f>首页!$B$6+273.15</f>
        <v>293.14999999999998</v>
      </c>
      <c r="E862" s="6">
        <f>首页!$B$5+273.15</f>
        <v>1373.15</v>
      </c>
      <c r="F862" s="6">
        <f t="shared" si="130"/>
        <v>95</v>
      </c>
      <c r="G862" s="6">
        <f t="shared" si="131"/>
        <v>340.65</v>
      </c>
      <c r="H862" s="6">
        <f t="shared" si="132"/>
        <v>1.9926207055139041E-5</v>
      </c>
      <c r="I862" s="7">
        <f t="shared" si="133"/>
        <v>1158916576932337.8</v>
      </c>
      <c r="J862" s="6">
        <f t="shared" si="134"/>
        <v>1.0226038455893147</v>
      </c>
      <c r="K862" s="7">
        <f>J862*H862*首页!$B$12/P862</f>
        <v>0.69532757496605813</v>
      </c>
      <c r="L862" s="6">
        <f>首页!$B$9*0.0000000567*((C862^4-D862^4)/(C862-D862))</f>
        <v>7.7687338005019564</v>
      </c>
      <c r="M862" s="6">
        <f>IF(首页!$B$13="自然对流",IF(首页!$B$14="立式圆筒",首页!$B$10,PI()*B862/2),PI()*B862/2)</f>
        <v>55.2</v>
      </c>
      <c r="N862" s="7">
        <f>IF(首页!$B$13="强制对流",首页!$B$11*M862/H862,0)</f>
        <v>0</v>
      </c>
      <c r="O862" s="7">
        <f>IF(首页!$B$13="自然对流",IF(首页!$B$14="立式圆筒",(0.825+0.3063*I862^(1/6))^2+0.87*(M862/B862),(0.752+0.303*I862^(1/6))^2),0.3+SQRT((0.592*N862^0.5)^2+(0.0262*N862^0.8/(1-0.5/N862^0.1))^2))</f>
        <v>10045.392890066852</v>
      </c>
      <c r="P862" s="6">
        <f t="shared" si="135"/>
        <v>2.9510194925512497E-2</v>
      </c>
      <c r="Q862" s="6">
        <f t="shared" si="136"/>
        <v>5.3703170704570669</v>
      </c>
      <c r="R862" s="6">
        <f t="shared" si="137"/>
        <v>13.139050870959023</v>
      </c>
      <c r="S862" s="6">
        <f>IF($Y$2="按单位面积散热损失 qp",B862*LN(B862/首页!$B$4),LN(B862/首页!$B$4))</f>
        <v>5.0008831770030238</v>
      </c>
      <c r="T862" s="6">
        <f>IF($Y$2="按单位面积散热损失 qp",2*PI()*首页!$B$8*((E862-D862)/$Y$3-1/R862),2*PI()*首页!$B$8*((E862-D862)/$Y$4-1/(PI()*B862*R862)))</f>
        <v>4.0780417406323287E-2</v>
      </c>
      <c r="U862" t="str">
        <f t="shared" si="138"/>
        <v>按单位面积散热损失 qp</v>
      </c>
      <c r="V862" s="6">
        <f t="shared" si="139"/>
        <v>4.9601027595967002</v>
      </c>
    </row>
    <row r="863" spans="1:22" x14ac:dyDescent="0.15">
      <c r="A863">
        <v>858</v>
      </c>
      <c r="B863" s="6">
        <f>首页!$B$4+2*A863/1000</f>
        <v>1.8359999999999999</v>
      </c>
      <c r="C863" s="6">
        <f>首页!$B$7+273.15</f>
        <v>388.15</v>
      </c>
      <c r="D863" s="6">
        <f>首页!$B$6+273.15</f>
        <v>293.14999999999998</v>
      </c>
      <c r="E863" s="6">
        <f>首页!$B$5+273.15</f>
        <v>1373.15</v>
      </c>
      <c r="F863" s="6">
        <f t="shared" si="130"/>
        <v>95</v>
      </c>
      <c r="G863" s="6">
        <f t="shared" si="131"/>
        <v>340.65</v>
      </c>
      <c r="H863" s="6">
        <f t="shared" si="132"/>
        <v>1.9926207055139041E-5</v>
      </c>
      <c r="I863" s="7">
        <f t="shared" si="133"/>
        <v>1158916576932337.8</v>
      </c>
      <c r="J863" s="6">
        <f t="shared" si="134"/>
        <v>1.0226038455893147</v>
      </c>
      <c r="K863" s="7">
        <f>J863*H863*首页!$B$12/P863</f>
        <v>0.69532757496605813</v>
      </c>
      <c r="L863" s="6">
        <f>首页!$B$9*0.0000000567*((C863^4-D863^4)/(C863-D863))</f>
        <v>7.7687338005019564</v>
      </c>
      <c r="M863" s="6">
        <f>IF(首页!$B$13="自然对流",IF(首页!$B$14="立式圆筒",首页!$B$10,PI()*B863/2),PI()*B863/2)</f>
        <v>55.2</v>
      </c>
      <c r="N863" s="7">
        <f>IF(首页!$B$13="强制对流",首页!$B$11*M863/H863,0)</f>
        <v>0</v>
      </c>
      <c r="O863" s="7">
        <f>IF(首页!$B$13="自然对流",IF(首页!$B$14="立式圆筒",(0.825+0.3063*I863^(1/6))^2+0.87*(M863/B863),(0.752+0.303*I863^(1/6))^2),0.3+SQRT((0.592*N863^0.5)^2+(0.0262*N863^0.8/(1-0.5/N863^0.1))^2))</f>
        <v>10045.364365679998</v>
      </c>
      <c r="P863" s="6">
        <f t="shared" si="135"/>
        <v>2.9510194925512497E-2</v>
      </c>
      <c r="Q863" s="6">
        <f t="shared" si="136"/>
        <v>5.3703018211777884</v>
      </c>
      <c r="R863" s="6">
        <f t="shared" si="137"/>
        <v>13.139035621679746</v>
      </c>
      <c r="S863" s="6">
        <f>IF($Y$2="按单位面积散热损失 qp",B863*LN(B863/首页!$B$4),LN(B863/首页!$B$4))</f>
        <v>5.008337792939443</v>
      </c>
      <c r="T863" s="6">
        <f>IF($Y$2="按单位面积散热损失 qp",2*PI()*首页!$B$8*((E863-D863)/$Y$3-1/R863),2*PI()*首页!$B$8*((E863-D863)/$Y$4-1/(PI()*B863*R863)))</f>
        <v>4.0780392430821849E-2</v>
      </c>
      <c r="U863" t="str">
        <f t="shared" si="138"/>
        <v>按单位面积散热损失 qp</v>
      </c>
      <c r="V863" s="6">
        <f t="shared" si="139"/>
        <v>4.9675574005086212</v>
      </c>
    </row>
    <row r="864" spans="1:22" x14ac:dyDescent="0.15">
      <c r="A864">
        <v>859</v>
      </c>
      <c r="B864" s="6">
        <f>首页!$B$4+2*A864/1000</f>
        <v>1.8380000000000001</v>
      </c>
      <c r="C864" s="6">
        <f>首页!$B$7+273.15</f>
        <v>388.15</v>
      </c>
      <c r="D864" s="6">
        <f>首页!$B$6+273.15</f>
        <v>293.14999999999998</v>
      </c>
      <c r="E864" s="6">
        <f>首页!$B$5+273.15</f>
        <v>1373.15</v>
      </c>
      <c r="F864" s="6">
        <f t="shared" si="130"/>
        <v>95</v>
      </c>
      <c r="G864" s="6">
        <f t="shared" si="131"/>
        <v>340.65</v>
      </c>
      <c r="H864" s="6">
        <f t="shared" si="132"/>
        <v>1.9926207055139041E-5</v>
      </c>
      <c r="I864" s="7">
        <f t="shared" si="133"/>
        <v>1158916576932337.8</v>
      </c>
      <c r="J864" s="6">
        <f t="shared" si="134"/>
        <v>1.0226038455893147</v>
      </c>
      <c r="K864" s="7">
        <f>J864*H864*首页!$B$12/P864</f>
        <v>0.69532757496605813</v>
      </c>
      <c r="L864" s="6">
        <f>首页!$B$9*0.0000000567*((C864^4-D864^4)/(C864-D864))</f>
        <v>7.7687338005019564</v>
      </c>
      <c r="M864" s="6">
        <f>IF(首页!$B$13="自然对流",IF(首页!$B$14="立式圆筒",首页!$B$10,PI()*B864/2),PI()*B864/2)</f>
        <v>55.2</v>
      </c>
      <c r="N864" s="7">
        <f>IF(首页!$B$13="强制对流",首页!$B$11*M864/H864,0)</f>
        <v>0</v>
      </c>
      <c r="O864" s="7">
        <f>IF(首页!$B$13="自然对流",IF(首页!$B$14="立式圆筒",(0.825+0.3063*I864^(1/6))^2+0.87*(M864/B864),(0.752+0.303*I864^(1/6))^2),0.3+SQRT((0.592*N864^0.5)^2+(0.0262*N864^0.8/(1-0.5/N864^0.1))^2))</f>
        <v>10045.335903370156</v>
      </c>
      <c r="P864" s="6">
        <f t="shared" si="135"/>
        <v>2.9510194925512497E-2</v>
      </c>
      <c r="Q864" s="6">
        <f t="shared" si="136"/>
        <v>5.3702866050851901</v>
      </c>
      <c r="R864" s="6">
        <f t="shared" si="137"/>
        <v>13.139020405587146</v>
      </c>
      <c r="S864" s="6">
        <f>IF($Y$2="按单位面积散热损失 qp",B864*LN(B864/首页!$B$4),LN(B864/首页!$B$4))</f>
        <v>5.0157945875255319</v>
      </c>
      <c r="T864" s="6">
        <f>IF($Y$2="按单位面积散热损失 qp",2*PI()*首页!$B$8*((E864-D864)/$Y$3-1/R864),2*PI()*首页!$B$8*((E864-D864)/$Y$4-1/(PI()*B864*R864)))</f>
        <v>4.0780367509616292E-2</v>
      </c>
      <c r="U864" t="str">
        <f t="shared" si="138"/>
        <v>按单位面积散热损失 qp</v>
      </c>
      <c r="V864" s="6">
        <f t="shared" si="139"/>
        <v>4.9750142200159155</v>
      </c>
    </row>
    <row r="865" spans="1:22" x14ac:dyDescent="0.15">
      <c r="A865">
        <v>860</v>
      </c>
      <c r="B865" s="6">
        <f>首页!$B$4+2*A865/1000</f>
        <v>1.8399999999999999</v>
      </c>
      <c r="C865" s="6">
        <f>首页!$B$7+273.15</f>
        <v>388.15</v>
      </c>
      <c r="D865" s="6">
        <f>首页!$B$6+273.15</f>
        <v>293.14999999999998</v>
      </c>
      <c r="E865" s="6">
        <f>首页!$B$5+273.15</f>
        <v>1373.15</v>
      </c>
      <c r="F865" s="6">
        <f t="shared" si="130"/>
        <v>95</v>
      </c>
      <c r="G865" s="6">
        <f t="shared" si="131"/>
        <v>340.65</v>
      </c>
      <c r="H865" s="6">
        <f t="shared" si="132"/>
        <v>1.9926207055139041E-5</v>
      </c>
      <c r="I865" s="7">
        <f t="shared" si="133"/>
        <v>1158916576932337.8</v>
      </c>
      <c r="J865" s="6">
        <f t="shared" si="134"/>
        <v>1.0226038455893147</v>
      </c>
      <c r="K865" s="7">
        <f>J865*H865*首页!$B$12/P865</f>
        <v>0.69532757496605813</v>
      </c>
      <c r="L865" s="6">
        <f>首页!$B$9*0.0000000567*((C865^4-D865^4)/(C865-D865))</f>
        <v>7.7687338005019564</v>
      </c>
      <c r="M865" s="6">
        <f>IF(首页!$B$13="自然对流",IF(首页!$B$14="立式圆筒",首页!$B$10,PI()*B865/2),PI()*B865/2)</f>
        <v>55.2</v>
      </c>
      <c r="N865" s="7">
        <f>IF(首页!$B$13="强制对流",首页!$B$11*M865/H865,0)</f>
        <v>0</v>
      </c>
      <c r="O865" s="7">
        <f>IF(首页!$B$13="自然对流",IF(首页!$B$14="立式圆筒",(0.825+0.3063*I865^(1/6))^2+0.87*(M865/B865),(0.752+0.303*I865^(1/6))^2),0.3+SQRT((0.592*N865^0.5)^2+(0.0262*N865^0.8/(1-0.5/N865^0.1))^2))</f>
        <v>10045.3075029349</v>
      </c>
      <c r="P865" s="6">
        <f t="shared" si="135"/>
        <v>2.9510194925512497E-2</v>
      </c>
      <c r="Q865" s="6">
        <f t="shared" si="136"/>
        <v>5.3702714220710526</v>
      </c>
      <c r="R865" s="6">
        <f t="shared" si="137"/>
        <v>13.139005222573008</v>
      </c>
      <c r="S865" s="6">
        <f>IF($Y$2="按单位面积散热损失 qp",B865*LN(B865/首页!$B$4),LN(B865/首页!$B$4))</f>
        <v>5.0232535583906124</v>
      </c>
      <c r="T865" s="6">
        <f>IF($Y$2="按单位面积散热损失 qp",2*PI()*首页!$B$8*((E865-D865)/$Y$3-1/R865),2*PI()*首页!$B$8*((E865-D865)/$Y$4-1/(PI()*B865*R865)))</f>
        <v>4.0780342642529721E-2</v>
      </c>
      <c r="U865" t="str">
        <f t="shared" si="138"/>
        <v>按单位面积散热损失 qp</v>
      </c>
      <c r="V865" s="6">
        <f t="shared" si="139"/>
        <v>4.9824732157480831</v>
      </c>
    </row>
    <row r="866" spans="1:22" x14ac:dyDescent="0.15">
      <c r="A866">
        <v>861</v>
      </c>
      <c r="B866" s="6">
        <f>首页!$B$4+2*A866/1000</f>
        <v>1.8420000000000001</v>
      </c>
      <c r="C866" s="6">
        <f>首页!$B$7+273.15</f>
        <v>388.15</v>
      </c>
      <c r="D866" s="6">
        <f>首页!$B$6+273.15</f>
        <v>293.14999999999998</v>
      </c>
      <c r="E866" s="6">
        <f>首页!$B$5+273.15</f>
        <v>1373.15</v>
      </c>
      <c r="F866" s="6">
        <f t="shared" si="130"/>
        <v>95</v>
      </c>
      <c r="G866" s="6">
        <f t="shared" si="131"/>
        <v>340.65</v>
      </c>
      <c r="H866" s="6">
        <f t="shared" si="132"/>
        <v>1.9926207055139041E-5</v>
      </c>
      <c r="I866" s="7">
        <f t="shared" si="133"/>
        <v>1158916576932337.8</v>
      </c>
      <c r="J866" s="6">
        <f t="shared" si="134"/>
        <v>1.0226038455893147</v>
      </c>
      <c r="K866" s="7">
        <f>J866*H866*首页!$B$12/P866</f>
        <v>0.69532757496605813</v>
      </c>
      <c r="L866" s="6">
        <f>首页!$B$9*0.0000000567*((C866^4-D866^4)/(C866-D866))</f>
        <v>7.7687338005019564</v>
      </c>
      <c r="M866" s="6">
        <f>IF(首页!$B$13="自然对流",IF(首页!$B$14="立式圆筒",首页!$B$10,PI()*B866/2),PI()*B866/2)</f>
        <v>55.2</v>
      </c>
      <c r="N866" s="7">
        <f>IF(首页!$B$13="强制对流",首页!$B$11*M866/H866,0)</f>
        <v>0</v>
      </c>
      <c r="O866" s="7">
        <f>IF(首页!$B$13="自然对流",IF(首页!$B$14="立式圆筒",(0.825+0.3063*I866^(1/6))^2+0.87*(M866/B866),(0.752+0.303*I866^(1/6))^2),0.3+SQRT((0.592*N866^0.5)^2+(0.0262*N866^0.8/(1-0.5/N866^0.1))^2))</f>
        <v>10045.279164172685</v>
      </c>
      <c r="P866" s="6">
        <f t="shared" si="135"/>
        <v>2.9510194925512497E-2</v>
      </c>
      <c r="Q866" s="6">
        <f t="shared" si="136"/>
        <v>5.3702562720276301</v>
      </c>
      <c r="R866" s="6">
        <f t="shared" si="137"/>
        <v>13.138990072529587</v>
      </c>
      <c r="S866" s="6">
        <f>IF($Y$2="按单位面积散热损失 qp",B866*LN(B866/首页!$B$4),LN(B866/首页!$B$4))</f>
        <v>5.0307147031691661</v>
      </c>
      <c r="T866" s="6">
        <f>IF($Y$2="按单位面积散热损失 qp",2*PI()*首页!$B$8*((E866-D866)/$Y$3-1/R866),2*PI()*首页!$B$8*((E866-D866)/$Y$4-1/(PI()*B866*R866)))</f>
        <v>4.078031782938607E-2</v>
      </c>
      <c r="U866" t="str">
        <f t="shared" si="138"/>
        <v>按单位面积散热损失 qp</v>
      </c>
      <c r="V866" s="6">
        <f t="shared" si="139"/>
        <v>4.9899343853397804</v>
      </c>
    </row>
    <row r="867" spans="1:22" x14ac:dyDescent="0.15">
      <c r="A867">
        <v>862</v>
      </c>
      <c r="B867" s="6">
        <f>首页!$B$4+2*A867/1000</f>
        <v>1.8439999999999999</v>
      </c>
      <c r="C867" s="6">
        <f>首页!$B$7+273.15</f>
        <v>388.15</v>
      </c>
      <c r="D867" s="6">
        <f>首页!$B$6+273.15</f>
        <v>293.14999999999998</v>
      </c>
      <c r="E867" s="6">
        <f>首页!$B$5+273.15</f>
        <v>1373.15</v>
      </c>
      <c r="F867" s="6">
        <f t="shared" si="130"/>
        <v>95</v>
      </c>
      <c r="G867" s="6">
        <f t="shared" si="131"/>
        <v>340.65</v>
      </c>
      <c r="H867" s="6">
        <f t="shared" si="132"/>
        <v>1.9926207055139041E-5</v>
      </c>
      <c r="I867" s="7">
        <f t="shared" si="133"/>
        <v>1158916576932337.8</v>
      </c>
      <c r="J867" s="6">
        <f t="shared" si="134"/>
        <v>1.0226038455893147</v>
      </c>
      <c r="K867" s="7">
        <f>J867*H867*首页!$B$12/P867</f>
        <v>0.69532757496605813</v>
      </c>
      <c r="L867" s="6">
        <f>首页!$B$9*0.0000000567*((C867^4-D867^4)/(C867-D867))</f>
        <v>7.7687338005019564</v>
      </c>
      <c r="M867" s="6">
        <f>IF(首页!$B$13="自然对流",IF(首页!$B$14="立式圆筒",首页!$B$10,PI()*B867/2),PI()*B867/2)</f>
        <v>55.2</v>
      </c>
      <c r="N867" s="7">
        <f>IF(首页!$B$13="强制对流",首页!$B$11*M867/H867,0)</f>
        <v>0</v>
      </c>
      <c r="O867" s="7">
        <f>IF(首页!$B$13="自然对流",IF(首页!$B$14="立式圆筒",(0.825+0.3063*I867^(1/6))^2+0.87*(M867/B867),(0.752+0.303*I867^(1/6))^2),0.3+SQRT((0.592*N867^0.5)^2+(0.0262*N867^0.8/(1-0.5/N867^0.1))^2))</f>
        <v>10045.250886882839</v>
      </c>
      <c r="P867" s="6">
        <f t="shared" si="135"/>
        <v>2.9510194925512497E-2</v>
      </c>
      <c r="Q867" s="6">
        <f t="shared" si="136"/>
        <v>5.3702411548476423</v>
      </c>
      <c r="R867" s="6">
        <f t="shared" si="137"/>
        <v>13.1389749553496</v>
      </c>
      <c r="S867" s="6">
        <f>IF($Y$2="按单位面积散热损失 qp",B867*LN(B867/首页!$B$4),LN(B867/首页!$B$4))</f>
        <v>5.0381780195008048</v>
      </c>
      <c r="T867" s="6">
        <f>IF($Y$2="按单位面积散热损失 qp",2*PI()*首页!$B$8*((E867-D867)/$Y$3-1/R867),2*PI()*首页!$B$8*((E867-D867)/$Y$4-1/(PI()*B867*R867)))</f>
        <v>4.0780293070009979E-2</v>
      </c>
      <c r="U867" t="str">
        <f t="shared" si="138"/>
        <v>按单位面积散热损失 qp</v>
      </c>
      <c r="V867" s="6">
        <f t="shared" si="139"/>
        <v>4.9973977264307949</v>
      </c>
    </row>
    <row r="868" spans="1:22" x14ac:dyDescent="0.15">
      <c r="A868">
        <v>863</v>
      </c>
      <c r="B868" s="6">
        <f>首页!$B$4+2*A868/1000</f>
        <v>1.8460000000000001</v>
      </c>
      <c r="C868" s="6">
        <f>首页!$B$7+273.15</f>
        <v>388.15</v>
      </c>
      <c r="D868" s="6">
        <f>首页!$B$6+273.15</f>
        <v>293.14999999999998</v>
      </c>
      <c r="E868" s="6">
        <f>首页!$B$5+273.15</f>
        <v>1373.15</v>
      </c>
      <c r="F868" s="6">
        <f t="shared" si="130"/>
        <v>95</v>
      </c>
      <c r="G868" s="6">
        <f t="shared" si="131"/>
        <v>340.65</v>
      </c>
      <c r="H868" s="6">
        <f t="shared" si="132"/>
        <v>1.9926207055139041E-5</v>
      </c>
      <c r="I868" s="7">
        <f t="shared" si="133"/>
        <v>1158916576932337.8</v>
      </c>
      <c r="J868" s="6">
        <f t="shared" si="134"/>
        <v>1.0226038455893147</v>
      </c>
      <c r="K868" s="7">
        <f>J868*H868*首页!$B$12/P868</f>
        <v>0.69532757496605813</v>
      </c>
      <c r="L868" s="6">
        <f>首页!$B$9*0.0000000567*((C868^4-D868^4)/(C868-D868))</f>
        <v>7.7687338005019564</v>
      </c>
      <c r="M868" s="6">
        <f>IF(首页!$B$13="自然对流",IF(首页!$B$14="立式圆筒",首页!$B$10,PI()*B868/2),PI()*B868/2)</f>
        <v>55.2</v>
      </c>
      <c r="N868" s="7">
        <f>IF(首页!$B$13="强制对流",首页!$B$11*M868/H868,0)</f>
        <v>0</v>
      </c>
      <c r="O868" s="7">
        <f>IF(首页!$B$13="自然对流",IF(首页!$B$14="立式圆筒",(0.825+0.3063*I868^(1/6))^2+0.87*(M868/B868),(0.752+0.303*I868^(1/6))^2),0.3+SQRT((0.592*N868^0.5)^2+(0.0262*N868^0.8/(1-0.5/N868^0.1))^2))</f>
        <v>10045.22267086556</v>
      </c>
      <c r="P868" s="6">
        <f t="shared" si="135"/>
        <v>2.9510194925512497E-2</v>
      </c>
      <c r="Q868" s="6">
        <f t="shared" si="136"/>
        <v>5.3702260704242732</v>
      </c>
      <c r="R868" s="6">
        <f t="shared" si="137"/>
        <v>13.138959870926229</v>
      </c>
      <c r="S868" s="6">
        <f>IF($Y$2="按单位面积散热损失 qp",B868*LN(B868/首页!$B$4),LN(B868/首页!$B$4))</f>
        <v>5.0456435050302675</v>
      </c>
      <c r="T868" s="6">
        <f>IF($Y$2="按单位面积散热损失 qp",2*PI()*首页!$B$8*((E868-D868)/$Y$3-1/R868),2*PI()*首页!$B$8*((E868-D868)/$Y$4-1/(PI()*B868*R868)))</f>
        <v>4.0780268364226879E-2</v>
      </c>
      <c r="U868" t="str">
        <f t="shared" si="138"/>
        <v>按单位面积散热损失 qp</v>
      </c>
      <c r="V868" s="6">
        <f t="shared" si="139"/>
        <v>5.0048632366660408</v>
      </c>
    </row>
    <row r="869" spans="1:22" x14ac:dyDescent="0.15">
      <c r="A869">
        <v>864</v>
      </c>
      <c r="B869" s="6">
        <f>首页!$B$4+2*A869/1000</f>
        <v>1.8479999999999999</v>
      </c>
      <c r="C869" s="6">
        <f>首页!$B$7+273.15</f>
        <v>388.15</v>
      </c>
      <c r="D869" s="6">
        <f>首页!$B$6+273.15</f>
        <v>293.14999999999998</v>
      </c>
      <c r="E869" s="6">
        <f>首页!$B$5+273.15</f>
        <v>1373.15</v>
      </c>
      <c r="F869" s="6">
        <f t="shared" si="130"/>
        <v>95</v>
      </c>
      <c r="G869" s="6">
        <f t="shared" si="131"/>
        <v>340.65</v>
      </c>
      <c r="H869" s="6">
        <f t="shared" si="132"/>
        <v>1.9926207055139041E-5</v>
      </c>
      <c r="I869" s="7">
        <f t="shared" si="133"/>
        <v>1158916576932337.8</v>
      </c>
      <c r="J869" s="6">
        <f t="shared" si="134"/>
        <v>1.0226038455893147</v>
      </c>
      <c r="K869" s="7">
        <f>J869*H869*首页!$B$12/P869</f>
        <v>0.69532757496605813</v>
      </c>
      <c r="L869" s="6">
        <f>首页!$B$9*0.0000000567*((C869^4-D869^4)/(C869-D869))</f>
        <v>7.7687338005019564</v>
      </c>
      <c r="M869" s="6">
        <f>IF(首页!$B$13="自然对流",IF(首页!$B$14="立式圆筒",首页!$B$10,PI()*B869/2),PI()*B869/2)</f>
        <v>55.2</v>
      </c>
      <c r="N869" s="7">
        <f>IF(首页!$B$13="强制对流",首页!$B$11*M869/H869,0)</f>
        <v>0</v>
      </c>
      <c r="O869" s="7">
        <f>IF(首页!$B$13="自然对流",IF(首页!$B$14="立式圆筒",(0.825+0.3063*I869^(1/6))^2+0.87*(M869/B869),(0.752+0.303*I869^(1/6))^2),0.3+SQRT((0.592*N869^0.5)^2+(0.0262*N869^0.8/(1-0.5/N869^0.1))^2))</f>
        <v>10045.194515921912</v>
      </c>
      <c r="P869" s="6">
        <f t="shared" si="135"/>
        <v>2.9510194925512497E-2</v>
      </c>
      <c r="Q869" s="6">
        <f t="shared" si="136"/>
        <v>5.3702110186511733</v>
      </c>
      <c r="R869" s="6">
        <f t="shared" si="137"/>
        <v>13.13894481915313</v>
      </c>
      <c r="S869" s="6">
        <f>IF($Y$2="按单位面积散热损失 qp",B869*LN(B869/首页!$B$4),LN(B869/首页!$B$4))</f>
        <v>5.0531111574073897</v>
      </c>
      <c r="T869" s="6">
        <f>IF($Y$2="按单位面积散热损失 qp",2*PI()*首页!$B$8*((E869-D869)/$Y$3-1/R869),2*PI()*首页!$B$8*((E869-D869)/$Y$4-1/(PI()*B869*R869)))</f>
        <v>4.0780243711862965E-2</v>
      </c>
      <c r="U869" t="str">
        <f t="shared" si="138"/>
        <v>按单位面积散热损失 qp</v>
      </c>
      <c r="V869" s="6">
        <f t="shared" si="139"/>
        <v>5.0123309136955267</v>
      </c>
    </row>
    <row r="870" spans="1:22" x14ac:dyDescent="0.15">
      <c r="A870">
        <v>865</v>
      </c>
      <c r="B870" s="6">
        <f>首页!$B$4+2*A870/1000</f>
        <v>1.85</v>
      </c>
      <c r="C870" s="6">
        <f>首页!$B$7+273.15</f>
        <v>388.15</v>
      </c>
      <c r="D870" s="6">
        <f>首页!$B$6+273.15</f>
        <v>293.14999999999998</v>
      </c>
      <c r="E870" s="6">
        <f>首页!$B$5+273.15</f>
        <v>1373.15</v>
      </c>
      <c r="F870" s="6">
        <f t="shared" si="130"/>
        <v>95</v>
      </c>
      <c r="G870" s="6">
        <f t="shared" si="131"/>
        <v>340.65</v>
      </c>
      <c r="H870" s="6">
        <f t="shared" si="132"/>
        <v>1.9926207055139041E-5</v>
      </c>
      <c r="I870" s="7">
        <f t="shared" si="133"/>
        <v>1158916576932337.8</v>
      </c>
      <c r="J870" s="6">
        <f t="shared" si="134"/>
        <v>1.0226038455893147</v>
      </c>
      <c r="K870" s="7">
        <f>J870*H870*首页!$B$12/P870</f>
        <v>0.69532757496605813</v>
      </c>
      <c r="L870" s="6">
        <f>首页!$B$9*0.0000000567*((C870^4-D870^4)/(C870-D870))</f>
        <v>7.7687338005019564</v>
      </c>
      <c r="M870" s="6">
        <f>IF(首页!$B$13="自然对流",IF(首页!$B$14="立式圆筒",首页!$B$10,PI()*B870/2),PI()*B870/2)</f>
        <v>55.2</v>
      </c>
      <c r="N870" s="7">
        <f>IF(首页!$B$13="强制对流",首页!$B$11*M870/H870,0)</f>
        <v>0</v>
      </c>
      <c r="O870" s="7">
        <f>IF(首页!$B$13="自然对流",IF(首页!$B$14="立式圆筒",(0.825+0.3063*I870^(1/6))^2+0.87*(M870/B870),(0.752+0.303*I870^(1/6))^2),0.3+SQRT((0.592*N870^0.5)^2+(0.0262*N870^0.8/(1-0.5/N870^0.1))^2))</f>
        <v>10045.166421853819</v>
      </c>
      <c r="P870" s="6">
        <f t="shared" si="135"/>
        <v>2.9510194925512497E-2</v>
      </c>
      <c r="Q870" s="6">
        <f t="shared" si="136"/>
        <v>5.3701959994224469</v>
      </c>
      <c r="R870" s="6">
        <f t="shared" si="137"/>
        <v>13.138929799924403</v>
      </c>
      <c r="S870" s="6">
        <f>IF($Y$2="按单位面积散热损失 qp",B870*LN(B870/首页!$B$4),LN(B870/首页!$B$4))</f>
        <v>5.0605809742871006</v>
      </c>
      <c r="T870" s="6">
        <f>IF($Y$2="按单位面积散热损失 qp",2*PI()*首页!$B$8*((E870-D870)/$Y$3-1/R870),2*PI()*首页!$B$8*((E870-D870)/$Y$4-1/(PI()*B870*R870)))</f>
        <v>4.078021911274516E-2</v>
      </c>
      <c r="U870" t="str">
        <f t="shared" si="138"/>
        <v>按单位面积散热损失 qp</v>
      </c>
      <c r="V870" s="6">
        <f t="shared" si="139"/>
        <v>5.0198007551743551</v>
      </c>
    </row>
    <row r="871" spans="1:22" x14ac:dyDescent="0.15">
      <c r="A871">
        <v>866</v>
      </c>
      <c r="B871" s="6">
        <f>首页!$B$4+2*A871/1000</f>
        <v>1.8519999999999999</v>
      </c>
      <c r="C871" s="6">
        <f>首页!$B$7+273.15</f>
        <v>388.15</v>
      </c>
      <c r="D871" s="6">
        <f>首页!$B$6+273.15</f>
        <v>293.14999999999998</v>
      </c>
      <c r="E871" s="6">
        <f>首页!$B$5+273.15</f>
        <v>1373.15</v>
      </c>
      <c r="F871" s="6">
        <f t="shared" si="130"/>
        <v>95</v>
      </c>
      <c r="G871" s="6">
        <f t="shared" si="131"/>
        <v>340.65</v>
      </c>
      <c r="H871" s="6">
        <f t="shared" si="132"/>
        <v>1.9926207055139041E-5</v>
      </c>
      <c r="I871" s="7">
        <f t="shared" si="133"/>
        <v>1158916576932337.8</v>
      </c>
      <c r="J871" s="6">
        <f t="shared" si="134"/>
        <v>1.0226038455893147</v>
      </c>
      <c r="K871" s="7">
        <f>J871*H871*首页!$B$12/P871</f>
        <v>0.69532757496605813</v>
      </c>
      <c r="L871" s="6">
        <f>首页!$B$9*0.0000000567*((C871^4-D871^4)/(C871-D871))</f>
        <v>7.7687338005019564</v>
      </c>
      <c r="M871" s="6">
        <f>IF(首页!$B$13="自然对流",IF(首页!$B$14="立式圆筒",首页!$B$10,PI()*B871/2),PI()*B871/2)</f>
        <v>55.2</v>
      </c>
      <c r="N871" s="7">
        <f>IF(首页!$B$13="强制对流",首页!$B$11*M871/H871,0)</f>
        <v>0</v>
      </c>
      <c r="O871" s="7">
        <f>IF(首页!$B$13="自然对流",IF(首页!$B$14="立式圆筒",(0.825+0.3063*I871^(1/6))^2+0.87*(M871/B871),(0.752+0.303*I871^(1/6))^2),0.3+SQRT((0.592*N871^0.5)^2+(0.0262*N871^0.8/(1-0.5/N871^0.1))^2))</f>
        <v>10045.138388464058</v>
      </c>
      <c r="P871" s="6">
        <f t="shared" si="135"/>
        <v>2.9510194925512497E-2</v>
      </c>
      <c r="Q871" s="6">
        <f t="shared" si="136"/>
        <v>5.370181012632659</v>
      </c>
      <c r="R871" s="6">
        <f t="shared" si="137"/>
        <v>13.138914813134615</v>
      </c>
      <c r="S871" s="6">
        <f>IF($Y$2="按单位面积散热损失 qp",B871*LN(B871/首页!$B$4),LN(B871/首页!$B$4))</f>
        <v>5.068052953329393</v>
      </c>
      <c r="T871" s="6">
        <f>IF($Y$2="按单位面积散热损失 qp",2*PI()*首页!$B$8*((E871-D871)/$Y$3-1/R871),2*PI()*首页!$B$8*((E871-D871)/$Y$4-1/(PI()*B871*R871)))</f>
        <v>4.0780194566701136E-2</v>
      </c>
      <c r="U871" t="str">
        <f t="shared" si="138"/>
        <v>按单位面积散热损失 qp</v>
      </c>
      <c r="V871" s="6">
        <f t="shared" si="139"/>
        <v>5.0272727587626918</v>
      </c>
    </row>
    <row r="872" spans="1:22" x14ac:dyDescent="0.15">
      <c r="A872">
        <v>867</v>
      </c>
      <c r="B872" s="6">
        <f>首页!$B$4+2*A872/1000</f>
        <v>1.8540000000000001</v>
      </c>
      <c r="C872" s="6">
        <f>首页!$B$7+273.15</f>
        <v>388.15</v>
      </c>
      <c r="D872" s="6">
        <f>首页!$B$6+273.15</f>
        <v>293.14999999999998</v>
      </c>
      <c r="E872" s="6">
        <f>首页!$B$5+273.15</f>
        <v>1373.15</v>
      </c>
      <c r="F872" s="6">
        <f t="shared" si="130"/>
        <v>95</v>
      </c>
      <c r="G872" s="6">
        <f t="shared" si="131"/>
        <v>340.65</v>
      </c>
      <c r="H872" s="6">
        <f t="shared" si="132"/>
        <v>1.9926207055139041E-5</v>
      </c>
      <c r="I872" s="7">
        <f t="shared" si="133"/>
        <v>1158916576932337.8</v>
      </c>
      <c r="J872" s="6">
        <f t="shared" si="134"/>
        <v>1.0226038455893147</v>
      </c>
      <c r="K872" s="7">
        <f>J872*H872*首页!$B$12/P872</f>
        <v>0.69532757496605813</v>
      </c>
      <c r="L872" s="6">
        <f>首页!$B$9*0.0000000567*((C872^4-D872^4)/(C872-D872))</f>
        <v>7.7687338005019564</v>
      </c>
      <c r="M872" s="6">
        <f>IF(首页!$B$13="自然对流",IF(首页!$B$14="立式圆筒",首页!$B$10,PI()*B872/2),PI()*B872/2)</f>
        <v>55.2</v>
      </c>
      <c r="N872" s="7">
        <f>IF(首页!$B$13="强制对流",首页!$B$11*M872/H872,0)</f>
        <v>0</v>
      </c>
      <c r="O872" s="7">
        <f>IF(首页!$B$13="自然对流",IF(首页!$B$14="立式圆筒",(0.825+0.3063*I872^(1/6))^2+0.87*(M872/B872),(0.752+0.303*I872^(1/6))^2),0.3+SQRT((0.592*N872^0.5)^2+(0.0262*N872^0.8/(1-0.5/N872^0.1))^2))</f>
        <v>10045.110415556259</v>
      </c>
      <c r="P872" s="6">
        <f t="shared" si="135"/>
        <v>2.9510194925512497E-2</v>
      </c>
      <c r="Q872" s="6">
        <f t="shared" si="136"/>
        <v>5.3701660581768298</v>
      </c>
      <c r="R872" s="6">
        <f t="shared" si="137"/>
        <v>13.138899858678787</v>
      </c>
      <c r="S872" s="6">
        <f>IF($Y$2="按单位面积散热损失 qp",B872*LN(B872/首页!$B$4),LN(B872/首页!$B$4))</f>
        <v>5.0755270921993212</v>
      </c>
      <c r="T872" s="6">
        <f>IF($Y$2="按单位面积散热损失 qp",2*PI()*首页!$B$8*((E872-D872)/$Y$3-1/R872),2*PI()*首页!$B$8*((E872-D872)/$Y$4-1/(PI()*B872*R872)))</f>
        <v>4.078017007355933E-2</v>
      </c>
      <c r="U872" t="str">
        <f t="shared" si="138"/>
        <v>按单位面积散热损失 qp</v>
      </c>
      <c r="V872" s="6">
        <f t="shared" si="139"/>
        <v>5.0347469221257617</v>
      </c>
    </row>
    <row r="873" spans="1:22" x14ac:dyDescent="0.15">
      <c r="A873">
        <v>868</v>
      </c>
      <c r="B873" s="6">
        <f>首页!$B$4+2*A873/1000</f>
        <v>1.8559999999999999</v>
      </c>
      <c r="C873" s="6">
        <f>首页!$B$7+273.15</f>
        <v>388.15</v>
      </c>
      <c r="D873" s="6">
        <f>首页!$B$6+273.15</f>
        <v>293.14999999999998</v>
      </c>
      <c r="E873" s="6">
        <f>首页!$B$5+273.15</f>
        <v>1373.15</v>
      </c>
      <c r="F873" s="6">
        <f t="shared" si="130"/>
        <v>95</v>
      </c>
      <c r="G873" s="6">
        <f t="shared" si="131"/>
        <v>340.65</v>
      </c>
      <c r="H873" s="6">
        <f t="shared" si="132"/>
        <v>1.9926207055139041E-5</v>
      </c>
      <c r="I873" s="7">
        <f t="shared" si="133"/>
        <v>1158916576932337.8</v>
      </c>
      <c r="J873" s="6">
        <f t="shared" si="134"/>
        <v>1.0226038455893147</v>
      </c>
      <c r="K873" s="7">
        <f>J873*H873*首页!$B$12/P873</f>
        <v>0.69532757496605813</v>
      </c>
      <c r="L873" s="6">
        <f>首页!$B$9*0.0000000567*((C873^4-D873^4)/(C873-D873))</f>
        <v>7.7687338005019564</v>
      </c>
      <c r="M873" s="6">
        <f>IF(首页!$B$13="自然对流",IF(首页!$B$14="立式圆筒",首页!$B$10,PI()*B873/2),PI()*B873/2)</f>
        <v>55.2</v>
      </c>
      <c r="N873" s="7">
        <f>IF(首页!$B$13="强制对流",首页!$B$11*M873/H873,0)</f>
        <v>0</v>
      </c>
      <c r="O873" s="7">
        <f>IF(首页!$B$13="自然对流",IF(首页!$B$14="立式圆筒",(0.825+0.3063*I873^(1/6))^2+0.87*(M873/B873),(0.752+0.303*I873^(1/6))^2),0.3+SQRT((0.592*N873^0.5)^2+(0.0262*N873^0.8/(1-0.5/N873^0.1))^2))</f>
        <v>10045.0825029349</v>
      </c>
      <c r="P873" s="6">
        <f t="shared" si="135"/>
        <v>2.9510194925512497E-2</v>
      </c>
      <c r="Q873" s="6">
        <f t="shared" si="136"/>
        <v>5.3701511359504321</v>
      </c>
      <c r="R873" s="6">
        <f t="shared" si="137"/>
        <v>13.138884936452389</v>
      </c>
      <c r="S873" s="6">
        <f>IF($Y$2="按单位面积散热损失 qp",B873*LN(B873/首页!$B$4),LN(B873/首页!$B$4))</f>
        <v>5.0830033885669685</v>
      </c>
      <c r="T873" s="6">
        <f>IF($Y$2="按单位面积散热损失 qp",2*PI()*首页!$B$8*((E873-D873)/$Y$3-1/R873),2*PI()*首页!$B$8*((E873-D873)/$Y$4-1/(PI()*B873*R873)))</f>
        <v>4.0780145633148884E-2</v>
      </c>
      <c r="U873" t="str">
        <f t="shared" si="138"/>
        <v>按单位面积散热损失 qp</v>
      </c>
      <c r="V873" s="6">
        <f t="shared" si="139"/>
        <v>5.0422232429338196</v>
      </c>
    </row>
    <row r="874" spans="1:22" x14ac:dyDescent="0.15">
      <c r="A874">
        <v>869</v>
      </c>
      <c r="B874" s="6">
        <f>首页!$B$4+2*A874/1000</f>
        <v>1.8580000000000001</v>
      </c>
      <c r="C874" s="6">
        <f>首页!$B$7+273.15</f>
        <v>388.15</v>
      </c>
      <c r="D874" s="6">
        <f>首页!$B$6+273.15</f>
        <v>293.14999999999998</v>
      </c>
      <c r="E874" s="6">
        <f>首页!$B$5+273.15</f>
        <v>1373.15</v>
      </c>
      <c r="F874" s="6">
        <f t="shared" si="130"/>
        <v>95</v>
      </c>
      <c r="G874" s="6">
        <f t="shared" si="131"/>
        <v>340.65</v>
      </c>
      <c r="H874" s="6">
        <f t="shared" si="132"/>
        <v>1.9926207055139041E-5</v>
      </c>
      <c r="I874" s="7">
        <f t="shared" si="133"/>
        <v>1158916576932337.8</v>
      </c>
      <c r="J874" s="6">
        <f t="shared" si="134"/>
        <v>1.0226038455893147</v>
      </c>
      <c r="K874" s="7">
        <f>J874*H874*首页!$B$12/P874</f>
        <v>0.69532757496605813</v>
      </c>
      <c r="L874" s="6">
        <f>首页!$B$9*0.0000000567*((C874^4-D874^4)/(C874-D874))</f>
        <v>7.7687338005019564</v>
      </c>
      <c r="M874" s="6">
        <f>IF(首页!$B$13="自然对流",IF(首页!$B$14="立式圆筒",首页!$B$10,PI()*B874/2),PI()*B874/2)</f>
        <v>55.2</v>
      </c>
      <c r="N874" s="7">
        <f>IF(首页!$B$13="强制对流",首页!$B$11*M874/H874,0)</f>
        <v>0</v>
      </c>
      <c r="O874" s="7">
        <f>IF(首页!$B$13="自然对流",IF(首页!$B$14="立式圆筒",(0.825+0.3063*I874^(1/6))^2+0.87*(M874/B874),(0.752+0.303*I874^(1/6))^2),0.3+SQRT((0.592*N874^0.5)^2+(0.0262*N874^0.8/(1-0.5/N874^0.1))^2))</f>
        <v>10045.054650405298</v>
      </c>
      <c r="P874" s="6">
        <f t="shared" si="135"/>
        <v>2.9510194925512497E-2</v>
      </c>
      <c r="Q874" s="6">
        <f t="shared" si="136"/>
        <v>5.3701362458493866</v>
      </c>
      <c r="R874" s="6">
        <f t="shared" si="137"/>
        <v>13.138870046351343</v>
      </c>
      <c r="S874" s="6">
        <f>IF($Y$2="按单位面积散热损失 qp",B874*LN(B874/首页!$B$4),LN(B874/首页!$B$4))</f>
        <v>5.090481840107449</v>
      </c>
      <c r="T874" s="6">
        <f>IF($Y$2="按单位面积散热损失 qp",2*PI()*首页!$B$8*((E874-D874)/$Y$3-1/R874),2*PI()*首页!$B$8*((E874-D874)/$Y$4-1/(PI()*B874*R874)))</f>
        <v>4.0780121245299707E-2</v>
      </c>
      <c r="U874" t="str">
        <f t="shared" si="138"/>
        <v>按单位面积散热损失 qp</v>
      </c>
      <c r="V874" s="6">
        <f t="shared" si="139"/>
        <v>5.0497017188621491</v>
      </c>
    </row>
    <row r="875" spans="1:22" x14ac:dyDescent="0.15">
      <c r="A875">
        <v>870</v>
      </c>
      <c r="B875" s="6">
        <f>首页!$B$4+2*A875/1000</f>
        <v>1.8599999999999999</v>
      </c>
      <c r="C875" s="6">
        <f>首页!$B$7+273.15</f>
        <v>388.15</v>
      </c>
      <c r="D875" s="6">
        <f>首页!$B$6+273.15</f>
        <v>293.14999999999998</v>
      </c>
      <c r="E875" s="6">
        <f>首页!$B$5+273.15</f>
        <v>1373.15</v>
      </c>
      <c r="F875" s="6">
        <f t="shared" si="130"/>
        <v>95</v>
      </c>
      <c r="G875" s="6">
        <f t="shared" si="131"/>
        <v>340.65</v>
      </c>
      <c r="H875" s="6">
        <f t="shared" si="132"/>
        <v>1.9926207055139041E-5</v>
      </c>
      <c r="I875" s="7">
        <f t="shared" si="133"/>
        <v>1158916576932337.8</v>
      </c>
      <c r="J875" s="6">
        <f t="shared" si="134"/>
        <v>1.0226038455893147</v>
      </c>
      <c r="K875" s="7">
        <f>J875*H875*首页!$B$12/P875</f>
        <v>0.69532757496605813</v>
      </c>
      <c r="L875" s="6">
        <f>首页!$B$9*0.0000000567*((C875^4-D875^4)/(C875-D875))</f>
        <v>7.7687338005019564</v>
      </c>
      <c r="M875" s="6">
        <f>IF(首页!$B$13="自然对流",IF(首页!$B$14="立式圆筒",首页!$B$10,PI()*B875/2),PI()*B875/2)</f>
        <v>55.2</v>
      </c>
      <c r="N875" s="7">
        <f>IF(首页!$B$13="强制对流",首页!$B$11*M875/H875,0)</f>
        <v>0</v>
      </c>
      <c r="O875" s="7">
        <f>IF(首页!$B$13="自然对流",IF(首页!$B$14="立式圆筒",(0.825+0.3063*I875^(1/6))^2+0.87*(M875/B875),(0.752+0.303*I875^(1/6))^2),0.3+SQRT((0.592*N875^0.5)^2+(0.0262*N875^0.8/(1-0.5/N875^0.1))^2))</f>
        <v>10045.02685777361</v>
      </c>
      <c r="P875" s="6">
        <f t="shared" si="135"/>
        <v>2.9510194925512497E-2</v>
      </c>
      <c r="Q875" s="6">
        <f t="shared" si="136"/>
        <v>5.3701213877700633</v>
      </c>
      <c r="R875" s="6">
        <f t="shared" si="137"/>
        <v>13.13885518827202</v>
      </c>
      <c r="S875" s="6">
        <f>IF($Y$2="按单位面积散热损失 qp",B875*LN(B875/首页!$B$4),LN(B875/首页!$B$4))</f>
        <v>5.0979624445008733</v>
      </c>
      <c r="T875" s="6">
        <f>IF($Y$2="按单位面积散热损失 qp",2*PI()*首页!$B$8*((E875-D875)/$Y$3-1/R875),2*PI()*首页!$B$8*((E875-D875)/$Y$4-1/(PI()*B875*R875)))</f>
        <v>4.0780096909842412E-2</v>
      </c>
      <c r="U875" t="str">
        <f t="shared" si="138"/>
        <v>按单位面积散热损失 qp</v>
      </c>
      <c r="V875" s="6">
        <f t="shared" si="139"/>
        <v>5.0571823475910307</v>
      </c>
    </row>
    <row r="876" spans="1:22" x14ac:dyDescent="0.15">
      <c r="A876">
        <v>871</v>
      </c>
      <c r="B876" s="6">
        <f>首页!$B$4+2*A876/1000</f>
        <v>1.8620000000000001</v>
      </c>
      <c r="C876" s="6">
        <f>首页!$B$7+273.15</f>
        <v>388.15</v>
      </c>
      <c r="D876" s="6">
        <f>首页!$B$6+273.15</f>
        <v>293.14999999999998</v>
      </c>
      <c r="E876" s="6">
        <f>首页!$B$5+273.15</f>
        <v>1373.15</v>
      </c>
      <c r="F876" s="6">
        <f t="shared" si="130"/>
        <v>95</v>
      </c>
      <c r="G876" s="6">
        <f t="shared" si="131"/>
        <v>340.65</v>
      </c>
      <c r="H876" s="6">
        <f t="shared" si="132"/>
        <v>1.9926207055139041E-5</v>
      </c>
      <c r="I876" s="7">
        <f t="shared" si="133"/>
        <v>1158916576932337.8</v>
      </c>
      <c r="J876" s="6">
        <f t="shared" si="134"/>
        <v>1.0226038455893147</v>
      </c>
      <c r="K876" s="7">
        <f>J876*H876*首页!$B$12/P876</f>
        <v>0.69532757496605813</v>
      </c>
      <c r="L876" s="6">
        <f>首页!$B$9*0.0000000567*((C876^4-D876^4)/(C876-D876))</f>
        <v>7.7687338005019564</v>
      </c>
      <c r="M876" s="6">
        <f>IF(首页!$B$13="自然对流",IF(首页!$B$14="立式圆筒",首页!$B$10,PI()*B876/2),PI()*B876/2)</f>
        <v>55.2</v>
      </c>
      <c r="N876" s="7">
        <f>IF(首页!$B$13="强制对流",首页!$B$11*M876/H876,0)</f>
        <v>0</v>
      </c>
      <c r="O876" s="7">
        <f>IF(首页!$B$13="自然对流",IF(首页!$B$14="立式圆筒",(0.825+0.3063*I876^(1/6))^2+0.87*(M876/B876),(0.752+0.303*I876^(1/6))^2),0.3+SQRT((0.592*N876^0.5)^2+(0.0262*N876^0.8/(1-0.5/N876^0.1))^2))</f>
        <v>10044.999124846823</v>
      </c>
      <c r="P876" s="6">
        <f t="shared" si="135"/>
        <v>2.9510194925512497E-2</v>
      </c>
      <c r="Q876" s="6">
        <f t="shared" si="136"/>
        <v>5.3701065616092789</v>
      </c>
      <c r="R876" s="6">
        <f t="shared" si="137"/>
        <v>13.138840362111235</v>
      </c>
      <c r="S876" s="6">
        <f>IF($Y$2="按单位面积散热损失 qp",B876*LN(B876/首页!$B$4),LN(B876/首页!$B$4))</f>
        <v>5.1054451994323475</v>
      </c>
      <c r="T876" s="6">
        <f>IF($Y$2="按单位面积散热损失 qp",2*PI()*首页!$B$8*((E876-D876)/$Y$3-1/R876),2*PI()*首页!$B$8*((E876-D876)/$Y$4-1/(PI()*B876*R876)))</f>
        <v>4.0780072626608363E-2</v>
      </c>
      <c r="U876" t="str">
        <f t="shared" si="138"/>
        <v>按单位面积散热损失 qp</v>
      </c>
      <c r="V876" s="6">
        <f t="shared" si="139"/>
        <v>5.064665126805739</v>
      </c>
    </row>
    <row r="877" spans="1:22" x14ac:dyDescent="0.15">
      <c r="A877">
        <v>872</v>
      </c>
      <c r="B877" s="6">
        <f>首页!$B$4+2*A877/1000</f>
        <v>1.8639999999999999</v>
      </c>
      <c r="C877" s="6">
        <f>首页!$B$7+273.15</f>
        <v>388.15</v>
      </c>
      <c r="D877" s="6">
        <f>首页!$B$6+273.15</f>
        <v>293.14999999999998</v>
      </c>
      <c r="E877" s="6">
        <f>首页!$B$5+273.15</f>
        <v>1373.15</v>
      </c>
      <c r="F877" s="6">
        <f t="shared" si="130"/>
        <v>95</v>
      </c>
      <c r="G877" s="6">
        <f t="shared" si="131"/>
        <v>340.65</v>
      </c>
      <c r="H877" s="6">
        <f t="shared" si="132"/>
        <v>1.9926207055139041E-5</v>
      </c>
      <c r="I877" s="7">
        <f t="shared" si="133"/>
        <v>1158916576932337.8</v>
      </c>
      <c r="J877" s="6">
        <f t="shared" si="134"/>
        <v>1.0226038455893147</v>
      </c>
      <c r="K877" s="7">
        <f>J877*H877*首页!$B$12/P877</f>
        <v>0.69532757496605813</v>
      </c>
      <c r="L877" s="6">
        <f>首页!$B$9*0.0000000567*((C877^4-D877^4)/(C877-D877))</f>
        <v>7.7687338005019564</v>
      </c>
      <c r="M877" s="6">
        <f>IF(首页!$B$13="自然对流",IF(首页!$B$14="立式圆筒",首页!$B$10,PI()*B877/2),PI()*B877/2)</f>
        <v>55.2</v>
      </c>
      <c r="N877" s="7">
        <f>IF(首页!$B$13="强制对流",首页!$B$11*M877/H877,0)</f>
        <v>0</v>
      </c>
      <c r="O877" s="7">
        <f>IF(首页!$B$13="自然对流",IF(首页!$B$14="立式圆筒",(0.825+0.3063*I877^(1/6))^2+0.87*(M877/B877),(0.752+0.303*I877^(1/6))^2),0.3+SQRT((0.592*N877^0.5)^2+(0.0262*N877^0.8/(1-0.5/N877^0.1))^2))</f>
        <v>10044.971451432753</v>
      </c>
      <c r="P877" s="6">
        <f t="shared" si="135"/>
        <v>2.9510194925512497E-2</v>
      </c>
      <c r="Q877" s="6">
        <f t="shared" si="136"/>
        <v>5.3700917672642881</v>
      </c>
      <c r="R877" s="6">
        <f t="shared" si="137"/>
        <v>13.138825567766244</v>
      </c>
      <c r="S877" s="6">
        <f>IF($Y$2="按单位面积散热损失 qp",B877*LN(B877/首页!$B$4),LN(B877/首页!$B$4))</f>
        <v>5.112930102591946</v>
      </c>
      <c r="T877" s="6">
        <f>IF($Y$2="按单位面积散热损失 qp",2*PI()*首页!$B$8*((E877-D877)/$Y$3-1/R877),2*PI()*首页!$B$8*((E877-D877)/$Y$4-1/(PI()*B877*R877)))</f>
        <v>4.0780048395429633E-2</v>
      </c>
      <c r="U877" t="str">
        <f t="shared" si="138"/>
        <v>按单位面积散热损失 qp</v>
      </c>
      <c r="V877" s="6">
        <f t="shared" si="139"/>
        <v>5.0721500541965163</v>
      </c>
    </row>
    <row r="878" spans="1:22" x14ac:dyDescent="0.15">
      <c r="A878">
        <v>873</v>
      </c>
      <c r="B878" s="6">
        <f>首页!$B$4+2*A878/1000</f>
        <v>1.8660000000000001</v>
      </c>
      <c r="C878" s="6">
        <f>首页!$B$7+273.15</f>
        <v>388.15</v>
      </c>
      <c r="D878" s="6">
        <f>首页!$B$6+273.15</f>
        <v>293.14999999999998</v>
      </c>
      <c r="E878" s="6">
        <f>首页!$B$5+273.15</f>
        <v>1373.15</v>
      </c>
      <c r="F878" s="6">
        <f t="shared" si="130"/>
        <v>95</v>
      </c>
      <c r="G878" s="6">
        <f t="shared" si="131"/>
        <v>340.65</v>
      </c>
      <c r="H878" s="6">
        <f t="shared" si="132"/>
        <v>1.9926207055139041E-5</v>
      </c>
      <c r="I878" s="7">
        <f t="shared" si="133"/>
        <v>1158916576932337.8</v>
      </c>
      <c r="J878" s="6">
        <f t="shared" si="134"/>
        <v>1.0226038455893147</v>
      </c>
      <c r="K878" s="7">
        <f>J878*H878*首页!$B$12/P878</f>
        <v>0.69532757496605813</v>
      </c>
      <c r="L878" s="6">
        <f>首页!$B$9*0.0000000567*((C878^4-D878^4)/(C878-D878))</f>
        <v>7.7687338005019564</v>
      </c>
      <c r="M878" s="6">
        <f>IF(首页!$B$13="自然对流",IF(首页!$B$14="立式圆筒",首页!$B$10,PI()*B878/2),PI()*B878/2)</f>
        <v>55.2</v>
      </c>
      <c r="N878" s="7">
        <f>IF(首页!$B$13="强制对流",首页!$B$11*M878/H878,0)</f>
        <v>0</v>
      </c>
      <c r="O878" s="7">
        <f>IF(首页!$B$13="自然对流",IF(首页!$B$14="立式圆筒",(0.825+0.3063*I878^(1/6))^2+0.87*(M878/B878),(0.752+0.303*I878^(1/6))^2),0.3+SQRT((0.592*N878^0.5)^2+(0.0262*N878^0.8/(1-0.5/N878^0.1))^2))</f>
        <v>10044.943837340044</v>
      </c>
      <c r="P878" s="6">
        <f t="shared" si="135"/>
        <v>2.9510194925512497E-2</v>
      </c>
      <c r="Q878" s="6">
        <f t="shared" si="136"/>
        <v>5.370077004632793</v>
      </c>
      <c r="R878" s="6">
        <f t="shared" si="137"/>
        <v>13.138810805134749</v>
      </c>
      <c r="S878" s="6">
        <f>IF($Y$2="按单位面积散热损失 qp",B878*LN(B878/首页!$B$4),LN(B878/首页!$B$4))</f>
        <v>5.1204171516747037</v>
      </c>
      <c r="T878" s="6">
        <f>IF($Y$2="按单位面积散热损失 qp",2*PI()*首页!$B$8*((E878-D878)/$Y$3-1/R878),2*PI()*首页!$B$8*((E878-D878)/$Y$4-1/(PI()*B878*R878)))</f>
        <v>4.0780024216139008E-2</v>
      </c>
      <c r="U878" t="str">
        <f t="shared" si="138"/>
        <v>按单位面积散热损失 qp</v>
      </c>
      <c r="V878" s="6">
        <f t="shared" si="139"/>
        <v>5.0796371274585645</v>
      </c>
    </row>
    <row r="879" spans="1:22" x14ac:dyDescent="0.15">
      <c r="A879">
        <v>874</v>
      </c>
      <c r="B879" s="6">
        <f>首页!$B$4+2*A879/1000</f>
        <v>1.8679999999999999</v>
      </c>
      <c r="C879" s="6">
        <f>首页!$B$7+273.15</f>
        <v>388.15</v>
      </c>
      <c r="D879" s="6">
        <f>首页!$B$6+273.15</f>
        <v>293.14999999999998</v>
      </c>
      <c r="E879" s="6">
        <f>首页!$B$5+273.15</f>
        <v>1373.15</v>
      </c>
      <c r="F879" s="6">
        <f t="shared" si="130"/>
        <v>95</v>
      </c>
      <c r="G879" s="6">
        <f t="shared" si="131"/>
        <v>340.65</v>
      </c>
      <c r="H879" s="6">
        <f t="shared" si="132"/>
        <v>1.9926207055139041E-5</v>
      </c>
      <c r="I879" s="7">
        <f t="shared" si="133"/>
        <v>1158916576932337.8</v>
      </c>
      <c r="J879" s="6">
        <f t="shared" si="134"/>
        <v>1.0226038455893147</v>
      </c>
      <c r="K879" s="7">
        <f>J879*H879*首页!$B$12/P879</f>
        <v>0.69532757496605813</v>
      </c>
      <c r="L879" s="6">
        <f>首页!$B$9*0.0000000567*((C879^4-D879^4)/(C879-D879))</f>
        <v>7.7687338005019564</v>
      </c>
      <c r="M879" s="6">
        <f>IF(首页!$B$13="自然对流",IF(首页!$B$14="立式圆筒",首页!$B$10,PI()*B879/2),PI()*B879/2)</f>
        <v>55.2</v>
      </c>
      <c r="N879" s="7">
        <f>IF(首页!$B$13="强制对流",首页!$B$11*M879/H879,0)</f>
        <v>0</v>
      </c>
      <c r="O879" s="7">
        <f>IF(首页!$B$13="自然对流",IF(首页!$B$14="立式圆筒",(0.825+0.3063*I879^(1/6))^2+0.87*(M879/B879),(0.752+0.303*I879^(1/6))^2),0.3+SQRT((0.592*N879^0.5)^2+(0.0262*N879^0.8/(1-0.5/N879^0.1))^2))</f>
        <v>10044.916282378155</v>
      </c>
      <c r="P879" s="6">
        <f t="shared" si="135"/>
        <v>2.9510194925512497E-2</v>
      </c>
      <c r="Q879" s="6">
        <f t="shared" si="136"/>
        <v>5.3700622736129286</v>
      </c>
      <c r="R879" s="6">
        <f t="shared" si="137"/>
        <v>13.138796074114886</v>
      </c>
      <c r="S879" s="6">
        <f>IF($Y$2="按单位面积散热损失 qp",B879*LN(B879/首页!$B$4),LN(B879/首页!$B$4))</f>
        <v>5.1279063443805937</v>
      </c>
      <c r="T879" s="6">
        <f>IF($Y$2="按单位面积散热损失 qp",2*PI()*首页!$B$8*((E879-D879)/$Y$3-1/R879),2*PI()*首页!$B$8*((E879-D879)/$Y$4-1/(PI()*B879*R879)))</f>
        <v>4.0780000088570009E-2</v>
      </c>
      <c r="U879" t="str">
        <f t="shared" si="138"/>
        <v>按单位面积散热损失 qp</v>
      </c>
      <c r="V879" s="6">
        <f t="shared" si="139"/>
        <v>5.0871263442920238</v>
      </c>
    </row>
    <row r="880" spans="1:22" x14ac:dyDescent="0.15">
      <c r="A880">
        <v>875</v>
      </c>
      <c r="B880" s="6">
        <f>首页!$B$4+2*A880/1000</f>
        <v>1.87</v>
      </c>
      <c r="C880" s="6">
        <f>首页!$B$7+273.15</f>
        <v>388.15</v>
      </c>
      <c r="D880" s="6">
        <f>首页!$B$6+273.15</f>
        <v>293.14999999999998</v>
      </c>
      <c r="E880" s="6">
        <f>首页!$B$5+273.15</f>
        <v>1373.15</v>
      </c>
      <c r="F880" s="6">
        <f t="shared" si="130"/>
        <v>95</v>
      </c>
      <c r="G880" s="6">
        <f t="shared" si="131"/>
        <v>340.65</v>
      </c>
      <c r="H880" s="6">
        <f t="shared" si="132"/>
        <v>1.9926207055139041E-5</v>
      </c>
      <c r="I880" s="7">
        <f t="shared" si="133"/>
        <v>1158916576932337.8</v>
      </c>
      <c r="J880" s="6">
        <f t="shared" si="134"/>
        <v>1.0226038455893147</v>
      </c>
      <c r="K880" s="7">
        <f>J880*H880*首页!$B$12/P880</f>
        <v>0.69532757496605813</v>
      </c>
      <c r="L880" s="6">
        <f>首页!$B$9*0.0000000567*((C880^4-D880^4)/(C880-D880))</f>
        <v>7.7687338005019564</v>
      </c>
      <c r="M880" s="6">
        <f>IF(首页!$B$13="自然对流",IF(首页!$B$14="立式圆筒",首页!$B$10,PI()*B880/2),PI()*B880/2)</f>
        <v>55.2</v>
      </c>
      <c r="N880" s="7">
        <f>IF(首页!$B$13="强制对流",首页!$B$11*M880/H880,0)</f>
        <v>0</v>
      </c>
      <c r="O880" s="7">
        <f>IF(首页!$B$13="自然对流",IF(首页!$B$14="立式圆筒",(0.825+0.3063*I880^(1/6))^2+0.87*(M880/B880),(0.752+0.303*I880^(1/6))^2),0.3+SQRT((0.592*N880^0.5)^2+(0.0262*N880^0.8/(1-0.5/N880^0.1))^2))</f>
        <v>10044.88878635736</v>
      </c>
      <c r="P880" s="6">
        <f t="shared" si="135"/>
        <v>2.9510194925512497E-2</v>
      </c>
      <c r="Q880" s="6">
        <f t="shared" si="136"/>
        <v>5.3700475741032667</v>
      </c>
      <c r="R880" s="6">
        <f t="shared" si="137"/>
        <v>13.138781374605223</v>
      </c>
      <c r="S880" s="6">
        <f>IF($Y$2="按单位面积散热损失 qp",B880*LN(B880/首页!$B$4),LN(B880/首页!$B$4))</f>
        <v>5.1353976784145168</v>
      </c>
      <c r="T880" s="6">
        <f>IF($Y$2="按单位面积散热损失 qp",2*PI()*首页!$B$8*((E880-D880)/$Y$3-1/R880),2*PI()*首页!$B$8*((E880-D880)/$Y$4-1/(PI()*B880*R880)))</f>
        <v>4.0779976012556854E-2</v>
      </c>
      <c r="U880" t="str">
        <f t="shared" si="138"/>
        <v>按单位面积散热损失 qp</v>
      </c>
      <c r="V880" s="6">
        <f t="shared" si="139"/>
        <v>5.0946177024019601</v>
      </c>
    </row>
    <row r="881" spans="1:22" x14ac:dyDescent="0.15">
      <c r="A881">
        <v>876</v>
      </c>
      <c r="B881" s="6">
        <f>首页!$B$4+2*A881/1000</f>
        <v>1.8719999999999999</v>
      </c>
      <c r="C881" s="6">
        <f>首页!$B$7+273.15</f>
        <v>388.15</v>
      </c>
      <c r="D881" s="6">
        <f>首页!$B$6+273.15</f>
        <v>293.14999999999998</v>
      </c>
      <c r="E881" s="6">
        <f>首页!$B$5+273.15</f>
        <v>1373.15</v>
      </c>
      <c r="F881" s="6">
        <f t="shared" si="130"/>
        <v>95</v>
      </c>
      <c r="G881" s="6">
        <f t="shared" si="131"/>
        <v>340.65</v>
      </c>
      <c r="H881" s="6">
        <f t="shared" si="132"/>
        <v>1.9926207055139041E-5</v>
      </c>
      <c r="I881" s="7">
        <f t="shared" si="133"/>
        <v>1158916576932337.8</v>
      </c>
      <c r="J881" s="6">
        <f t="shared" si="134"/>
        <v>1.0226038455893147</v>
      </c>
      <c r="K881" s="7">
        <f>J881*H881*首页!$B$12/P881</f>
        <v>0.69532757496605813</v>
      </c>
      <c r="L881" s="6">
        <f>首页!$B$9*0.0000000567*((C881^4-D881^4)/(C881-D881))</f>
        <v>7.7687338005019564</v>
      </c>
      <c r="M881" s="6">
        <f>IF(首页!$B$13="自然对流",IF(首页!$B$14="立式圆筒",首页!$B$10,PI()*B881/2),PI()*B881/2)</f>
        <v>55.2</v>
      </c>
      <c r="N881" s="7">
        <f>IF(首页!$B$13="强制对流",首页!$B$11*M881/H881,0)</f>
        <v>0</v>
      </c>
      <c r="O881" s="7">
        <f>IF(首页!$B$13="自然对流",IF(首页!$B$14="立式圆筒",(0.825+0.3063*I881^(1/6))^2+0.87*(M881/B881),(0.752+0.303*I881^(1/6))^2),0.3+SQRT((0.592*N881^0.5)^2+(0.0262*N881^0.8/(1-0.5/N881^0.1))^2))</f>
        <v>10044.861349088746</v>
      </c>
      <c r="P881" s="6">
        <f t="shared" si="135"/>
        <v>2.9510194925512497E-2</v>
      </c>
      <c r="Q881" s="6">
        <f t="shared" si="136"/>
        <v>5.3700329060028134</v>
      </c>
      <c r="R881" s="6">
        <f t="shared" si="137"/>
        <v>13.13876670650477</v>
      </c>
      <c r="S881" s="6">
        <f>IF($Y$2="按单位面积散热损失 qp",B881*LN(B881/首页!$B$4),LN(B881/首页!$B$4))</f>
        <v>5.1428911514862792</v>
      </c>
      <c r="T881" s="6">
        <f>IF($Y$2="按单位面积散热损失 qp",2*PI()*首页!$B$8*((E881-D881)/$Y$3-1/R881),2*PI()*首页!$B$8*((E881-D881)/$Y$4-1/(PI()*B881*R881)))</f>
        <v>4.0779951987934472E-2</v>
      </c>
      <c r="U881" t="str">
        <f t="shared" si="138"/>
        <v>按单位面积散热损失 qp</v>
      </c>
      <c r="V881" s="6">
        <f t="shared" si="139"/>
        <v>5.1021111994983448</v>
      </c>
    </row>
    <row r="882" spans="1:22" x14ac:dyDescent="0.15">
      <c r="A882">
        <v>877</v>
      </c>
      <c r="B882" s="6">
        <f>首页!$B$4+2*A882/1000</f>
        <v>1.8740000000000001</v>
      </c>
      <c r="C882" s="6">
        <f>首页!$B$7+273.15</f>
        <v>388.15</v>
      </c>
      <c r="D882" s="6">
        <f>首页!$B$6+273.15</f>
        <v>293.14999999999998</v>
      </c>
      <c r="E882" s="6">
        <f>首页!$B$5+273.15</f>
        <v>1373.15</v>
      </c>
      <c r="F882" s="6">
        <f t="shared" si="130"/>
        <v>95</v>
      </c>
      <c r="G882" s="6">
        <f t="shared" si="131"/>
        <v>340.65</v>
      </c>
      <c r="H882" s="6">
        <f t="shared" si="132"/>
        <v>1.9926207055139041E-5</v>
      </c>
      <c r="I882" s="7">
        <f t="shared" si="133"/>
        <v>1158916576932337.8</v>
      </c>
      <c r="J882" s="6">
        <f t="shared" si="134"/>
        <v>1.0226038455893147</v>
      </c>
      <c r="K882" s="7">
        <f>J882*H882*首页!$B$12/P882</f>
        <v>0.69532757496605813</v>
      </c>
      <c r="L882" s="6">
        <f>首页!$B$9*0.0000000567*((C882^4-D882^4)/(C882-D882))</f>
        <v>7.7687338005019564</v>
      </c>
      <c r="M882" s="6">
        <f>IF(首页!$B$13="自然对流",IF(首页!$B$14="立式圆筒",首页!$B$10,PI()*B882/2),PI()*B882/2)</f>
        <v>55.2</v>
      </c>
      <c r="N882" s="7">
        <f>IF(首页!$B$13="强制对流",首页!$B$11*M882/H882,0)</f>
        <v>0</v>
      </c>
      <c r="O882" s="7">
        <f>IF(首页!$B$13="自然对流",IF(首页!$B$14="立式圆筒",(0.825+0.3063*I882^(1/6))^2+0.87*(M882/B882),(0.752+0.303*I882^(1/6))^2),0.3+SQRT((0.592*N882^0.5)^2+(0.0262*N882^0.8/(1-0.5/N882^0.1))^2))</f>
        <v>10044.833970384207</v>
      </c>
      <c r="P882" s="6">
        <f t="shared" si="135"/>
        <v>2.9510194925512497E-2</v>
      </c>
      <c r="Q882" s="6">
        <f t="shared" si="136"/>
        <v>5.3700182692110063</v>
      </c>
      <c r="R882" s="6">
        <f t="shared" si="137"/>
        <v>13.138752069712963</v>
      </c>
      <c r="S882" s="6">
        <f>IF($Y$2="按单位面积散热损失 qp",B882*LN(B882/首页!$B$4),LN(B882/首页!$B$4))</f>
        <v>5.1503867613105871</v>
      </c>
      <c r="T882" s="6">
        <f>IF($Y$2="按单位面积散热损失 qp",2*PI()*首页!$B$8*((E882-D882)/$Y$3-1/R882),2*PI()*首页!$B$8*((E882-D882)/$Y$4-1/(PI()*B882*R882)))</f>
        <v>4.0779928014538495E-2</v>
      </c>
      <c r="U882" t="str">
        <f t="shared" si="138"/>
        <v>按单位面积散热损失 qp</v>
      </c>
      <c r="V882" s="6">
        <f t="shared" si="139"/>
        <v>5.1096068332960485</v>
      </c>
    </row>
    <row r="883" spans="1:22" x14ac:dyDescent="0.15">
      <c r="A883">
        <v>878</v>
      </c>
      <c r="B883" s="6">
        <f>首页!$B$4+2*A883/1000</f>
        <v>1.8759999999999999</v>
      </c>
      <c r="C883" s="6">
        <f>首页!$B$7+273.15</f>
        <v>388.15</v>
      </c>
      <c r="D883" s="6">
        <f>首页!$B$6+273.15</f>
        <v>293.14999999999998</v>
      </c>
      <c r="E883" s="6">
        <f>首页!$B$5+273.15</f>
        <v>1373.15</v>
      </c>
      <c r="F883" s="6">
        <f t="shared" si="130"/>
        <v>95</v>
      </c>
      <c r="G883" s="6">
        <f t="shared" si="131"/>
        <v>340.65</v>
      </c>
      <c r="H883" s="6">
        <f t="shared" si="132"/>
        <v>1.9926207055139041E-5</v>
      </c>
      <c r="I883" s="7">
        <f t="shared" si="133"/>
        <v>1158916576932337.8</v>
      </c>
      <c r="J883" s="6">
        <f t="shared" si="134"/>
        <v>1.0226038455893147</v>
      </c>
      <c r="K883" s="7">
        <f>J883*H883*首页!$B$12/P883</f>
        <v>0.69532757496605813</v>
      </c>
      <c r="L883" s="6">
        <f>首页!$B$9*0.0000000567*((C883^4-D883^4)/(C883-D883))</f>
        <v>7.7687338005019564</v>
      </c>
      <c r="M883" s="6">
        <f>IF(首页!$B$13="自然对流",IF(首页!$B$14="立式圆筒",首页!$B$10,PI()*B883/2),PI()*B883/2)</f>
        <v>55.2</v>
      </c>
      <c r="N883" s="7">
        <f>IF(首页!$B$13="强制对流",首页!$B$11*M883/H883,0)</f>
        <v>0</v>
      </c>
      <c r="O883" s="7">
        <f>IF(首页!$B$13="自然对流",IF(首页!$B$14="立式圆筒",(0.825+0.3063*I883^(1/6))^2+0.87*(M883/B883),(0.752+0.303*I883^(1/6))^2),0.3+SQRT((0.592*N883^0.5)^2+(0.0262*N883^0.8/(1-0.5/N883^0.1))^2))</f>
        <v>10044.806650056435</v>
      </c>
      <c r="P883" s="6">
        <f t="shared" si="135"/>
        <v>2.9510194925512497E-2</v>
      </c>
      <c r="Q883" s="6">
        <f t="shared" si="136"/>
        <v>5.3700036636277098</v>
      </c>
      <c r="R883" s="6">
        <f t="shared" si="137"/>
        <v>13.138737464129665</v>
      </c>
      <c r="S883" s="6">
        <f>IF($Y$2="按单位面积散热损失 qp",B883*LN(B883/首页!$B$4),LN(B883/首页!$B$4))</f>
        <v>5.1578845056070168</v>
      </c>
      <c r="T883" s="6">
        <f>IF($Y$2="按单位面积散热损失 qp",2*PI()*首页!$B$8*((E883-D883)/$Y$3-1/R883),2*PI()*首页!$B$8*((E883-D883)/$Y$4-1/(PI()*B883*R883)))</f>
        <v>4.0779904092205263E-2</v>
      </c>
      <c r="U883" t="str">
        <f t="shared" si="138"/>
        <v>按单位面积散热损失 qp</v>
      </c>
      <c r="V883" s="6">
        <f t="shared" si="139"/>
        <v>5.1171046015148116</v>
      </c>
    </row>
    <row r="884" spans="1:22" x14ac:dyDescent="0.15">
      <c r="A884">
        <v>879</v>
      </c>
      <c r="B884" s="6">
        <f>首页!$B$4+2*A884/1000</f>
        <v>1.8780000000000001</v>
      </c>
      <c r="C884" s="6">
        <f>首页!$B$7+273.15</f>
        <v>388.15</v>
      </c>
      <c r="D884" s="6">
        <f>首页!$B$6+273.15</f>
        <v>293.14999999999998</v>
      </c>
      <c r="E884" s="6">
        <f>首页!$B$5+273.15</f>
        <v>1373.15</v>
      </c>
      <c r="F884" s="6">
        <f t="shared" si="130"/>
        <v>95</v>
      </c>
      <c r="G884" s="6">
        <f t="shared" si="131"/>
        <v>340.65</v>
      </c>
      <c r="H884" s="6">
        <f t="shared" si="132"/>
        <v>1.9926207055139041E-5</v>
      </c>
      <c r="I884" s="7">
        <f t="shared" si="133"/>
        <v>1158916576932337.8</v>
      </c>
      <c r="J884" s="6">
        <f t="shared" si="134"/>
        <v>1.0226038455893147</v>
      </c>
      <c r="K884" s="7">
        <f>J884*H884*首页!$B$12/P884</f>
        <v>0.69532757496605813</v>
      </c>
      <c r="L884" s="6">
        <f>首页!$B$9*0.0000000567*((C884^4-D884^4)/(C884-D884))</f>
        <v>7.7687338005019564</v>
      </c>
      <c r="M884" s="6">
        <f>IF(首页!$B$13="自然对流",IF(首页!$B$14="立式圆筒",首页!$B$10,PI()*B884/2),PI()*B884/2)</f>
        <v>55.2</v>
      </c>
      <c r="N884" s="7">
        <f>IF(首页!$B$13="强制对流",首页!$B$11*M884/H884,0)</f>
        <v>0</v>
      </c>
      <c r="O884" s="7">
        <f>IF(首页!$B$13="自然对流",IF(首页!$B$14="立式圆筒",(0.825+0.3063*I884^(1/6))^2+0.87*(M884/B884),(0.752+0.303*I884^(1/6))^2),0.3+SQRT((0.592*N884^0.5)^2+(0.0262*N884^0.8/(1-0.5/N884^0.1))^2))</f>
        <v>10044.779387918925</v>
      </c>
      <c r="P884" s="6">
        <f t="shared" si="135"/>
        <v>2.9510194925512497E-2</v>
      </c>
      <c r="Q884" s="6">
        <f t="shared" si="136"/>
        <v>5.3699890891532167</v>
      </c>
      <c r="R884" s="6">
        <f t="shared" si="137"/>
        <v>13.138722889655174</v>
      </c>
      <c r="S884" s="6">
        <f>IF($Y$2="按单位面积散热损失 qp",B884*LN(B884/首页!$B$4),LN(B884/首页!$B$4))</f>
        <v>5.1653843821000134</v>
      </c>
      <c r="T884" s="6">
        <f>IF($Y$2="按单位面积散热损失 qp",2*PI()*首页!$B$8*((E884-D884)/$Y$3-1/R884),2*PI()*首页!$B$8*((E884-D884)/$Y$4-1/(PI()*B884*R884)))</f>
        <v>4.0779880220771801E-2</v>
      </c>
      <c r="U884" t="str">
        <f t="shared" si="138"/>
        <v>按单位面积散热损失 qp</v>
      </c>
      <c r="V884" s="6">
        <f t="shared" si="139"/>
        <v>5.1246045018792419</v>
      </c>
    </row>
    <row r="885" spans="1:22" x14ac:dyDescent="0.15">
      <c r="A885">
        <v>880</v>
      </c>
      <c r="B885" s="6">
        <f>首页!$B$4+2*A885/1000</f>
        <v>1.88</v>
      </c>
      <c r="C885" s="6">
        <f>首页!$B$7+273.15</f>
        <v>388.15</v>
      </c>
      <c r="D885" s="6">
        <f>首页!$B$6+273.15</f>
        <v>293.14999999999998</v>
      </c>
      <c r="E885" s="6">
        <f>首页!$B$5+273.15</f>
        <v>1373.15</v>
      </c>
      <c r="F885" s="6">
        <f t="shared" si="130"/>
        <v>95</v>
      </c>
      <c r="G885" s="6">
        <f t="shared" si="131"/>
        <v>340.65</v>
      </c>
      <c r="H885" s="6">
        <f t="shared" si="132"/>
        <v>1.9926207055139041E-5</v>
      </c>
      <c r="I885" s="7">
        <f t="shared" si="133"/>
        <v>1158916576932337.8</v>
      </c>
      <c r="J885" s="6">
        <f t="shared" si="134"/>
        <v>1.0226038455893147</v>
      </c>
      <c r="K885" s="7">
        <f>J885*H885*首页!$B$12/P885</f>
        <v>0.69532757496605813</v>
      </c>
      <c r="L885" s="6">
        <f>首页!$B$9*0.0000000567*((C885^4-D885^4)/(C885-D885))</f>
        <v>7.7687338005019564</v>
      </c>
      <c r="M885" s="6">
        <f>IF(首页!$B$13="自然对流",IF(首页!$B$14="立式圆筒",首页!$B$10,PI()*B885/2),PI()*B885/2)</f>
        <v>55.2</v>
      </c>
      <c r="N885" s="7">
        <f>IF(首页!$B$13="强制对流",首页!$B$11*M885/H885,0)</f>
        <v>0</v>
      </c>
      <c r="O885" s="7">
        <f>IF(首页!$B$13="自然对流",IF(首页!$B$14="立式圆筒",(0.825+0.3063*I885^(1/6))^2+0.87*(M885/B885),(0.752+0.303*I885^(1/6))^2),0.3+SQRT((0.592*N885^0.5)^2+(0.0262*N885^0.8/(1-0.5/N885^0.1))^2))</f>
        <v>10044.752183785964</v>
      </c>
      <c r="P885" s="6">
        <f t="shared" si="135"/>
        <v>2.9510194925512497E-2</v>
      </c>
      <c r="Q885" s="6">
        <f t="shared" si="136"/>
        <v>5.3699745456882448</v>
      </c>
      <c r="R885" s="6">
        <f t="shared" si="137"/>
        <v>13.138708346190201</v>
      </c>
      <c r="S885" s="6">
        <f>IF($Y$2="按单位面积散热损失 qp",B885*LN(B885/首页!$B$4),LN(B885/首页!$B$4))</f>
        <v>5.1728863885188634</v>
      </c>
      <c r="T885" s="6">
        <f>IF($Y$2="按单位面积散热损失 qp",2*PI()*首页!$B$8*((E885-D885)/$Y$3-1/R885),2*PI()*首页!$B$8*((E885-D885)/$Y$4-1/(PI()*B885*R885)))</f>
        <v>4.0779856400075816E-2</v>
      </c>
      <c r="U885" t="str">
        <f t="shared" si="138"/>
        <v>按单位面积散热损失 qp</v>
      </c>
      <c r="V885" s="6">
        <f t="shared" si="139"/>
        <v>5.1321065321187875</v>
      </c>
    </row>
    <row r="886" spans="1:22" x14ac:dyDescent="0.15">
      <c r="A886">
        <v>881</v>
      </c>
      <c r="B886" s="6">
        <f>首页!$B$4+2*A886/1000</f>
        <v>1.8820000000000001</v>
      </c>
      <c r="C886" s="6">
        <f>首页!$B$7+273.15</f>
        <v>388.15</v>
      </c>
      <c r="D886" s="6">
        <f>首页!$B$6+273.15</f>
        <v>293.14999999999998</v>
      </c>
      <c r="E886" s="6">
        <f>首页!$B$5+273.15</f>
        <v>1373.15</v>
      </c>
      <c r="F886" s="6">
        <f t="shared" si="130"/>
        <v>95</v>
      </c>
      <c r="G886" s="6">
        <f t="shared" si="131"/>
        <v>340.65</v>
      </c>
      <c r="H886" s="6">
        <f t="shared" si="132"/>
        <v>1.9926207055139041E-5</v>
      </c>
      <c r="I886" s="7">
        <f t="shared" si="133"/>
        <v>1158916576932337.8</v>
      </c>
      <c r="J886" s="6">
        <f t="shared" si="134"/>
        <v>1.0226038455893147</v>
      </c>
      <c r="K886" s="7">
        <f>J886*H886*首页!$B$12/P886</f>
        <v>0.69532757496605813</v>
      </c>
      <c r="L886" s="6">
        <f>首页!$B$9*0.0000000567*((C886^4-D886^4)/(C886-D886))</f>
        <v>7.7687338005019564</v>
      </c>
      <c r="M886" s="6">
        <f>IF(首页!$B$13="自然对流",IF(首页!$B$14="立式圆筒",首页!$B$10,PI()*B886/2),PI()*B886/2)</f>
        <v>55.2</v>
      </c>
      <c r="N886" s="7">
        <f>IF(首页!$B$13="强制对流",首页!$B$11*M886/H886,0)</f>
        <v>0</v>
      </c>
      <c r="O886" s="7">
        <f>IF(首页!$B$13="自然对流",IF(首页!$B$14="立式圆筒",(0.825+0.3063*I886^(1/6))^2+0.87*(M886/B886),(0.752+0.303*I886^(1/6))^2),0.3+SQRT((0.592*N886^0.5)^2+(0.0262*N886^0.8/(1-0.5/N886^0.1))^2))</f>
        <v>10044.725037472626</v>
      </c>
      <c r="P886" s="6">
        <f t="shared" si="135"/>
        <v>2.9510194925512497E-2</v>
      </c>
      <c r="Q886" s="6">
        <f t="shared" si="136"/>
        <v>5.3699600331339319</v>
      </c>
      <c r="R886" s="6">
        <f t="shared" si="137"/>
        <v>13.138693833635887</v>
      </c>
      <c r="S886" s="6">
        <f>IF($Y$2="按单位面积散热损失 qp",B886*LN(B886/首页!$B$4),LN(B886/首页!$B$4))</f>
        <v>5.1803905225976923</v>
      </c>
      <c r="T886" s="6">
        <f>IF($Y$2="按单位面积散热损失 qp",2*PI()*首页!$B$8*((E886-D886)/$Y$3-1/R886),2*PI()*首页!$B$8*((E886-D886)/$Y$4-1/(PI()*B886*R886)))</f>
        <v>4.0779832629955763E-2</v>
      </c>
      <c r="U886" t="str">
        <f t="shared" si="138"/>
        <v>按单位面积散热损失 qp</v>
      </c>
      <c r="V886" s="6">
        <f t="shared" si="139"/>
        <v>5.1396106899677365</v>
      </c>
    </row>
    <row r="887" spans="1:22" x14ac:dyDescent="0.15">
      <c r="A887">
        <v>882</v>
      </c>
      <c r="B887" s="6">
        <f>首页!$B$4+2*A887/1000</f>
        <v>1.8839999999999999</v>
      </c>
      <c r="C887" s="6">
        <f>首页!$B$7+273.15</f>
        <v>388.15</v>
      </c>
      <c r="D887" s="6">
        <f>首页!$B$6+273.15</f>
        <v>293.14999999999998</v>
      </c>
      <c r="E887" s="6">
        <f>首页!$B$5+273.15</f>
        <v>1373.15</v>
      </c>
      <c r="F887" s="6">
        <f t="shared" si="130"/>
        <v>95</v>
      </c>
      <c r="G887" s="6">
        <f t="shared" si="131"/>
        <v>340.65</v>
      </c>
      <c r="H887" s="6">
        <f t="shared" si="132"/>
        <v>1.9926207055139041E-5</v>
      </c>
      <c r="I887" s="7">
        <f t="shared" si="133"/>
        <v>1158916576932337.8</v>
      </c>
      <c r="J887" s="6">
        <f t="shared" si="134"/>
        <v>1.0226038455893147</v>
      </c>
      <c r="K887" s="7">
        <f>J887*H887*首页!$B$12/P887</f>
        <v>0.69532757496605813</v>
      </c>
      <c r="L887" s="6">
        <f>首页!$B$9*0.0000000567*((C887^4-D887^4)/(C887-D887))</f>
        <v>7.7687338005019564</v>
      </c>
      <c r="M887" s="6">
        <f>IF(首页!$B$13="自然对流",IF(首页!$B$14="立式圆筒",首页!$B$10,PI()*B887/2),PI()*B887/2)</f>
        <v>55.2</v>
      </c>
      <c r="N887" s="7">
        <f>IF(首页!$B$13="强制对流",首页!$B$11*M887/H887,0)</f>
        <v>0</v>
      </c>
      <c r="O887" s="7">
        <f>IF(首页!$B$13="自然对流",IF(首页!$B$14="立式圆筒",(0.825+0.3063*I887^(1/6))^2+0.87*(M887/B887),(0.752+0.303*I887^(1/6))^2),0.3+SQRT((0.592*N887^0.5)^2+(0.0262*N887^0.8/(1-0.5/N887^0.1))^2))</f>
        <v>10044.697948794772</v>
      </c>
      <c r="P887" s="6">
        <f t="shared" si="135"/>
        <v>2.9510194925512497E-2</v>
      </c>
      <c r="Q887" s="6">
        <f t="shared" si="136"/>
        <v>5.3699455513918348</v>
      </c>
      <c r="R887" s="6">
        <f t="shared" si="137"/>
        <v>13.138679351893792</v>
      </c>
      <c r="S887" s="6">
        <f>IF($Y$2="按单位面积散热损失 qp",B887*LN(B887/首页!$B$4),LN(B887/首页!$B$4))</f>
        <v>5.1878967820754296</v>
      </c>
      <c r="T887" s="6">
        <f>IF($Y$2="按单位面积散热损失 qp",2*PI()*首页!$B$8*((E887-D887)/$Y$3-1/R887),2*PI()*首页!$B$8*((E887-D887)/$Y$4-1/(PI()*B887*R887)))</f>
        <v>4.0779808910250688E-2</v>
      </c>
      <c r="U887" t="str">
        <f t="shared" si="138"/>
        <v>按单位面积散热损失 qp</v>
      </c>
      <c r="V887" s="6">
        <f t="shared" si="139"/>
        <v>5.1471169731651791</v>
      </c>
    </row>
    <row r="888" spans="1:22" x14ac:dyDescent="0.15">
      <c r="A888">
        <v>883</v>
      </c>
      <c r="B888" s="6">
        <f>首页!$B$4+2*A888/1000</f>
        <v>1.8860000000000001</v>
      </c>
      <c r="C888" s="6">
        <f>首页!$B$7+273.15</f>
        <v>388.15</v>
      </c>
      <c r="D888" s="6">
        <f>首页!$B$6+273.15</f>
        <v>293.14999999999998</v>
      </c>
      <c r="E888" s="6">
        <f>首页!$B$5+273.15</f>
        <v>1373.15</v>
      </c>
      <c r="F888" s="6">
        <f t="shared" si="130"/>
        <v>95</v>
      </c>
      <c r="G888" s="6">
        <f t="shared" si="131"/>
        <v>340.65</v>
      </c>
      <c r="H888" s="6">
        <f t="shared" si="132"/>
        <v>1.9926207055139041E-5</v>
      </c>
      <c r="I888" s="7">
        <f t="shared" si="133"/>
        <v>1158916576932337.8</v>
      </c>
      <c r="J888" s="6">
        <f t="shared" si="134"/>
        <v>1.0226038455893147</v>
      </c>
      <c r="K888" s="7">
        <f>J888*H888*首页!$B$12/P888</f>
        <v>0.69532757496605813</v>
      </c>
      <c r="L888" s="6">
        <f>首页!$B$9*0.0000000567*((C888^4-D888^4)/(C888-D888))</f>
        <v>7.7687338005019564</v>
      </c>
      <c r="M888" s="6">
        <f>IF(首页!$B$13="自然对流",IF(首页!$B$14="立式圆筒",首页!$B$10,PI()*B888/2),PI()*B888/2)</f>
        <v>55.2</v>
      </c>
      <c r="N888" s="7">
        <f>IF(首页!$B$13="强制对流",首页!$B$11*M888/H888,0)</f>
        <v>0</v>
      </c>
      <c r="O888" s="7">
        <f>IF(首页!$B$13="自然对流",IF(首页!$B$14="立式圆筒",(0.825+0.3063*I888^(1/6))^2+0.87*(M888/B888),(0.752+0.303*I888^(1/6))^2),0.3+SQRT((0.592*N888^0.5)^2+(0.0262*N888^0.8/(1-0.5/N888^0.1))^2))</f>
        <v>10044.670917569047</v>
      </c>
      <c r="P888" s="6">
        <f t="shared" si="135"/>
        <v>2.9510194925512497E-2</v>
      </c>
      <c r="Q888" s="6">
        <f t="shared" si="136"/>
        <v>5.3699311003639307</v>
      </c>
      <c r="R888" s="6">
        <f t="shared" si="137"/>
        <v>13.138664900865887</v>
      </c>
      <c r="S888" s="6">
        <f>IF($Y$2="按单位面积散热损失 qp",B888*LN(B888/首页!$B$4),LN(B888/首页!$B$4))</f>
        <v>5.1954051646958188</v>
      </c>
      <c r="T888" s="6">
        <f>IF($Y$2="按单位面积散热损失 qp",2*PI()*首页!$B$8*((E888-D888)/$Y$3-1/R888),2*PI()*首页!$B$8*((E888-D888)/$Y$4-1/(PI()*B888*R888)))</f>
        <v>4.0779785240800399E-2</v>
      </c>
      <c r="U888" t="str">
        <f t="shared" si="138"/>
        <v>按单位面积散热损失 qp</v>
      </c>
      <c r="V888" s="6">
        <f t="shared" si="139"/>
        <v>5.1546253794550188</v>
      </c>
    </row>
    <row r="889" spans="1:22" x14ac:dyDescent="0.15">
      <c r="A889">
        <v>884</v>
      </c>
      <c r="B889" s="6">
        <f>首页!$B$4+2*A889/1000</f>
        <v>1.8879999999999999</v>
      </c>
      <c r="C889" s="6">
        <f>首页!$B$7+273.15</f>
        <v>388.15</v>
      </c>
      <c r="D889" s="6">
        <f>首页!$B$6+273.15</f>
        <v>293.14999999999998</v>
      </c>
      <c r="E889" s="6">
        <f>首页!$B$5+273.15</f>
        <v>1373.15</v>
      </c>
      <c r="F889" s="6">
        <f t="shared" si="130"/>
        <v>95</v>
      </c>
      <c r="G889" s="6">
        <f t="shared" si="131"/>
        <v>340.65</v>
      </c>
      <c r="H889" s="6">
        <f t="shared" si="132"/>
        <v>1.9926207055139041E-5</v>
      </c>
      <c r="I889" s="7">
        <f t="shared" si="133"/>
        <v>1158916576932337.8</v>
      </c>
      <c r="J889" s="6">
        <f t="shared" si="134"/>
        <v>1.0226038455893147</v>
      </c>
      <c r="K889" s="7">
        <f>J889*H889*首页!$B$12/P889</f>
        <v>0.69532757496605813</v>
      </c>
      <c r="L889" s="6">
        <f>首页!$B$9*0.0000000567*((C889^4-D889^4)/(C889-D889))</f>
        <v>7.7687338005019564</v>
      </c>
      <c r="M889" s="6">
        <f>IF(首页!$B$13="自然对流",IF(首页!$B$14="立式圆筒",首页!$B$10,PI()*B889/2),PI()*B889/2)</f>
        <v>55.2</v>
      </c>
      <c r="N889" s="7">
        <f>IF(首页!$B$13="强制对流",首页!$B$11*M889/H889,0)</f>
        <v>0</v>
      </c>
      <c r="O889" s="7">
        <f>IF(首页!$B$13="自然对流",IF(首页!$B$14="立式圆筒",(0.825+0.3063*I889^(1/6))^2+0.87*(M889/B889),(0.752+0.303*I889^(1/6))^2),0.3+SQRT((0.592*N889^0.5)^2+(0.0262*N889^0.8/(1-0.5/N889^0.1))^2))</f>
        <v>10044.643943612866</v>
      </c>
      <c r="P889" s="6">
        <f t="shared" si="135"/>
        <v>2.9510194925512497E-2</v>
      </c>
      <c r="Q889" s="6">
        <f t="shared" si="136"/>
        <v>5.3699166799526123</v>
      </c>
      <c r="R889" s="6">
        <f t="shared" si="137"/>
        <v>13.138650480454569</v>
      </c>
      <c r="S889" s="6">
        <f>IF($Y$2="按单位面积散热损失 qp",B889*LN(B889/首页!$B$4),LN(B889/首页!$B$4))</f>
        <v>5.2029156682073792</v>
      </c>
      <c r="T889" s="6">
        <f>IF($Y$2="按单位面积散热损失 qp",2*PI()*首页!$B$8*((E889-D889)/$Y$3-1/R889),2*PI()*首页!$B$8*((E889-D889)/$Y$4-1/(PI()*B889*R889)))</f>
        <v>4.0779761621445365E-2</v>
      </c>
      <c r="U889" t="str">
        <f t="shared" si="138"/>
        <v>按单位面积散热损失 qp</v>
      </c>
      <c r="V889" s="6">
        <f t="shared" si="139"/>
        <v>5.1621359065859336</v>
      </c>
    </row>
    <row r="890" spans="1:22" x14ac:dyDescent="0.15">
      <c r="A890">
        <v>885</v>
      </c>
      <c r="B890" s="6">
        <f>首页!$B$4+2*A890/1000</f>
        <v>1.8900000000000001</v>
      </c>
      <c r="C890" s="6">
        <f>首页!$B$7+273.15</f>
        <v>388.15</v>
      </c>
      <c r="D890" s="6">
        <f>首页!$B$6+273.15</f>
        <v>293.14999999999998</v>
      </c>
      <c r="E890" s="6">
        <f>首页!$B$5+273.15</f>
        <v>1373.15</v>
      </c>
      <c r="F890" s="6">
        <f t="shared" si="130"/>
        <v>95</v>
      </c>
      <c r="G890" s="6">
        <f t="shared" si="131"/>
        <v>340.65</v>
      </c>
      <c r="H890" s="6">
        <f t="shared" si="132"/>
        <v>1.9926207055139041E-5</v>
      </c>
      <c r="I890" s="7">
        <f t="shared" si="133"/>
        <v>1158916576932337.8</v>
      </c>
      <c r="J890" s="6">
        <f t="shared" si="134"/>
        <v>1.0226038455893147</v>
      </c>
      <c r="K890" s="7">
        <f>J890*H890*首页!$B$12/P890</f>
        <v>0.69532757496605813</v>
      </c>
      <c r="L890" s="6">
        <f>首页!$B$9*0.0000000567*((C890^4-D890^4)/(C890-D890))</f>
        <v>7.7687338005019564</v>
      </c>
      <c r="M890" s="6">
        <f>IF(首页!$B$13="自然对流",IF(首页!$B$14="立式圆筒",首页!$B$10,PI()*B890/2),PI()*B890/2)</f>
        <v>55.2</v>
      </c>
      <c r="N890" s="7">
        <f>IF(首页!$B$13="强制对流",首页!$B$11*M890/H890,0)</f>
        <v>0</v>
      </c>
      <c r="O890" s="7">
        <f>IF(首页!$B$13="自然对流",IF(首页!$B$14="立式圆筒",(0.825+0.3063*I890^(1/6))^2+0.87*(M890/B890),(0.752+0.303*I890^(1/6))^2),0.3+SQRT((0.592*N890^0.5)^2+(0.0262*N890^0.8/(1-0.5/N890^0.1))^2))</f>
        <v>10044.617026744423</v>
      </c>
      <c r="P890" s="6">
        <f t="shared" si="135"/>
        <v>2.9510194925512497E-2</v>
      </c>
      <c r="Q890" s="6">
        <f t="shared" si="136"/>
        <v>5.3699022900606828</v>
      </c>
      <c r="R890" s="6">
        <f t="shared" si="137"/>
        <v>13.138636090562638</v>
      </c>
      <c r="S890" s="6">
        <f>IF($Y$2="按单位面积散热损失 qp",B890*LN(B890/首页!$B$4),LN(B890/首页!$B$4))</f>
        <v>5.2104282903634038</v>
      </c>
      <c r="T890" s="6">
        <f>IF($Y$2="按单位面积散热损失 qp",2*PI()*首页!$B$8*((E890-D890)/$Y$3-1/R890),2*PI()*首页!$B$8*((E890-D890)/$Y$4-1/(PI()*B890*R890)))</f>
        <v>4.0779738052026678E-2</v>
      </c>
      <c r="U890" t="str">
        <f t="shared" si="138"/>
        <v>按单位面积散热损失 qp</v>
      </c>
      <c r="V890" s="6">
        <f t="shared" si="139"/>
        <v>5.1696485523113775</v>
      </c>
    </row>
    <row r="891" spans="1:22" x14ac:dyDescent="0.15">
      <c r="A891">
        <v>886</v>
      </c>
      <c r="B891" s="6">
        <f>首页!$B$4+2*A891/1000</f>
        <v>1.8919999999999999</v>
      </c>
      <c r="C891" s="6">
        <f>首页!$B$7+273.15</f>
        <v>388.15</v>
      </c>
      <c r="D891" s="6">
        <f>首页!$B$6+273.15</f>
        <v>293.14999999999998</v>
      </c>
      <c r="E891" s="6">
        <f>首页!$B$5+273.15</f>
        <v>1373.15</v>
      </c>
      <c r="F891" s="6">
        <f t="shared" si="130"/>
        <v>95</v>
      </c>
      <c r="G891" s="6">
        <f t="shared" si="131"/>
        <v>340.65</v>
      </c>
      <c r="H891" s="6">
        <f t="shared" si="132"/>
        <v>1.9926207055139041E-5</v>
      </c>
      <c r="I891" s="7">
        <f t="shared" si="133"/>
        <v>1158916576932337.8</v>
      </c>
      <c r="J891" s="6">
        <f t="shared" si="134"/>
        <v>1.0226038455893147</v>
      </c>
      <c r="K891" s="7">
        <f>J891*H891*首页!$B$12/P891</f>
        <v>0.69532757496605813</v>
      </c>
      <c r="L891" s="6">
        <f>首页!$B$9*0.0000000567*((C891^4-D891^4)/(C891-D891))</f>
        <v>7.7687338005019564</v>
      </c>
      <c r="M891" s="6">
        <f>IF(首页!$B$13="自然对流",IF(首页!$B$14="立式圆筒",首页!$B$10,PI()*B891/2),PI()*B891/2)</f>
        <v>55.2</v>
      </c>
      <c r="N891" s="7">
        <f>IF(首页!$B$13="强制对流",首页!$B$11*M891/H891,0)</f>
        <v>0</v>
      </c>
      <c r="O891" s="7">
        <f>IF(首页!$B$13="自然对流",IF(首页!$B$14="立式圆筒",(0.825+0.3063*I891^(1/6))^2+0.87*(M891/B891),(0.752+0.303*I891^(1/6))^2),0.3+SQRT((0.592*N891^0.5)^2+(0.0262*N891^0.8/(1-0.5/N891^0.1))^2))</f>
        <v>10044.59016678268</v>
      </c>
      <c r="P891" s="6">
        <f t="shared" si="135"/>
        <v>2.9510194925512497E-2</v>
      </c>
      <c r="Q891" s="6">
        <f t="shared" si="136"/>
        <v>5.369887930591358</v>
      </c>
      <c r="R891" s="6">
        <f t="shared" si="137"/>
        <v>13.138621731093314</v>
      </c>
      <c r="S891" s="6">
        <f>IF($Y$2="按单位面积散热损失 qp",B891*LN(B891/首页!$B$4),LN(B891/首页!$B$4))</f>
        <v>5.2179430289219386</v>
      </c>
      <c r="T891" s="6">
        <f>IF($Y$2="按单位面积散热损失 qp",2*PI()*首页!$B$8*((E891-D891)/$Y$3-1/R891),2*PI()*首页!$B$8*((E891-D891)/$Y$4-1/(PI()*B891*R891)))</f>
        <v>4.0779714532386171E-2</v>
      </c>
      <c r="U891" t="str">
        <f t="shared" si="138"/>
        <v>按单位面积散热损失 qp</v>
      </c>
      <c r="V891" s="6">
        <f t="shared" si="139"/>
        <v>5.1771633143895528</v>
      </c>
    </row>
    <row r="892" spans="1:22" x14ac:dyDescent="0.15">
      <c r="A892">
        <v>887</v>
      </c>
      <c r="B892" s="6">
        <f>首页!$B$4+2*A892/1000</f>
        <v>1.8940000000000001</v>
      </c>
      <c r="C892" s="6">
        <f>首页!$B$7+273.15</f>
        <v>388.15</v>
      </c>
      <c r="D892" s="6">
        <f>首页!$B$6+273.15</f>
        <v>293.14999999999998</v>
      </c>
      <c r="E892" s="6">
        <f>首页!$B$5+273.15</f>
        <v>1373.15</v>
      </c>
      <c r="F892" s="6">
        <f t="shared" si="130"/>
        <v>95</v>
      </c>
      <c r="G892" s="6">
        <f t="shared" si="131"/>
        <v>340.65</v>
      </c>
      <c r="H892" s="6">
        <f t="shared" si="132"/>
        <v>1.9926207055139041E-5</v>
      </c>
      <c r="I892" s="7">
        <f t="shared" si="133"/>
        <v>1158916576932337.8</v>
      </c>
      <c r="J892" s="6">
        <f t="shared" si="134"/>
        <v>1.0226038455893147</v>
      </c>
      <c r="K892" s="7">
        <f>J892*H892*首页!$B$12/P892</f>
        <v>0.69532757496605813</v>
      </c>
      <c r="L892" s="6">
        <f>首页!$B$9*0.0000000567*((C892^4-D892^4)/(C892-D892))</f>
        <v>7.7687338005019564</v>
      </c>
      <c r="M892" s="6">
        <f>IF(首页!$B$13="自然对流",IF(首页!$B$14="立式圆筒",首页!$B$10,PI()*B892/2),PI()*B892/2)</f>
        <v>55.2</v>
      </c>
      <c r="N892" s="7">
        <f>IF(首页!$B$13="强制对流",首页!$B$11*M892/H892,0)</f>
        <v>0</v>
      </c>
      <c r="O892" s="7">
        <f>IF(首页!$B$13="自然对流",IF(首页!$B$14="立式圆筒",(0.825+0.3063*I892^(1/6))^2+0.87*(M892/B892),(0.752+0.303*I892^(1/6))^2),0.3+SQRT((0.592*N892^0.5)^2+(0.0262*N892^0.8/(1-0.5/N892^0.1))^2))</f>
        <v>10044.56336354736</v>
      </c>
      <c r="P892" s="6">
        <f t="shared" si="135"/>
        <v>2.9510194925512497E-2</v>
      </c>
      <c r="Q892" s="6">
        <f t="shared" si="136"/>
        <v>5.3698736014482611</v>
      </c>
      <c r="R892" s="6">
        <f t="shared" si="137"/>
        <v>13.138607401950217</v>
      </c>
      <c r="S892" s="6">
        <f>IF($Y$2="按单位面积散热损失 qp",B892*LN(B892/首页!$B$4),LN(B892/首页!$B$4))</f>
        <v>5.225459881645774</v>
      </c>
      <c r="T892" s="6">
        <f>IF($Y$2="按单位面积散热损失 qp",2*PI()*首页!$B$8*((E892-D892)/$Y$3-1/R892),2*PI()*首页!$B$8*((E892-D892)/$Y$4-1/(PI()*B892*R892)))</f>
        <v>4.0779691062366313E-2</v>
      </c>
      <c r="U892" t="str">
        <f t="shared" si="138"/>
        <v>按单位面积散热损失 qp</v>
      </c>
      <c r="V892" s="6">
        <f t="shared" si="139"/>
        <v>5.1846801905834079</v>
      </c>
    </row>
    <row r="893" spans="1:22" x14ac:dyDescent="0.15">
      <c r="A893">
        <v>888</v>
      </c>
      <c r="B893" s="6">
        <f>首页!$B$4+2*A893/1000</f>
        <v>1.8959999999999999</v>
      </c>
      <c r="C893" s="6">
        <f>首页!$B$7+273.15</f>
        <v>388.15</v>
      </c>
      <c r="D893" s="6">
        <f>首页!$B$6+273.15</f>
        <v>293.14999999999998</v>
      </c>
      <c r="E893" s="6">
        <f>首页!$B$5+273.15</f>
        <v>1373.15</v>
      </c>
      <c r="F893" s="6">
        <f t="shared" si="130"/>
        <v>95</v>
      </c>
      <c r="G893" s="6">
        <f t="shared" si="131"/>
        <v>340.65</v>
      </c>
      <c r="H893" s="6">
        <f t="shared" si="132"/>
        <v>1.9926207055139041E-5</v>
      </c>
      <c r="I893" s="7">
        <f t="shared" si="133"/>
        <v>1158916576932337.8</v>
      </c>
      <c r="J893" s="6">
        <f t="shared" si="134"/>
        <v>1.0226038455893147</v>
      </c>
      <c r="K893" s="7">
        <f>J893*H893*首页!$B$12/P893</f>
        <v>0.69532757496605813</v>
      </c>
      <c r="L893" s="6">
        <f>首页!$B$9*0.0000000567*((C893^4-D893^4)/(C893-D893))</f>
        <v>7.7687338005019564</v>
      </c>
      <c r="M893" s="6">
        <f>IF(首页!$B$13="自然对流",IF(首页!$B$14="立式圆筒",首页!$B$10,PI()*B893/2),PI()*B893/2)</f>
        <v>55.2</v>
      </c>
      <c r="N893" s="7">
        <f>IF(首页!$B$13="强制对流",首页!$B$11*M893/H893,0)</f>
        <v>0</v>
      </c>
      <c r="O893" s="7">
        <f>IF(首页!$B$13="自然对流",IF(首页!$B$14="立式圆筒",(0.825+0.3063*I893^(1/6))^2+0.87*(M893/B893),(0.752+0.303*I893^(1/6))^2),0.3+SQRT((0.592*N893^0.5)^2+(0.0262*N893^0.8/(1-0.5/N893^0.1))^2))</f>
        <v>10044.53661685895</v>
      </c>
      <c r="P893" s="6">
        <f t="shared" si="135"/>
        <v>2.9510194925512497E-2</v>
      </c>
      <c r="Q893" s="6">
        <f t="shared" si="136"/>
        <v>5.3698593025354251</v>
      </c>
      <c r="R893" s="6">
        <f t="shared" si="137"/>
        <v>13.138593103037381</v>
      </c>
      <c r="S893" s="6">
        <f>IF($Y$2="按单位面积散热损失 qp",B893*LN(B893/首页!$B$4),LN(B893/首页!$B$4))</f>
        <v>5.2329788463024176</v>
      </c>
      <c r="T893" s="6">
        <f>IF($Y$2="按单位面积散热损失 qp",2*PI()*首页!$B$8*((E893-D893)/$Y$3-1/R893),2*PI()*首页!$B$8*((E893-D893)/$Y$4-1/(PI()*B893*R893)))</f>
        <v>4.0779667641810242E-2</v>
      </c>
      <c r="U893" t="str">
        <f t="shared" si="138"/>
        <v>按单位面积散热损失 qp</v>
      </c>
      <c r="V893" s="6">
        <f t="shared" si="139"/>
        <v>5.1921991786606077</v>
      </c>
    </row>
    <row r="894" spans="1:22" x14ac:dyDescent="0.15">
      <c r="A894">
        <v>889</v>
      </c>
      <c r="B894" s="6">
        <f>首页!$B$4+2*A894/1000</f>
        <v>1.8980000000000001</v>
      </c>
      <c r="C894" s="6">
        <f>首页!$B$7+273.15</f>
        <v>388.15</v>
      </c>
      <c r="D894" s="6">
        <f>首页!$B$6+273.15</f>
        <v>293.14999999999998</v>
      </c>
      <c r="E894" s="6">
        <f>首页!$B$5+273.15</f>
        <v>1373.15</v>
      </c>
      <c r="F894" s="6">
        <f t="shared" si="130"/>
        <v>95</v>
      </c>
      <c r="G894" s="6">
        <f t="shared" si="131"/>
        <v>340.65</v>
      </c>
      <c r="H894" s="6">
        <f t="shared" si="132"/>
        <v>1.9926207055139041E-5</v>
      </c>
      <c r="I894" s="7">
        <f t="shared" si="133"/>
        <v>1158916576932337.8</v>
      </c>
      <c r="J894" s="6">
        <f t="shared" si="134"/>
        <v>1.0226038455893147</v>
      </c>
      <c r="K894" s="7">
        <f>J894*H894*首页!$B$12/P894</f>
        <v>0.69532757496605813</v>
      </c>
      <c r="L894" s="6">
        <f>首页!$B$9*0.0000000567*((C894^4-D894^4)/(C894-D894))</f>
        <v>7.7687338005019564</v>
      </c>
      <c r="M894" s="6">
        <f>IF(首页!$B$13="自然对流",IF(首页!$B$14="立式圆筒",首页!$B$10,PI()*B894/2),PI()*B894/2)</f>
        <v>55.2</v>
      </c>
      <c r="N894" s="7">
        <f>IF(首页!$B$13="强制对流",首页!$B$11*M894/H894,0)</f>
        <v>0</v>
      </c>
      <c r="O894" s="7">
        <f>IF(首页!$B$13="自然对流",IF(首页!$B$14="立式圆筒",(0.825+0.3063*I894^(1/6))^2+0.87*(M894/B894),(0.752+0.303*I894^(1/6))^2),0.3+SQRT((0.592*N894^0.5)^2+(0.0262*N894^0.8/(1-0.5/N894^0.1))^2))</f>
        <v>10044.509926538693</v>
      </c>
      <c r="P894" s="6">
        <f t="shared" si="135"/>
        <v>2.9510194925512497E-2</v>
      </c>
      <c r="Q894" s="6">
        <f t="shared" si="136"/>
        <v>5.3698450337572821</v>
      </c>
      <c r="R894" s="6">
        <f t="shared" si="137"/>
        <v>13.138578834259238</v>
      </c>
      <c r="S894" s="6">
        <f>IF($Y$2="按单位面积散热损失 qp",B894*LN(B894/首页!$B$4),LN(B894/首页!$B$4))</f>
        <v>5.2404999206640968</v>
      </c>
      <c r="T894" s="6">
        <f>IF($Y$2="按单位面积散热损失 qp",2*PI()*首页!$B$8*((E894-D894)/$Y$3-1/R894),2*PI()*首页!$B$8*((E894-D894)/$Y$4-1/(PI()*B894*R894)))</f>
        <v>4.077964427056173E-2</v>
      </c>
      <c r="U894" t="str">
        <f t="shared" si="138"/>
        <v>按单位面积散热损失 qp</v>
      </c>
      <c r="V894" s="6">
        <f t="shared" si="139"/>
        <v>5.1997202763935348</v>
      </c>
    </row>
    <row r="895" spans="1:22" x14ac:dyDescent="0.15">
      <c r="A895">
        <v>890</v>
      </c>
      <c r="B895" s="6">
        <f>首页!$B$4+2*A895/1000</f>
        <v>1.9</v>
      </c>
      <c r="C895" s="6">
        <f>首页!$B$7+273.15</f>
        <v>388.15</v>
      </c>
      <c r="D895" s="6">
        <f>首页!$B$6+273.15</f>
        <v>293.14999999999998</v>
      </c>
      <c r="E895" s="6">
        <f>首页!$B$5+273.15</f>
        <v>1373.15</v>
      </c>
      <c r="F895" s="6">
        <f t="shared" si="130"/>
        <v>95</v>
      </c>
      <c r="G895" s="6">
        <f t="shared" si="131"/>
        <v>340.65</v>
      </c>
      <c r="H895" s="6">
        <f t="shared" si="132"/>
        <v>1.9926207055139041E-5</v>
      </c>
      <c r="I895" s="7">
        <f t="shared" si="133"/>
        <v>1158916576932337.8</v>
      </c>
      <c r="J895" s="6">
        <f t="shared" si="134"/>
        <v>1.0226038455893147</v>
      </c>
      <c r="K895" s="7">
        <f>J895*H895*首页!$B$12/P895</f>
        <v>0.69532757496605813</v>
      </c>
      <c r="L895" s="6">
        <f>首页!$B$9*0.0000000567*((C895^4-D895^4)/(C895-D895))</f>
        <v>7.7687338005019564</v>
      </c>
      <c r="M895" s="6">
        <f>IF(首页!$B$13="自然对流",IF(首页!$B$14="立式圆筒",首页!$B$10,PI()*B895/2),PI()*B895/2)</f>
        <v>55.2</v>
      </c>
      <c r="N895" s="7">
        <f>IF(首页!$B$13="强制对流",首页!$B$11*M895/H895,0)</f>
        <v>0</v>
      </c>
      <c r="O895" s="7">
        <f>IF(首页!$B$13="自然对流",IF(首页!$B$14="立式圆筒",(0.825+0.3063*I895^(1/6))^2+0.87*(M895/B895),(0.752+0.303*I895^(1/6))^2),0.3+SQRT((0.592*N895^0.5)^2+(0.0262*N895^0.8/(1-0.5/N895^0.1))^2))</f>
        <v>10044.483292408584</v>
      </c>
      <c r="P895" s="6">
        <f t="shared" si="135"/>
        <v>2.9510194925512497E-2</v>
      </c>
      <c r="Q895" s="6">
        <f t="shared" si="136"/>
        <v>5.3698307950186743</v>
      </c>
      <c r="R895" s="6">
        <f t="shared" si="137"/>
        <v>13.138564595520631</v>
      </c>
      <c r="S895" s="6">
        <f>IF($Y$2="按单位面积散热损失 qp",B895*LN(B895/首页!$B$4),LN(B895/首页!$B$4))</f>
        <v>5.2480231025077231</v>
      </c>
      <c r="T895" s="6">
        <f>IF($Y$2="按单位面积散热损失 qp",2*PI()*首页!$B$8*((E895-D895)/$Y$3-1/R895),2*PI()*首页!$B$8*((E895-D895)/$Y$4-1/(PI()*B895*R895)))</f>
        <v>4.0779620948465246E-2</v>
      </c>
      <c r="U895" t="str">
        <f t="shared" si="138"/>
        <v>按单位面积散热损失 qp</v>
      </c>
      <c r="V895" s="6">
        <f t="shared" si="139"/>
        <v>5.2072434815592574</v>
      </c>
    </row>
    <row r="896" spans="1:22" x14ac:dyDescent="0.15">
      <c r="A896">
        <v>891</v>
      </c>
      <c r="B896" s="6">
        <f>首页!$B$4+2*A896/1000</f>
        <v>1.9020000000000001</v>
      </c>
      <c r="C896" s="6">
        <f>首页!$B$7+273.15</f>
        <v>388.15</v>
      </c>
      <c r="D896" s="6">
        <f>首页!$B$6+273.15</f>
        <v>293.14999999999998</v>
      </c>
      <c r="E896" s="6">
        <f>首页!$B$5+273.15</f>
        <v>1373.15</v>
      </c>
      <c r="F896" s="6">
        <f t="shared" si="130"/>
        <v>95</v>
      </c>
      <c r="G896" s="6">
        <f t="shared" si="131"/>
        <v>340.65</v>
      </c>
      <c r="H896" s="6">
        <f t="shared" si="132"/>
        <v>1.9926207055139041E-5</v>
      </c>
      <c r="I896" s="7">
        <f t="shared" si="133"/>
        <v>1158916576932337.8</v>
      </c>
      <c r="J896" s="6">
        <f t="shared" si="134"/>
        <v>1.0226038455893147</v>
      </c>
      <c r="K896" s="7">
        <f>J896*H896*首页!$B$12/P896</f>
        <v>0.69532757496605813</v>
      </c>
      <c r="L896" s="6">
        <f>首页!$B$9*0.0000000567*((C896^4-D896^4)/(C896-D896))</f>
        <v>7.7687338005019564</v>
      </c>
      <c r="M896" s="6">
        <f>IF(首页!$B$13="自然对流",IF(首页!$B$14="立式圆筒",首页!$B$10,PI()*B896/2),PI()*B896/2)</f>
        <v>55.2</v>
      </c>
      <c r="N896" s="7">
        <f>IF(首页!$B$13="强制对流",首页!$B$11*M896/H896,0)</f>
        <v>0</v>
      </c>
      <c r="O896" s="7">
        <f>IF(首页!$B$13="自然对流",IF(首页!$B$14="立式圆筒",(0.825+0.3063*I896^(1/6))^2+0.87*(M896/B896),(0.752+0.303*I896^(1/6))^2),0.3+SQRT((0.592*N896^0.5)^2+(0.0262*N896^0.8/(1-0.5/N896^0.1))^2))</f>
        <v>10044.456714291367</v>
      </c>
      <c r="P896" s="6">
        <f t="shared" si="135"/>
        <v>2.9510194925512497E-2</v>
      </c>
      <c r="Q896" s="6">
        <f t="shared" si="136"/>
        <v>5.3698165862248368</v>
      </c>
      <c r="R896" s="6">
        <f t="shared" si="137"/>
        <v>13.138550386726793</v>
      </c>
      <c r="S896" s="6">
        <f>IF($Y$2="按单位面积散热损失 qp",B896*LN(B896/首页!$B$4),LN(B896/首页!$B$4))</f>
        <v>5.2555483896148978</v>
      </c>
      <c r="T896" s="6">
        <f>IF($Y$2="按单位面积散热损失 qp",2*PI()*首页!$B$8*((E896-D896)/$Y$3-1/R896),2*PI()*首页!$B$8*((E896-D896)/$Y$4-1/(PI()*B896*R896)))</f>
        <v>4.0779597675365896E-2</v>
      </c>
      <c r="U896" t="str">
        <f t="shared" si="138"/>
        <v>按单位面积散热损失 qp</v>
      </c>
      <c r="V896" s="6">
        <f t="shared" si="139"/>
        <v>5.214768791939532</v>
      </c>
    </row>
    <row r="897" spans="1:22" x14ac:dyDescent="0.15">
      <c r="A897">
        <v>892</v>
      </c>
      <c r="B897" s="6">
        <f>首页!$B$4+2*A897/1000</f>
        <v>1.9039999999999999</v>
      </c>
      <c r="C897" s="6">
        <f>首页!$B$7+273.15</f>
        <v>388.15</v>
      </c>
      <c r="D897" s="6">
        <f>首页!$B$6+273.15</f>
        <v>293.14999999999998</v>
      </c>
      <c r="E897" s="6">
        <f>首页!$B$5+273.15</f>
        <v>1373.15</v>
      </c>
      <c r="F897" s="6">
        <f t="shared" si="130"/>
        <v>95</v>
      </c>
      <c r="G897" s="6">
        <f t="shared" si="131"/>
        <v>340.65</v>
      </c>
      <c r="H897" s="6">
        <f t="shared" si="132"/>
        <v>1.9926207055139041E-5</v>
      </c>
      <c r="I897" s="7">
        <f t="shared" si="133"/>
        <v>1158916576932337.8</v>
      </c>
      <c r="J897" s="6">
        <f t="shared" si="134"/>
        <v>1.0226038455893147</v>
      </c>
      <c r="K897" s="7">
        <f>J897*H897*首页!$B$12/P897</f>
        <v>0.69532757496605813</v>
      </c>
      <c r="L897" s="6">
        <f>首页!$B$9*0.0000000567*((C897^4-D897^4)/(C897-D897))</f>
        <v>7.7687338005019564</v>
      </c>
      <c r="M897" s="6">
        <f>IF(首页!$B$13="自然对流",IF(首页!$B$14="立式圆筒",首页!$B$10,PI()*B897/2),PI()*B897/2)</f>
        <v>55.2</v>
      </c>
      <c r="N897" s="7">
        <f>IF(首页!$B$13="强制对流",首页!$B$11*M897/H897,0)</f>
        <v>0</v>
      </c>
      <c r="O897" s="7">
        <f>IF(首页!$B$13="自然对流",IF(首页!$B$14="立式圆筒",(0.825+0.3063*I897^(1/6))^2+0.87*(M897/B897),(0.752+0.303*I897^(1/6))^2),0.3+SQRT((0.592*N897^0.5)^2+(0.0262*N897^0.8/(1-0.5/N897^0.1))^2))</f>
        <v>10044.43019201053</v>
      </c>
      <c r="P897" s="6">
        <f t="shared" si="135"/>
        <v>2.9510194925512497E-2</v>
      </c>
      <c r="Q897" s="6">
        <f t="shared" si="136"/>
        <v>5.3698024072814068</v>
      </c>
      <c r="R897" s="6">
        <f t="shared" si="137"/>
        <v>13.138536207783364</v>
      </c>
      <c r="S897" s="6">
        <f>IF($Y$2="按单位面积散热损失 qp",B897*LN(B897/首页!$B$4),LN(B897/首页!$B$4))</f>
        <v>5.2630757797718797</v>
      </c>
      <c r="T897" s="6">
        <f>IF($Y$2="按单位面积散热损失 qp",2*PI()*首页!$B$8*((E897-D897)/$Y$3-1/R897),2*PI()*首页!$B$8*((E897-D897)/$Y$4-1/(PI()*B897*R897)))</f>
        <v>4.0779574451109427E-2</v>
      </c>
      <c r="U897" t="str">
        <f t="shared" si="138"/>
        <v>按单位面积散热损失 qp</v>
      </c>
      <c r="V897" s="6">
        <f t="shared" si="139"/>
        <v>5.2222962053207702</v>
      </c>
    </row>
    <row r="898" spans="1:22" x14ac:dyDescent="0.15">
      <c r="A898">
        <v>893</v>
      </c>
      <c r="B898" s="6">
        <f>首页!$B$4+2*A898/1000</f>
        <v>1.9060000000000001</v>
      </c>
      <c r="C898" s="6">
        <f>首页!$B$7+273.15</f>
        <v>388.15</v>
      </c>
      <c r="D898" s="6">
        <f>首页!$B$6+273.15</f>
        <v>293.14999999999998</v>
      </c>
      <c r="E898" s="6">
        <f>首页!$B$5+273.15</f>
        <v>1373.15</v>
      </c>
      <c r="F898" s="6">
        <f t="shared" si="130"/>
        <v>95</v>
      </c>
      <c r="G898" s="6">
        <f t="shared" si="131"/>
        <v>340.65</v>
      </c>
      <c r="H898" s="6">
        <f t="shared" si="132"/>
        <v>1.9926207055139041E-5</v>
      </c>
      <c r="I898" s="7">
        <f t="shared" si="133"/>
        <v>1158916576932337.8</v>
      </c>
      <c r="J898" s="6">
        <f t="shared" si="134"/>
        <v>1.0226038455893147</v>
      </c>
      <c r="K898" s="7">
        <f>J898*H898*首页!$B$12/P898</f>
        <v>0.69532757496605813</v>
      </c>
      <c r="L898" s="6">
        <f>首页!$B$9*0.0000000567*((C898^4-D898^4)/(C898-D898))</f>
        <v>7.7687338005019564</v>
      </c>
      <c r="M898" s="6">
        <f>IF(首页!$B$13="自然对流",IF(首页!$B$14="立式圆筒",首页!$B$10,PI()*B898/2),PI()*B898/2)</f>
        <v>55.2</v>
      </c>
      <c r="N898" s="7">
        <f>IF(首页!$B$13="强制对流",首页!$B$11*M898/H898,0)</f>
        <v>0</v>
      </c>
      <c r="O898" s="7">
        <f>IF(首页!$B$13="自然对流",IF(首页!$B$14="立式圆筒",(0.825+0.3063*I898^(1/6))^2+0.87*(M898/B898),(0.752+0.303*I898^(1/6))^2),0.3+SQRT((0.592*N898^0.5)^2+(0.0262*N898^0.8/(1-0.5/N898^0.1))^2))</f>
        <v>10044.403725390304</v>
      </c>
      <c r="P898" s="6">
        <f t="shared" si="135"/>
        <v>2.9510194925512497E-2</v>
      </c>
      <c r="Q898" s="6">
        <f t="shared" si="136"/>
        <v>5.3697882580944158</v>
      </c>
      <c r="R898" s="6">
        <f t="shared" si="137"/>
        <v>13.138522058596372</v>
      </c>
      <c r="S898" s="6">
        <f>IF($Y$2="按单位面积散热损失 qp",B898*LN(B898/首页!$B$4),LN(B898/首页!$B$4))</f>
        <v>5.2706052707695852</v>
      </c>
      <c r="T898" s="6">
        <f>IF($Y$2="按单位面积散热损失 qp",2*PI()*首页!$B$8*((E898-D898)/$Y$3-1/R898),2*PI()*首页!$B$8*((E898-D898)/$Y$4-1/(PI()*B898*R898)))</f>
        <v>4.0779551275542246E-2</v>
      </c>
      <c r="U898" t="str">
        <f t="shared" si="138"/>
        <v>按单位面积散热损失 qp</v>
      </c>
      <c r="V898" s="6">
        <f t="shared" si="139"/>
        <v>5.229825719494043</v>
      </c>
    </row>
    <row r="899" spans="1:22" x14ac:dyDescent="0.15">
      <c r="A899">
        <v>894</v>
      </c>
      <c r="B899" s="6">
        <f>首页!$B$4+2*A899/1000</f>
        <v>1.9079999999999999</v>
      </c>
      <c r="C899" s="6">
        <f>首页!$B$7+273.15</f>
        <v>388.15</v>
      </c>
      <c r="D899" s="6">
        <f>首页!$B$6+273.15</f>
        <v>293.14999999999998</v>
      </c>
      <c r="E899" s="6">
        <f>首页!$B$5+273.15</f>
        <v>1373.15</v>
      </c>
      <c r="F899" s="6">
        <f t="shared" si="130"/>
        <v>95</v>
      </c>
      <c r="G899" s="6">
        <f t="shared" si="131"/>
        <v>340.65</v>
      </c>
      <c r="H899" s="6">
        <f t="shared" si="132"/>
        <v>1.9926207055139041E-5</v>
      </c>
      <c r="I899" s="7">
        <f t="shared" si="133"/>
        <v>1158916576932337.8</v>
      </c>
      <c r="J899" s="6">
        <f t="shared" si="134"/>
        <v>1.0226038455893147</v>
      </c>
      <c r="K899" s="7">
        <f>J899*H899*首页!$B$12/P899</f>
        <v>0.69532757496605813</v>
      </c>
      <c r="L899" s="6">
        <f>首页!$B$9*0.0000000567*((C899^4-D899^4)/(C899-D899))</f>
        <v>7.7687338005019564</v>
      </c>
      <c r="M899" s="6">
        <f>IF(首页!$B$13="自然对流",IF(首页!$B$14="立式圆筒",首页!$B$10,PI()*B899/2),PI()*B899/2)</f>
        <v>55.2</v>
      </c>
      <c r="N899" s="7">
        <f>IF(首页!$B$13="强制对流",首页!$B$11*M899/H899,0)</f>
        <v>0</v>
      </c>
      <c r="O899" s="7">
        <f>IF(首页!$B$13="自然对流",IF(首页!$B$14="立式圆筒",(0.825+0.3063*I899^(1/6))^2+0.87*(M899/B899),(0.752+0.303*I899^(1/6))^2),0.3+SQRT((0.592*N899^0.5)^2+(0.0262*N899^0.8/(1-0.5/N899^0.1))^2))</f>
        <v>10044.377314255655</v>
      </c>
      <c r="P899" s="6">
        <f t="shared" si="135"/>
        <v>2.9510194925512497E-2</v>
      </c>
      <c r="Q899" s="6">
        <f t="shared" si="136"/>
        <v>5.3697741385702908</v>
      </c>
      <c r="R899" s="6">
        <f t="shared" si="137"/>
        <v>13.138507939072248</v>
      </c>
      <c r="S899" s="6">
        <f>IF($Y$2="按单位面积散热损失 qp",B899*LN(B899/首页!$B$4),LN(B899/首页!$B$4))</f>
        <v>5.2781368604035626</v>
      </c>
      <c r="T899" s="6">
        <f>IF($Y$2="按单位面积散热损失 qp",2*PI()*首页!$B$8*((E899-D899)/$Y$3-1/R899),2*PI()*首页!$B$8*((E899-D899)/$Y$4-1/(PI()*B899*R899)))</f>
        <v>4.0779528148511407E-2</v>
      </c>
      <c r="U899" t="str">
        <f t="shared" si="138"/>
        <v>按单位面积散热损失 qp</v>
      </c>
      <c r="V899" s="6">
        <f t="shared" si="139"/>
        <v>5.2373573322550513</v>
      </c>
    </row>
    <row r="900" spans="1:22" x14ac:dyDescent="0.15">
      <c r="A900">
        <v>895</v>
      </c>
      <c r="B900" s="6">
        <f>首页!$B$4+2*A900/1000</f>
        <v>1.9100000000000001</v>
      </c>
      <c r="C900" s="6">
        <f>首页!$B$7+273.15</f>
        <v>388.15</v>
      </c>
      <c r="D900" s="6">
        <f>首页!$B$6+273.15</f>
        <v>293.14999999999998</v>
      </c>
      <c r="E900" s="6">
        <f>首页!$B$5+273.15</f>
        <v>1373.15</v>
      </c>
      <c r="F900" s="6">
        <f t="shared" si="130"/>
        <v>95</v>
      </c>
      <c r="G900" s="6">
        <f t="shared" si="131"/>
        <v>340.65</v>
      </c>
      <c r="H900" s="6">
        <f t="shared" si="132"/>
        <v>1.9926207055139041E-5</v>
      </c>
      <c r="I900" s="7">
        <f t="shared" si="133"/>
        <v>1158916576932337.8</v>
      </c>
      <c r="J900" s="6">
        <f t="shared" si="134"/>
        <v>1.0226038455893147</v>
      </c>
      <c r="K900" s="7">
        <f>J900*H900*首页!$B$12/P900</f>
        <v>0.69532757496605813</v>
      </c>
      <c r="L900" s="6">
        <f>首页!$B$9*0.0000000567*((C900^4-D900^4)/(C900-D900))</f>
        <v>7.7687338005019564</v>
      </c>
      <c r="M900" s="6">
        <f>IF(首页!$B$13="自然对流",IF(首页!$B$14="立式圆筒",首页!$B$10,PI()*B900/2),PI()*B900/2)</f>
        <v>55.2</v>
      </c>
      <c r="N900" s="7">
        <f>IF(首页!$B$13="强制对流",首页!$B$11*M900/H900,0)</f>
        <v>0</v>
      </c>
      <c r="O900" s="7">
        <f>IF(首页!$B$13="自然对流",IF(首页!$B$14="立式圆筒",(0.825+0.3063*I900^(1/6))^2+0.87*(M900/B900),(0.752+0.303*I900^(1/6))^2),0.3+SQRT((0.592*N900^0.5)^2+(0.0262*N900^0.8/(1-0.5/N900^0.1))^2))</f>
        <v>10044.350958432282</v>
      </c>
      <c r="P900" s="6">
        <f t="shared" si="135"/>
        <v>2.9510194925512497E-2</v>
      </c>
      <c r="Q900" s="6">
        <f t="shared" si="136"/>
        <v>5.3697600486158494</v>
      </c>
      <c r="R900" s="6">
        <f t="shared" si="137"/>
        <v>13.138493849117806</v>
      </c>
      <c r="S900" s="6">
        <f>IF($Y$2="按单位面积散热损失 qp",B900*LN(B900/首页!$B$4),LN(B900/首页!$B$4))</f>
        <v>5.285670546473983</v>
      </c>
      <c r="T900" s="6">
        <f>IF($Y$2="按单位面积散热损失 qp",2*PI()*首页!$B$8*((E900-D900)/$Y$3-1/R900),2*PI()*首页!$B$8*((E900-D900)/$Y$4-1/(PI()*B900*R900)))</f>
        <v>4.0779505069864587E-2</v>
      </c>
      <c r="U900" t="str">
        <f t="shared" si="138"/>
        <v>按单位面积散热损失 qp</v>
      </c>
      <c r="V900" s="6">
        <f t="shared" si="139"/>
        <v>5.2448910414041183</v>
      </c>
    </row>
    <row r="901" spans="1:22" x14ac:dyDescent="0.15">
      <c r="A901">
        <v>896</v>
      </c>
      <c r="B901" s="6">
        <f>首页!$B$4+2*A901/1000</f>
        <v>1.9119999999999999</v>
      </c>
      <c r="C901" s="6">
        <f>首页!$B$7+273.15</f>
        <v>388.15</v>
      </c>
      <c r="D901" s="6">
        <f>首页!$B$6+273.15</f>
        <v>293.14999999999998</v>
      </c>
      <c r="E901" s="6">
        <f>首页!$B$5+273.15</f>
        <v>1373.15</v>
      </c>
      <c r="F901" s="6">
        <f t="shared" ref="F901:F964" si="140">C901-D901</f>
        <v>95</v>
      </c>
      <c r="G901" s="6">
        <f t="shared" ref="G901:G964" si="141">(C901+D901)/2</f>
        <v>340.65</v>
      </c>
      <c r="H901" s="6">
        <f t="shared" ref="H901:H964" si="142">0.0000000042113*G901^2.5/(112+G901)</f>
        <v>1.9926207055139041E-5</v>
      </c>
      <c r="I901" s="7">
        <f t="shared" ref="I901:I964" si="143">9.81*M901^3*F901/(H901^2*G901)</f>
        <v>1158916576932337.8</v>
      </c>
      <c r="J901" s="6">
        <f t="shared" ref="J901:J964" si="144">348.35/G901</f>
        <v>1.0226038455893147</v>
      </c>
      <c r="K901" s="7">
        <f>J901*H901*首页!$B$12/P901</f>
        <v>0.69532757496605813</v>
      </c>
      <c r="L901" s="6">
        <f>首页!$B$9*0.0000000567*((C901^4-D901^4)/(C901-D901))</f>
        <v>7.7687338005019564</v>
      </c>
      <c r="M901" s="6">
        <f>IF(首页!$B$13="自然对流",IF(首页!$B$14="立式圆筒",首页!$B$10,PI()*B901/2),PI()*B901/2)</f>
        <v>55.2</v>
      </c>
      <c r="N901" s="7">
        <f>IF(首页!$B$13="强制对流",首页!$B$11*M901/H901,0)</f>
        <v>0</v>
      </c>
      <c r="O901" s="7">
        <f>IF(首页!$B$13="自然对流",IF(首页!$B$14="立式圆筒",(0.825+0.3063*I901^(1/6))^2+0.87*(M901/B901),(0.752+0.303*I901^(1/6))^2),0.3+SQRT((0.592*N901^0.5)^2+(0.0262*N901^0.8/(1-0.5/N901^0.1))^2))</f>
        <v>10044.324657746616</v>
      </c>
      <c r="P901" s="6">
        <f t="shared" ref="P901:P964" si="145">0.0243+0.000078421*(G901-273)-0.000000020755*(G901-273)^2</f>
        <v>2.9510194925512497E-2</v>
      </c>
      <c r="Q901" s="6">
        <f t="shared" ref="Q901:Q964" si="146">O901*P901/M901</f>
        <v>5.3697459881383018</v>
      </c>
      <c r="R901" s="6">
        <f t="shared" ref="R901:R964" si="147">L901+Q901</f>
        <v>13.138479788640257</v>
      </c>
      <c r="S901" s="6">
        <f>IF($Y$2="按单位面积散热损失 qp",B901*LN(B901/首页!$B$4),LN(B901/首页!$B$4))</f>
        <v>5.2932063267856222</v>
      </c>
      <c r="T901" s="6">
        <f>IF($Y$2="按单位面积散热损失 qp",2*PI()*首页!$B$8*((E901-D901)/$Y$3-1/R901),2*PI()*首页!$B$8*((E901-D901)/$Y$4-1/(PI()*B901*R901)))</f>
        <v>4.0779482039450109E-2</v>
      </c>
      <c r="U901" t="str">
        <f t="shared" ref="U901:U964" si="148">IF($Y$2="按单位面积散热损失 qp","按单位面积散热损失 qp","按单位长度散热损失 ql")</f>
        <v>按单位面积散热损失 qp</v>
      </c>
      <c r="V901" s="6">
        <f t="shared" ref="V901:V964" si="149">ABS(S901-T901)</f>
        <v>5.2524268447461724</v>
      </c>
    </row>
    <row r="902" spans="1:22" x14ac:dyDescent="0.15">
      <c r="A902">
        <v>897</v>
      </c>
      <c r="B902" s="6">
        <f>首页!$B$4+2*A902/1000</f>
        <v>1.9140000000000001</v>
      </c>
      <c r="C902" s="6">
        <f>首页!$B$7+273.15</f>
        <v>388.15</v>
      </c>
      <c r="D902" s="6">
        <f>首页!$B$6+273.15</f>
        <v>293.14999999999998</v>
      </c>
      <c r="E902" s="6">
        <f>首页!$B$5+273.15</f>
        <v>1373.15</v>
      </c>
      <c r="F902" s="6">
        <f t="shared" si="140"/>
        <v>95</v>
      </c>
      <c r="G902" s="6">
        <f t="shared" si="141"/>
        <v>340.65</v>
      </c>
      <c r="H902" s="6">
        <f t="shared" si="142"/>
        <v>1.9926207055139041E-5</v>
      </c>
      <c r="I902" s="7">
        <f t="shared" si="143"/>
        <v>1158916576932337.8</v>
      </c>
      <c r="J902" s="6">
        <f t="shared" si="144"/>
        <v>1.0226038455893147</v>
      </c>
      <c r="K902" s="7">
        <f>J902*H902*首页!$B$12/P902</f>
        <v>0.69532757496605813</v>
      </c>
      <c r="L902" s="6">
        <f>首页!$B$9*0.0000000567*((C902^4-D902^4)/(C902-D902))</f>
        <v>7.7687338005019564</v>
      </c>
      <c r="M902" s="6">
        <f>IF(首页!$B$13="自然对流",IF(首页!$B$14="立式圆筒",首页!$B$10,PI()*B902/2),PI()*B902/2)</f>
        <v>55.2</v>
      </c>
      <c r="N902" s="7">
        <f>IF(首页!$B$13="强制对流",首页!$B$11*M902/H902,0)</f>
        <v>0</v>
      </c>
      <c r="O902" s="7">
        <f>IF(首页!$B$13="自然对流",IF(首页!$B$14="立式圆筒",(0.825+0.3063*I902^(1/6))^2+0.87*(M902/B902),(0.752+0.303*I902^(1/6))^2),0.3+SQRT((0.592*N902^0.5)^2+(0.0262*N902^0.8/(1-0.5/N902^0.1))^2))</f>
        <v>10044.29841202581</v>
      </c>
      <c r="P902" s="6">
        <f t="shared" si="145"/>
        <v>2.9510194925512497E-2</v>
      </c>
      <c r="Q902" s="6">
        <f t="shared" si="146"/>
        <v>5.3697319570452402</v>
      </c>
      <c r="R902" s="6">
        <f t="shared" si="147"/>
        <v>13.138465757547197</v>
      </c>
      <c r="S902" s="6">
        <f>IF($Y$2="按单位面积散热损失 qp",B902*LN(B902/首页!$B$4),LN(B902/首页!$B$4))</f>
        <v>5.3007441991478537</v>
      </c>
      <c r="T902" s="6">
        <f>IF($Y$2="按单位面积散热损失 qp",2*PI()*首页!$B$8*((E902-D902)/$Y$3-1/R902),2*PI()*首页!$B$8*((E902-D902)/$Y$4-1/(PI()*B902*R902)))</f>
        <v>4.0779459057116933E-2</v>
      </c>
      <c r="U902" t="str">
        <f t="shared" si="148"/>
        <v>按单位面积散热损失 qp</v>
      </c>
      <c r="V902" s="6">
        <f t="shared" si="149"/>
        <v>5.2599647400907363</v>
      </c>
    </row>
    <row r="903" spans="1:22" x14ac:dyDescent="0.15">
      <c r="A903">
        <v>898</v>
      </c>
      <c r="B903" s="6">
        <f>首页!$B$4+2*A903/1000</f>
        <v>1.9159999999999999</v>
      </c>
      <c r="C903" s="6">
        <f>首页!$B$7+273.15</f>
        <v>388.15</v>
      </c>
      <c r="D903" s="6">
        <f>首页!$B$6+273.15</f>
        <v>293.14999999999998</v>
      </c>
      <c r="E903" s="6">
        <f>首页!$B$5+273.15</f>
        <v>1373.15</v>
      </c>
      <c r="F903" s="6">
        <f t="shared" si="140"/>
        <v>95</v>
      </c>
      <c r="G903" s="6">
        <f t="shared" si="141"/>
        <v>340.65</v>
      </c>
      <c r="H903" s="6">
        <f t="shared" si="142"/>
        <v>1.9926207055139041E-5</v>
      </c>
      <c r="I903" s="7">
        <f t="shared" si="143"/>
        <v>1158916576932337.8</v>
      </c>
      <c r="J903" s="6">
        <f t="shared" si="144"/>
        <v>1.0226038455893147</v>
      </c>
      <c r="K903" s="7">
        <f>J903*H903*首页!$B$12/P903</f>
        <v>0.69532757496605813</v>
      </c>
      <c r="L903" s="6">
        <f>首页!$B$9*0.0000000567*((C903^4-D903^4)/(C903-D903))</f>
        <v>7.7687338005019564</v>
      </c>
      <c r="M903" s="6">
        <f>IF(首页!$B$13="自然对流",IF(首页!$B$14="立式圆筒",首页!$B$10,PI()*B903/2),PI()*B903/2)</f>
        <v>55.2</v>
      </c>
      <c r="N903" s="7">
        <f>IF(首页!$B$13="强制对流",首页!$B$11*M903/H903,0)</f>
        <v>0</v>
      </c>
      <c r="O903" s="7">
        <f>IF(首页!$B$13="自然对流",IF(首页!$B$14="立式圆筒",(0.825+0.3063*I903^(1/6))^2+0.87*(M903/B903),(0.752+0.303*I903^(1/6))^2),0.3+SQRT((0.592*N903^0.5)^2+(0.0262*N903^0.8/(1-0.5/N903^0.1))^2))</f>
        <v>10044.272221097739</v>
      </c>
      <c r="P903" s="6">
        <f t="shared" si="145"/>
        <v>2.9510194925512497E-2</v>
      </c>
      <c r="Q903" s="6">
        <f t="shared" si="146"/>
        <v>5.3697179552446483</v>
      </c>
      <c r="R903" s="6">
        <f t="shared" si="147"/>
        <v>13.138451755746605</v>
      </c>
      <c r="S903" s="6">
        <f>IF($Y$2="按单位面积散热损失 qp",B903*LN(B903/首页!$B$4),LN(B903/首页!$B$4))</f>
        <v>5.3082841613746234</v>
      </c>
      <c r="T903" s="6">
        <f>IF($Y$2="按单位面积散热损失 qp",2*PI()*首页!$B$8*((E903-D903)/$Y$3-1/R903),2*PI()*首页!$B$8*((E903-D903)/$Y$4-1/(PI()*B903*R903)))</f>
        <v>4.0779436122714639E-2</v>
      </c>
      <c r="U903" t="str">
        <f t="shared" si="148"/>
        <v>按单位面积散热损失 qp</v>
      </c>
      <c r="V903" s="6">
        <f t="shared" si="149"/>
        <v>5.2675047252519089</v>
      </c>
    </row>
    <row r="904" spans="1:22" x14ac:dyDescent="0.15">
      <c r="A904">
        <v>899</v>
      </c>
      <c r="B904" s="6">
        <f>首页!$B$4+2*A904/1000</f>
        <v>1.9180000000000001</v>
      </c>
      <c r="C904" s="6">
        <f>首页!$B$7+273.15</f>
        <v>388.15</v>
      </c>
      <c r="D904" s="6">
        <f>首页!$B$6+273.15</f>
        <v>293.14999999999998</v>
      </c>
      <c r="E904" s="6">
        <f>首页!$B$5+273.15</f>
        <v>1373.15</v>
      </c>
      <c r="F904" s="6">
        <f t="shared" si="140"/>
        <v>95</v>
      </c>
      <c r="G904" s="6">
        <f t="shared" si="141"/>
        <v>340.65</v>
      </c>
      <c r="H904" s="6">
        <f t="shared" si="142"/>
        <v>1.9926207055139041E-5</v>
      </c>
      <c r="I904" s="7">
        <f t="shared" si="143"/>
        <v>1158916576932337.8</v>
      </c>
      <c r="J904" s="6">
        <f t="shared" si="144"/>
        <v>1.0226038455893147</v>
      </c>
      <c r="K904" s="7">
        <f>J904*H904*首页!$B$12/P904</f>
        <v>0.69532757496605813</v>
      </c>
      <c r="L904" s="6">
        <f>首页!$B$9*0.0000000567*((C904^4-D904^4)/(C904-D904))</f>
        <v>7.7687338005019564</v>
      </c>
      <c r="M904" s="6">
        <f>IF(首页!$B$13="自然对流",IF(首页!$B$14="立式圆筒",首页!$B$10,PI()*B904/2),PI()*B904/2)</f>
        <v>55.2</v>
      </c>
      <c r="N904" s="7">
        <f>IF(首页!$B$13="强制对流",首页!$B$11*M904/H904,0)</f>
        <v>0</v>
      </c>
      <c r="O904" s="7">
        <f>IF(首页!$B$13="自然对流",IF(首页!$B$14="立式圆筒",(0.825+0.3063*I904^(1/6))^2+0.87*(M904/B904),(0.752+0.303*I904^(1/6))^2),0.3+SQRT((0.592*N904^0.5)^2+(0.0262*N904^0.8/(1-0.5/N904^0.1))^2))</f>
        <v>10044.246084791001</v>
      </c>
      <c r="P904" s="6">
        <f t="shared" si="145"/>
        <v>2.9510194925512497E-2</v>
      </c>
      <c r="Q904" s="6">
        <f t="shared" si="146"/>
        <v>5.3697039826448938</v>
      </c>
      <c r="R904" s="6">
        <f t="shared" si="147"/>
        <v>13.13843778314685</v>
      </c>
      <c r="S904" s="6">
        <f>IF($Y$2="按单位面积散热损失 qp",B904*LN(B904/首页!$B$4),LN(B904/首页!$B$4))</f>
        <v>5.3158262112844463</v>
      </c>
      <c r="T904" s="6">
        <f>IF($Y$2="按单位面积散热损失 qp",2*PI()*首页!$B$8*((E904-D904)/$Y$3-1/R904),2*PI()*首页!$B$8*((E904-D904)/$Y$4-1/(PI()*B904*R904)))</f>
        <v>4.0779413236093444E-2</v>
      </c>
      <c r="U904" t="str">
        <f t="shared" si="148"/>
        <v>按单位面积散热损失 qp</v>
      </c>
      <c r="V904" s="6">
        <f t="shared" si="149"/>
        <v>5.2750467980483533</v>
      </c>
    </row>
    <row r="905" spans="1:22" x14ac:dyDescent="0.15">
      <c r="A905">
        <v>900</v>
      </c>
      <c r="B905" s="6">
        <f>首页!$B$4+2*A905/1000</f>
        <v>1.92</v>
      </c>
      <c r="C905" s="6">
        <f>首页!$B$7+273.15</f>
        <v>388.15</v>
      </c>
      <c r="D905" s="6">
        <f>首页!$B$6+273.15</f>
        <v>293.14999999999998</v>
      </c>
      <c r="E905" s="6">
        <f>首页!$B$5+273.15</f>
        <v>1373.15</v>
      </c>
      <c r="F905" s="6">
        <f t="shared" si="140"/>
        <v>95</v>
      </c>
      <c r="G905" s="6">
        <f t="shared" si="141"/>
        <v>340.65</v>
      </c>
      <c r="H905" s="6">
        <f t="shared" si="142"/>
        <v>1.9926207055139041E-5</v>
      </c>
      <c r="I905" s="7">
        <f t="shared" si="143"/>
        <v>1158916576932337.8</v>
      </c>
      <c r="J905" s="6">
        <f t="shared" si="144"/>
        <v>1.0226038455893147</v>
      </c>
      <c r="K905" s="7">
        <f>J905*H905*首页!$B$12/P905</f>
        <v>0.69532757496605813</v>
      </c>
      <c r="L905" s="6">
        <f>首页!$B$9*0.0000000567*((C905^4-D905^4)/(C905-D905))</f>
        <v>7.7687338005019564</v>
      </c>
      <c r="M905" s="6">
        <f>IF(首页!$B$13="自然对流",IF(首页!$B$14="立式圆筒",首页!$B$10,PI()*B905/2),PI()*B905/2)</f>
        <v>55.2</v>
      </c>
      <c r="N905" s="7">
        <f>IF(首页!$B$13="强制对流",首页!$B$11*M905/H905,0)</f>
        <v>0</v>
      </c>
      <c r="O905" s="7">
        <f>IF(首页!$B$13="自然对流",IF(首页!$B$14="立式圆筒",(0.825+0.3063*I905^(1/6))^2+0.87*(M905/B905),(0.752+0.303*I905^(1/6))^2),0.3+SQRT((0.592*N905^0.5)^2+(0.0262*N905^0.8/(1-0.5/N905^0.1))^2))</f>
        <v>10044.220002934901</v>
      </c>
      <c r="P905" s="6">
        <f t="shared" si="145"/>
        <v>2.9510194925512497E-2</v>
      </c>
      <c r="Q905" s="6">
        <f t="shared" si="146"/>
        <v>5.3696900391547215</v>
      </c>
      <c r="R905" s="6">
        <f t="shared" si="147"/>
        <v>13.138423839656678</v>
      </c>
      <c r="S905" s="6">
        <f>IF($Y$2="按单位面积散热损失 qp",B905*LN(B905/首页!$B$4),LN(B905/首页!$B$4))</f>
        <v>5.3233703467003792</v>
      </c>
      <c r="T905" s="6">
        <f>IF($Y$2="按单位面积散热损失 qp",2*PI()*首页!$B$8*((E905-D905)/$Y$3-1/R905),2*PI()*首页!$B$8*((E905-D905)/$Y$4-1/(PI()*B905*R905)))</f>
        <v>4.0779390397104182E-2</v>
      </c>
      <c r="U905" t="str">
        <f t="shared" si="148"/>
        <v>按单位面积散热损失 qp</v>
      </c>
      <c r="V905" s="6">
        <f t="shared" si="149"/>
        <v>5.2825909563032747</v>
      </c>
    </row>
    <row r="906" spans="1:22" x14ac:dyDescent="0.15">
      <c r="A906">
        <v>901</v>
      </c>
      <c r="B906" s="6">
        <f>首页!$B$4+2*A906/1000</f>
        <v>1.9220000000000002</v>
      </c>
      <c r="C906" s="6">
        <f>首页!$B$7+273.15</f>
        <v>388.15</v>
      </c>
      <c r="D906" s="6">
        <f>首页!$B$6+273.15</f>
        <v>293.14999999999998</v>
      </c>
      <c r="E906" s="6">
        <f>首页!$B$5+273.15</f>
        <v>1373.15</v>
      </c>
      <c r="F906" s="6">
        <f t="shared" si="140"/>
        <v>95</v>
      </c>
      <c r="G906" s="6">
        <f t="shared" si="141"/>
        <v>340.65</v>
      </c>
      <c r="H906" s="6">
        <f t="shared" si="142"/>
        <v>1.9926207055139041E-5</v>
      </c>
      <c r="I906" s="7">
        <f t="shared" si="143"/>
        <v>1158916576932337.8</v>
      </c>
      <c r="J906" s="6">
        <f t="shared" si="144"/>
        <v>1.0226038455893147</v>
      </c>
      <c r="K906" s="7">
        <f>J906*H906*首页!$B$12/P906</f>
        <v>0.69532757496605813</v>
      </c>
      <c r="L906" s="6">
        <f>首页!$B$9*0.0000000567*((C906^4-D906^4)/(C906-D906))</f>
        <v>7.7687338005019564</v>
      </c>
      <c r="M906" s="6">
        <f>IF(首页!$B$13="自然对流",IF(首页!$B$14="立式圆筒",首页!$B$10,PI()*B906/2),PI()*B906/2)</f>
        <v>55.2</v>
      </c>
      <c r="N906" s="7">
        <f>IF(首页!$B$13="强制对流",首页!$B$11*M906/H906,0)</f>
        <v>0</v>
      </c>
      <c r="O906" s="7">
        <f>IF(首页!$B$13="自然对流",IF(首页!$B$14="立式圆筒",(0.825+0.3063*I906^(1/6))^2+0.87*(M906/B906),(0.752+0.303*I906^(1/6))^2),0.3+SQRT((0.592*N906^0.5)^2+(0.0262*N906^0.8/(1-0.5/N906^0.1))^2))</f>
        <v>10044.193975359458</v>
      </c>
      <c r="P906" s="6">
        <f t="shared" si="145"/>
        <v>2.9510194925512497E-2</v>
      </c>
      <c r="Q906" s="6">
        <f t="shared" si="146"/>
        <v>5.3696761246832585</v>
      </c>
      <c r="R906" s="6">
        <f t="shared" si="147"/>
        <v>13.138409925185215</v>
      </c>
      <c r="S906" s="6">
        <f>IF($Y$2="按单位面积散热损失 qp",B906*LN(B906/首页!$B$4),LN(B906/首页!$B$4))</f>
        <v>5.3309165654500257</v>
      </c>
      <c r="T906" s="6">
        <f>IF($Y$2="按单位面积散热损失 qp",2*PI()*首页!$B$8*((E906-D906)/$Y$3-1/R906),2*PI()*首页!$B$8*((E906-D906)/$Y$4-1/(PI()*B906*R906)))</f>
        <v>4.0779367605598305E-2</v>
      </c>
      <c r="U906" t="str">
        <f t="shared" si="148"/>
        <v>按单位面积散热损失 qp</v>
      </c>
      <c r="V906" s="6">
        <f t="shared" si="149"/>
        <v>5.2901371978444276</v>
      </c>
    </row>
    <row r="907" spans="1:22" x14ac:dyDescent="0.15">
      <c r="A907">
        <v>902</v>
      </c>
      <c r="B907" s="6">
        <f>首页!$B$4+2*A907/1000</f>
        <v>1.9239999999999999</v>
      </c>
      <c r="C907" s="6">
        <f>首页!$B$7+273.15</f>
        <v>388.15</v>
      </c>
      <c r="D907" s="6">
        <f>首页!$B$6+273.15</f>
        <v>293.14999999999998</v>
      </c>
      <c r="E907" s="6">
        <f>首页!$B$5+273.15</f>
        <v>1373.15</v>
      </c>
      <c r="F907" s="6">
        <f t="shared" si="140"/>
        <v>95</v>
      </c>
      <c r="G907" s="6">
        <f t="shared" si="141"/>
        <v>340.65</v>
      </c>
      <c r="H907" s="6">
        <f t="shared" si="142"/>
        <v>1.9926207055139041E-5</v>
      </c>
      <c r="I907" s="7">
        <f t="shared" si="143"/>
        <v>1158916576932337.8</v>
      </c>
      <c r="J907" s="6">
        <f t="shared" si="144"/>
        <v>1.0226038455893147</v>
      </c>
      <c r="K907" s="7">
        <f>J907*H907*首页!$B$12/P907</f>
        <v>0.69532757496605813</v>
      </c>
      <c r="L907" s="6">
        <f>首页!$B$9*0.0000000567*((C907^4-D907^4)/(C907-D907))</f>
        <v>7.7687338005019564</v>
      </c>
      <c r="M907" s="6">
        <f>IF(首页!$B$13="自然对流",IF(首页!$B$14="立式圆筒",首页!$B$10,PI()*B907/2),PI()*B907/2)</f>
        <v>55.2</v>
      </c>
      <c r="N907" s="7">
        <f>IF(首页!$B$13="强制对流",首页!$B$11*M907/H907,0)</f>
        <v>0</v>
      </c>
      <c r="O907" s="7">
        <f>IF(首页!$B$13="自然对流",IF(首页!$B$14="立式圆筒",(0.825+0.3063*I907^(1/6))^2+0.87*(M907/B907),(0.752+0.303*I907^(1/6))^2),0.3+SQRT((0.592*N907^0.5)^2+(0.0262*N907^0.8/(1-0.5/N907^0.1))^2))</f>
        <v>10044.168001895399</v>
      </c>
      <c r="P907" s="6">
        <f t="shared" si="145"/>
        <v>2.9510194925512497E-2</v>
      </c>
      <c r="Q907" s="6">
        <f t="shared" si="146"/>
        <v>5.3696622391400108</v>
      </c>
      <c r="R907" s="6">
        <f t="shared" si="147"/>
        <v>13.138396039641968</v>
      </c>
      <c r="S907" s="6">
        <f>IF($Y$2="按单位面积散热损失 qp",B907*LN(B907/首页!$B$4),LN(B907/首页!$B$4))</f>
        <v>5.3384648653654976</v>
      </c>
      <c r="T907" s="6">
        <f>IF($Y$2="按单位面积散热损失 qp",2*PI()*首页!$B$8*((E907-D907)/$Y$3-1/R907),2*PI()*首页!$B$8*((E907-D907)/$Y$4-1/(PI()*B907*R907)))</f>
        <v>4.0779344861427896E-2</v>
      </c>
      <c r="U907" t="str">
        <f t="shared" si="148"/>
        <v>按单位面积散热损失 qp</v>
      </c>
      <c r="V907" s="6">
        <f t="shared" si="149"/>
        <v>5.2976855205040696</v>
      </c>
    </row>
    <row r="908" spans="1:22" x14ac:dyDescent="0.15">
      <c r="A908">
        <v>903</v>
      </c>
      <c r="B908" s="6">
        <f>首页!$B$4+2*A908/1000</f>
        <v>1.9260000000000002</v>
      </c>
      <c r="C908" s="6">
        <f>首页!$B$7+273.15</f>
        <v>388.15</v>
      </c>
      <c r="D908" s="6">
        <f>首页!$B$6+273.15</f>
        <v>293.14999999999998</v>
      </c>
      <c r="E908" s="6">
        <f>首页!$B$5+273.15</f>
        <v>1373.15</v>
      </c>
      <c r="F908" s="6">
        <f t="shared" si="140"/>
        <v>95</v>
      </c>
      <c r="G908" s="6">
        <f t="shared" si="141"/>
        <v>340.65</v>
      </c>
      <c r="H908" s="6">
        <f t="shared" si="142"/>
        <v>1.9926207055139041E-5</v>
      </c>
      <c r="I908" s="7">
        <f t="shared" si="143"/>
        <v>1158916576932337.8</v>
      </c>
      <c r="J908" s="6">
        <f t="shared" si="144"/>
        <v>1.0226038455893147</v>
      </c>
      <c r="K908" s="7">
        <f>J908*H908*首页!$B$12/P908</f>
        <v>0.69532757496605813</v>
      </c>
      <c r="L908" s="6">
        <f>首页!$B$9*0.0000000567*((C908^4-D908^4)/(C908-D908))</f>
        <v>7.7687338005019564</v>
      </c>
      <c r="M908" s="6">
        <f>IF(首页!$B$13="自然对流",IF(首页!$B$14="立式圆筒",首页!$B$10,PI()*B908/2),PI()*B908/2)</f>
        <v>55.2</v>
      </c>
      <c r="N908" s="7">
        <f>IF(首页!$B$13="强制对流",首页!$B$11*M908/H908,0)</f>
        <v>0</v>
      </c>
      <c r="O908" s="7">
        <f>IF(首页!$B$13="自然对流",IF(首页!$B$14="立式圆筒",(0.825+0.3063*I908^(1/6))^2+0.87*(M908/B908),(0.752+0.303*I908^(1/6))^2),0.3+SQRT((0.592*N908^0.5)^2+(0.0262*N908^0.8/(1-0.5/N908^0.1))^2))</f>
        <v>10044.142082374152</v>
      </c>
      <c r="P908" s="6">
        <f t="shared" si="145"/>
        <v>2.9510194925512497E-2</v>
      </c>
      <c r="Q908" s="6">
        <f t="shared" si="146"/>
        <v>5.3696483824348586</v>
      </c>
      <c r="R908" s="6">
        <f t="shared" si="147"/>
        <v>13.138382182936816</v>
      </c>
      <c r="S908" s="6">
        <f>IF($Y$2="按单位面积散热损失 qp",B908*LN(B908/首页!$B$4),LN(B908/首页!$B$4))</f>
        <v>5.3460152442834241</v>
      </c>
      <c r="T908" s="6">
        <f>IF($Y$2="按单位面积散热损失 qp",2*PI()*首页!$B$8*((E908-D908)/$Y$3-1/R908),2*PI()*首页!$B$8*((E908-D908)/$Y$4-1/(PI()*B908*R908)))</f>
        <v>4.0779322164445631E-2</v>
      </c>
      <c r="U908" t="str">
        <f t="shared" si="148"/>
        <v>按单位面积散热损失 qp</v>
      </c>
      <c r="V908" s="6">
        <f t="shared" si="149"/>
        <v>5.3052359221189782</v>
      </c>
    </row>
    <row r="909" spans="1:22" x14ac:dyDescent="0.15">
      <c r="A909">
        <v>904</v>
      </c>
      <c r="B909" s="6">
        <f>首页!$B$4+2*A909/1000</f>
        <v>1.9279999999999999</v>
      </c>
      <c r="C909" s="6">
        <f>首页!$B$7+273.15</f>
        <v>388.15</v>
      </c>
      <c r="D909" s="6">
        <f>首页!$B$6+273.15</f>
        <v>293.14999999999998</v>
      </c>
      <c r="E909" s="6">
        <f>首页!$B$5+273.15</f>
        <v>1373.15</v>
      </c>
      <c r="F909" s="6">
        <f t="shared" si="140"/>
        <v>95</v>
      </c>
      <c r="G909" s="6">
        <f t="shared" si="141"/>
        <v>340.65</v>
      </c>
      <c r="H909" s="6">
        <f t="shared" si="142"/>
        <v>1.9926207055139041E-5</v>
      </c>
      <c r="I909" s="7">
        <f t="shared" si="143"/>
        <v>1158916576932337.8</v>
      </c>
      <c r="J909" s="6">
        <f t="shared" si="144"/>
        <v>1.0226038455893147</v>
      </c>
      <c r="K909" s="7">
        <f>J909*H909*首页!$B$12/P909</f>
        <v>0.69532757496605813</v>
      </c>
      <c r="L909" s="6">
        <f>首页!$B$9*0.0000000567*((C909^4-D909^4)/(C909-D909))</f>
        <v>7.7687338005019564</v>
      </c>
      <c r="M909" s="6">
        <f>IF(首页!$B$13="自然对流",IF(首页!$B$14="立式圆筒",首页!$B$10,PI()*B909/2),PI()*B909/2)</f>
        <v>55.2</v>
      </c>
      <c r="N909" s="7">
        <f>IF(首页!$B$13="强制对流",首页!$B$11*M909/H909,0)</f>
        <v>0</v>
      </c>
      <c r="O909" s="7">
        <f>IF(首页!$B$13="自然对流",IF(首页!$B$14="立式圆筒",(0.825+0.3063*I909^(1/6))^2+0.87*(M909/B909),(0.752+0.303*I909^(1/6))^2),0.3+SQRT((0.592*N909^0.5)^2+(0.0262*N909^0.8/(1-0.5/N909^0.1))^2))</f>
        <v>10044.116216627846</v>
      </c>
      <c r="P909" s="6">
        <f t="shared" si="145"/>
        <v>2.9510194925512497E-2</v>
      </c>
      <c r="Q909" s="6">
        <f t="shared" si="146"/>
        <v>5.3696345544780586</v>
      </c>
      <c r="R909" s="6">
        <f t="shared" si="147"/>
        <v>13.138368354980015</v>
      </c>
      <c r="S909" s="6">
        <f>IF($Y$2="按单位面积散热损失 qp",B909*LN(B909/首页!$B$4),LN(B909/首页!$B$4))</f>
        <v>5.3535677000449216</v>
      </c>
      <c r="T909" s="6">
        <f>IF($Y$2="按单位面积散热损失 qp",2*PI()*首页!$B$8*((E909-D909)/$Y$3-1/R909),2*PI()*首页!$B$8*((E909-D909)/$Y$4-1/(PI()*B909*R909)))</f>
        <v>4.0779299514504819E-2</v>
      </c>
      <c r="U909" t="str">
        <f t="shared" si="148"/>
        <v>按单位面积散热损失 qp</v>
      </c>
      <c r="V909" s="6">
        <f t="shared" si="149"/>
        <v>5.3127884005304171</v>
      </c>
    </row>
    <row r="910" spans="1:22" x14ac:dyDescent="0.15">
      <c r="A910">
        <v>905</v>
      </c>
      <c r="B910" s="6">
        <f>首页!$B$4+2*A910/1000</f>
        <v>1.9300000000000002</v>
      </c>
      <c r="C910" s="6">
        <f>首页!$B$7+273.15</f>
        <v>388.15</v>
      </c>
      <c r="D910" s="6">
        <f>首页!$B$6+273.15</f>
        <v>293.14999999999998</v>
      </c>
      <c r="E910" s="6">
        <f>首页!$B$5+273.15</f>
        <v>1373.15</v>
      </c>
      <c r="F910" s="6">
        <f t="shared" si="140"/>
        <v>95</v>
      </c>
      <c r="G910" s="6">
        <f t="shared" si="141"/>
        <v>340.65</v>
      </c>
      <c r="H910" s="6">
        <f t="shared" si="142"/>
        <v>1.9926207055139041E-5</v>
      </c>
      <c r="I910" s="7">
        <f t="shared" si="143"/>
        <v>1158916576932337.8</v>
      </c>
      <c r="J910" s="6">
        <f t="shared" si="144"/>
        <v>1.0226038455893147</v>
      </c>
      <c r="K910" s="7">
        <f>J910*H910*首页!$B$12/P910</f>
        <v>0.69532757496605813</v>
      </c>
      <c r="L910" s="6">
        <f>首页!$B$9*0.0000000567*((C910^4-D910^4)/(C910-D910))</f>
        <v>7.7687338005019564</v>
      </c>
      <c r="M910" s="6">
        <f>IF(首页!$B$13="自然对流",IF(首页!$B$14="立式圆筒",首页!$B$10,PI()*B910/2),PI()*B910/2)</f>
        <v>55.2</v>
      </c>
      <c r="N910" s="7">
        <f>IF(首页!$B$13="强制对流",首页!$B$11*M910/H910,0)</f>
        <v>0</v>
      </c>
      <c r="O910" s="7">
        <f>IF(首页!$B$13="自然对流",IF(首页!$B$14="立式圆筒",(0.825+0.3063*I910^(1/6))^2+0.87*(M910/B910),(0.752+0.303*I910^(1/6))^2),0.3+SQRT((0.592*N910^0.5)^2+(0.0262*N910^0.8/(1-0.5/N910^0.1))^2))</f>
        <v>10044.090404489303</v>
      </c>
      <c r="P910" s="6">
        <f t="shared" si="145"/>
        <v>2.9510194925512497E-2</v>
      </c>
      <c r="Q910" s="6">
        <f t="shared" si="146"/>
        <v>5.3696207551802351</v>
      </c>
      <c r="R910" s="6">
        <f t="shared" si="147"/>
        <v>13.138354555682191</v>
      </c>
      <c r="S910" s="6">
        <f>IF($Y$2="按单位面积散热损失 qp",B910*LN(B910/首页!$B$4),LN(B910/首页!$B$4))</f>
        <v>5.3611222304955888</v>
      </c>
      <c r="T910" s="6">
        <f>IF($Y$2="按单位面积散热损失 qp",2*PI()*首页!$B$8*((E910-D910)/$Y$3-1/R910),2*PI()*首页!$B$8*((E910-D910)/$Y$4-1/(PI()*B910*R910)))</f>
        <v>4.0779276911459363E-2</v>
      </c>
      <c r="U910" t="str">
        <f t="shared" si="148"/>
        <v>按单位面积散热损失 qp</v>
      </c>
      <c r="V910" s="6">
        <f t="shared" si="149"/>
        <v>5.3203429535841291</v>
      </c>
    </row>
    <row r="911" spans="1:22" x14ac:dyDescent="0.15">
      <c r="A911">
        <v>906</v>
      </c>
      <c r="B911" s="6">
        <f>首页!$B$4+2*A911/1000</f>
        <v>1.9319999999999999</v>
      </c>
      <c r="C911" s="6">
        <f>首页!$B$7+273.15</f>
        <v>388.15</v>
      </c>
      <c r="D911" s="6">
        <f>首页!$B$6+273.15</f>
        <v>293.14999999999998</v>
      </c>
      <c r="E911" s="6">
        <f>首页!$B$5+273.15</f>
        <v>1373.15</v>
      </c>
      <c r="F911" s="6">
        <f t="shared" si="140"/>
        <v>95</v>
      </c>
      <c r="G911" s="6">
        <f t="shared" si="141"/>
        <v>340.65</v>
      </c>
      <c r="H911" s="6">
        <f t="shared" si="142"/>
        <v>1.9926207055139041E-5</v>
      </c>
      <c r="I911" s="7">
        <f t="shared" si="143"/>
        <v>1158916576932337.8</v>
      </c>
      <c r="J911" s="6">
        <f t="shared" si="144"/>
        <v>1.0226038455893147</v>
      </c>
      <c r="K911" s="7">
        <f>J911*H911*首页!$B$12/P911</f>
        <v>0.69532757496605813</v>
      </c>
      <c r="L911" s="6">
        <f>首页!$B$9*0.0000000567*((C911^4-D911^4)/(C911-D911))</f>
        <v>7.7687338005019564</v>
      </c>
      <c r="M911" s="6">
        <f>IF(首页!$B$13="自然对流",IF(首页!$B$14="立式圆筒",首页!$B$10,PI()*B911/2),PI()*B911/2)</f>
        <v>55.2</v>
      </c>
      <c r="N911" s="7">
        <f>IF(首页!$B$13="强制对流",首页!$B$11*M911/H911,0)</f>
        <v>0</v>
      </c>
      <c r="O911" s="7">
        <f>IF(首页!$B$13="自然对流",IF(首页!$B$14="立式圆筒",(0.825+0.3063*I911^(1/6))^2+0.87*(M911/B911),(0.752+0.303*I911^(1/6))^2),0.3+SQRT((0.592*N911^0.5)^2+(0.0262*N911^0.8/(1-0.5/N911^0.1))^2))</f>
        <v>10044.064645792043</v>
      </c>
      <c r="P911" s="6">
        <f t="shared" si="145"/>
        <v>2.9510194925512497E-2</v>
      </c>
      <c r="Q911" s="6">
        <f t="shared" si="146"/>
        <v>5.3696069844523873</v>
      </c>
      <c r="R911" s="6">
        <f t="shared" si="147"/>
        <v>13.138340784954345</v>
      </c>
      <c r="S911" s="6">
        <f>IF($Y$2="按单位面积散热损失 qp",B911*LN(B911/首页!$B$4),LN(B911/首页!$B$4))</f>
        <v>5.368678833485486</v>
      </c>
      <c r="T911" s="6">
        <f>IF($Y$2="按单位面积散热损失 qp",2*PI()*首页!$B$8*((E911-D911)/$Y$3-1/R911),2*PI()*首页!$B$8*((E911-D911)/$Y$4-1/(PI()*B911*R911)))</f>
        <v>4.0779254355163767E-2</v>
      </c>
      <c r="U911" t="str">
        <f t="shared" si="148"/>
        <v>按单位面积散热损失 qp</v>
      </c>
      <c r="V911" s="6">
        <f t="shared" si="149"/>
        <v>5.3278995791303219</v>
      </c>
    </row>
    <row r="912" spans="1:22" x14ac:dyDescent="0.15">
      <c r="A912">
        <v>907</v>
      </c>
      <c r="B912" s="6">
        <f>首页!$B$4+2*A912/1000</f>
        <v>1.9340000000000002</v>
      </c>
      <c r="C912" s="6">
        <f>首页!$B$7+273.15</f>
        <v>388.15</v>
      </c>
      <c r="D912" s="6">
        <f>首页!$B$6+273.15</f>
        <v>293.14999999999998</v>
      </c>
      <c r="E912" s="6">
        <f>首页!$B$5+273.15</f>
        <v>1373.15</v>
      </c>
      <c r="F912" s="6">
        <f t="shared" si="140"/>
        <v>95</v>
      </c>
      <c r="G912" s="6">
        <f t="shared" si="141"/>
        <v>340.65</v>
      </c>
      <c r="H912" s="6">
        <f t="shared" si="142"/>
        <v>1.9926207055139041E-5</v>
      </c>
      <c r="I912" s="7">
        <f t="shared" si="143"/>
        <v>1158916576932337.8</v>
      </c>
      <c r="J912" s="6">
        <f t="shared" si="144"/>
        <v>1.0226038455893147</v>
      </c>
      <c r="K912" s="7">
        <f>J912*H912*首页!$B$12/P912</f>
        <v>0.69532757496605813</v>
      </c>
      <c r="L912" s="6">
        <f>首页!$B$9*0.0000000567*((C912^4-D912^4)/(C912-D912))</f>
        <v>7.7687338005019564</v>
      </c>
      <c r="M912" s="6">
        <f>IF(首页!$B$13="自然对流",IF(首页!$B$14="立式圆筒",首页!$B$10,PI()*B912/2),PI()*B912/2)</f>
        <v>55.2</v>
      </c>
      <c r="N912" s="7">
        <f>IF(首页!$B$13="强制对流",首页!$B$11*M912/H912,0)</f>
        <v>0</v>
      </c>
      <c r="O912" s="7">
        <f>IF(首页!$B$13="自然对流",IF(首页!$B$14="立式圆筒",(0.825+0.3063*I912^(1/6))^2+0.87*(M912/B912),(0.752+0.303*I912^(1/6))^2),0.3+SQRT((0.592*N912^0.5)^2+(0.0262*N912^0.8/(1-0.5/N912^0.1))^2))</f>
        <v>10044.038940370267</v>
      </c>
      <c r="P912" s="6">
        <f t="shared" si="145"/>
        <v>2.9510194925512497E-2</v>
      </c>
      <c r="Q912" s="6">
        <f t="shared" si="146"/>
        <v>5.3695932422058794</v>
      </c>
      <c r="R912" s="6">
        <f t="shared" si="147"/>
        <v>13.138327042707836</v>
      </c>
      <c r="S912" s="6">
        <f>IF($Y$2="按单位面积散热损失 qp",B912*LN(B912/首页!$B$4),LN(B912/首页!$B$4))</f>
        <v>5.3762375068691295</v>
      </c>
      <c r="T912" s="6">
        <f>IF($Y$2="按单位面积散热损失 qp",2*PI()*首页!$B$8*((E912-D912)/$Y$3-1/R912),2*PI()*首页!$B$8*((E912-D912)/$Y$4-1/(PI()*B912*R912)))</f>
        <v>4.0779231845473142E-2</v>
      </c>
      <c r="U912" t="str">
        <f t="shared" si="148"/>
        <v>按单位面积散热损失 qp</v>
      </c>
      <c r="V912" s="6">
        <f t="shared" si="149"/>
        <v>5.3354582750236563</v>
      </c>
    </row>
    <row r="913" spans="1:22" x14ac:dyDescent="0.15">
      <c r="A913">
        <v>908</v>
      </c>
      <c r="B913" s="6">
        <f>首页!$B$4+2*A913/1000</f>
        <v>1.9359999999999999</v>
      </c>
      <c r="C913" s="6">
        <f>首页!$B$7+273.15</f>
        <v>388.15</v>
      </c>
      <c r="D913" s="6">
        <f>首页!$B$6+273.15</f>
        <v>293.14999999999998</v>
      </c>
      <c r="E913" s="6">
        <f>首页!$B$5+273.15</f>
        <v>1373.15</v>
      </c>
      <c r="F913" s="6">
        <f t="shared" si="140"/>
        <v>95</v>
      </c>
      <c r="G913" s="6">
        <f t="shared" si="141"/>
        <v>340.65</v>
      </c>
      <c r="H913" s="6">
        <f t="shared" si="142"/>
        <v>1.9926207055139041E-5</v>
      </c>
      <c r="I913" s="7">
        <f t="shared" si="143"/>
        <v>1158916576932337.8</v>
      </c>
      <c r="J913" s="6">
        <f t="shared" si="144"/>
        <v>1.0226038455893147</v>
      </c>
      <c r="K913" s="7">
        <f>J913*H913*首页!$B$12/P913</f>
        <v>0.69532757496605813</v>
      </c>
      <c r="L913" s="6">
        <f>首页!$B$9*0.0000000567*((C913^4-D913^4)/(C913-D913))</f>
        <v>7.7687338005019564</v>
      </c>
      <c r="M913" s="6">
        <f>IF(首页!$B$13="自然对流",IF(首页!$B$14="立式圆筒",首页!$B$10,PI()*B913/2),PI()*B913/2)</f>
        <v>55.2</v>
      </c>
      <c r="N913" s="7">
        <f>IF(首页!$B$13="强制对流",首页!$B$11*M913/H913,0)</f>
        <v>0</v>
      </c>
      <c r="O913" s="7">
        <f>IF(首页!$B$13="自然对流",IF(首页!$B$14="立式圆筒",(0.825+0.3063*I913^(1/6))^2+0.87*(M913/B913),(0.752+0.303*I913^(1/6))^2),0.3+SQRT((0.592*N913^0.5)^2+(0.0262*N913^0.8/(1-0.5/N913^0.1))^2))</f>
        <v>10044.013288058866</v>
      </c>
      <c r="P913" s="6">
        <f t="shared" si="145"/>
        <v>2.9510194925512497E-2</v>
      </c>
      <c r="Q913" s="6">
        <f t="shared" si="146"/>
        <v>5.3695795283524426</v>
      </c>
      <c r="R913" s="6">
        <f t="shared" si="147"/>
        <v>13.138313328854398</v>
      </c>
      <c r="S913" s="6">
        <f>IF($Y$2="按单位面积散热损失 qp",B913*LN(B913/首页!$B$4),LN(B913/首页!$B$4))</f>
        <v>5.3837982485054656</v>
      </c>
      <c r="T913" s="6">
        <f>IF($Y$2="按单位面积散热损失 qp",2*PI()*首页!$B$8*((E913-D913)/$Y$3-1/R913),2*PI()*首页!$B$8*((E913-D913)/$Y$4-1/(PI()*B913*R913)))</f>
        <v>4.0779209382243192E-2</v>
      </c>
      <c r="U913" t="str">
        <f t="shared" si="148"/>
        <v>按单位面积散热损失 qp</v>
      </c>
      <c r="V913" s="6">
        <f t="shared" si="149"/>
        <v>5.3430190391232228</v>
      </c>
    </row>
    <row r="914" spans="1:22" x14ac:dyDescent="0.15">
      <c r="A914">
        <v>909</v>
      </c>
      <c r="B914" s="6">
        <f>首页!$B$4+2*A914/1000</f>
        <v>1.9380000000000002</v>
      </c>
      <c r="C914" s="6">
        <f>首页!$B$7+273.15</f>
        <v>388.15</v>
      </c>
      <c r="D914" s="6">
        <f>首页!$B$6+273.15</f>
        <v>293.14999999999998</v>
      </c>
      <c r="E914" s="6">
        <f>首页!$B$5+273.15</f>
        <v>1373.15</v>
      </c>
      <c r="F914" s="6">
        <f t="shared" si="140"/>
        <v>95</v>
      </c>
      <c r="G914" s="6">
        <f t="shared" si="141"/>
        <v>340.65</v>
      </c>
      <c r="H914" s="6">
        <f t="shared" si="142"/>
        <v>1.9926207055139041E-5</v>
      </c>
      <c r="I914" s="7">
        <f t="shared" si="143"/>
        <v>1158916576932337.8</v>
      </c>
      <c r="J914" s="6">
        <f t="shared" si="144"/>
        <v>1.0226038455893147</v>
      </c>
      <c r="K914" s="7">
        <f>J914*H914*首页!$B$12/P914</f>
        <v>0.69532757496605813</v>
      </c>
      <c r="L914" s="6">
        <f>首页!$B$9*0.0000000567*((C914^4-D914^4)/(C914-D914))</f>
        <v>7.7687338005019564</v>
      </c>
      <c r="M914" s="6">
        <f>IF(首页!$B$13="自然对流",IF(首页!$B$14="立式圆筒",首页!$B$10,PI()*B914/2),PI()*B914/2)</f>
        <v>55.2</v>
      </c>
      <c r="N914" s="7">
        <f>IF(首页!$B$13="强制对流",首页!$B$11*M914/H914,0)</f>
        <v>0</v>
      </c>
      <c r="O914" s="7">
        <f>IF(首页!$B$13="自然对流",IF(首页!$B$14="立式圆筒",(0.825+0.3063*I914^(1/6))^2+0.87*(M914/B914),(0.752+0.303*I914^(1/6))^2),0.3+SQRT((0.592*N914^0.5)^2+(0.0262*N914^0.8/(1-0.5/N914^0.1))^2))</f>
        <v>10043.987688693414</v>
      </c>
      <c r="P914" s="6">
        <f t="shared" si="145"/>
        <v>2.9510194925512497E-2</v>
      </c>
      <c r="Q914" s="6">
        <f t="shared" si="146"/>
        <v>5.3695658428041737</v>
      </c>
      <c r="R914" s="6">
        <f t="shared" si="147"/>
        <v>13.13829964330613</v>
      </c>
      <c r="S914" s="6">
        <f>IF($Y$2="按单位面积散热损失 qp",B914*LN(B914/首页!$B$4),LN(B914/首页!$B$4))</f>
        <v>5.3913610562578747</v>
      </c>
      <c r="T914" s="6">
        <f>IF($Y$2="按单位面积散热损失 qp",2*PI()*首页!$B$8*((E914-D914)/$Y$3-1/R914),2*PI()*首页!$B$8*((E914-D914)/$Y$4-1/(PI()*B914*R914)))</f>
        <v>4.0779186965330241E-2</v>
      </c>
      <c r="U914" t="str">
        <f t="shared" si="148"/>
        <v>按单位面积散热损失 qp</v>
      </c>
      <c r="V914" s="6">
        <f t="shared" si="149"/>
        <v>5.3505818692925446</v>
      </c>
    </row>
    <row r="915" spans="1:22" x14ac:dyDescent="0.15">
      <c r="A915">
        <v>910</v>
      </c>
      <c r="B915" s="6">
        <f>首页!$B$4+2*A915/1000</f>
        <v>1.94</v>
      </c>
      <c r="C915" s="6">
        <f>首页!$B$7+273.15</f>
        <v>388.15</v>
      </c>
      <c r="D915" s="6">
        <f>首页!$B$6+273.15</f>
        <v>293.14999999999998</v>
      </c>
      <c r="E915" s="6">
        <f>首页!$B$5+273.15</f>
        <v>1373.15</v>
      </c>
      <c r="F915" s="6">
        <f t="shared" si="140"/>
        <v>95</v>
      </c>
      <c r="G915" s="6">
        <f t="shared" si="141"/>
        <v>340.65</v>
      </c>
      <c r="H915" s="6">
        <f t="shared" si="142"/>
        <v>1.9926207055139041E-5</v>
      </c>
      <c r="I915" s="7">
        <f t="shared" si="143"/>
        <v>1158916576932337.8</v>
      </c>
      <c r="J915" s="6">
        <f t="shared" si="144"/>
        <v>1.0226038455893147</v>
      </c>
      <c r="K915" s="7">
        <f>J915*H915*首页!$B$12/P915</f>
        <v>0.69532757496605813</v>
      </c>
      <c r="L915" s="6">
        <f>首页!$B$9*0.0000000567*((C915^4-D915^4)/(C915-D915))</f>
        <v>7.7687338005019564</v>
      </c>
      <c r="M915" s="6">
        <f>IF(首页!$B$13="自然对流",IF(首页!$B$14="立式圆筒",首页!$B$10,PI()*B915/2),PI()*B915/2)</f>
        <v>55.2</v>
      </c>
      <c r="N915" s="7">
        <f>IF(首页!$B$13="强制对流",首页!$B$11*M915/H915,0)</f>
        <v>0</v>
      </c>
      <c r="O915" s="7">
        <f>IF(首页!$B$13="自然对流",IF(首页!$B$14="立式圆筒",(0.825+0.3063*I915^(1/6))^2+0.87*(M915/B915),(0.752+0.303*I915^(1/6))^2),0.3+SQRT((0.592*N915^0.5)^2+(0.0262*N915^0.8/(1-0.5/N915^0.1))^2))</f>
        <v>10043.962142110158</v>
      </c>
      <c r="P915" s="6">
        <f t="shared" si="145"/>
        <v>2.9510194925512497E-2</v>
      </c>
      <c r="Q915" s="6">
        <f t="shared" si="146"/>
        <v>5.3695521854735286</v>
      </c>
      <c r="R915" s="6">
        <f t="shared" si="147"/>
        <v>13.138285985975486</v>
      </c>
      <c r="S915" s="6">
        <f>IF($Y$2="按单位面积散热损失 qp",B915*LN(B915/首页!$B$4),LN(B915/首页!$B$4))</f>
        <v>5.398925927994136</v>
      </c>
      <c r="T915" s="6">
        <f>IF($Y$2="按单位面积散热损失 qp",2*PI()*首页!$B$8*((E915-D915)/$Y$3-1/R915),2*PI()*首页!$B$8*((E915-D915)/$Y$4-1/(PI()*B915*R915)))</f>
        <v>4.0779164594591168E-2</v>
      </c>
      <c r="U915" t="str">
        <f t="shared" si="148"/>
        <v>按单位面积散热损失 qp</v>
      </c>
      <c r="V915" s="6">
        <f t="shared" si="149"/>
        <v>5.358146763399545</v>
      </c>
    </row>
    <row r="916" spans="1:22" x14ac:dyDescent="0.15">
      <c r="A916">
        <v>911</v>
      </c>
      <c r="B916" s="6">
        <f>首页!$B$4+2*A916/1000</f>
        <v>1.9420000000000002</v>
      </c>
      <c r="C916" s="6">
        <f>首页!$B$7+273.15</f>
        <v>388.15</v>
      </c>
      <c r="D916" s="6">
        <f>首页!$B$6+273.15</f>
        <v>293.14999999999998</v>
      </c>
      <c r="E916" s="6">
        <f>首页!$B$5+273.15</f>
        <v>1373.15</v>
      </c>
      <c r="F916" s="6">
        <f t="shared" si="140"/>
        <v>95</v>
      </c>
      <c r="G916" s="6">
        <f t="shared" si="141"/>
        <v>340.65</v>
      </c>
      <c r="H916" s="6">
        <f t="shared" si="142"/>
        <v>1.9926207055139041E-5</v>
      </c>
      <c r="I916" s="7">
        <f t="shared" si="143"/>
        <v>1158916576932337.8</v>
      </c>
      <c r="J916" s="6">
        <f t="shared" si="144"/>
        <v>1.0226038455893147</v>
      </c>
      <c r="K916" s="7">
        <f>J916*H916*首页!$B$12/P916</f>
        <v>0.69532757496605813</v>
      </c>
      <c r="L916" s="6">
        <f>首页!$B$9*0.0000000567*((C916^4-D916^4)/(C916-D916))</f>
        <v>7.7687338005019564</v>
      </c>
      <c r="M916" s="6">
        <f>IF(首页!$B$13="自然对流",IF(首页!$B$14="立式圆筒",首页!$B$10,PI()*B916/2),PI()*B916/2)</f>
        <v>55.2</v>
      </c>
      <c r="N916" s="7">
        <f>IF(首页!$B$13="强制对流",首页!$B$11*M916/H916,0)</f>
        <v>0</v>
      </c>
      <c r="O916" s="7">
        <f>IF(首页!$B$13="自然对流",IF(首页!$B$14="立式圆筒",(0.825+0.3063*I916^(1/6))^2+0.87*(M916/B916),(0.752+0.303*I916^(1/6))^2),0.3+SQRT((0.592*N916^0.5)^2+(0.0262*N916^0.8/(1-0.5/N916^0.1))^2))</f>
        <v>10043.936648146022</v>
      </c>
      <c r="P916" s="6">
        <f t="shared" si="145"/>
        <v>2.9510194925512497E-2</v>
      </c>
      <c r="Q916" s="6">
        <f t="shared" si="146"/>
        <v>5.3695385562733282</v>
      </c>
      <c r="R916" s="6">
        <f t="shared" si="147"/>
        <v>13.138272356775285</v>
      </c>
      <c r="S916" s="6">
        <f>IF($Y$2="按单位面积散热损失 qp",B916*LN(B916/首页!$B$4),LN(B916/首页!$B$4))</f>
        <v>5.4064928615864343</v>
      </c>
      <c r="T916" s="6">
        <f>IF($Y$2="按单位面积散热损失 qp",2*PI()*首页!$B$8*((E916-D916)/$Y$3-1/R916),2*PI()*首页!$B$8*((E916-D916)/$Y$4-1/(PI()*B916*R916)))</f>
        <v>4.0779142269883467E-2</v>
      </c>
      <c r="U916" t="str">
        <f t="shared" si="148"/>
        <v>按单位面积散热损失 qp</v>
      </c>
      <c r="V916" s="6">
        <f t="shared" si="149"/>
        <v>5.3657137193165507</v>
      </c>
    </row>
    <row r="917" spans="1:22" x14ac:dyDescent="0.15">
      <c r="A917">
        <v>912</v>
      </c>
      <c r="B917" s="6">
        <f>首页!$B$4+2*A917/1000</f>
        <v>1.944</v>
      </c>
      <c r="C917" s="6">
        <f>首页!$B$7+273.15</f>
        <v>388.15</v>
      </c>
      <c r="D917" s="6">
        <f>首页!$B$6+273.15</f>
        <v>293.14999999999998</v>
      </c>
      <c r="E917" s="6">
        <f>首页!$B$5+273.15</f>
        <v>1373.15</v>
      </c>
      <c r="F917" s="6">
        <f t="shared" si="140"/>
        <v>95</v>
      </c>
      <c r="G917" s="6">
        <f t="shared" si="141"/>
        <v>340.65</v>
      </c>
      <c r="H917" s="6">
        <f t="shared" si="142"/>
        <v>1.9926207055139041E-5</v>
      </c>
      <c r="I917" s="7">
        <f t="shared" si="143"/>
        <v>1158916576932337.8</v>
      </c>
      <c r="J917" s="6">
        <f t="shared" si="144"/>
        <v>1.0226038455893147</v>
      </c>
      <c r="K917" s="7">
        <f>J917*H917*首页!$B$12/P917</f>
        <v>0.69532757496605813</v>
      </c>
      <c r="L917" s="6">
        <f>首页!$B$9*0.0000000567*((C917^4-D917^4)/(C917-D917))</f>
        <v>7.7687338005019564</v>
      </c>
      <c r="M917" s="6">
        <f>IF(首页!$B$13="自然对流",IF(首页!$B$14="立式圆筒",首页!$B$10,PI()*B917/2),PI()*B917/2)</f>
        <v>55.2</v>
      </c>
      <c r="N917" s="7">
        <f>IF(首页!$B$13="强制对流",首页!$B$11*M917/H917,0)</f>
        <v>0</v>
      </c>
      <c r="O917" s="7">
        <f>IF(首页!$B$13="自然对流",IF(首页!$B$14="立式圆筒",(0.825+0.3063*I917^(1/6))^2+0.87*(M917/B917),(0.752+0.303*I917^(1/6))^2),0.3+SQRT((0.592*N917^0.5)^2+(0.0262*N917^0.8/(1-0.5/N917^0.1))^2))</f>
        <v>10043.911206638604</v>
      </c>
      <c r="P917" s="6">
        <f t="shared" si="145"/>
        <v>2.9510194925512497E-2</v>
      </c>
      <c r="Q917" s="6">
        <f t="shared" si="146"/>
        <v>5.3695249551167503</v>
      </c>
      <c r="R917" s="6">
        <f t="shared" si="147"/>
        <v>13.138258755618708</v>
      </c>
      <c r="S917" s="6">
        <f>IF($Y$2="按单位面积散热损失 qp",B917*LN(B917/首页!$B$4),LN(B917/首页!$B$4))</f>
        <v>5.4140618549113295</v>
      </c>
      <c r="T917" s="6">
        <f>IF($Y$2="按单位面积散热损失 qp",2*PI()*首页!$B$8*((E917-D917)/$Y$3-1/R917),2*PI()*首页!$B$8*((E917-D917)/$Y$4-1/(PI()*B917*R917)))</f>
        <v>4.0779119991065198E-2</v>
      </c>
      <c r="U917" t="str">
        <f t="shared" si="148"/>
        <v>按单位面积散热损失 qp</v>
      </c>
      <c r="V917" s="6">
        <f t="shared" si="149"/>
        <v>5.3732827349202648</v>
      </c>
    </row>
    <row r="918" spans="1:22" x14ac:dyDescent="0.15">
      <c r="A918">
        <v>913</v>
      </c>
      <c r="B918" s="6">
        <f>首页!$B$4+2*A918/1000</f>
        <v>1.9460000000000002</v>
      </c>
      <c r="C918" s="6">
        <f>首页!$B$7+273.15</f>
        <v>388.15</v>
      </c>
      <c r="D918" s="6">
        <f>首页!$B$6+273.15</f>
        <v>293.14999999999998</v>
      </c>
      <c r="E918" s="6">
        <f>首页!$B$5+273.15</f>
        <v>1373.15</v>
      </c>
      <c r="F918" s="6">
        <f t="shared" si="140"/>
        <v>95</v>
      </c>
      <c r="G918" s="6">
        <f t="shared" si="141"/>
        <v>340.65</v>
      </c>
      <c r="H918" s="6">
        <f t="shared" si="142"/>
        <v>1.9926207055139041E-5</v>
      </c>
      <c r="I918" s="7">
        <f t="shared" si="143"/>
        <v>1158916576932337.8</v>
      </c>
      <c r="J918" s="6">
        <f t="shared" si="144"/>
        <v>1.0226038455893147</v>
      </c>
      <c r="K918" s="7">
        <f>J918*H918*首页!$B$12/P918</f>
        <v>0.69532757496605813</v>
      </c>
      <c r="L918" s="6">
        <f>首页!$B$9*0.0000000567*((C918^4-D918^4)/(C918-D918))</f>
        <v>7.7687338005019564</v>
      </c>
      <c r="M918" s="6">
        <f>IF(首页!$B$13="自然对流",IF(首页!$B$14="立式圆筒",首页!$B$10,PI()*B918/2),PI()*B918/2)</f>
        <v>55.2</v>
      </c>
      <c r="N918" s="7">
        <f>IF(首页!$B$13="强制对流",首页!$B$11*M918/H918,0)</f>
        <v>0</v>
      </c>
      <c r="O918" s="7">
        <f>IF(首页!$B$13="自然对流",IF(首页!$B$14="立式圆筒",(0.825+0.3063*I918^(1/6))^2+0.87*(M918/B918),(0.752+0.303*I918^(1/6))^2),0.3+SQRT((0.592*N918^0.5)^2+(0.0262*N918^0.8/(1-0.5/N918^0.1))^2))</f>
        <v>10043.885817426164</v>
      </c>
      <c r="P918" s="6">
        <f t="shared" si="145"/>
        <v>2.9510194925512497E-2</v>
      </c>
      <c r="Q918" s="6">
        <f t="shared" si="146"/>
        <v>5.3695113819173281</v>
      </c>
      <c r="R918" s="6">
        <f t="shared" si="147"/>
        <v>13.138245182419285</v>
      </c>
      <c r="S918" s="6">
        <f>IF($Y$2="按单位面积散热损失 qp",B918*LN(B918/首页!$B$4),LN(B918/首页!$B$4))</f>
        <v>5.4216329058497585</v>
      </c>
      <c r="T918" s="6">
        <f>IF($Y$2="按单位面积散热损失 qp",2*PI()*首页!$B$8*((E918-D918)/$Y$3-1/R918),2*PI()*首页!$B$8*((E918-D918)/$Y$4-1/(PI()*B918*R918)))</f>
        <v>4.0779097757995021E-2</v>
      </c>
      <c r="U918" t="str">
        <f t="shared" si="148"/>
        <v>按单位面积散热损失 qp</v>
      </c>
      <c r="V918" s="6">
        <f t="shared" si="149"/>
        <v>5.3808538080917634</v>
      </c>
    </row>
    <row r="919" spans="1:22" x14ac:dyDescent="0.15">
      <c r="A919">
        <v>914</v>
      </c>
      <c r="B919" s="6">
        <f>首页!$B$4+2*A919/1000</f>
        <v>1.948</v>
      </c>
      <c r="C919" s="6">
        <f>首页!$B$7+273.15</f>
        <v>388.15</v>
      </c>
      <c r="D919" s="6">
        <f>首页!$B$6+273.15</f>
        <v>293.14999999999998</v>
      </c>
      <c r="E919" s="6">
        <f>首页!$B$5+273.15</f>
        <v>1373.15</v>
      </c>
      <c r="F919" s="6">
        <f t="shared" si="140"/>
        <v>95</v>
      </c>
      <c r="G919" s="6">
        <f t="shared" si="141"/>
        <v>340.65</v>
      </c>
      <c r="H919" s="6">
        <f t="shared" si="142"/>
        <v>1.9926207055139041E-5</v>
      </c>
      <c r="I919" s="7">
        <f t="shared" si="143"/>
        <v>1158916576932337.8</v>
      </c>
      <c r="J919" s="6">
        <f t="shared" si="144"/>
        <v>1.0226038455893147</v>
      </c>
      <c r="K919" s="7">
        <f>J919*H919*首页!$B$12/P919</f>
        <v>0.69532757496605813</v>
      </c>
      <c r="L919" s="6">
        <f>首页!$B$9*0.0000000567*((C919^4-D919^4)/(C919-D919))</f>
        <v>7.7687338005019564</v>
      </c>
      <c r="M919" s="6">
        <f>IF(首页!$B$13="自然对流",IF(首页!$B$14="立式圆筒",首页!$B$10,PI()*B919/2),PI()*B919/2)</f>
        <v>55.2</v>
      </c>
      <c r="N919" s="7">
        <f>IF(首页!$B$13="强制对流",首页!$B$11*M919/H919,0)</f>
        <v>0</v>
      </c>
      <c r="O919" s="7">
        <f>IF(首页!$B$13="自然对流",IF(首页!$B$14="立式圆筒",(0.825+0.3063*I919^(1/6))^2+0.87*(M919/B919),(0.752+0.303*I919^(1/6))^2),0.3+SQRT((0.592*N919^0.5)^2+(0.0262*N919^0.8/(1-0.5/N919^0.1))^2))</f>
        <v>10043.86048034763</v>
      </c>
      <c r="P919" s="6">
        <f t="shared" si="145"/>
        <v>2.9510194925512497E-2</v>
      </c>
      <c r="Q919" s="6">
        <f t="shared" si="146"/>
        <v>5.3694978365889519</v>
      </c>
      <c r="R919" s="6">
        <f t="shared" si="147"/>
        <v>13.138231637090907</v>
      </c>
      <c r="S919" s="6">
        <f>IF($Y$2="按单位面积散热损失 qp",B919*LN(B919/首页!$B$4),LN(B919/首页!$B$4))</f>
        <v>5.4292060122870067</v>
      </c>
      <c r="T919" s="6">
        <f>IF($Y$2="按单位面积散热损失 qp",2*PI()*首页!$B$8*((E919-D919)/$Y$3-1/R919),2*PI()*首页!$B$8*((E919-D919)/$Y$4-1/(PI()*B919*R919)))</f>
        <v>4.0779075570532161E-2</v>
      </c>
      <c r="U919" t="str">
        <f t="shared" si="148"/>
        <v>按单位面积散热损失 qp</v>
      </c>
      <c r="V919" s="6">
        <f t="shared" si="149"/>
        <v>5.388426936716475</v>
      </c>
    </row>
    <row r="920" spans="1:22" x14ac:dyDescent="0.15">
      <c r="A920">
        <v>915</v>
      </c>
      <c r="B920" s="6">
        <f>首页!$B$4+2*A920/1000</f>
        <v>1.9500000000000002</v>
      </c>
      <c r="C920" s="6">
        <f>首页!$B$7+273.15</f>
        <v>388.15</v>
      </c>
      <c r="D920" s="6">
        <f>首页!$B$6+273.15</f>
        <v>293.14999999999998</v>
      </c>
      <c r="E920" s="6">
        <f>首页!$B$5+273.15</f>
        <v>1373.15</v>
      </c>
      <c r="F920" s="6">
        <f t="shared" si="140"/>
        <v>95</v>
      </c>
      <c r="G920" s="6">
        <f t="shared" si="141"/>
        <v>340.65</v>
      </c>
      <c r="H920" s="6">
        <f t="shared" si="142"/>
        <v>1.9926207055139041E-5</v>
      </c>
      <c r="I920" s="7">
        <f t="shared" si="143"/>
        <v>1158916576932337.8</v>
      </c>
      <c r="J920" s="6">
        <f t="shared" si="144"/>
        <v>1.0226038455893147</v>
      </c>
      <c r="K920" s="7">
        <f>J920*H920*首页!$B$12/P920</f>
        <v>0.69532757496605813</v>
      </c>
      <c r="L920" s="6">
        <f>首页!$B$9*0.0000000567*((C920^4-D920^4)/(C920-D920))</f>
        <v>7.7687338005019564</v>
      </c>
      <c r="M920" s="6">
        <f>IF(首页!$B$13="自然对流",IF(首页!$B$14="立式圆筒",首页!$B$10,PI()*B920/2),PI()*B920/2)</f>
        <v>55.2</v>
      </c>
      <c r="N920" s="7">
        <f>IF(首页!$B$13="强制对流",首页!$B$11*M920/H920,0)</f>
        <v>0</v>
      </c>
      <c r="O920" s="7">
        <f>IF(首页!$B$13="自然对流",IF(首页!$B$14="立式圆筒",(0.825+0.3063*I920^(1/6))^2+0.87*(M920/B920),(0.752+0.303*I920^(1/6))^2),0.3+SQRT((0.592*N920^0.5)^2+(0.0262*N920^0.8/(1-0.5/N920^0.1))^2))</f>
        <v>10043.835195242593</v>
      </c>
      <c r="P920" s="6">
        <f t="shared" si="145"/>
        <v>2.9510194925512497E-2</v>
      </c>
      <c r="Q920" s="6">
        <f t="shared" si="146"/>
        <v>5.3694843190458652</v>
      </c>
      <c r="R920" s="6">
        <f t="shared" si="147"/>
        <v>13.138218119547822</v>
      </c>
      <c r="S920" s="6">
        <f>IF($Y$2="按单位面积散热损失 qp",B920*LN(B920/首页!$B$4),LN(B920/首页!$B$4))</f>
        <v>5.4367811721127071</v>
      </c>
      <c r="T920" s="6">
        <f>IF($Y$2="按单位面积散热损失 qp",2*PI()*首页!$B$8*((E920-D920)/$Y$3-1/R920),2*PI()*首页!$B$8*((E920-D920)/$Y$4-1/(PI()*B920*R920)))</f>
        <v>4.0779053428536445E-2</v>
      </c>
      <c r="U920" t="str">
        <f t="shared" si="148"/>
        <v>按单位面积散热损失 qp</v>
      </c>
      <c r="V920" s="6">
        <f t="shared" si="149"/>
        <v>5.3960021186841702</v>
      </c>
    </row>
    <row r="921" spans="1:22" x14ac:dyDescent="0.15">
      <c r="A921">
        <v>916</v>
      </c>
      <c r="B921" s="6">
        <f>首页!$B$4+2*A921/1000</f>
        <v>1.952</v>
      </c>
      <c r="C921" s="6">
        <f>首页!$B$7+273.15</f>
        <v>388.15</v>
      </c>
      <c r="D921" s="6">
        <f>首页!$B$6+273.15</f>
        <v>293.14999999999998</v>
      </c>
      <c r="E921" s="6">
        <f>首页!$B$5+273.15</f>
        <v>1373.15</v>
      </c>
      <c r="F921" s="6">
        <f t="shared" si="140"/>
        <v>95</v>
      </c>
      <c r="G921" s="6">
        <f t="shared" si="141"/>
        <v>340.65</v>
      </c>
      <c r="H921" s="6">
        <f t="shared" si="142"/>
        <v>1.9926207055139041E-5</v>
      </c>
      <c r="I921" s="7">
        <f t="shared" si="143"/>
        <v>1158916576932337.8</v>
      </c>
      <c r="J921" s="6">
        <f t="shared" si="144"/>
        <v>1.0226038455893147</v>
      </c>
      <c r="K921" s="7">
        <f>J921*H921*首页!$B$12/P921</f>
        <v>0.69532757496605813</v>
      </c>
      <c r="L921" s="6">
        <f>首页!$B$9*0.0000000567*((C921^4-D921^4)/(C921-D921))</f>
        <v>7.7687338005019564</v>
      </c>
      <c r="M921" s="6">
        <f>IF(首页!$B$13="自然对流",IF(首页!$B$14="立式圆筒",首页!$B$10,PI()*B921/2),PI()*B921/2)</f>
        <v>55.2</v>
      </c>
      <c r="N921" s="7">
        <f>IF(首页!$B$13="强制对流",首页!$B$11*M921/H921,0)</f>
        <v>0</v>
      </c>
      <c r="O921" s="7">
        <f>IF(首页!$B$13="自然对流",IF(首页!$B$14="立式圆筒",(0.825+0.3063*I921^(1/6))^2+0.87*(M921/B921),(0.752+0.303*I921^(1/6))^2),0.3+SQRT((0.592*N921^0.5)^2+(0.0262*N921^0.8/(1-0.5/N921^0.1))^2))</f>
        <v>10043.809961951294</v>
      </c>
      <c r="P921" s="6">
        <f t="shared" si="145"/>
        <v>2.9510194925512497E-2</v>
      </c>
      <c r="Q921" s="6">
        <f t="shared" si="146"/>
        <v>5.3694708292026618</v>
      </c>
      <c r="R921" s="6">
        <f t="shared" si="147"/>
        <v>13.138204629704617</v>
      </c>
      <c r="S921" s="6">
        <f>IF($Y$2="按单位面积散热损失 qp",B921*LN(B921/首页!$B$4),LN(B921/首页!$B$4))</f>
        <v>5.4443583832208153</v>
      </c>
      <c r="T921" s="6">
        <f>IF($Y$2="按单位面积散热损失 qp",2*PI()*首页!$B$8*((E921-D921)/$Y$3-1/R921),2*PI()*首页!$B$8*((E921-D921)/$Y$4-1/(PI()*B921*R921)))</f>
        <v>4.0779031331868255E-2</v>
      </c>
      <c r="U921" t="str">
        <f t="shared" si="148"/>
        <v>按单位面积散热损失 qp</v>
      </c>
      <c r="V921" s="6">
        <f t="shared" si="149"/>
        <v>5.403579351888947</v>
      </c>
    </row>
    <row r="922" spans="1:22" x14ac:dyDescent="0.15">
      <c r="A922">
        <v>917</v>
      </c>
      <c r="B922" s="6">
        <f>首页!$B$4+2*A922/1000</f>
        <v>1.9540000000000002</v>
      </c>
      <c r="C922" s="6">
        <f>首页!$B$7+273.15</f>
        <v>388.15</v>
      </c>
      <c r="D922" s="6">
        <f>首页!$B$6+273.15</f>
        <v>293.14999999999998</v>
      </c>
      <c r="E922" s="6">
        <f>首页!$B$5+273.15</f>
        <v>1373.15</v>
      </c>
      <c r="F922" s="6">
        <f t="shared" si="140"/>
        <v>95</v>
      </c>
      <c r="G922" s="6">
        <f t="shared" si="141"/>
        <v>340.65</v>
      </c>
      <c r="H922" s="6">
        <f t="shared" si="142"/>
        <v>1.9926207055139041E-5</v>
      </c>
      <c r="I922" s="7">
        <f t="shared" si="143"/>
        <v>1158916576932337.8</v>
      </c>
      <c r="J922" s="6">
        <f t="shared" si="144"/>
        <v>1.0226038455893147</v>
      </c>
      <c r="K922" s="7">
        <f>J922*H922*首页!$B$12/P922</f>
        <v>0.69532757496605813</v>
      </c>
      <c r="L922" s="6">
        <f>首页!$B$9*0.0000000567*((C922^4-D922^4)/(C922-D922))</f>
        <v>7.7687338005019564</v>
      </c>
      <c r="M922" s="6">
        <f>IF(首页!$B$13="自然对流",IF(首页!$B$14="立式圆筒",首页!$B$10,PI()*B922/2),PI()*B922/2)</f>
        <v>55.2</v>
      </c>
      <c r="N922" s="7">
        <f>IF(首页!$B$13="强制对流",首页!$B$11*M922/H922,0)</f>
        <v>0</v>
      </c>
      <c r="O922" s="7">
        <f>IF(首页!$B$13="自然对流",IF(首页!$B$14="立式圆筒",(0.825+0.3063*I922^(1/6))^2+0.87*(M922/B922),(0.752+0.303*I922^(1/6))^2),0.3+SQRT((0.592*N922^0.5)^2+(0.0262*N922^0.8/(1-0.5/N922^0.1))^2))</f>
        <v>10043.784780314634</v>
      </c>
      <c r="P922" s="6">
        <f t="shared" si="145"/>
        <v>2.9510194925512497E-2</v>
      </c>
      <c r="Q922" s="6">
        <f t="shared" si="146"/>
        <v>5.3694573669742853</v>
      </c>
      <c r="R922" s="6">
        <f t="shared" si="147"/>
        <v>13.138191167476242</v>
      </c>
      <c r="S922" s="6">
        <f>IF($Y$2="按单位面积散热损失 qp",B922*LN(B922/首页!$B$4),LN(B922/首页!$B$4))</f>
        <v>5.4519376435096136</v>
      </c>
      <c r="T922" s="6">
        <f>IF($Y$2="按单位面积散热损失 qp",2*PI()*首页!$B$8*((E922-D922)/$Y$3-1/R922),2*PI()*首页!$B$8*((E922-D922)/$Y$4-1/(PI()*B922*R922)))</f>
        <v>4.0779009280388523E-2</v>
      </c>
      <c r="U922" t="str">
        <f t="shared" si="148"/>
        <v>按单位面积散热损失 qp</v>
      </c>
      <c r="V922" s="6">
        <f t="shared" si="149"/>
        <v>5.4111586342292251</v>
      </c>
    </row>
    <row r="923" spans="1:22" x14ac:dyDescent="0.15">
      <c r="A923">
        <v>918</v>
      </c>
      <c r="B923" s="6">
        <f>首页!$B$4+2*A923/1000</f>
        <v>1.956</v>
      </c>
      <c r="C923" s="6">
        <f>首页!$B$7+273.15</f>
        <v>388.15</v>
      </c>
      <c r="D923" s="6">
        <f>首页!$B$6+273.15</f>
        <v>293.14999999999998</v>
      </c>
      <c r="E923" s="6">
        <f>首页!$B$5+273.15</f>
        <v>1373.15</v>
      </c>
      <c r="F923" s="6">
        <f t="shared" si="140"/>
        <v>95</v>
      </c>
      <c r="G923" s="6">
        <f t="shared" si="141"/>
        <v>340.65</v>
      </c>
      <c r="H923" s="6">
        <f t="shared" si="142"/>
        <v>1.9926207055139041E-5</v>
      </c>
      <c r="I923" s="7">
        <f t="shared" si="143"/>
        <v>1158916576932337.8</v>
      </c>
      <c r="J923" s="6">
        <f t="shared" si="144"/>
        <v>1.0226038455893147</v>
      </c>
      <c r="K923" s="7">
        <f>J923*H923*首页!$B$12/P923</f>
        <v>0.69532757496605813</v>
      </c>
      <c r="L923" s="6">
        <f>首页!$B$9*0.0000000567*((C923^4-D923^4)/(C923-D923))</f>
        <v>7.7687338005019564</v>
      </c>
      <c r="M923" s="6">
        <f>IF(首页!$B$13="自然对流",IF(首页!$B$14="立式圆筒",首页!$B$10,PI()*B923/2),PI()*B923/2)</f>
        <v>55.2</v>
      </c>
      <c r="N923" s="7">
        <f>IF(首页!$B$13="强制对流",首页!$B$11*M923/H923,0)</f>
        <v>0</v>
      </c>
      <c r="O923" s="7">
        <f>IF(首页!$B$13="自然对流",IF(首页!$B$14="立式圆筒",(0.825+0.3063*I923^(1/6))^2+0.87*(M923/B923),(0.752+0.303*I923^(1/6))^2),0.3+SQRT((0.592*N923^0.5)^2+(0.0262*N923^0.8/(1-0.5/N923^0.1))^2))</f>
        <v>10043.759650174163</v>
      </c>
      <c r="P923" s="6">
        <f t="shared" si="145"/>
        <v>2.9510194925512497E-2</v>
      </c>
      <c r="Q923" s="6">
        <f t="shared" si="146"/>
        <v>5.3694439322760275</v>
      </c>
      <c r="R923" s="6">
        <f t="shared" si="147"/>
        <v>13.138177732777983</v>
      </c>
      <c r="S923" s="6">
        <f>IF($Y$2="按单位面积散热损失 qp",B923*LN(B923/首页!$B$4),LN(B923/首页!$B$4))</f>
        <v>5.4595189508816739</v>
      </c>
      <c r="T923" s="6">
        <f>IF($Y$2="按单位面积散热损失 qp",2*PI()*首页!$B$8*((E923-D923)/$Y$3-1/R923),2*PI()*首页!$B$8*((E923-D923)/$Y$4-1/(PI()*B923*R923)))</f>
        <v>4.0778987273958796E-2</v>
      </c>
      <c r="U923" t="str">
        <f t="shared" si="148"/>
        <v>按单位面积散热损失 qp</v>
      </c>
      <c r="V923" s="6">
        <f t="shared" si="149"/>
        <v>5.4187399636077149</v>
      </c>
    </row>
    <row r="924" spans="1:22" x14ac:dyDescent="0.15">
      <c r="A924">
        <v>919</v>
      </c>
      <c r="B924" s="6">
        <f>首页!$B$4+2*A924/1000</f>
        <v>1.9580000000000002</v>
      </c>
      <c r="C924" s="6">
        <f>首页!$B$7+273.15</f>
        <v>388.15</v>
      </c>
      <c r="D924" s="6">
        <f>首页!$B$6+273.15</f>
        <v>293.14999999999998</v>
      </c>
      <c r="E924" s="6">
        <f>首页!$B$5+273.15</f>
        <v>1373.15</v>
      </c>
      <c r="F924" s="6">
        <f t="shared" si="140"/>
        <v>95</v>
      </c>
      <c r="G924" s="6">
        <f t="shared" si="141"/>
        <v>340.65</v>
      </c>
      <c r="H924" s="6">
        <f t="shared" si="142"/>
        <v>1.9926207055139041E-5</v>
      </c>
      <c r="I924" s="7">
        <f t="shared" si="143"/>
        <v>1158916576932337.8</v>
      </c>
      <c r="J924" s="6">
        <f t="shared" si="144"/>
        <v>1.0226038455893147</v>
      </c>
      <c r="K924" s="7">
        <f>J924*H924*首页!$B$12/P924</f>
        <v>0.69532757496605813</v>
      </c>
      <c r="L924" s="6">
        <f>首页!$B$9*0.0000000567*((C924^4-D924^4)/(C924-D924))</f>
        <v>7.7687338005019564</v>
      </c>
      <c r="M924" s="6">
        <f>IF(首页!$B$13="自然对流",IF(首页!$B$14="立式圆筒",首页!$B$10,PI()*B924/2),PI()*B924/2)</f>
        <v>55.2</v>
      </c>
      <c r="N924" s="7">
        <f>IF(首页!$B$13="强制对流",首页!$B$11*M924/H924,0)</f>
        <v>0</v>
      </c>
      <c r="O924" s="7">
        <f>IF(首页!$B$13="自然对流",IF(首页!$B$14="立式圆筒",(0.825+0.3063*I924^(1/6))^2+0.87*(M924/B924),(0.752+0.303*I924^(1/6))^2),0.3+SQRT((0.592*N924^0.5)^2+(0.0262*N924^0.8/(1-0.5/N924^0.1))^2))</f>
        <v>10043.734571372081</v>
      </c>
      <c r="P924" s="6">
        <f t="shared" si="145"/>
        <v>2.9510194925512497E-2</v>
      </c>
      <c r="Q924" s="6">
        <f t="shared" si="146"/>
        <v>5.3694305250235281</v>
      </c>
      <c r="R924" s="6">
        <f t="shared" si="147"/>
        <v>13.138164325525484</v>
      </c>
      <c r="S924" s="6">
        <f>IF($Y$2="按单位面积散热损失 qp",B924*LN(B924/首页!$B$4),LN(B924/首页!$B$4))</f>
        <v>5.467102303243867</v>
      </c>
      <c r="T924" s="6">
        <f>IF($Y$2="按单位面积散热损失 qp",2*PI()*首页!$B$8*((E924-D924)/$Y$3-1/R924),2*PI()*首页!$B$8*((E924-D924)/$Y$4-1/(PI()*B924*R924)))</f>
        <v>4.0778965312441164E-2</v>
      </c>
      <c r="U924" t="str">
        <f t="shared" si="148"/>
        <v>按单位面积散热损失 qp</v>
      </c>
      <c r="V924" s="6">
        <f t="shared" si="149"/>
        <v>5.426323337931426</v>
      </c>
    </row>
    <row r="925" spans="1:22" x14ac:dyDescent="0.15">
      <c r="A925">
        <v>920</v>
      </c>
      <c r="B925" s="6">
        <f>首页!$B$4+2*A925/1000</f>
        <v>1.96</v>
      </c>
      <c r="C925" s="6">
        <f>首页!$B$7+273.15</f>
        <v>388.15</v>
      </c>
      <c r="D925" s="6">
        <f>首页!$B$6+273.15</f>
        <v>293.14999999999998</v>
      </c>
      <c r="E925" s="6">
        <f>首页!$B$5+273.15</f>
        <v>1373.15</v>
      </c>
      <c r="F925" s="6">
        <f t="shared" si="140"/>
        <v>95</v>
      </c>
      <c r="G925" s="6">
        <f t="shared" si="141"/>
        <v>340.65</v>
      </c>
      <c r="H925" s="6">
        <f t="shared" si="142"/>
        <v>1.9926207055139041E-5</v>
      </c>
      <c r="I925" s="7">
        <f t="shared" si="143"/>
        <v>1158916576932337.8</v>
      </c>
      <c r="J925" s="6">
        <f t="shared" si="144"/>
        <v>1.0226038455893147</v>
      </c>
      <c r="K925" s="7">
        <f>J925*H925*首页!$B$12/P925</f>
        <v>0.69532757496605813</v>
      </c>
      <c r="L925" s="6">
        <f>首页!$B$9*0.0000000567*((C925^4-D925^4)/(C925-D925))</f>
        <v>7.7687338005019564</v>
      </c>
      <c r="M925" s="6">
        <f>IF(首页!$B$13="自然对流",IF(首页!$B$14="立式圆筒",首页!$B$10,PI()*B925/2),PI()*B925/2)</f>
        <v>55.2</v>
      </c>
      <c r="N925" s="7">
        <f>IF(首页!$B$13="强制对流",首页!$B$11*M925/H925,0)</f>
        <v>0</v>
      </c>
      <c r="O925" s="7">
        <f>IF(首页!$B$13="自然对流",IF(首页!$B$14="立式圆筒",(0.825+0.3063*I925^(1/6))^2+0.87*(M925/B925),(0.752+0.303*I925^(1/6))^2),0.3+SQRT((0.592*N925^0.5)^2+(0.0262*N925^0.8/(1-0.5/N925^0.1))^2))</f>
        <v>10043.709543751227</v>
      </c>
      <c r="P925" s="6">
        <f t="shared" si="145"/>
        <v>2.9510194925512497E-2</v>
      </c>
      <c r="Q925" s="6">
        <f t="shared" si="146"/>
        <v>5.3694171451327701</v>
      </c>
      <c r="R925" s="6">
        <f t="shared" si="147"/>
        <v>13.138150945634727</v>
      </c>
      <c r="S925" s="6">
        <f>IF($Y$2="按单位面积散热损失 qp",B925*LN(B925/首页!$B$4),LN(B925/首页!$B$4))</f>
        <v>5.4746876985073332</v>
      </c>
      <c r="T925" s="6">
        <f>IF($Y$2="按单位面积散热损失 qp",2*PI()*首页!$B$8*((E925-D925)/$Y$3-1/R925),2*PI()*首页!$B$8*((E925-D925)/$Y$4-1/(PI()*B925*R925)))</f>
        <v>4.0778943395698264E-2</v>
      </c>
      <c r="U925" t="str">
        <f t="shared" si="148"/>
        <v>按单位面积散热损失 qp</v>
      </c>
      <c r="V925" s="6">
        <f t="shared" si="149"/>
        <v>5.4339087551116352</v>
      </c>
    </row>
    <row r="926" spans="1:22" x14ac:dyDescent="0.15">
      <c r="A926">
        <v>921</v>
      </c>
      <c r="B926" s="6">
        <f>首页!$B$4+2*A926/1000</f>
        <v>1.9620000000000002</v>
      </c>
      <c r="C926" s="6">
        <f>首页!$B$7+273.15</f>
        <v>388.15</v>
      </c>
      <c r="D926" s="6">
        <f>首页!$B$6+273.15</f>
        <v>293.14999999999998</v>
      </c>
      <c r="E926" s="6">
        <f>首页!$B$5+273.15</f>
        <v>1373.15</v>
      </c>
      <c r="F926" s="6">
        <f t="shared" si="140"/>
        <v>95</v>
      </c>
      <c r="G926" s="6">
        <f t="shared" si="141"/>
        <v>340.65</v>
      </c>
      <c r="H926" s="6">
        <f t="shared" si="142"/>
        <v>1.9926207055139041E-5</v>
      </c>
      <c r="I926" s="7">
        <f t="shared" si="143"/>
        <v>1158916576932337.8</v>
      </c>
      <c r="J926" s="6">
        <f t="shared" si="144"/>
        <v>1.0226038455893147</v>
      </c>
      <c r="K926" s="7">
        <f>J926*H926*首页!$B$12/P926</f>
        <v>0.69532757496605813</v>
      </c>
      <c r="L926" s="6">
        <f>首页!$B$9*0.0000000567*((C926^4-D926^4)/(C926-D926))</f>
        <v>7.7687338005019564</v>
      </c>
      <c r="M926" s="6">
        <f>IF(首页!$B$13="自然对流",IF(首页!$B$14="立式圆筒",首页!$B$10,PI()*B926/2),PI()*B926/2)</f>
        <v>55.2</v>
      </c>
      <c r="N926" s="7">
        <f>IF(首页!$B$13="强制对流",首页!$B$11*M926/H926,0)</f>
        <v>0</v>
      </c>
      <c r="O926" s="7">
        <f>IF(首页!$B$13="自然对流",IF(首页!$B$14="立式圆筒",(0.825+0.3063*I926^(1/6))^2+0.87*(M926/B926),(0.752+0.303*I926^(1/6))^2),0.3+SQRT((0.592*N926^0.5)^2+(0.0262*N926^0.8/(1-0.5/N926^0.1))^2))</f>
        <v>10043.684567155084</v>
      </c>
      <c r="P926" s="6">
        <f t="shared" si="145"/>
        <v>2.9510194925512497E-2</v>
      </c>
      <c r="Q926" s="6">
        <f t="shared" si="146"/>
        <v>5.3694037925200737</v>
      </c>
      <c r="R926" s="6">
        <f t="shared" si="147"/>
        <v>13.13813759302203</v>
      </c>
      <c r="S926" s="6">
        <f>IF($Y$2="按单位面积散热损失 qp",B926*LN(B926/首页!$B$4),LN(B926/首页!$B$4))</f>
        <v>5.4822751345874821</v>
      </c>
      <c r="T926" s="6">
        <f>IF($Y$2="按单位面积散热损失 qp",2*PI()*首页!$B$8*((E926-D926)/$Y$3-1/R926),2*PI()*首页!$B$8*((E926-D926)/$Y$4-1/(PI()*B926*R926)))</f>
        <v>4.077892152359331E-2</v>
      </c>
      <c r="U926" t="str">
        <f t="shared" si="148"/>
        <v>按单位面积散热损失 qp</v>
      </c>
      <c r="V926" s="6">
        <f t="shared" si="149"/>
        <v>5.4414962130638891</v>
      </c>
    </row>
    <row r="927" spans="1:22" x14ac:dyDescent="0.15">
      <c r="A927">
        <v>922</v>
      </c>
      <c r="B927" s="6">
        <f>首页!$B$4+2*A927/1000</f>
        <v>1.964</v>
      </c>
      <c r="C927" s="6">
        <f>首页!$B$7+273.15</f>
        <v>388.15</v>
      </c>
      <c r="D927" s="6">
        <f>首页!$B$6+273.15</f>
        <v>293.14999999999998</v>
      </c>
      <c r="E927" s="6">
        <f>首页!$B$5+273.15</f>
        <v>1373.15</v>
      </c>
      <c r="F927" s="6">
        <f t="shared" si="140"/>
        <v>95</v>
      </c>
      <c r="G927" s="6">
        <f t="shared" si="141"/>
        <v>340.65</v>
      </c>
      <c r="H927" s="6">
        <f t="shared" si="142"/>
        <v>1.9926207055139041E-5</v>
      </c>
      <c r="I927" s="7">
        <f t="shared" si="143"/>
        <v>1158916576932337.8</v>
      </c>
      <c r="J927" s="6">
        <f t="shared" si="144"/>
        <v>1.0226038455893147</v>
      </c>
      <c r="K927" s="7">
        <f>J927*H927*首页!$B$12/P927</f>
        <v>0.69532757496605813</v>
      </c>
      <c r="L927" s="6">
        <f>首页!$B$9*0.0000000567*((C927^4-D927^4)/(C927-D927))</f>
        <v>7.7687338005019564</v>
      </c>
      <c r="M927" s="6">
        <f>IF(首页!$B$13="自然对流",IF(首页!$B$14="立式圆筒",首页!$B$10,PI()*B927/2),PI()*B927/2)</f>
        <v>55.2</v>
      </c>
      <c r="N927" s="7">
        <f>IF(首页!$B$13="强制对流",首页!$B$11*M927/H927,0)</f>
        <v>0</v>
      </c>
      <c r="O927" s="7">
        <f>IF(首页!$B$13="自然对流",IF(首页!$B$14="立式圆筒",(0.825+0.3063*I927^(1/6))^2+0.87*(M927/B927),(0.752+0.303*I927^(1/6))^2),0.3+SQRT((0.592*N927^0.5)^2+(0.0262*N927^0.8/(1-0.5/N927^0.1))^2))</f>
        <v>10043.659641427772</v>
      </c>
      <c r="P927" s="6">
        <f t="shared" si="145"/>
        <v>2.9510194925512497E-2</v>
      </c>
      <c r="Q927" s="6">
        <f t="shared" si="146"/>
        <v>5.36939046710211</v>
      </c>
      <c r="R927" s="6">
        <f t="shared" si="147"/>
        <v>13.138124267604066</v>
      </c>
      <c r="S927" s="6">
        <f>IF($Y$2="按单位面积散热损失 qp",B927*LN(B927/首页!$B$4),LN(B927/首页!$B$4))</f>
        <v>5.4898646094039654</v>
      </c>
      <c r="T927" s="6">
        <f>IF($Y$2="按单位面积散热损失 qp",2*PI()*首页!$B$8*((E927-D927)/$Y$3-1/R927),2*PI()*首页!$B$8*((E927-D927)/$Y$4-1/(PI()*B927*R927)))</f>
        <v>4.0778899695990085E-2</v>
      </c>
      <c r="U927" t="str">
        <f t="shared" si="148"/>
        <v>按单位面积散热损失 qp</v>
      </c>
      <c r="V927" s="6">
        <f t="shared" si="149"/>
        <v>5.4490857097079752</v>
      </c>
    </row>
    <row r="928" spans="1:22" x14ac:dyDescent="0.15">
      <c r="A928">
        <v>923</v>
      </c>
      <c r="B928" s="6">
        <f>首页!$B$4+2*A928/1000</f>
        <v>1.9660000000000002</v>
      </c>
      <c r="C928" s="6">
        <f>首页!$B$7+273.15</f>
        <v>388.15</v>
      </c>
      <c r="D928" s="6">
        <f>首页!$B$6+273.15</f>
        <v>293.14999999999998</v>
      </c>
      <c r="E928" s="6">
        <f>首页!$B$5+273.15</f>
        <v>1373.15</v>
      </c>
      <c r="F928" s="6">
        <f t="shared" si="140"/>
        <v>95</v>
      </c>
      <c r="G928" s="6">
        <f t="shared" si="141"/>
        <v>340.65</v>
      </c>
      <c r="H928" s="6">
        <f t="shared" si="142"/>
        <v>1.9926207055139041E-5</v>
      </c>
      <c r="I928" s="7">
        <f t="shared" si="143"/>
        <v>1158916576932337.8</v>
      </c>
      <c r="J928" s="6">
        <f t="shared" si="144"/>
        <v>1.0226038455893147</v>
      </c>
      <c r="K928" s="7">
        <f>J928*H928*首页!$B$12/P928</f>
        <v>0.69532757496605813</v>
      </c>
      <c r="L928" s="6">
        <f>首页!$B$9*0.0000000567*((C928^4-D928^4)/(C928-D928))</f>
        <v>7.7687338005019564</v>
      </c>
      <c r="M928" s="6">
        <f>IF(首页!$B$13="自然对流",IF(首页!$B$14="立式圆筒",首页!$B$10,PI()*B928/2),PI()*B928/2)</f>
        <v>55.2</v>
      </c>
      <c r="N928" s="7">
        <f>IF(首页!$B$13="强制对流",首页!$B$11*M928/H928,0)</f>
        <v>0</v>
      </c>
      <c r="O928" s="7">
        <f>IF(首页!$B$13="自然对流",IF(首页!$B$14="立式圆筒",(0.825+0.3063*I928^(1/6))^2+0.87*(M928/B928),(0.752+0.303*I928^(1/6))^2),0.3+SQRT((0.592*N928^0.5)^2+(0.0262*N928^0.8/(1-0.5/N928^0.1))^2))</f>
        <v>10043.634766414045</v>
      </c>
      <c r="P928" s="6">
        <f t="shared" si="145"/>
        <v>2.9510194925512497E-2</v>
      </c>
      <c r="Q928" s="6">
        <f t="shared" si="146"/>
        <v>5.3693771687958805</v>
      </c>
      <c r="R928" s="6">
        <f t="shared" si="147"/>
        <v>13.138110969297838</v>
      </c>
      <c r="S928" s="6">
        <f>IF($Y$2="按单位面积散热损失 qp",B928*LN(B928/首页!$B$4),LN(B928/首页!$B$4))</f>
        <v>5.4974561208806803</v>
      </c>
      <c r="T928" s="6">
        <f>IF($Y$2="按单位面积散热损失 qp",2*PI()*首页!$B$8*((E928-D928)/$Y$3-1/R928),2*PI()*首页!$B$8*((E928-D928)/$Y$4-1/(PI()*B928*R928)))</f>
        <v>4.0778877912752885E-2</v>
      </c>
      <c r="U928" t="str">
        <f t="shared" si="148"/>
        <v>按单位面积散热损失 qp</v>
      </c>
      <c r="V928" s="6">
        <f t="shared" si="149"/>
        <v>5.4566772429679276</v>
      </c>
    </row>
    <row r="929" spans="1:22" x14ac:dyDescent="0.15">
      <c r="A929">
        <v>924</v>
      </c>
      <c r="B929" s="6">
        <f>首页!$B$4+2*A929/1000</f>
        <v>1.968</v>
      </c>
      <c r="C929" s="6">
        <f>首页!$B$7+273.15</f>
        <v>388.15</v>
      </c>
      <c r="D929" s="6">
        <f>首页!$B$6+273.15</f>
        <v>293.14999999999998</v>
      </c>
      <c r="E929" s="6">
        <f>首页!$B$5+273.15</f>
        <v>1373.15</v>
      </c>
      <c r="F929" s="6">
        <f t="shared" si="140"/>
        <v>95</v>
      </c>
      <c r="G929" s="6">
        <f t="shared" si="141"/>
        <v>340.65</v>
      </c>
      <c r="H929" s="6">
        <f t="shared" si="142"/>
        <v>1.9926207055139041E-5</v>
      </c>
      <c r="I929" s="7">
        <f t="shared" si="143"/>
        <v>1158916576932337.8</v>
      </c>
      <c r="J929" s="6">
        <f t="shared" si="144"/>
        <v>1.0226038455893147</v>
      </c>
      <c r="K929" s="7">
        <f>J929*H929*首页!$B$12/P929</f>
        <v>0.69532757496605813</v>
      </c>
      <c r="L929" s="6">
        <f>首页!$B$9*0.0000000567*((C929^4-D929^4)/(C929-D929))</f>
        <v>7.7687338005019564</v>
      </c>
      <c r="M929" s="6">
        <f>IF(首页!$B$13="自然对流",IF(首页!$B$14="立式圆筒",首页!$B$10,PI()*B929/2),PI()*B929/2)</f>
        <v>55.2</v>
      </c>
      <c r="N929" s="7">
        <f>IF(首页!$B$13="强制对流",首页!$B$11*M929/H929,0)</f>
        <v>0</v>
      </c>
      <c r="O929" s="7">
        <f>IF(首页!$B$13="自然对流",IF(首页!$B$14="立式圆筒",(0.825+0.3063*I929^(1/6))^2+0.87*(M929/B929),(0.752+0.303*I929^(1/6))^2),0.3+SQRT((0.592*N929^0.5)^2+(0.0262*N929^0.8/(1-0.5/N929^0.1))^2))</f>
        <v>10043.60994195929</v>
      </c>
      <c r="P929" s="6">
        <f t="shared" si="145"/>
        <v>2.9510194925512497E-2</v>
      </c>
      <c r="Q929" s="6">
        <f t="shared" si="146"/>
        <v>5.3693638975187303</v>
      </c>
      <c r="R929" s="6">
        <f t="shared" si="147"/>
        <v>13.138097698020687</v>
      </c>
      <c r="S929" s="6">
        <f>IF($Y$2="按单位面积散热损失 qp",B929*LN(B929/首页!$B$4),LN(B929/首页!$B$4))</f>
        <v>5.5050496669457409</v>
      </c>
      <c r="T929" s="6">
        <f>IF($Y$2="按单位面积散热损失 qp",2*PI()*首页!$B$8*((E929-D929)/$Y$3-1/R929),2*PI()*首页!$B$8*((E929-D929)/$Y$4-1/(PI()*B929*R929)))</f>
        <v>4.0778856173746589E-2</v>
      </c>
      <c r="U929" t="str">
        <f t="shared" si="148"/>
        <v>按单位面积散热损失 qp</v>
      </c>
      <c r="V929" s="6">
        <f t="shared" si="149"/>
        <v>5.4642708107719944</v>
      </c>
    </row>
    <row r="930" spans="1:22" x14ac:dyDescent="0.15">
      <c r="A930">
        <v>925</v>
      </c>
      <c r="B930" s="6">
        <f>首页!$B$4+2*A930/1000</f>
        <v>1.9700000000000002</v>
      </c>
      <c r="C930" s="6">
        <f>首页!$B$7+273.15</f>
        <v>388.15</v>
      </c>
      <c r="D930" s="6">
        <f>首页!$B$6+273.15</f>
        <v>293.14999999999998</v>
      </c>
      <c r="E930" s="6">
        <f>首页!$B$5+273.15</f>
        <v>1373.15</v>
      </c>
      <c r="F930" s="6">
        <f t="shared" si="140"/>
        <v>95</v>
      </c>
      <c r="G930" s="6">
        <f t="shared" si="141"/>
        <v>340.65</v>
      </c>
      <c r="H930" s="6">
        <f t="shared" si="142"/>
        <v>1.9926207055139041E-5</v>
      </c>
      <c r="I930" s="7">
        <f t="shared" si="143"/>
        <v>1158916576932337.8</v>
      </c>
      <c r="J930" s="6">
        <f t="shared" si="144"/>
        <v>1.0226038455893147</v>
      </c>
      <c r="K930" s="7">
        <f>J930*H930*首页!$B$12/P930</f>
        <v>0.69532757496605813</v>
      </c>
      <c r="L930" s="6">
        <f>首页!$B$9*0.0000000567*((C930^4-D930^4)/(C930-D930))</f>
        <v>7.7687338005019564</v>
      </c>
      <c r="M930" s="6">
        <f>IF(首页!$B$13="自然对流",IF(首页!$B$14="立式圆筒",首页!$B$10,PI()*B930/2),PI()*B930/2)</f>
        <v>55.2</v>
      </c>
      <c r="N930" s="7">
        <f>IF(首页!$B$13="强制对流",首页!$B$11*M930/H930,0)</f>
        <v>0</v>
      </c>
      <c r="O930" s="7">
        <f>IF(首页!$B$13="自然对流",IF(首页!$B$14="立式圆筒",(0.825+0.3063*I930^(1/6))^2+0.87*(M930/B930),(0.752+0.303*I930^(1/6))^2),0.3+SQRT((0.592*N930^0.5)^2+(0.0262*N930^0.8/(1-0.5/N930^0.1))^2))</f>
        <v>10043.585167909519</v>
      </c>
      <c r="P930" s="6">
        <f t="shared" si="145"/>
        <v>2.9510194925512497E-2</v>
      </c>
      <c r="Q930" s="6">
        <f t="shared" si="146"/>
        <v>5.3693506531883344</v>
      </c>
      <c r="R930" s="6">
        <f t="shared" si="147"/>
        <v>13.13808445369029</v>
      </c>
      <c r="S930" s="6">
        <f>IF($Y$2="按单位面积散热损失 qp",B930*LN(B930/首页!$B$4),LN(B930/首页!$B$4))</f>
        <v>5.5126452455314769</v>
      </c>
      <c r="T930" s="6">
        <f>IF($Y$2="按单位面积散热损失 qp",2*PI()*首页!$B$8*((E930-D930)/$Y$3-1/R930),2*PI()*首页!$B$8*((E930-D930)/$Y$4-1/(PI()*B930*R930)))</f>
        <v>4.077883447883663E-2</v>
      </c>
      <c r="U930" t="str">
        <f t="shared" si="148"/>
        <v>按单位面积散热损失 qp</v>
      </c>
      <c r="V930" s="6">
        <f t="shared" si="149"/>
        <v>5.4718664110526403</v>
      </c>
    </row>
    <row r="931" spans="1:22" x14ac:dyDescent="0.15">
      <c r="A931">
        <v>926</v>
      </c>
      <c r="B931" s="6">
        <f>首页!$B$4+2*A931/1000</f>
        <v>1.972</v>
      </c>
      <c r="C931" s="6">
        <f>首页!$B$7+273.15</f>
        <v>388.15</v>
      </c>
      <c r="D931" s="6">
        <f>首页!$B$6+273.15</f>
        <v>293.14999999999998</v>
      </c>
      <c r="E931" s="6">
        <f>首页!$B$5+273.15</f>
        <v>1373.15</v>
      </c>
      <c r="F931" s="6">
        <f t="shared" si="140"/>
        <v>95</v>
      </c>
      <c r="G931" s="6">
        <f t="shared" si="141"/>
        <v>340.65</v>
      </c>
      <c r="H931" s="6">
        <f t="shared" si="142"/>
        <v>1.9926207055139041E-5</v>
      </c>
      <c r="I931" s="7">
        <f t="shared" si="143"/>
        <v>1158916576932337.8</v>
      </c>
      <c r="J931" s="6">
        <f t="shared" si="144"/>
        <v>1.0226038455893147</v>
      </c>
      <c r="K931" s="7">
        <f>J931*H931*首页!$B$12/P931</f>
        <v>0.69532757496605813</v>
      </c>
      <c r="L931" s="6">
        <f>首页!$B$9*0.0000000567*((C931^4-D931^4)/(C931-D931))</f>
        <v>7.7687338005019564</v>
      </c>
      <c r="M931" s="6">
        <f>IF(首页!$B$13="自然对流",IF(首页!$B$14="立式圆筒",首页!$B$10,PI()*B931/2),PI()*B931/2)</f>
        <v>55.2</v>
      </c>
      <c r="N931" s="7">
        <f>IF(首页!$B$13="强制对流",首页!$B$11*M931/H931,0)</f>
        <v>0</v>
      </c>
      <c r="O931" s="7">
        <f>IF(首页!$B$13="自然对流",IF(首页!$B$14="立式圆筒",(0.825+0.3063*I931^(1/6))^2+0.87*(M931/B931),(0.752+0.303*I931^(1/6))^2),0.3+SQRT((0.592*N931^0.5)^2+(0.0262*N931^0.8/(1-0.5/N931^0.1))^2))</f>
        <v>10043.56044411137</v>
      </c>
      <c r="P931" s="6">
        <f t="shared" si="145"/>
        <v>2.9510194925512497E-2</v>
      </c>
      <c r="Q931" s="6">
        <f t="shared" si="146"/>
        <v>5.3693374357227057</v>
      </c>
      <c r="R931" s="6">
        <f t="shared" si="147"/>
        <v>13.138071236224661</v>
      </c>
      <c r="S931" s="6">
        <f>IF($Y$2="按单位面积散热损失 qp",B931*LN(B931/首页!$B$4),LN(B931/首页!$B$4))</f>
        <v>5.5202428545744144</v>
      </c>
      <c r="T931" s="6">
        <f>IF($Y$2="按单位面积散热损失 qp",2*PI()*首页!$B$8*((E931-D931)/$Y$3-1/R931),2*PI()*首页!$B$8*((E931-D931)/$Y$4-1/(PI()*B931*R931)))</f>
        <v>4.0778812827888963E-2</v>
      </c>
      <c r="U931" t="str">
        <f t="shared" si="148"/>
        <v>按单位面积散热损失 qp</v>
      </c>
      <c r="V931" s="6">
        <f t="shared" si="149"/>
        <v>5.4794640417465255</v>
      </c>
    </row>
    <row r="932" spans="1:22" x14ac:dyDescent="0.15">
      <c r="A932">
        <v>927</v>
      </c>
      <c r="B932" s="6">
        <f>首页!$B$4+2*A932/1000</f>
        <v>1.9740000000000002</v>
      </c>
      <c r="C932" s="6">
        <f>首页!$B$7+273.15</f>
        <v>388.15</v>
      </c>
      <c r="D932" s="6">
        <f>首页!$B$6+273.15</f>
        <v>293.14999999999998</v>
      </c>
      <c r="E932" s="6">
        <f>首页!$B$5+273.15</f>
        <v>1373.15</v>
      </c>
      <c r="F932" s="6">
        <f t="shared" si="140"/>
        <v>95</v>
      </c>
      <c r="G932" s="6">
        <f t="shared" si="141"/>
        <v>340.65</v>
      </c>
      <c r="H932" s="6">
        <f t="shared" si="142"/>
        <v>1.9926207055139041E-5</v>
      </c>
      <c r="I932" s="7">
        <f t="shared" si="143"/>
        <v>1158916576932337.8</v>
      </c>
      <c r="J932" s="6">
        <f t="shared" si="144"/>
        <v>1.0226038455893147</v>
      </c>
      <c r="K932" s="7">
        <f>J932*H932*首页!$B$12/P932</f>
        <v>0.69532757496605813</v>
      </c>
      <c r="L932" s="6">
        <f>首页!$B$9*0.0000000567*((C932^4-D932^4)/(C932-D932))</f>
        <v>7.7687338005019564</v>
      </c>
      <c r="M932" s="6">
        <f>IF(首页!$B$13="自然对流",IF(首页!$B$14="立式圆筒",首页!$B$10,PI()*B932/2),PI()*B932/2)</f>
        <v>55.2</v>
      </c>
      <c r="N932" s="7">
        <f>IF(首页!$B$13="强制对流",首页!$B$11*M932/H932,0)</f>
        <v>0</v>
      </c>
      <c r="O932" s="7">
        <f>IF(首页!$B$13="自然对流",IF(首页!$B$14="立式圆筒",(0.825+0.3063*I932^(1/6))^2+0.87*(M932/B932),(0.752+0.303*I932^(1/6))^2),0.3+SQRT((0.592*N932^0.5)^2+(0.0262*N932^0.8/(1-0.5/N932^0.1))^2))</f>
        <v>10043.535770412103</v>
      </c>
      <c r="P932" s="6">
        <f t="shared" si="145"/>
        <v>2.9510194925512497E-2</v>
      </c>
      <c r="Q932" s="6">
        <f t="shared" si="146"/>
        <v>5.3693242450401897</v>
      </c>
      <c r="R932" s="6">
        <f t="shared" si="147"/>
        <v>13.138058045542145</v>
      </c>
      <c r="S932" s="6">
        <f>IF($Y$2="按单位面积散热损失 qp",B932*LN(B932/首页!$B$4),LN(B932/首页!$B$4))</f>
        <v>5.5278424920152665</v>
      </c>
      <c r="T932" s="6">
        <f>IF($Y$2="按单位面积散热损失 qp",2*PI()*首页!$B$8*((E932-D932)/$Y$3-1/R932),2*PI()*首页!$B$8*((E932-D932)/$Y$4-1/(PI()*B932*R932)))</f>
        <v>4.0778791220770098E-2</v>
      </c>
      <c r="U932" t="str">
        <f t="shared" si="148"/>
        <v>按单位面积散热损失 qp</v>
      </c>
      <c r="V932" s="6">
        <f t="shared" si="149"/>
        <v>5.4870637007944962</v>
      </c>
    </row>
    <row r="933" spans="1:22" x14ac:dyDescent="0.15">
      <c r="A933">
        <v>928</v>
      </c>
      <c r="B933" s="6">
        <f>首页!$B$4+2*A933/1000</f>
        <v>1.976</v>
      </c>
      <c r="C933" s="6">
        <f>首页!$B$7+273.15</f>
        <v>388.15</v>
      </c>
      <c r="D933" s="6">
        <f>首页!$B$6+273.15</f>
        <v>293.14999999999998</v>
      </c>
      <c r="E933" s="6">
        <f>首页!$B$5+273.15</f>
        <v>1373.15</v>
      </c>
      <c r="F933" s="6">
        <f t="shared" si="140"/>
        <v>95</v>
      </c>
      <c r="G933" s="6">
        <f t="shared" si="141"/>
        <v>340.65</v>
      </c>
      <c r="H933" s="6">
        <f t="shared" si="142"/>
        <v>1.9926207055139041E-5</v>
      </c>
      <c r="I933" s="7">
        <f t="shared" si="143"/>
        <v>1158916576932337.8</v>
      </c>
      <c r="J933" s="6">
        <f t="shared" si="144"/>
        <v>1.0226038455893147</v>
      </c>
      <c r="K933" s="7">
        <f>J933*H933*首页!$B$12/P933</f>
        <v>0.69532757496605813</v>
      </c>
      <c r="L933" s="6">
        <f>首页!$B$9*0.0000000567*((C933^4-D933^4)/(C933-D933))</f>
        <v>7.7687338005019564</v>
      </c>
      <c r="M933" s="6">
        <f>IF(首页!$B$13="自然对流",IF(首页!$B$14="立式圆筒",首页!$B$10,PI()*B933/2),PI()*B933/2)</f>
        <v>55.2</v>
      </c>
      <c r="N933" s="7">
        <f>IF(首页!$B$13="强制对流",首页!$B$11*M933/H933,0)</f>
        <v>0</v>
      </c>
      <c r="O933" s="7">
        <f>IF(首页!$B$13="自然对流",IF(首页!$B$14="立式圆筒",(0.825+0.3063*I933^(1/6))^2+0.87*(M933/B933),(0.752+0.303*I933^(1/6))^2),0.3+SQRT((0.592*N933^0.5)^2+(0.0262*N933^0.8/(1-0.5/N933^0.1))^2))</f>
        <v>10043.511146659595</v>
      </c>
      <c r="P933" s="6">
        <f t="shared" si="145"/>
        <v>2.9510194925512497E-2</v>
      </c>
      <c r="Q933" s="6">
        <f t="shared" si="146"/>
        <v>5.3693110810594593</v>
      </c>
      <c r="R933" s="6">
        <f t="shared" si="147"/>
        <v>13.138044881561417</v>
      </c>
      <c r="S933" s="6">
        <f>IF($Y$2="按单位面积散热损失 qp",B933*LN(B933/首页!$B$4),LN(B933/首页!$B$4))</f>
        <v>5.535444155798916</v>
      </c>
      <c r="T933" s="6">
        <f>IF($Y$2="按单位面积散热损失 qp",2*PI()*首页!$B$8*((E933-D933)/$Y$3-1/R933),2*PI()*首页!$B$8*((E933-D933)/$Y$4-1/(PI()*B933*R933)))</f>
        <v>4.0778769657347093E-2</v>
      </c>
      <c r="U933" t="str">
        <f t="shared" si="148"/>
        <v>按单位面积散热损失 qp</v>
      </c>
      <c r="V933" s="6">
        <f t="shared" si="149"/>
        <v>5.4946653861415689</v>
      </c>
    </row>
    <row r="934" spans="1:22" x14ac:dyDescent="0.15">
      <c r="A934">
        <v>929</v>
      </c>
      <c r="B934" s="6">
        <f>首页!$B$4+2*A934/1000</f>
        <v>1.9780000000000002</v>
      </c>
      <c r="C934" s="6">
        <f>首页!$B$7+273.15</f>
        <v>388.15</v>
      </c>
      <c r="D934" s="6">
        <f>首页!$B$6+273.15</f>
        <v>293.14999999999998</v>
      </c>
      <c r="E934" s="6">
        <f>首页!$B$5+273.15</f>
        <v>1373.15</v>
      </c>
      <c r="F934" s="6">
        <f t="shared" si="140"/>
        <v>95</v>
      </c>
      <c r="G934" s="6">
        <f t="shared" si="141"/>
        <v>340.65</v>
      </c>
      <c r="H934" s="6">
        <f t="shared" si="142"/>
        <v>1.9926207055139041E-5</v>
      </c>
      <c r="I934" s="7">
        <f t="shared" si="143"/>
        <v>1158916576932337.8</v>
      </c>
      <c r="J934" s="6">
        <f t="shared" si="144"/>
        <v>1.0226038455893147</v>
      </c>
      <c r="K934" s="7">
        <f>J934*H934*首页!$B$12/P934</f>
        <v>0.69532757496605813</v>
      </c>
      <c r="L934" s="6">
        <f>首页!$B$9*0.0000000567*((C934^4-D934^4)/(C934-D934))</f>
        <v>7.7687338005019564</v>
      </c>
      <c r="M934" s="6">
        <f>IF(首页!$B$13="自然对流",IF(首页!$B$14="立式圆筒",首页!$B$10,PI()*B934/2),PI()*B934/2)</f>
        <v>55.2</v>
      </c>
      <c r="N934" s="7">
        <f>IF(首页!$B$13="强制对流",首页!$B$11*M934/H934,0)</f>
        <v>0</v>
      </c>
      <c r="O934" s="7">
        <f>IF(首页!$B$13="自然对流",IF(首页!$B$14="立式圆筒",(0.825+0.3063*I934^(1/6))^2+0.87*(M934/B934),(0.752+0.303*I934^(1/6))^2),0.3+SQRT((0.592*N934^0.5)^2+(0.0262*N934^0.8/(1-0.5/N934^0.1))^2))</f>
        <v>10043.486572702343</v>
      </c>
      <c r="P934" s="6">
        <f t="shared" si="145"/>
        <v>2.9510194925512497E-2</v>
      </c>
      <c r="Q934" s="6">
        <f t="shared" si="146"/>
        <v>5.3692979436995207</v>
      </c>
      <c r="R934" s="6">
        <f t="shared" si="147"/>
        <v>13.138031744201477</v>
      </c>
      <c r="S934" s="6">
        <f>IF($Y$2="按单位面积散热损失 qp",B934*LN(B934/首页!$B$4),LN(B934/首页!$B$4))</f>
        <v>5.54304784387441</v>
      </c>
      <c r="T934" s="6">
        <f>IF($Y$2="按单位面积散热损失 qp",2*PI()*首页!$B$8*((E934-D934)/$Y$3-1/R934),2*PI()*首页!$B$8*((E934-D934)/$Y$4-1/(PI()*B934*R934)))</f>
        <v>4.0778748137487518E-2</v>
      </c>
      <c r="U934" t="str">
        <f t="shared" si="148"/>
        <v>按单位面积散热损失 qp</v>
      </c>
      <c r="V934" s="6">
        <f t="shared" si="149"/>
        <v>5.5022690957369225</v>
      </c>
    </row>
    <row r="935" spans="1:22" x14ac:dyDescent="0.15">
      <c r="A935">
        <v>930</v>
      </c>
      <c r="B935" s="6">
        <f>首页!$B$4+2*A935/1000</f>
        <v>1.98</v>
      </c>
      <c r="C935" s="6">
        <f>首页!$B$7+273.15</f>
        <v>388.15</v>
      </c>
      <c r="D935" s="6">
        <f>首页!$B$6+273.15</f>
        <v>293.14999999999998</v>
      </c>
      <c r="E935" s="6">
        <f>首页!$B$5+273.15</f>
        <v>1373.15</v>
      </c>
      <c r="F935" s="6">
        <f t="shared" si="140"/>
        <v>95</v>
      </c>
      <c r="G935" s="6">
        <f t="shared" si="141"/>
        <v>340.65</v>
      </c>
      <c r="H935" s="6">
        <f t="shared" si="142"/>
        <v>1.9926207055139041E-5</v>
      </c>
      <c r="I935" s="7">
        <f t="shared" si="143"/>
        <v>1158916576932337.8</v>
      </c>
      <c r="J935" s="6">
        <f t="shared" si="144"/>
        <v>1.0226038455893147</v>
      </c>
      <c r="K935" s="7">
        <f>J935*H935*首页!$B$12/P935</f>
        <v>0.69532757496605813</v>
      </c>
      <c r="L935" s="6">
        <f>首页!$B$9*0.0000000567*((C935^4-D935^4)/(C935-D935))</f>
        <v>7.7687338005019564</v>
      </c>
      <c r="M935" s="6">
        <f>IF(首页!$B$13="自然对流",IF(首页!$B$14="立式圆筒",首页!$B$10,PI()*B935/2),PI()*B935/2)</f>
        <v>55.2</v>
      </c>
      <c r="N935" s="7">
        <f>IF(首页!$B$13="强制对流",首页!$B$11*M935/H935,0)</f>
        <v>0</v>
      </c>
      <c r="O935" s="7">
        <f>IF(首页!$B$13="自然对流",IF(首页!$B$14="立式圆筒",(0.825+0.3063*I935^(1/6))^2+0.87*(M935/B935),(0.752+0.303*I935^(1/6))^2),0.3+SQRT((0.592*N935^0.5)^2+(0.0262*N935^0.8/(1-0.5/N935^0.1))^2))</f>
        <v>10043.462048389445</v>
      </c>
      <c r="P935" s="6">
        <f t="shared" si="145"/>
        <v>2.9510194925512497E-2</v>
      </c>
      <c r="Q935" s="6">
        <f t="shared" si="146"/>
        <v>5.3692848328797016</v>
      </c>
      <c r="R935" s="6">
        <f t="shared" si="147"/>
        <v>13.138018633381659</v>
      </c>
      <c r="S935" s="6">
        <f>IF($Y$2="按单位面积散热损失 qp",B935*LN(B935/首页!$B$4),LN(B935/首页!$B$4))</f>
        <v>5.5506535541949393</v>
      </c>
      <c r="T935" s="6">
        <f>IF($Y$2="按单位面积散热损失 qp",2*PI()*首页!$B$8*((E935-D935)/$Y$3-1/R935),2*PI()*首页!$B$8*((E935-D935)/$Y$4-1/(PI()*B935*R935)))</f>
        <v>4.0778726661059507E-2</v>
      </c>
      <c r="U935" t="str">
        <f t="shared" si="148"/>
        <v>按单位面积散热损失 qp</v>
      </c>
      <c r="V935" s="6">
        <f t="shared" si="149"/>
        <v>5.5098748275338796</v>
      </c>
    </row>
    <row r="936" spans="1:22" x14ac:dyDescent="0.15">
      <c r="A936">
        <v>931</v>
      </c>
      <c r="B936" s="6">
        <f>首页!$B$4+2*A936/1000</f>
        <v>1.9820000000000002</v>
      </c>
      <c r="C936" s="6">
        <f>首页!$B$7+273.15</f>
        <v>388.15</v>
      </c>
      <c r="D936" s="6">
        <f>首页!$B$6+273.15</f>
        <v>293.14999999999998</v>
      </c>
      <c r="E936" s="6">
        <f>首页!$B$5+273.15</f>
        <v>1373.15</v>
      </c>
      <c r="F936" s="6">
        <f t="shared" si="140"/>
        <v>95</v>
      </c>
      <c r="G936" s="6">
        <f t="shared" si="141"/>
        <v>340.65</v>
      </c>
      <c r="H936" s="6">
        <f t="shared" si="142"/>
        <v>1.9926207055139041E-5</v>
      </c>
      <c r="I936" s="7">
        <f t="shared" si="143"/>
        <v>1158916576932337.8</v>
      </c>
      <c r="J936" s="6">
        <f t="shared" si="144"/>
        <v>1.0226038455893147</v>
      </c>
      <c r="K936" s="7">
        <f>J936*H936*首页!$B$12/P936</f>
        <v>0.69532757496605813</v>
      </c>
      <c r="L936" s="6">
        <f>首页!$B$9*0.0000000567*((C936^4-D936^4)/(C936-D936))</f>
        <v>7.7687338005019564</v>
      </c>
      <c r="M936" s="6">
        <f>IF(首页!$B$13="自然对流",IF(首页!$B$14="立式圆筒",首页!$B$10,PI()*B936/2),PI()*B936/2)</f>
        <v>55.2</v>
      </c>
      <c r="N936" s="7">
        <f>IF(首页!$B$13="强制对流",首页!$B$11*M936/H936,0)</f>
        <v>0</v>
      </c>
      <c r="O936" s="7">
        <f>IF(首页!$B$13="自然对流",IF(首页!$B$14="立式圆筒",(0.825+0.3063*I936^(1/6))^2+0.87*(M936/B936),(0.752+0.303*I936^(1/6))^2),0.3+SQRT((0.592*N936^0.5)^2+(0.0262*N936^0.8/(1-0.5/N936^0.1))^2))</f>
        <v>10043.437573570622</v>
      </c>
      <c r="P936" s="6">
        <f t="shared" si="145"/>
        <v>2.9510194925512497E-2</v>
      </c>
      <c r="Q936" s="6">
        <f t="shared" si="146"/>
        <v>5.3692717485196608</v>
      </c>
      <c r="R936" s="6">
        <f t="shared" si="147"/>
        <v>13.138005549021617</v>
      </c>
      <c r="S936" s="6">
        <f>IF($Y$2="按单位面积散热损失 qp",B936*LN(B936/首页!$B$4),LN(B936/首页!$B$4))</f>
        <v>5.5582612847178332</v>
      </c>
      <c r="T936" s="6">
        <f>IF($Y$2="按单位面积散热损失 qp",2*PI()*首页!$B$8*((E936-D936)/$Y$3-1/R936),2*PI()*首页!$B$8*((E936-D936)/$Y$4-1/(PI()*B936*R936)))</f>
        <v>4.0778705227931693E-2</v>
      </c>
      <c r="U936" t="str">
        <f t="shared" si="148"/>
        <v>按单位面积散热损失 qp</v>
      </c>
      <c r="V936" s="6">
        <f t="shared" si="149"/>
        <v>5.5174825794899016</v>
      </c>
    </row>
    <row r="937" spans="1:22" x14ac:dyDescent="0.15">
      <c r="A937">
        <v>932</v>
      </c>
      <c r="B937" s="6">
        <f>首页!$B$4+2*A937/1000</f>
        <v>1.984</v>
      </c>
      <c r="C937" s="6">
        <f>首页!$B$7+273.15</f>
        <v>388.15</v>
      </c>
      <c r="D937" s="6">
        <f>首页!$B$6+273.15</f>
        <v>293.14999999999998</v>
      </c>
      <c r="E937" s="6">
        <f>首页!$B$5+273.15</f>
        <v>1373.15</v>
      </c>
      <c r="F937" s="6">
        <f t="shared" si="140"/>
        <v>95</v>
      </c>
      <c r="G937" s="6">
        <f t="shared" si="141"/>
        <v>340.65</v>
      </c>
      <c r="H937" s="6">
        <f t="shared" si="142"/>
        <v>1.9926207055139041E-5</v>
      </c>
      <c r="I937" s="7">
        <f t="shared" si="143"/>
        <v>1158916576932337.8</v>
      </c>
      <c r="J937" s="6">
        <f t="shared" si="144"/>
        <v>1.0226038455893147</v>
      </c>
      <c r="K937" s="7">
        <f>J937*H937*首页!$B$12/P937</f>
        <v>0.69532757496605813</v>
      </c>
      <c r="L937" s="6">
        <f>首页!$B$9*0.0000000567*((C937^4-D937^4)/(C937-D937))</f>
        <v>7.7687338005019564</v>
      </c>
      <c r="M937" s="6">
        <f>IF(首页!$B$13="自然对流",IF(首页!$B$14="立式圆筒",首页!$B$10,PI()*B937/2),PI()*B937/2)</f>
        <v>55.2</v>
      </c>
      <c r="N937" s="7">
        <f>IF(首页!$B$13="强制对流",首页!$B$11*M937/H937,0)</f>
        <v>0</v>
      </c>
      <c r="O937" s="7">
        <f>IF(首页!$B$13="自然对流",IF(首页!$B$14="立式圆筒",(0.825+0.3063*I937^(1/6))^2+0.87*(M937/B937),(0.752+0.303*I937^(1/6))^2),0.3+SQRT((0.592*N937^0.5)^2+(0.0262*N937^0.8/(1-0.5/N937^0.1))^2))</f>
        <v>10043.41314809619</v>
      </c>
      <c r="P937" s="6">
        <f t="shared" si="145"/>
        <v>2.9510194925512497E-2</v>
      </c>
      <c r="Q937" s="6">
        <f t="shared" si="146"/>
        <v>5.369258690539378</v>
      </c>
      <c r="R937" s="6">
        <f t="shared" si="147"/>
        <v>13.137992491041334</v>
      </c>
      <c r="S937" s="6">
        <f>IF($Y$2="按单位面积散热损失 qp",B937*LN(B937/首页!$B$4),LN(B937/首页!$B$4))</f>
        <v>5.56587103340454</v>
      </c>
      <c r="T937" s="6">
        <f>IF($Y$2="按单位面积散热损失 qp",2*PI()*首页!$B$8*((E937-D937)/$Y$3-1/R937),2*PI()*首页!$B$8*((E937-D937)/$Y$4-1/(PI()*B937*R937)))</f>
        <v>4.0778683837973277E-2</v>
      </c>
      <c r="U937" t="str">
        <f t="shared" si="148"/>
        <v>按单位面积散热损失 qp</v>
      </c>
      <c r="V937" s="6">
        <f t="shared" si="149"/>
        <v>5.5250923495665667</v>
      </c>
    </row>
    <row r="938" spans="1:22" x14ac:dyDescent="0.15">
      <c r="A938">
        <v>933</v>
      </c>
      <c r="B938" s="6">
        <f>首页!$B$4+2*A938/1000</f>
        <v>1.9860000000000002</v>
      </c>
      <c r="C938" s="6">
        <f>首页!$B$7+273.15</f>
        <v>388.15</v>
      </c>
      <c r="D938" s="6">
        <f>首页!$B$6+273.15</f>
        <v>293.14999999999998</v>
      </c>
      <c r="E938" s="6">
        <f>首页!$B$5+273.15</f>
        <v>1373.15</v>
      </c>
      <c r="F938" s="6">
        <f t="shared" si="140"/>
        <v>95</v>
      </c>
      <c r="G938" s="6">
        <f t="shared" si="141"/>
        <v>340.65</v>
      </c>
      <c r="H938" s="6">
        <f t="shared" si="142"/>
        <v>1.9926207055139041E-5</v>
      </c>
      <c r="I938" s="7">
        <f t="shared" si="143"/>
        <v>1158916576932337.8</v>
      </c>
      <c r="J938" s="6">
        <f t="shared" si="144"/>
        <v>1.0226038455893147</v>
      </c>
      <c r="K938" s="7">
        <f>J938*H938*首页!$B$12/P938</f>
        <v>0.69532757496605813</v>
      </c>
      <c r="L938" s="6">
        <f>首页!$B$9*0.0000000567*((C938^4-D938^4)/(C938-D938))</f>
        <v>7.7687338005019564</v>
      </c>
      <c r="M938" s="6">
        <f>IF(首页!$B$13="自然对流",IF(首页!$B$14="立式圆筒",首页!$B$10,PI()*B938/2),PI()*B938/2)</f>
        <v>55.2</v>
      </c>
      <c r="N938" s="7">
        <f>IF(首页!$B$13="强制对流",首页!$B$11*M938/H938,0)</f>
        <v>0</v>
      </c>
      <c r="O938" s="7">
        <f>IF(首页!$B$13="自然对流",IF(首页!$B$14="立式圆筒",(0.825+0.3063*I938^(1/6))^2+0.87*(M938/B938),(0.752+0.303*I938^(1/6))^2),0.3+SQRT((0.592*N938^0.5)^2+(0.0262*N938^0.8/(1-0.5/N938^0.1))^2))</f>
        <v>10043.388771817075</v>
      </c>
      <c r="P938" s="6">
        <f t="shared" si="145"/>
        <v>2.9510194925512497E-2</v>
      </c>
      <c r="Q938" s="6">
        <f t="shared" si="146"/>
        <v>5.3692456588591559</v>
      </c>
      <c r="R938" s="6">
        <f t="shared" si="147"/>
        <v>13.137979459361112</v>
      </c>
      <c r="S938" s="6">
        <f>IF($Y$2="按单位面积散热损失 qp",B938*LN(B938/首页!$B$4),LN(B938/首页!$B$4))</f>
        <v>5.5734827982206214</v>
      </c>
      <c r="T938" s="6">
        <f>IF($Y$2="按单位面积散热损失 qp",2*PI()*首页!$B$8*((E938-D938)/$Y$3-1/R938),2*PI()*首页!$B$8*((E938-D938)/$Y$4-1/(PI()*B938*R938)))</f>
        <v>4.0778662491053948E-2</v>
      </c>
      <c r="U938" t="str">
        <f t="shared" si="148"/>
        <v>按单位面积散热损失 qp</v>
      </c>
      <c r="V938" s="6">
        <f t="shared" si="149"/>
        <v>5.5327041357295679</v>
      </c>
    </row>
    <row r="939" spans="1:22" x14ac:dyDescent="0.15">
      <c r="A939">
        <v>934</v>
      </c>
      <c r="B939" s="6">
        <f>首页!$B$4+2*A939/1000</f>
        <v>1.988</v>
      </c>
      <c r="C939" s="6">
        <f>首页!$B$7+273.15</f>
        <v>388.15</v>
      </c>
      <c r="D939" s="6">
        <f>首页!$B$6+273.15</f>
        <v>293.14999999999998</v>
      </c>
      <c r="E939" s="6">
        <f>首页!$B$5+273.15</f>
        <v>1373.15</v>
      </c>
      <c r="F939" s="6">
        <f t="shared" si="140"/>
        <v>95</v>
      </c>
      <c r="G939" s="6">
        <f t="shared" si="141"/>
        <v>340.65</v>
      </c>
      <c r="H939" s="6">
        <f t="shared" si="142"/>
        <v>1.9926207055139041E-5</v>
      </c>
      <c r="I939" s="7">
        <f t="shared" si="143"/>
        <v>1158916576932337.8</v>
      </c>
      <c r="J939" s="6">
        <f t="shared" si="144"/>
        <v>1.0226038455893147</v>
      </c>
      <c r="K939" s="7">
        <f>J939*H939*首页!$B$12/P939</f>
        <v>0.69532757496605813</v>
      </c>
      <c r="L939" s="6">
        <f>首页!$B$9*0.0000000567*((C939^4-D939^4)/(C939-D939))</f>
        <v>7.7687338005019564</v>
      </c>
      <c r="M939" s="6">
        <f>IF(首页!$B$13="自然对流",IF(首页!$B$14="立式圆筒",首页!$B$10,PI()*B939/2),PI()*B939/2)</f>
        <v>55.2</v>
      </c>
      <c r="N939" s="7">
        <f>IF(首页!$B$13="强制对流",首页!$B$11*M939/H939,0)</f>
        <v>0</v>
      </c>
      <c r="O939" s="7">
        <f>IF(首页!$B$13="自然对流",IF(首页!$B$14="立式圆筒",(0.825+0.3063*I939^(1/6))^2+0.87*(M939/B939),(0.752+0.303*I939^(1/6))^2),0.3+SQRT((0.592*N939^0.5)^2+(0.0262*N939^0.8/(1-0.5/N939^0.1))^2))</f>
        <v>10043.364444584799</v>
      </c>
      <c r="P939" s="6">
        <f t="shared" si="145"/>
        <v>2.9510194925512497E-2</v>
      </c>
      <c r="Q939" s="6">
        <f t="shared" si="146"/>
        <v>5.3692326533996182</v>
      </c>
      <c r="R939" s="6">
        <f t="shared" si="147"/>
        <v>13.137966453901575</v>
      </c>
      <c r="S939" s="6">
        <f>IF($Y$2="按单位面积散热损失 qp",B939*LN(B939/首页!$B$4),LN(B939/首页!$B$4))</f>
        <v>5.5810965771357335</v>
      </c>
      <c r="T939" s="6">
        <f>IF($Y$2="按单位面积散热损失 qp",2*PI()*首页!$B$8*((E939-D939)/$Y$3-1/R939),2*PI()*首页!$B$8*((E939-D939)/$Y$4-1/(PI()*B939*R939)))</f>
        <v>4.0778641187043947E-2</v>
      </c>
      <c r="U939" t="str">
        <f t="shared" si="148"/>
        <v>按单位面积散热损失 qp</v>
      </c>
      <c r="V939" s="6">
        <f t="shared" si="149"/>
        <v>5.5403179359486892</v>
      </c>
    </row>
    <row r="940" spans="1:22" x14ac:dyDescent="0.15">
      <c r="A940">
        <v>935</v>
      </c>
      <c r="B940" s="6">
        <f>首页!$B$4+2*A940/1000</f>
        <v>1.9900000000000002</v>
      </c>
      <c r="C940" s="6">
        <f>首页!$B$7+273.15</f>
        <v>388.15</v>
      </c>
      <c r="D940" s="6">
        <f>首页!$B$6+273.15</f>
        <v>293.14999999999998</v>
      </c>
      <c r="E940" s="6">
        <f>首页!$B$5+273.15</f>
        <v>1373.15</v>
      </c>
      <c r="F940" s="6">
        <f t="shared" si="140"/>
        <v>95</v>
      </c>
      <c r="G940" s="6">
        <f t="shared" si="141"/>
        <v>340.65</v>
      </c>
      <c r="H940" s="6">
        <f t="shared" si="142"/>
        <v>1.9926207055139041E-5</v>
      </c>
      <c r="I940" s="7">
        <f t="shared" si="143"/>
        <v>1158916576932337.8</v>
      </c>
      <c r="J940" s="6">
        <f t="shared" si="144"/>
        <v>1.0226038455893147</v>
      </c>
      <c r="K940" s="7">
        <f>J940*H940*首页!$B$12/P940</f>
        <v>0.69532757496605813</v>
      </c>
      <c r="L940" s="6">
        <f>首页!$B$9*0.0000000567*((C940^4-D940^4)/(C940-D940))</f>
        <v>7.7687338005019564</v>
      </c>
      <c r="M940" s="6">
        <f>IF(首页!$B$13="自然对流",IF(首页!$B$14="立式圆筒",首页!$B$10,PI()*B940/2),PI()*B940/2)</f>
        <v>55.2</v>
      </c>
      <c r="N940" s="7">
        <f>IF(首页!$B$13="强制对流",首页!$B$11*M940/H940,0)</f>
        <v>0</v>
      </c>
      <c r="O940" s="7">
        <f>IF(首页!$B$13="自然对流",IF(首页!$B$14="立式圆筒",(0.825+0.3063*I940^(1/6))^2+0.87*(M940/B940),(0.752+0.303*I940^(1/6))^2),0.3+SQRT((0.592*N940^0.5)^2+(0.0262*N940^0.8/(1-0.5/N940^0.1))^2))</f>
        <v>10043.340166251483</v>
      </c>
      <c r="P940" s="6">
        <f t="shared" si="145"/>
        <v>2.9510194925512497E-2</v>
      </c>
      <c r="Q940" s="6">
        <f t="shared" si="146"/>
        <v>5.369219674081708</v>
      </c>
      <c r="R940" s="6">
        <f t="shared" si="147"/>
        <v>13.137953474583664</v>
      </c>
      <c r="S940" s="6">
        <f>IF($Y$2="按单位面积散热损失 qp",B940*LN(B940/首页!$B$4),LN(B940/首页!$B$4))</f>
        <v>5.5887123681236206</v>
      </c>
      <c r="T940" s="6">
        <f>IF($Y$2="按单位面积散热损失 qp",2*PI()*首页!$B$8*((E940-D940)/$Y$3-1/R940),2*PI()*首页!$B$8*((E940-D940)/$Y$4-1/(PI()*B940*R940)))</f>
        <v>4.0778619925814032E-2</v>
      </c>
      <c r="U940" t="str">
        <f t="shared" si="148"/>
        <v>按单位面积散热损失 qp</v>
      </c>
      <c r="V940" s="6">
        <f t="shared" si="149"/>
        <v>5.5479337481978064</v>
      </c>
    </row>
    <row r="941" spans="1:22" x14ac:dyDescent="0.15">
      <c r="A941">
        <v>936</v>
      </c>
      <c r="B941" s="6">
        <f>首页!$B$4+2*A941/1000</f>
        <v>1.992</v>
      </c>
      <c r="C941" s="6">
        <f>首页!$B$7+273.15</f>
        <v>388.15</v>
      </c>
      <c r="D941" s="6">
        <f>首页!$B$6+273.15</f>
        <v>293.14999999999998</v>
      </c>
      <c r="E941" s="6">
        <f>首页!$B$5+273.15</f>
        <v>1373.15</v>
      </c>
      <c r="F941" s="6">
        <f t="shared" si="140"/>
        <v>95</v>
      </c>
      <c r="G941" s="6">
        <f t="shared" si="141"/>
        <v>340.65</v>
      </c>
      <c r="H941" s="6">
        <f t="shared" si="142"/>
        <v>1.9926207055139041E-5</v>
      </c>
      <c r="I941" s="7">
        <f t="shared" si="143"/>
        <v>1158916576932337.8</v>
      </c>
      <c r="J941" s="6">
        <f t="shared" si="144"/>
        <v>1.0226038455893147</v>
      </c>
      <c r="K941" s="7">
        <f>J941*H941*首页!$B$12/P941</f>
        <v>0.69532757496605813</v>
      </c>
      <c r="L941" s="6">
        <f>首页!$B$9*0.0000000567*((C941^4-D941^4)/(C941-D941))</f>
        <v>7.7687338005019564</v>
      </c>
      <c r="M941" s="6">
        <f>IF(首页!$B$13="自然对流",IF(首页!$B$14="立式圆筒",首页!$B$10,PI()*B941/2),PI()*B941/2)</f>
        <v>55.2</v>
      </c>
      <c r="N941" s="7">
        <f>IF(首页!$B$13="强制对流",首页!$B$11*M941/H941,0)</f>
        <v>0</v>
      </c>
      <c r="O941" s="7">
        <f>IF(首页!$B$13="自然对流",IF(首页!$B$14="立式圆筒",(0.825+0.3063*I941^(1/6))^2+0.87*(M941/B941),(0.752+0.303*I941^(1/6))^2),0.3+SQRT((0.592*N941^0.5)^2+(0.0262*N941^0.8/(1-0.5/N941^0.1))^2))</f>
        <v>10043.31593666984</v>
      </c>
      <c r="P941" s="6">
        <f t="shared" si="145"/>
        <v>2.9510194925512497E-2</v>
      </c>
      <c r="Q941" s="6">
        <f t="shared" si="146"/>
        <v>5.3692067208266865</v>
      </c>
      <c r="R941" s="6">
        <f t="shared" si="147"/>
        <v>13.137940521328643</v>
      </c>
      <c r="S941" s="6">
        <f>IF($Y$2="按单位面积散热损失 qp",B941*LN(B941/首页!$B$4),LN(B941/首页!$B$4))</f>
        <v>5.5963301691620959</v>
      </c>
      <c r="T941" s="6">
        <f>IF($Y$2="按单位面积散热损失 qp",2*PI()*首页!$B$8*((E941-D941)/$Y$3-1/R941),2*PI()*首页!$B$8*((E941-D941)/$Y$4-1/(PI()*B941*R941)))</f>
        <v>4.0778598707235457E-2</v>
      </c>
      <c r="U941" t="str">
        <f t="shared" si="148"/>
        <v>按单位面积散热损失 qp</v>
      </c>
      <c r="V941" s="6">
        <f t="shared" si="149"/>
        <v>5.5555515704548606</v>
      </c>
    </row>
    <row r="942" spans="1:22" x14ac:dyDescent="0.15">
      <c r="A942">
        <v>937</v>
      </c>
      <c r="B942" s="6">
        <f>首页!$B$4+2*A942/1000</f>
        <v>1.9940000000000002</v>
      </c>
      <c r="C942" s="6">
        <f>首页!$B$7+273.15</f>
        <v>388.15</v>
      </c>
      <c r="D942" s="6">
        <f>首页!$B$6+273.15</f>
        <v>293.14999999999998</v>
      </c>
      <c r="E942" s="6">
        <f>首页!$B$5+273.15</f>
        <v>1373.15</v>
      </c>
      <c r="F942" s="6">
        <f t="shared" si="140"/>
        <v>95</v>
      </c>
      <c r="G942" s="6">
        <f t="shared" si="141"/>
        <v>340.65</v>
      </c>
      <c r="H942" s="6">
        <f t="shared" si="142"/>
        <v>1.9926207055139041E-5</v>
      </c>
      <c r="I942" s="7">
        <f t="shared" si="143"/>
        <v>1158916576932337.8</v>
      </c>
      <c r="J942" s="6">
        <f t="shared" si="144"/>
        <v>1.0226038455893147</v>
      </c>
      <c r="K942" s="7">
        <f>J942*H942*首页!$B$12/P942</f>
        <v>0.69532757496605813</v>
      </c>
      <c r="L942" s="6">
        <f>首页!$B$9*0.0000000567*((C942^4-D942^4)/(C942-D942))</f>
        <v>7.7687338005019564</v>
      </c>
      <c r="M942" s="6">
        <f>IF(首页!$B$13="自然对流",IF(首页!$B$14="立式圆筒",首页!$B$10,PI()*B942/2),PI()*B942/2)</f>
        <v>55.2</v>
      </c>
      <c r="N942" s="7">
        <f>IF(首页!$B$13="强制对流",首页!$B$11*M942/H942,0)</f>
        <v>0</v>
      </c>
      <c r="O942" s="7">
        <f>IF(首页!$B$13="自然对流",IF(首页!$B$14="立式圆筒",(0.825+0.3063*I942^(1/6))^2+0.87*(M942/B942),(0.752+0.303*I942^(1/6))^2),0.3+SQRT((0.592*N942^0.5)^2+(0.0262*N942^0.8/(1-0.5/N942^0.1))^2))</f>
        <v>10043.291755693175</v>
      </c>
      <c r="P942" s="6">
        <f t="shared" si="145"/>
        <v>2.9510194925512497E-2</v>
      </c>
      <c r="Q942" s="6">
        <f t="shared" si="146"/>
        <v>5.3691937935561267</v>
      </c>
      <c r="R942" s="6">
        <f t="shared" si="147"/>
        <v>13.137927594058084</v>
      </c>
      <c r="S942" s="6">
        <f>IF($Y$2="按单位面积散热损失 qp",B942*LN(B942/首页!$B$4),LN(B942/首页!$B$4))</f>
        <v>5.6039499782330378</v>
      </c>
      <c r="T942" s="6">
        <f>IF($Y$2="按单位面积散热损失 qp",2*PI()*首页!$B$8*((E942-D942)/$Y$3-1/R942),2*PI()*首页!$B$8*((E942-D942)/$Y$4-1/(PI()*B942*R942)))</f>
        <v>4.0778577531180034E-2</v>
      </c>
      <c r="U942" t="str">
        <f t="shared" si="148"/>
        <v>按单位面积散热损失 qp</v>
      </c>
      <c r="V942" s="6">
        <f t="shared" si="149"/>
        <v>5.563171400701858</v>
      </c>
    </row>
    <row r="943" spans="1:22" x14ac:dyDescent="0.15">
      <c r="A943">
        <v>938</v>
      </c>
      <c r="B943" s="6">
        <f>首页!$B$4+2*A943/1000</f>
        <v>1.996</v>
      </c>
      <c r="C943" s="6">
        <f>首页!$B$7+273.15</f>
        <v>388.15</v>
      </c>
      <c r="D943" s="6">
        <f>首页!$B$6+273.15</f>
        <v>293.14999999999998</v>
      </c>
      <c r="E943" s="6">
        <f>首页!$B$5+273.15</f>
        <v>1373.15</v>
      </c>
      <c r="F943" s="6">
        <f t="shared" si="140"/>
        <v>95</v>
      </c>
      <c r="G943" s="6">
        <f t="shared" si="141"/>
        <v>340.65</v>
      </c>
      <c r="H943" s="6">
        <f t="shared" si="142"/>
        <v>1.9926207055139041E-5</v>
      </c>
      <c r="I943" s="7">
        <f t="shared" si="143"/>
        <v>1158916576932337.8</v>
      </c>
      <c r="J943" s="6">
        <f t="shared" si="144"/>
        <v>1.0226038455893147</v>
      </c>
      <c r="K943" s="7">
        <f>J943*H943*首页!$B$12/P943</f>
        <v>0.69532757496605813</v>
      </c>
      <c r="L943" s="6">
        <f>首页!$B$9*0.0000000567*((C943^4-D943^4)/(C943-D943))</f>
        <v>7.7687338005019564</v>
      </c>
      <c r="M943" s="6">
        <f>IF(首页!$B$13="自然对流",IF(首页!$B$14="立式圆筒",首页!$B$10,PI()*B943/2),PI()*B943/2)</f>
        <v>55.2</v>
      </c>
      <c r="N943" s="7">
        <f>IF(首页!$B$13="强制对流",首页!$B$11*M943/H943,0)</f>
        <v>0</v>
      </c>
      <c r="O943" s="7">
        <f>IF(首页!$B$13="自然对流",IF(首页!$B$14="立式圆筒",(0.825+0.3063*I943^(1/6))^2+0.87*(M943/B943),(0.752+0.303*I943^(1/6))^2),0.3+SQRT((0.592*N943^0.5)^2+(0.0262*N943^0.8/(1-0.5/N943^0.1))^2))</f>
        <v>10043.267623175381</v>
      </c>
      <c r="P943" s="6">
        <f t="shared" si="145"/>
        <v>2.9510194925512497E-2</v>
      </c>
      <c r="Q943" s="6">
        <f t="shared" si="146"/>
        <v>5.3691808921919213</v>
      </c>
      <c r="R943" s="6">
        <f t="shared" si="147"/>
        <v>13.137914692693878</v>
      </c>
      <c r="S943" s="6">
        <f>IF($Y$2="按单位面积散热损失 qp",B943*LN(B943/首页!$B$4),LN(B943/首页!$B$4))</f>
        <v>5.6115717933223692</v>
      </c>
      <c r="T943" s="6">
        <f>IF($Y$2="按单位面积散热损失 qp",2*PI()*首页!$B$8*((E943-D943)/$Y$3-1/R943),2*PI()*首页!$B$8*((E943-D943)/$Y$4-1/(PI()*B943*R943)))</f>
        <v>4.0778556397520038E-2</v>
      </c>
      <c r="U943" t="str">
        <f t="shared" si="148"/>
        <v>按单位面积散热损失 qp</v>
      </c>
      <c r="V943" s="6">
        <f t="shared" si="149"/>
        <v>5.5707932369248496</v>
      </c>
    </row>
    <row r="944" spans="1:22" x14ac:dyDescent="0.15">
      <c r="A944">
        <v>939</v>
      </c>
      <c r="B944" s="6">
        <f>首页!$B$4+2*A944/1000</f>
        <v>1.9979999999999998</v>
      </c>
      <c r="C944" s="6">
        <f>首页!$B$7+273.15</f>
        <v>388.15</v>
      </c>
      <c r="D944" s="6">
        <f>首页!$B$6+273.15</f>
        <v>293.14999999999998</v>
      </c>
      <c r="E944" s="6">
        <f>首页!$B$5+273.15</f>
        <v>1373.15</v>
      </c>
      <c r="F944" s="6">
        <f t="shared" si="140"/>
        <v>95</v>
      </c>
      <c r="G944" s="6">
        <f t="shared" si="141"/>
        <v>340.65</v>
      </c>
      <c r="H944" s="6">
        <f t="shared" si="142"/>
        <v>1.9926207055139041E-5</v>
      </c>
      <c r="I944" s="7">
        <f t="shared" si="143"/>
        <v>1158916576932337.8</v>
      </c>
      <c r="J944" s="6">
        <f t="shared" si="144"/>
        <v>1.0226038455893147</v>
      </c>
      <c r="K944" s="7">
        <f>J944*H944*首页!$B$12/P944</f>
        <v>0.69532757496605813</v>
      </c>
      <c r="L944" s="6">
        <f>首页!$B$9*0.0000000567*((C944^4-D944^4)/(C944-D944))</f>
        <v>7.7687338005019564</v>
      </c>
      <c r="M944" s="6">
        <f>IF(首页!$B$13="自然对流",IF(首页!$B$14="立式圆筒",首页!$B$10,PI()*B944/2),PI()*B944/2)</f>
        <v>55.2</v>
      </c>
      <c r="N944" s="7">
        <f>IF(首页!$B$13="强制对流",首页!$B$11*M944/H944,0)</f>
        <v>0</v>
      </c>
      <c r="O944" s="7">
        <f>IF(首页!$B$13="自然对流",IF(首页!$B$14="立式圆筒",(0.825+0.3063*I944^(1/6))^2+0.87*(M944/B944),(0.752+0.303*I944^(1/6))^2),0.3+SQRT((0.592*N944^0.5)^2+(0.0262*N944^0.8/(1-0.5/N944^0.1))^2))</f>
        <v>10043.243538970935</v>
      </c>
      <c r="P944" s="6">
        <f t="shared" si="145"/>
        <v>2.9510194925512497E-2</v>
      </c>
      <c r="Q944" s="6">
        <f t="shared" si="146"/>
        <v>5.369168016656273</v>
      </c>
      <c r="R944" s="6">
        <f t="shared" si="147"/>
        <v>13.13790181715823</v>
      </c>
      <c r="S944" s="6">
        <f>IF($Y$2="按单位面积散热损失 qp",B944*LN(B944/首页!$B$4),LN(B944/首页!$B$4))</f>
        <v>5.6191956124200519</v>
      </c>
      <c r="T944" s="6">
        <f>IF($Y$2="按单位面积散热损失 qp",2*PI()*首页!$B$8*((E944-D944)/$Y$3-1/R944),2*PI()*首页!$B$8*((E944-D944)/$Y$4-1/(PI()*B944*R944)))</f>
        <v>4.0778535306128294E-2</v>
      </c>
      <c r="U944" t="str">
        <f t="shared" si="148"/>
        <v>按单位面积散热损失 qp</v>
      </c>
      <c r="V944" s="6">
        <f t="shared" si="149"/>
        <v>5.5784170771139241</v>
      </c>
    </row>
    <row r="945" spans="1:22" x14ac:dyDescent="0.15">
      <c r="A945">
        <v>940</v>
      </c>
      <c r="B945" s="6">
        <f>首页!$B$4+2*A945/1000</f>
        <v>2</v>
      </c>
      <c r="C945" s="6">
        <f>首页!$B$7+273.15</f>
        <v>388.15</v>
      </c>
      <c r="D945" s="6">
        <f>首页!$B$6+273.15</f>
        <v>293.14999999999998</v>
      </c>
      <c r="E945" s="6">
        <f>首页!$B$5+273.15</f>
        <v>1373.15</v>
      </c>
      <c r="F945" s="6">
        <f t="shared" si="140"/>
        <v>95</v>
      </c>
      <c r="G945" s="6">
        <f t="shared" si="141"/>
        <v>340.65</v>
      </c>
      <c r="H945" s="6">
        <f t="shared" si="142"/>
        <v>1.9926207055139041E-5</v>
      </c>
      <c r="I945" s="7">
        <f t="shared" si="143"/>
        <v>1158916576932337.8</v>
      </c>
      <c r="J945" s="6">
        <f t="shared" si="144"/>
        <v>1.0226038455893147</v>
      </c>
      <c r="K945" s="7">
        <f>J945*H945*首页!$B$12/P945</f>
        <v>0.69532757496605813</v>
      </c>
      <c r="L945" s="6">
        <f>首页!$B$9*0.0000000567*((C945^4-D945^4)/(C945-D945))</f>
        <v>7.7687338005019564</v>
      </c>
      <c r="M945" s="6">
        <f>IF(首页!$B$13="自然对流",IF(首页!$B$14="立式圆筒",首页!$B$10,PI()*B945/2),PI()*B945/2)</f>
        <v>55.2</v>
      </c>
      <c r="N945" s="7">
        <f>IF(首页!$B$13="强制对流",首页!$B$11*M945/H945,0)</f>
        <v>0</v>
      </c>
      <c r="O945" s="7">
        <f>IF(首页!$B$13="自然对流",IF(首页!$B$14="立式圆筒",(0.825+0.3063*I945^(1/6))^2+0.87*(M945/B945),(0.752+0.303*I945^(1/6))^2),0.3+SQRT((0.592*N945^0.5)^2+(0.0262*N945^0.8/(1-0.5/N945^0.1))^2))</f>
        <v>10043.2195029349</v>
      </c>
      <c r="P945" s="6">
        <f t="shared" si="145"/>
        <v>2.9510194925512497E-2</v>
      </c>
      <c r="Q945" s="6">
        <f t="shared" si="146"/>
        <v>5.3691551668716961</v>
      </c>
      <c r="R945" s="6">
        <f t="shared" si="147"/>
        <v>13.137888967373652</v>
      </c>
      <c r="S945" s="6">
        <f>IF($Y$2="按单位面积散热损失 qp",B945*LN(B945/首页!$B$4),LN(B945/首页!$B$4))</f>
        <v>5.6268214335200728</v>
      </c>
      <c r="T945" s="6">
        <f>IF($Y$2="按单位面积散热损失 qp",2*PI()*首页!$B$8*((E945-D945)/$Y$3-1/R945),2*PI()*首页!$B$8*((E945-D945)/$Y$4-1/(PI()*B945*R945)))</f>
        <v>4.0778514256878118E-2</v>
      </c>
      <c r="U945" t="str">
        <f t="shared" si="148"/>
        <v>按单位面积散热损失 qp</v>
      </c>
      <c r="V945" s="6">
        <f t="shared" si="149"/>
        <v>5.5860429192631944</v>
      </c>
    </row>
    <row r="946" spans="1:22" x14ac:dyDescent="0.15">
      <c r="A946">
        <v>941</v>
      </c>
      <c r="B946" s="6">
        <f>首页!$B$4+2*A946/1000</f>
        <v>2.0019999999999998</v>
      </c>
      <c r="C946" s="6">
        <f>首页!$B$7+273.15</f>
        <v>388.15</v>
      </c>
      <c r="D946" s="6">
        <f>首页!$B$6+273.15</f>
        <v>293.14999999999998</v>
      </c>
      <c r="E946" s="6">
        <f>首页!$B$5+273.15</f>
        <v>1373.15</v>
      </c>
      <c r="F946" s="6">
        <f t="shared" si="140"/>
        <v>95</v>
      </c>
      <c r="G946" s="6">
        <f t="shared" si="141"/>
        <v>340.65</v>
      </c>
      <c r="H946" s="6">
        <f t="shared" si="142"/>
        <v>1.9926207055139041E-5</v>
      </c>
      <c r="I946" s="7">
        <f t="shared" si="143"/>
        <v>1158916576932337.8</v>
      </c>
      <c r="J946" s="6">
        <f t="shared" si="144"/>
        <v>1.0226038455893147</v>
      </c>
      <c r="K946" s="7">
        <f>J946*H946*首页!$B$12/P946</f>
        <v>0.69532757496605813</v>
      </c>
      <c r="L946" s="6">
        <f>首页!$B$9*0.0000000567*((C946^4-D946^4)/(C946-D946))</f>
        <v>7.7687338005019564</v>
      </c>
      <c r="M946" s="6">
        <f>IF(首页!$B$13="自然对流",IF(首页!$B$14="立式圆筒",首页!$B$10,PI()*B946/2),PI()*B946/2)</f>
        <v>55.2</v>
      </c>
      <c r="N946" s="7">
        <f>IF(首页!$B$13="强制对流",首页!$B$11*M946/H946,0)</f>
        <v>0</v>
      </c>
      <c r="O946" s="7">
        <f>IF(首页!$B$13="自然对流",IF(首页!$B$14="立式圆筒",(0.825+0.3063*I946^(1/6))^2+0.87*(M946/B946),(0.752+0.303*I946^(1/6))^2),0.3+SQRT((0.592*N946^0.5)^2+(0.0262*N946^0.8/(1-0.5/N946^0.1))^2))</f>
        <v>10043.195514922912</v>
      </c>
      <c r="P946" s="6">
        <f t="shared" si="145"/>
        <v>2.9510194925512497E-2</v>
      </c>
      <c r="Q946" s="6">
        <f t="shared" si="146"/>
        <v>5.3691423427610143</v>
      </c>
      <c r="R946" s="6">
        <f t="shared" si="147"/>
        <v>13.137876143262972</v>
      </c>
      <c r="S946" s="6">
        <f>IF($Y$2="按单位面积散热损失 qp",B946*LN(B946/首页!$B$4),LN(B946/首页!$B$4))</f>
        <v>5.6344492546204252</v>
      </c>
      <c r="T946" s="6">
        <f>IF($Y$2="按单位面积散热损失 qp",2*PI()*首页!$B$8*((E946-D946)/$Y$3-1/R946),2*PI()*首页!$B$8*((E946-D946)/$Y$4-1/(PI()*B946*R946)))</f>
        <v>4.0778493249643326E-2</v>
      </c>
      <c r="U946" t="str">
        <f t="shared" si="148"/>
        <v>按单位面积散热损失 qp</v>
      </c>
      <c r="V946" s="6">
        <f t="shared" si="149"/>
        <v>5.5936707613707819</v>
      </c>
    </row>
    <row r="947" spans="1:22" x14ac:dyDescent="0.15">
      <c r="A947">
        <v>942</v>
      </c>
      <c r="B947" s="6">
        <f>首页!$B$4+2*A947/1000</f>
        <v>2.004</v>
      </c>
      <c r="C947" s="6">
        <f>首页!$B$7+273.15</f>
        <v>388.15</v>
      </c>
      <c r="D947" s="6">
        <f>首页!$B$6+273.15</f>
        <v>293.14999999999998</v>
      </c>
      <c r="E947" s="6">
        <f>首页!$B$5+273.15</f>
        <v>1373.15</v>
      </c>
      <c r="F947" s="6">
        <f t="shared" si="140"/>
        <v>95</v>
      </c>
      <c r="G947" s="6">
        <f t="shared" si="141"/>
        <v>340.65</v>
      </c>
      <c r="H947" s="6">
        <f t="shared" si="142"/>
        <v>1.9926207055139041E-5</v>
      </c>
      <c r="I947" s="7">
        <f t="shared" si="143"/>
        <v>1158916576932337.8</v>
      </c>
      <c r="J947" s="6">
        <f t="shared" si="144"/>
        <v>1.0226038455893147</v>
      </c>
      <c r="K947" s="7">
        <f>J947*H947*首页!$B$12/P947</f>
        <v>0.69532757496605813</v>
      </c>
      <c r="L947" s="6">
        <f>首页!$B$9*0.0000000567*((C947^4-D947^4)/(C947-D947))</f>
        <v>7.7687338005019564</v>
      </c>
      <c r="M947" s="6">
        <f>IF(首页!$B$13="自然对流",IF(首页!$B$14="立式圆筒",首页!$B$10,PI()*B947/2),PI()*B947/2)</f>
        <v>55.2</v>
      </c>
      <c r="N947" s="7">
        <f>IF(首页!$B$13="强制对流",首页!$B$11*M947/H947,0)</f>
        <v>0</v>
      </c>
      <c r="O947" s="7">
        <f>IF(首页!$B$13="自然对流",IF(首页!$B$14="立式圆筒",(0.825+0.3063*I947^(1/6))^2+0.87*(M947/B947),(0.752+0.303*I947^(1/6))^2),0.3+SQRT((0.592*N947^0.5)^2+(0.0262*N947^0.8/(1-0.5/N947^0.1))^2))</f>
        <v>10043.171574791188</v>
      </c>
      <c r="P947" s="6">
        <f t="shared" si="145"/>
        <v>2.9510194925512497E-2</v>
      </c>
      <c r="Q947" s="6">
        <f t="shared" si="146"/>
        <v>5.3691295442473592</v>
      </c>
      <c r="R947" s="6">
        <f t="shared" si="147"/>
        <v>13.137863344749316</v>
      </c>
      <c r="S947" s="6">
        <f>IF($Y$2="按单位面积散热损失 qp",B947*LN(B947/首页!$B$4),LN(B947/首页!$B$4))</f>
        <v>5.6420790737231101</v>
      </c>
      <c r="T947" s="6">
        <f>IF($Y$2="按单位面积散热损失 qp",2*PI()*首页!$B$8*((E947-D947)/$Y$3-1/R947),2*PI()*首页!$B$8*((E947-D947)/$Y$4-1/(PI()*B947*R947)))</f>
        <v>4.0778472284298262E-2</v>
      </c>
      <c r="U947" t="str">
        <f t="shared" si="148"/>
        <v>按单位面积散热损失 qp</v>
      </c>
      <c r="V947" s="6">
        <f t="shared" si="149"/>
        <v>5.6013006014388118</v>
      </c>
    </row>
    <row r="948" spans="1:22" x14ac:dyDescent="0.15">
      <c r="A948">
        <v>943</v>
      </c>
      <c r="B948" s="6">
        <f>首页!$B$4+2*A948/1000</f>
        <v>2.0059999999999998</v>
      </c>
      <c r="C948" s="6">
        <f>首页!$B$7+273.15</f>
        <v>388.15</v>
      </c>
      <c r="D948" s="6">
        <f>首页!$B$6+273.15</f>
        <v>293.14999999999998</v>
      </c>
      <c r="E948" s="6">
        <f>首页!$B$5+273.15</f>
        <v>1373.15</v>
      </c>
      <c r="F948" s="6">
        <f t="shared" si="140"/>
        <v>95</v>
      </c>
      <c r="G948" s="6">
        <f t="shared" si="141"/>
        <v>340.65</v>
      </c>
      <c r="H948" s="6">
        <f t="shared" si="142"/>
        <v>1.9926207055139041E-5</v>
      </c>
      <c r="I948" s="7">
        <f t="shared" si="143"/>
        <v>1158916576932337.8</v>
      </c>
      <c r="J948" s="6">
        <f t="shared" si="144"/>
        <v>1.0226038455893147</v>
      </c>
      <c r="K948" s="7">
        <f>J948*H948*首页!$B$12/P948</f>
        <v>0.69532757496605813</v>
      </c>
      <c r="L948" s="6">
        <f>首页!$B$9*0.0000000567*((C948^4-D948^4)/(C948-D948))</f>
        <v>7.7687338005019564</v>
      </c>
      <c r="M948" s="6">
        <f>IF(首页!$B$13="自然对流",IF(首页!$B$14="立式圆筒",首页!$B$10,PI()*B948/2),PI()*B948/2)</f>
        <v>55.2</v>
      </c>
      <c r="N948" s="7">
        <f>IF(首页!$B$13="强制对流",首页!$B$11*M948/H948,0)</f>
        <v>0</v>
      </c>
      <c r="O948" s="7">
        <f>IF(首页!$B$13="自然对流",IF(首页!$B$14="立式圆筒",(0.825+0.3063*I948^(1/6))^2+0.87*(M948/B948),(0.752+0.303*I948^(1/6))^2),0.3+SQRT((0.592*N948^0.5)^2+(0.0262*N948^0.8/(1-0.5/N948^0.1))^2))</f>
        <v>10043.147682396515</v>
      </c>
      <c r="P948" s="6">
        <f t="shared" si="145"/>
        <v>2.9510194925512497E-2</v>
      </c>
      <c r="Q948" s="6">
        <f t="shared" si="146"/>
        <v>5.3691167712541708</v>
      </c>
      <c r="R948" s="6">
        <f t="shared" si="147"/>
        <v>13.137850571756127</v>
      </c>
      <c r="S948" s="6">
        <f>IF($Y$2="按单位面积散热损失 qp",B948*LN(B948/首页!$B$4),LN(B948/首页!$B$4))</f>
        <v>5.6497108888341074</v>
      </c>
      <c r="T948" s="6">
        <f>IF($Y$2="按单位面积散热损失 qp",2*PI()*首页!$B$8*((E948-D948)/$Y$3-1/R948),2*PI()*首页!$B$8*((E948-D948)/$Y$4-1/(PI()*B948*R948)))</f>
        <v>4.0778451360717748E-2</v>
      </c>
      <c r="U948" t="str">
        <f t="shared" si="148"/>
        <v>按单位面积散热损失 qp</v>
      </c>
      <c r="V948" s="6">
        <f t="shared" si="149"/>
        <v>5.6089324374733893</v>
      </c>
    </row>
    <row r="949" spans="1:22" x14ac:dyDescent="0.15">
      <c r="A949">
        <v>944</v>
      </c>
      <c r="B949" s="6">
        <f>首页!$B$4+2*A949/1000</f>
        <v>2.008</v>
      </c>
      <c r="C949" s="6">
        <f>首页!$B$7+273.15</f>
        <v>388.15</v>
      </c>
      <c r="D949" s="6">
        <f>首页!$B$6+273.15</f>
        <v>293.14999999999998</v>
      </c>
      <c r="E949" s="6">
        <f>首页!$B$5+273.15</f>
        <v>1373.15</v>
      </c>
      <c r="F949" s="6">
        <f t="shared" si="140"/>
        <v>95</v>
      </c>
      <c r="G949" s="6">
        <f t="shared" si="141"/>
        <v>340.65</v>
      </c>
      <c r="H949" s="6">
        <f t="shared" si="142"/>
        <v>1.9926207055139041E-5</v>
      </c>
      <c r="I949" s="7">
        <f t="shared" si="143"/>
        <v>1158916576932337.8</v>
      </c>
      <c r="J949" s="6">
        <f t="shared" si="144"/>
        <v>1.0226038455893147</v>
      </c>
      <c r="K949" s="7">
        <f>J949*H949*首页!$B$12/P949</f>
        <v>0.69532757496605813</v>
      </c>
      <c r="L949" s="6">
        <f>首页!$B$9*0.0000000567*((C949^4-D949^4)/(C949-D949))</f>
        <v>7.7687338005019564</v>
      </c>
      <c r="M949" s="6">
        <f>IF(首页!$B$13="自然对流",IF(首页!$B$14="立式圆筒",首页!$B$10,PI()*B949/2),PI()*B949/2)</f>
        <v>55.2</v>
      </c>
      <c r="N949" s="7">
        <f>IF(首页!$B$13="强制对流",首页!$B$11*M949/H949,0)</f>
        <v>0</v>
      </c>
      <c r="O949" s="7">
        <f>IF(首页!$B$13="自然对流",IF(首页!$B$14="立式圆筒",(0.825+0.3063*I949^(1/6))^2+0.87*(M949/B949),(0.752+0.303*I949^(1/6))^2),0.3+SQRT((0.592*N949^0.5)^2+(0.0262*N949^0.8/(1-0.5/N949^0.1))^2))</f>
        <v>10043.123837596255</v>
      </c>
      <c r="P949" s="6">
        <f t="shared" si="145"/>
        <v>2.9510194925512497E-2</v>
      </c>
      <c r="Q949" s="6">
        <f t="shared" si="146"/>
        <v>5.3691040237051917</v>
      </c>
      <c r="R949" s="6">
        <f t="shared" si="147"/>
        <v>13.137837824207148</v>
      </c>
      <c r="S949" s="6">
        <f>IF($Y$2="按单位面积散热损失 qp",B949*LN(B949/首页!$B$4),LN(B949/首页!$B$4))</f>
        <v>5.6573446979633841</v>
      </c>
      <c r="T949" s="6">
        <f>IF($Y$2="按单位面积散热损失 qp",2*PI()*首页!$B$8*((E949-D949)/$Y$3-1/R949),2*PI()*首页!$B$8*((E949-D949)/$Y$4-1/(PI()*B949*R949)))</f>
        <v>4.0778430478777099E-2</v>
      </c>
      <c r="U949" t="str">
        <f t="shared" si="148"/>
        <v>按单位面积散热损失 qp</v>
      </c>
      <c r="V949" s="6">
        <f t="shared" si="149"/>
        <v>5.6165662674846066</v>
      </c>
    </row>
    <row r="950" spans="1:22" x14ac:dyDescent="0.15">
      <c r="A950">
        <v>945</v>
      </c>
      <c r="B950" s="6">
        <f>首页!$B$4+2*A950/1000</f>
        <v>2.0099999999999998</v>
      </c>
      <c r="C950" s="6">
        <f>首页!$B$7+273.15</f>
        <v>388.15</v>
      </c>
      <c r="D950" s="6">
        <f>首页!$B$6+273.15</f>
        <v>293.14999999999998</v>
      </c>
      <c r="E950" s="6">
        <f>首页!$B$5+273.15</f>
        <v>1373.15</v>
      </c>
      <c r="F950" s="6">
        <f t="shared" si="140"/>
        <v>95</v>
      </c>
      <c r="G950" s="6">
        <f t="shared" si="141"/>
        <v>340.65</v>
      </c>
      <c r="H950" s="6">
        <f t="shared" si="142"/>
        <v>1.9926207055139041E-5</v>
      </c>
      <c r="I950" s="7">
        <f t="shared" si="143"/>
        <v>1158916576932337.8</v>
      </c>
      <c r="J950" s="6">
        <f t="shared" si="144"/>
        <v>1.0226038455893147</v>
      </c>
      <c r="K950" s="7">
        <f>J950*H950*首页!$B$12/P950</f>
        <v>0.69532757496605813</v>
      </c>
      <c r="L950" s="6">
        <f>首页!$B$9*0.0000000567*((C950^4-D950^4)/(C950-D950))</f>
        <v>7.7687338005019564</v>
      </c>
      <c r="M950" s="6">
        <f>IF(首页!$B$13="自然对流",IF(首页!$B$14="立式圆筒",首页!$B$10,PI()*B950/2),PI()*B950/2)</f>
        <v>55.2</v>
      </c>
      <c r="N950" s="7">
        <f>IF(首页!$B$13="强制对流",首页!$B$11*M950/H950,0)</f>
        <v>0</v>
      </c>
      <c r="O950" s="7">
        <f>IF(首页!$B$13="自然对流",IF(首页!$B$14="立式圆筒",(0.825+0.3063*I950^(1/6))^2+0.87*(M950/B950),(0.752+0.303*I950^(1/6))^2),0.3+SQRT((0.592*N950^0.5)^2+(0.0262*N950^0.8/(1-0.5/N950^0.1))^2))</f>
        <v>10043.100040248333</v>
      </c>
      <c r="P950" s="6">
        <f t="shared" si="145"/>
        <v>2.9510194925512497E-2</v>
      </c>
      <c r="Q950" s="6">
        <f t="shared" si="146"/>
        <v>5.3690913015244695</v>
      </c>
      <c r="R950" s="6">
        <f t="shared" si="147"/>
        <v>13.137825102026426</v>
      </c>
      <c r="S950" s="6">
        <f>IF($Y$2="按单位面积散热损失 qp",B950*LN(B950/首页!$B$4),LN(B950/首页!$B$4))</f>
        <v>5.6649804991248605</v>
      </c>
      <c r="T950" s="6">
        <f>IF($Y$2="按单位面积散热损失 qp",2*PI()*首页!$B$8*((E950-D950)/$Y$3-1/R950),2*PI()*首页!$B$8*((E950-D950)/$Y$4-1/(PI()*B950*R950)))</f>
        <v>4.0778409638352157E-2</v>
      </c>
      <c r="U950" t="str">
        <f t="shared" si="148"/>
        <v>按单位面积散热损失 qp</v>
      </c>
      <c r="V950" s="6">
        <f t="shared" si="149"/>
        <v>5.6242020894865083</v>
      </c>
    </row>
    <row r="951" spans="1:22" x14ac:dyDescent="0.15">
      <c r="A951">
        <v>946</v>
      </c>
      <c r="B951" s="6">
        <f>首页!$B$4+2*A951/1000</f>
        <v>2.012</v>
      </c>
      <c r="C951" s="6">
        <f>首页!$B$7+273.15</f>
        <v>388.15</v>
      </c>
      <c r="D951" s="6">
        <f>首页!$B$6+273.15</f>
        <v>293.14999999999998</v>
      </c>
      <c r="E951" s="6">
        <f>首页!$B$5+273.15</f>
        <v>1373.15</v>
      </c>
      <c r="F951" s="6">
        <f t="shared" si="140"/>
        <v>95</v>
      </c>
      <c r="G951" s="6">
        <f t="shared" si="141"/>
        <v>340.65</v>
      </c>
      <c r="H951" s="6">
        <f t="shared" si="142"/>
        <v>1.9926207055139041E-5</v>
      </c>
      <c r="I951" s="7">
        <f t="shared" si="143"/>
        <v>1158916576932337.8</v>
      </c>
      <c r="J951" s="6">
        <f t="shared" si="144"/>
        <v>1.0226038455893147</v>
      </c>
      <c r="K951" s="7">
        <f>J951*H951*首页!$B$12/P951</f>
        <v>0.69532757496605813</v>
      </c>
      <c r="L951" s="6">
        <f>首页!$B$9*0.0000000567*((C951^4-D951^4)/(C951-D951))</f>
        <v>7.7687338005019564</v>
      </c>
      <c r="M951" s="6">
        <f>IF(首页!$B$13="自然对流",IF(首页!$B$14="立式圆筒",首页!$B$10,PI()*B951/2),PI()*B951/2)</f>
        <v>55.2</v>
      </c>
      <c r="N951" s="7">
        <f>IF(首页!$B$13="强制对流",首页!$B$11*M951/H951,0)</f>
        <v>0</v>
      </c>
      <c r="O951" s="7">
        <f>IF(首页!$B$13="自然对流",IF(首页!$B$14="立式圆筒",(0.825+0.3063*I951^(1/6))^2+0.87*(M951/B951),(0.752+0.303*I951^(1/6))^2),0.3+SQRT((0.592*N951^0.5)^2+(0.0262*N951^0.8/(1-0.5/N951^0.1))^2))</f>
        <v>10043.076290211242</v>
      </c>
      <c r="P951" s="6">
        <f t="shared" si="145"/>
        <v>2.9510194925512497E-2</v>
      </c>
      <c r="Q951" s="6">
        <f t="shared" si="146"/>
        <v>5.3690786046363526</v>
      </c>
      <c r="R951" s="6">
        <f t="shared" si="147"/>
        <v>13.137812405138309</v>
      </c>
      <c r="S951" s="6">
        <f>IF($Y$2="按单位面积散热损失 qp",B951*LN(B951/首页!$B$4),LN(B951/首页!$B$4))</f>
        <v>5.6726182903364188</v>
      </c>
      <c r="T951" s="6">
        <f>IF($Y$2="按单位面积散热损失 qp",2*PI()*首页!$B$8*((E951-D951)/$Y$3-1/R951),2*PI()*首页!$B$8*((E951-D951)/$Y$4-1/(PI()*B951*R951)))</f>
        <v>4.0778388839319224E-2</v>
      </c>
      <c r="U951" t="str">
        <f t="shared" si="148"/>
        <v>按单位面积散热损失 qp</v>
      </c>
      <c r="V951" s="6">
        <f t="shared" si="149"/>
        <v>5.6318399014970995</v>
      </c>
    </row>
    <row r="952" spans="1:22" x14ac:dyDescent="0.15">
      <c r="A952">
        <v>947</v>
      </c>
      <c r="B952" s="6">
        <f>首页!$B$4+2*A952/1000</f>
        <v>2.0139999999999998</v>
      </c>
      <c r="C952" s="6">
        <f>首页!$B$7+273.15</f>
        <v>388.15</v>
      </c>
      <c r="D952" s="6">
        <f>首页!$B$6+273.15</f>
        <v>293.14999999999998</v>
      </c>
      <c r="E952" s="6">
        <f>首页!$B$5+273.15</f>
        <v>1373.15</v>
      </c>
      <c r="F952" s="6">
        <f t="shared" si="140"/>
        <v>95</v>
      </c>
      <c r="G952" s="6">
        <f t="shared" si="141"/>
        <v>340.65</v>
      </c>
      <c r="H952" s="6">
        <f t="shared" si="142"/>
        <v>1.9926207055139041E-5</v>
      </c>
      <c r="I952" s="7">
        <f t="shared" si="143"/>
        <v>1158916576932337.8</v>
      </c>
      <c r="J952" s="6">
        <f t="shared" si="144"/>
        <v>1.0226038455893147</v>
      </c>
      <c r="K952" s="7">
        <f>J952*H952*首页!$B$12/P952</f>
        <v>0.69532757496605813</v>
      </c>
      <c r="L952" s="6">
        <f>首页!$B$9*0.0000000567*((C952^4-D952^4)/(C952-D952))</f>
        <v>7.7687338005019564</v>
      </c>
      <c r="M952" s="6">
        <f>IF(首页!$B$13="自然对流",IF(首页!$B$14="立式圆筒",首页!$B$10,PI()*B952/2),PI()*B952/2)</f>
        <v>55.2</v>
      </c>
      <c r="N952" s="7">
        <f>IF(首页!$B$13="强制对流",首页!$B$11*M952/H952,0)</f>
        <v>0</v>
      </c>
      <c r="O952" s="7">
        <f>IF(首页!$B$13="自然对流",IF(首页!$B$14="立式圆筒",(0.825+0.3063*I952^(1/6))^2+0.87*(M952/B952),(0.752+0.303*I952^(1/6))^2),0.3+SQRT((0.592*N952^0.5)^2+(0.0262*N952^0.8/(1-0.5/N952^0.1))^2))</f>
        <v>10043.052587344037</v>
      </c>
      <c r="P952" s="6">
        <f t="shared" si="145"/>
        <v>2.9510194925512497E-2</v>
      </c>
      <c r="Q952" s="6">
        <f t="shared" si="146"/>
        <v>5.3690659329654915</v>
      </c>
      <c r="R952" s="6">
        <f t="shared" si="147"/>
        <v>13.137799733467448</v>
      </c>
      <c r="S952" s="6">
        <f>IF($Y$2="按单位面积散热损失 qp",B952*LN(B952/首页!$B$4),LN(B952/首页!$B$4))</f>
        <v>5.6802580696198728</v>
      </c>
      <c r="T952" s="6">
        <f>IF($Y$2="按单位面积散热损失 qp",2*PI()*首页!$B$8*((E952-D952)/$Y$3-1/R952),2*PI()*首页!$B$8*((E952-D952)/$Y$4-1/(PI()*B952*R952)))</f>
        <v>4.0778368081555112E-2</v>
      </c>
      <c r="U952" t="str">
        <f t="shared" si="148"/>
        <v>按单位面积散热损失 qp</v>
      </c>
      <c r="V952" s="6">
        <f t="shared" si="149"/>
        <v>5.6394797015383178</v>
      </c>
    </row>
    <row r="953" spans="1:22" x14ac:dyDescent="0.15">
      <c r="A953">
        <v>948</v>
      </c>
      <c r="B953" s="6">
        <f>首页!$B$4+2*A953/1000</f>
        <v>2.016</v>
      </c>
      <c r="C953" s="6">
        <f>首页!$B$7+273.15</f>
        <v>388.15</v>
      </c>
      <c r="D953" s="6">
        <f>首页!$B$6+273.15</f>
        <v>293.14999999999998</v>
      </c>
      <c r="E953" s="6">
        <f>首页!$B$5+273.15</f>
        <v>1373.15</v>
      </c>
      <c r="F953" s="6">
        <f t="shared" si="140"/>
        <v>95</v>
      </c>
      <c r="G953" s="6">
        <f t="shared" si="141"/>
        <v>340.65</v>
      </c>
      <c r="H953" s="6">
        <f t="shared" si="142"/>
        <v>1.9926207055139041E-5</v>
      </c>
      <c r="I953" s="7">
        <f t="shared" si="143"/>
        <v>1158916576932337.8</v>
      </c>
      <c r="J953" s="6">
        <f t="shared" si="144"/>
        <v>1.0226038455893147</v>
      </c>
      <c r="K953" s="7">
        <f>J953*H953*首页!$B$12/P953</f>
        <v>0.69532757496605813</v>
      </c>
      <c r="L953" s="6">
        <f>首页!$B$9*0.0000000567*((C953^4-D953^4)/(C953-D953))</f>
        <v>7.7687338005019564</v>
      </c>
      <c r="M953" s="6">
        <f>IF(首页!$B$13="自然对流",IF(首页!$B$14="立式圆筒",首页!$B$10,PI()*B953/2),PI()*B953/2)</f>
        <v>55.2</v>
      </c>
      <c r="N953" s="7">
        <f>IF(首页!$B$13="强制对流",首页!$B$11*M953/H953,0)</f>
        <v>0</v>
      </c>
      <c r="O953" s="7">
        <f>IF(首页!$B$13="自然对流",IF(首页!$B$14="立式圆筒",(0.825+0.3063*I953^(1/6))^2+0.87*(M953/B953),(0.752+0.303*I953^(1/6))^2),0.3+SQRT((0.592*N953^0.5)^2+(0.0262*N953^0.8/(1-0.5/N953^0.1))^2))</f>
        <v>10043.028931506329</v>
      </c>
      <c r="P953" s="6">
        <f t="shared" si="145"/>
        <v>2.9510194925512497E-2</v>
      </c>
      <c r="Q953" s="6">
        <f t="shared" si="146"/>
        <v>5.3690532864368343</v>
      </c>
      <c r="R953" s="6">
        <f t="shared" si="147"/>
        <v>13.13778708693879</v>
      </c>
      <c r="S953" s="6">
        <f>IF($Y$2="按单位面积散热损失 qp",B953*LN(B953/首页!$B$4),LN(B953/首页!$B$4))</f>
        <v>5.687899835000974</v>
      </c>
      <c r="T953" s="6">
        <f>IF($Y$2="按单位面积散热损失 qp",2*PI()*首页!$B$8*((E953-D953)/$Y$3-1/R953),2*PI()*首页!$B$8*((E953-D953)/$Y$4-1/(PI()*B953*R953)))</f>
        <v>4.0778347364937122E-2</v>
      </c>
      <c r="U953" t="str">
        <f t="shared" si="148"/>
        <v>按单位面积散热损失 qp</v>
      </c>
      <c r="V953" s="6">
        <f t="shared" si="149"/>
        <v>5.6471214876360367</v>
      </c>
    </row>
    <row r="954" spans="1:22" x14ac:dyDescent="0.15">
      <c r="A954">
        <v>949</v>
      </c>
      <c r="B954" s="6">
        <f>首页!$B$4+2*A954/1000</f>
        <v>2.0179999999999998</v>
      </c>
      <c r="C954" s="6">
        <f>首页!$B$7+273.15</f>
        <v>388.15</v>
      </c>
      <c r="D954" s="6">
        <f>首页!$B$6+273.15</f>
        <v>293.14999999999998</v>
      </c>
      <c r="E954" s="6">
        <f>首页!$B$5+273.15</f>
        <v>1373.15</v>
      </c>
      <c r="F954" s="6">
        <f t="shared" si="140"/>
        <v>95</v>
      </c>
      <c r="G954" s="6">
        <f t="shared" si="141"/>
        <v>340.65</v>
      </c>
      <c r="H954" s="6">
        <f t="shared" si="142"/>
        <v>1.9926207055139041E-5</v>
      </c>
      <c r="I954" s="7">
        <f t="shared" si="143"/>
        <v>1158916576932337.8</v>
      </c>
      <c r="J954" s="6">
        <f t="shared" si="144"/>
        <v>1.0226038455893147</v>
      </c>
      <c r="K954" s="7">
        <f>J954*H954*首页!$B$12/P954</f>
        <v>0.69532757496605813</v>
      </c>
      <c r="L954" s="6">
        <f>首页!$B$9*0.0000000567*((C954^4-D954^4)/(C954-D954))</f>
        <v>7.7687338005019564</v>
      </c>
      <c r="M954" s="6">
        <f>IF(首页!$B$13="自然对流",IF(首页!$B$14="立式圆筒",首页!$B$10,PI()*B954/2),PI()*B954/2)</f>
        <v>55.2</v>
      </c>
      <c r="N954" s="7">
        <f>IF(首页!$B$13="强制对流",首页!$B$11*M954/H954,0)</f>
        <v>0</v>
      </c>
      <c r="O954" s="7">
        <f>IF(首页!$B$13="自然对流",IF(首页!$B$14="立式圆筒",(0.825+0.3063*I954^(1/6))^2+0.87*(M954/B954),(0.752+0.303*I954^(1/6))^2),0.3+SQRT((0.592*N954^0.5)^2+(0.0262*N954^0.8/(1-0.5/N954^0.1))^2))</f>
        <v>10043.005322558289</v>
      </c>
      <c r="P954" s="6">
        <f t="shared" si="145"/>
        <v>2.9510194925512497E-2</v>
      </c>
      <c r="Q954" s="6">
        <f t="shared" si="146"/>
        <v>5.3690406649756275</v>
      </c>
      <c r="R954" s="6">
        <f t="shared" si="147"/>
        <v>13.137774465477584</v>
      </c>
      <c r="S954" s="6">
        <f>IF($Y$2="按单位面积散热损失 qp",B954*LN(B954/首页!$B$4),LN(B954/首页!$B$4))</f>
        <v>5.6955435845093829</v>
      </c>
      <c r="T954" s="6">
        <f>IF($Y$2="按单位面积散热损失 qp",2*PI()*首页!$B$8*((E954-D954)/$Y$3-1/R954),2*PI()*首页!$B$8*((E954-D954)/$Y$4-1/(PI()*B954*R954)))</f>
        <v>4.0778326689343038E-2</v>
      </c>
      <c r="U954" t="str">
        <f t="shared" si="148"/>
        <v>按单位面积散热损失 qp</v>
      </c>
      <c r="V954" s="6">
        <f t="shared" si="149"/>
        <v>5.6547652578200402</v>
      </c>
    </row>
    <row r="955" spans="1:22" x14ac:dyDescent="0.15">
      <c r="A955">
        <v>950</v>
      </c>
      <c r="B955" s="6">
        <f>首页!$B$4+2*A955/1000</f>
        <v>2.02</v>
      </c>
      <c r="C955" s="6">
        <f>首页!$B$7+273.15</f>
        <v>388.15</v>
      </c>
      <c r="D955" s="6">
        <f>首页!$B$6+273.15</f>
        <v>293.14999999999998</v>
      </c>
      <c r="E955" s="6">
        <f>首页!$B$5+273.15</f>
        <v>1373.15</v>
      </c>
      <c r="F955" s="6">
        <f t="shared" si="140"/>
        <v>95</v>
      </c>
      <c r="G955" s="6">
        <f t="shared" si="141"/>
        <v>340.65</v>
      </c>
      <c r="H955" s="6">
        <f t="shared" si="142"/>
        <v>1.9926207055139041E-5</v>
      </c>
      <c r="I955" s="7">
        <f t="shared" si="143"/>
        <v>1158916576932337.8</v>
      </c>
      <c r="J955" s="6">
        <f t="shared" si="144"/>
        <v>1.0226038455893147</v>
      </c>
      <c r="K955" s="7">
        <f>J955*H955*首页!$B$12/P955</f>
        <v>0.69532757496605813</v>
      </c>
      <c r="L955" s="6">
        <f>首页!$B$9*0.0000000567*((C955^4-D955^4)/(C955-D955))</f>
        <v>7.7687338005019564</v>
      </c>
      <c r="M955" s="6">
        <f>IF(首页!$B$13="自然对流",IF(首页!$B$14="立式圆筒",首页!$B$10,PI()*B955/2),PI()*B955/2)</f>
        <v>55.2</v>
      </c>
      <c r="N955" s="7">
        <f>IF(首页!$B$13="强制对流",首页!$B$11*M955/H955,0)</f>
        <v>0</v>
      </c>
      <c r="O955" s="7">
        <f>IF(首页!$B$13="自然对流",IF(首页!$B$14="立式圆筒",(0.825+0.3063*I955^(1/6))^2+0.87*(M955/B955),(0.752+0.303*I955^(1/6))^2),0.3+SQRT((0.592*N955^0.5)^2+(0.0262*N955^0.8/(1-0.5/N955^0.1))^2))</f>
        <v>10042.981760360643</v>
      </c>
      <c r="P955" s="6">
        <f t="shared" si="145"/>
        <v>2.9510194925512497E-2</v>
      </c>
      <c r="Q955" s="6">
        <f t="shared" si="146"/>
        <v>5.3690280685074123</v>
      </c>
      <c r="R955" s="6">
        <f t="shared" si="147"/>
        <v>13.137761869009369</v>
      </c>
      <c r="S955" s="6">
        <f>IF($Y$2="按单位面积散热损失 qp",B955*LN(B955/首页!$B$4),LN(B955/首页!$B$4))</f>
        <v>5.7031893161786735</v>
      </c>
      <c r="T955" s="6">
        <f>IF($Y$2="按单位面积散热损失 qp",2*PI()*首页!$B$8*((E955-D955)/$Y$3-1/R955),2*PI()*首页!$B$8*((E955-D955)/$Y$4-1/(PI()*B955*R955)))</f>
        <v>4.0778306054651096E-2</v>
      </c>
      <c r="U955" t="str">
        <f t="shared" si="148"/>
        <v>按单位面积散热损失 qp</v>
      </c>
      <c r="V955" s="6">
        <f t="shared" si="149"/>
        <v>5.6624110101240221</v>
      </c>
    </row>
    <row r="956" spans="1:22" x14ac:dyDescent="0.15">
      <c r="A956">
        <v>951</v>
      </c>
      <c r="B956" s="6">
        <f>首页!$B$4+2*A956/1000</f>
        <v>2.0219999999999998</v>
      </c>
      <c r="C956" s="6">
        <f>首页!$B$7+273.15</f>
        <v>388.15</v>
      </c>
      <c r="D956" s="6">
        <f>首页!$B$6+273.15</f>
        <v>293.14999999999998</v>
      </c>
      <c r="E956" s="6">
        <f>首页!$B$5+273.15</f>
        <v>1373.15</v>
      </c>
      <c r="F956" s="6">
        <f t="shared" si="140"/>
        <v>95</v>
      </c>
      <c r="G956" s="6">
        <f t="shared" si="141"/>
        <v>340.65</v>
      </c>
      <c r="H956" s="6">
        <f t="shared" si="142"/>
        <v>1.9926207055139041E-5</v>
      </c>
      <c r="I956" s="7">
        <f t="shared" si="143"/>
        <v>1158916576932337.8</v>
      </c>
      <c r="J956" s="6">
        <f t="shared" si="144"/>
        <v>1.0226038455893147</v>
      </c>
      <c r="K956" s="7">
        <f>J956*H956*首页!$B$12/P956</f>
        <v>0.69532757496605813</v>
      </c>
      <c r="L956" s="6">
        <f>首页!$B$9*0.0000000567*((C956^4-D956^4)/(C956-D956))</f>
        <v>7.7687338005019564</v>
      </c>
      <c r="M956" s="6">
        <f>IF(首页!$B$13="自然对流",IF(首页!$B$14="立式圆筒",首页!$B$10,PI()*B956/2),PI()*B956/2)</f>
        <v>55.2</v>
      </c>
      <c r="N956" s="7">
        <f>IF(首页!$B$13="强制对流",首页!$B$11*M956/H956,0)</f>
        <v>0</v>
      </c>
      <c r="O956" s="7">
        <f>IF(首页!$B$13="自然对流",IF(首页!$B$14="立式圆筒",(0.825+0.3063*I956^(1/6))^2+0.87*(M956/B956),(0.752+0.303*I956^(1/6))^2),0.3+SQRT((0.592*N956^0.5)^2+(0.0262*N956^0.8/(1-0.5/N956^0.1))^2))</f>
        <v>10042.958244774662</v>
      </c>
      <c r="P956" s="6">
        <f t="shared" si="145"/>
        <v>2.9510194925512497E-2</v>
      </c>
      <c r="Q956" s="6">
        <f t="shared" si="146"/>
        <v>5.3690154969580268</v>
      </c>
      <c r="R956" s="6">
        <f t="shared" si="147"/>
        <v>13.137749297459983</v>
      </c>
      <c r="S956" s="6">
        <f>IF($Y$2="按单位面积散热损失 qp",B956*LN(B956/首页!$B$4),LN(B956/首页!$B$4))</f>
        <v>5.7108370280463054</v>
      </c>
      <c r="T956" s="6">
        <f>IF($Y$2="按单位面积散热损失 qp",2*PI()*首页!$B$8*((E956-D956)/$Y$3-1/R956),2*PI()*首页!$B$8*((E956-D956)/$Y$4-1/(PI()*B956*R956)))</f>
        <v>4.0778285460740075E-2</v>
      </c>
      <c r="U956" t="str">
        <f t="shared" si="148"/>
        <v>按单位面积散热损失 qp</v>
      </c>
      <c r="V956" s="6">
        <f t="shared" si="149"/>
        <v>5.6700587425855655</v>
      </c>
    </row>
    <row r="957" spans="1:22" x14ac:dyDescent="0.15">
      <c r="A957">
        <v>952</v>
      </c>
      <c r="B957" s="6">
        <f>首页!$B$4+2*A957/1000</f>
        <v>2.024</v>
      </c>
      <c r="C957" s="6">
        <f>首页!$B$7+273.15</f>
        <v>388.15</v>
      </c>
      <c r="D957" s="6">
        <f>首页!$B$6+273.15</f>
        <v>293.14999999999998</v>
      </c>
      <c r="E957" s="6">
        <f>首页!$B$5+273.15</f>
        <v>1373.15</v>
      </c>
      <c r="F957" s="6">
        <f t="shared" si="140"/>
        <v>95</v>
      </c>
      <c r="G957" s="6">
        <f t="shared" si="141"/>
        <v>340.65</v>
      </c>
      <c r="H957" s="6">
        <f t="shared" si="142"/>
        <v>1.9926207055139041E-5</v>
      </c>
      <c r="I957" s="7">
        <f t="shared" si="143"/>
        <v>1158916576932337.8</v>
      </c>
      <c r="J957" s="6">
        <f t="shared" si="144"/>
        <v>1.0226038455893147</v>
      </c>
      <c r="K957" s="7">
        <f>J957*H957*首页!$B$12/P957</f>
        <v>0.69532757496605813</v>
      </c>
      <c r="L957" s="6">
        <f>首页!$B$9*0.0000000567*((C957^4-D957^4)/(C957-D957))</f>
        <v>7.7687338005019564</v>
      </c>
      <c r="M957" s="6">
        <f>IF(首页!$B$13="自然对流",IF(首页!$B$14="立式圆筒",首页!$B$10,PI()*B957/2),PI()*B957/2)</f>
        <v>55.2</v>
      </c>
      <c r="N957" s="7">
        <f>IF(首页!$B$13="强制对流",首页!$B$11*M957/H957,0)</f>
        <v>0</v>
      </c>
      <c r="O957" s="7">
        <f>IF(首页!$B$13="自然对流",IF(首页!$B$14="立式圆筒",(0.825+0.3063*I957^(1/6))^2+0.87*(M957/B957),(0.752+0.303*I957^(1/6))^2),0.3+SQRT((0.592*N957^0.5)^2+(0.0262*N957^0.8/(1-0.5/N957^0.1))^2))</f>
        <v>10042.934775662172</v>
      </c>
      <c r="P957" s="6">
        <f t="shared" si="145"/>
        <v>2.9510194925512497E-2</v>
      </c>
      <c r="Q957" s="6">
        <f t="shared" si="146"/>
        <v>5.3690029502536012</v>
      </c>
      <c r="R957" s="6">
        <f t="shared" si="147"/>
        <v>13.137736750755558</v>
      </c>
      <c r="S957" s="6">
        <f>IF($Y$2="按单位面积散热损失 qp",B957*LN(B957/首页!$B$4),LN(B957/首页!$B$4))</f>
        <v>5.7184867181536276</v>
      </c>
      <c r="T957" s="6">
        <f>IF($Y$2="按单位面积散热损失 qp",2*PI()*首页!$B$8*((E957-D957)/$Y$3-1/R957),2*PI()*首页!$B$8*((E957-D957)/$Y$4-1/(PI()*B957*R957)))</f>
        <v>4.0778264907489183E-2</v>
      </c>
      <c r="U957" t="str">
        <f t="shared" si="148"/>
        <v>按单位面积散热损失 qp</v>
      </c>
      <c r="V957" s="6">
        <f t="shared" si="149"/>
        <v>5.6777084532461384</v>
      </c>
    </row>
    <row r="958" spans="1:22" x14ac:dyDescent="0.15">
      <c r="A958">
        <v>953</v>
      </c>
      <c r="B958" s="6">
        <f>首页!$B$4+2*A958/1000</f>
        <v>2.0259999999999998</v>
      </c>
      <c r="C958" s="6">
        <f>首页!$B$7+273.15</f>
        <v>388.15</v>
      </c>
      <c r="D958" s="6">
        <f>首页!$B$6+273.15</f>
        <v>293.14999999999998</v>
      </c>
      <c r="E958" s="6">
        <f>首页!$B$5+273.15</f>
        <v>1373.15</v>
      </c>
      <c r="F958" s="6">
        <f t="shared" si="140"/>
        <v>95</v>
      </c>
      <c r="G958" s="6">
        <f t="shared" si="141"/>
        <v>340.65</v>
      </c>
      <c r="H958" s="6">
        <f t="shared" si="142"/>
        <v>1.9926207055139041E-5</v>
      </c>
      <c r="I958" s="7">
        <f t="shared" si="143"/>
        <v>1158916576932337.8</v>
      </c>
      <c r="J958" s="6">
        <f t="shared" si="144"/>
        <v>1.0226038455893147</v>
      </c>
      <c r="K958" s="7">
        <f>J958*H958*首页!$B$12/P958</f>
        <v>0.69532757496605813</v>
      </c>
      <c r="L958" s="6">
        <f>首页!$B$9*0.0000000567*((C958^4-D958^4)/(C958-D958))</f>
        <v>7.7687338005019564</v>
      </c>
      <c r="M958" s="6">
        <f>IF(首页!$B$13="自然对流",IF(首页!$B$14="立式圆筒",首页!$B$10,PI()*B958/2),PI()*B958/2)</f>
        <v>55.2</v>
      </c>
      <c r="N958" s="7">
        <f>IF(首页!$B$13="强制对流",首页!$B$11*M958/H958,0)</f>
        <v>0</v>
      </c>
      <c r="O958" s="7">
        <f>IF(首页!$B$13="自然对流",IF(首页!$B$14="立式圆筒",(0.825+0.3063*I958^(1/6))^2+0.87*(M958/B958),(0.752+0.303*I958^(1/6))^2),0.3+SQRT((0.592*N958^0.5)^2+(0.0262*N958^0.8/(1-0.5/N958^0.1))^2))</f>
        <v>10042.911352885541</v>
      </c>
      <c r="P958" s="6">
        <f t="shared" si="145"/>
        <v>2.9510194925512497E-2</v>
      </c>
      <c r="Q958" s="6">
        <f t="shared" si="146"/>
        <v>5.368990428320557</v>
      </c>
      <c r="R958" s="6">
        <f t="shared" si="147"/>
        <v>13.137724228822513</v>
      </c>
      <c r="S958" s="6">
        <f>IF($Y$2="按单位面积散热损失 qp",B958*LN(B958/首页!$B$4),LN(B958/首页!$B$4))</f>
        <v>5.7261383845458562</v>
      </c>
      <c r="T958" s="6">
        <f>IF($Y$2="按单位面积散热损失 qp",2*PI()*首页!$B$8*((E958-D958)/$Y$3-1/R958),2*PI()*首页!$B$8*((E958-D958)/$Y$4-1/(PI()*B958*R958)))</f>
        <v>4.0778244394778125E-2</v>
      </c>
      <c r="U958" t="str">
        <f t="shared" si="148"/>
        <v>按单位面积散热损失 qp</v>
      </c>
      <c r="V958" s="6">
        <f t="shared" si="149"/>
        <v>5.6853601401510785</v>
      </c>
    </row>
    <row r="959" spans="1:22" x14ac:dyDescent="0.15">
      <c r="A959">
        <v>954</v>
      </c>
      <c r="B959" s="6">
        <f>首页!$B$4+2*A959/1000</f>
        <v>2.028</v>
      </c>
      <c r="C959" s="6">
        <f>首页!$B$7+273.15</f>
        <v>388.15</v>
      </c>
      <c r="D959" s="6">
        <f>首页!$B$6+273.15</f>
        <v>293.14999999999998</v>
      </c>
      <c r="E959" s="6">
        <f>首页!$B$5+273.15</f>
        <v>1373.15</v>
      </c>
      <c r="F959" s="6">
        <f t="shared" si="140"/>
        <v>95</v>
      </c>
      <c r="G959" s="6">
        <f t="shared" si="141"/>
        <v>340.65</v>
      </c>
      <c r="H959" s="6">
        <f t="shared" si="142"/>
        <v>1.9926207055139041E-5</v>
      </c>
      <c r="I959" s="7">
        <f t="shared" si="143"/>
        <v>1158916576932337.8</v>
      </c>
      <c r="J959" s="6">
        <f t="shared" si="144"/>
        <v>1.0226038455893147</v>
      </c>
      <c r="K959" s="7">
        <f>J959*H959*首页!$B$12/P959</f>
        <v>0.69532757496605813</v>
      </c>
      <c r="L959" s="6">
        <f>首页!$B$9*0.0000000567*((C959^4-D959^4)/(C959-D959))</f>
        <v>7.7687338005019564</v>
      </c>
      <c r="M959" s="6">
        <f>IF(首页!$B$13="自然对流",IF(首页!$B$14="立式圆筒",首页!$B$10,PI()*B959/2),PI()*B959/2)</f>
        <v>55.2</v>
      </c>
      <c r="N959" s="7">
        <f>IF(首页!$B$13="强制对流",首页!$B$11*M959/H959,0)</f>
        <v>0</v>
      </c>
      <c r="O959" s="7">
        <f>IF(首页!$B$13="自然对流",IF(首页!$B$14="立式圆筒",(0.825+0.3063*I959^(1/6))^2+0.87*(M959/B959),(0.752+0.303*I959^(1/6))^2),0.3+SQRT((0.592*N959^0.5)^2+(0.0262*N959^0.8/(1-0.5/N959^0.1))^2))</f>
        <v>10042.88797630768</v>
      </c>
      <c r="P959" s="6">
        <f t="shared" si="145"/>
        <v>2.9510194925512497E-2</v>
      </c>
      <c r="Q959" s="6">
        <f t="shared" si="146"/>
        <v>5.3689779310856043</v>
      </c>
      <c r="R959" s="6">
        <f t="shared" si="147"/>
        <v>13.137711731587562</v>
      </c>
      <c r="S959" s="6">
        <f>IF($Y$2="按单位面积散热损失 qp",B959*LN(B959/首页!$B$4),LN(B959/首页!$B$4))</f>
        <v>5.7337920252720691</v>
      </c>
      <c r="T959" s="6">
        <f>IF($Y$2="按单位面积散热损失 qp",2*PI()*首页!$B$8*((E959-D959)/$Y$3-1/R959),2*PI()*首页!$B$8*((E959-D959)/$Y$4-1/(PI()*B959*R959)))</f>
        <v>4.0778223922487075E-2</v>
      </c>
      <c r="U959" t="str">
        <f t="shared" si="148"/>
        <v>按单位面积散热损失 qp</v>
      </c>
      <c r="V959" s="6">
        <f t="shared" si="149"/>
        <v>5.6930138013495819</v>
      </c>
    </row>
    <row r="960" spans="1:22" x14ac:dyDescent="0.15">
      <c r="A960">
        <v>955</v>
      </c>
      <c r="B960" s="6">
        <f>首页!$B$4+2*A960/1000</f>
        <v>2.0299999999999998</v>
      </c>
      <c r="C960" s="6">
        <f>首页!$B$7+273.15</f>
        <v>388.15</v>
      </c>
      <c r="D960" s="6">
        <f>首页!$B$6+273.15</f>
        <v>293.14999999999998</v>
      </c>
      <c r="E960" s="6">
        <f>首页!$B$5+273.15</f>
        <v>1373.15</v>
      </c>
      <c r="F960" s="6">
        <f t="shared" si="140"/>
        <v>95</v>
      </c>
      <c r="G960" s="6">
        <f t="shared" si="141"/>
        <v>340.65</v>
      </c>
      <c r="H960" s="6">
        <f t="shared" si="142"/>
        <v>1.9926207055139041E-5</v>
      </c>
      <c r="I960" s="7">
        <f t="shared" si="143"/>
        <v>1158916576932337.8</v>
      </c>
      <c r="J960" s="6">
        <f t="shared" si="144"/>
        <v>1.0226038455893147</v>
      </c>
      <c r="K960" s="7">
        <f>J960*H960*首页!$B$12/P960</f>
        <v>0.69532757496605813</v>
      </c>
      <c r="L960" s="6">
        <f>首页!$B$9*0.0000000567*((C960^4-D960^4)/(C960-D960))</f>
        <v>7.7687338005019564</v>
      </c>
      <c r="M960" s="6">
        <f>IF(首页!$B$13="自然对流",IF(首页!$B$14="立式圆筒",首页!$B$10,PI()*B960/2),PI()*B960/2)</f>
        <v>55.2</v>
      </c>
      <c r="N960" s="7">
        <f>IF(首页!$B$13="强制对流",首页!$B$11*M960/H960,0)</f>
        <v>0</v>
      </c>
      <c r="O960" s="7">
        <f>IF(首页!$B$13="自然对流",IF(首页!$B$14="立式圆筒",(0.825+0.3063*I960^(1/6))^2+0.87*(M960/B960),(0.752+0.303*I960^(1/6))^2),0.3+SQRT((0.592*N960^0.5)^2+(0.0262*N960^0.8/(1-0.5/N960^0.1))^2))</f>
        <v>10042.864645792042</v>
      </c>
      <c r="P960" s="6">
        <f t="shared" si="145"/>
        <v>2.9510194925512497E-2</v>
      </c>
      <c r="Q960" s="6">
        <f t="shared" si="146"/>
        <v>5.3689654584757456</v>
      </c>
      <c r="R960" s="6">
        <f t="shared" si="147"/>
        <v>13.137699258977701</v>
      </c>
      <c r="S960" s="6">
        <f>IF($Y$2="按单位面积散热损失 qp",B960*LN(B960/首页!$B$4),LN(B960/首页!$B$4))</f>
        <v>5.7414476383851865</v>
      </c>
      <c r="T960" s="6">
        <f>IF($Y$2="按单位面积散热损失 qp",2*PI()*首页!$B$8*((E960-D960)/$Y$3-1/R960),2*PI()*首页!$B$8*((E960-D960)/$Y$4-1/(PI()*B960*R960)))</f>
        <v>4.0778203490496691E-2</v>
      </c>
      <c r="U960" t="str">
        <f t="shared" si="148"/>
        <v>按单位面积散热损失 qp</v>
      </c>
      <c r="V960" s="6">
        <f t="shared" si="149"/>
        <v>5.7006694348946896</v>
      </c>
    </row>
    <row r="961" spans="1:22" x14ac:dyDescent="0.15">
      <c r="A961">
        <v>956</v>
      </c>
      <c r="B961" s="6">
        <f>首页!$B$4+2*A961/1000</f>
        <v>2.032</v>
      </c>
      <c r="C961" s="6">
        <f>首页!$B$7+273.15</f>
        <v>388.15</v>
      </c>
      <c r="D961" s="6">
        <f>首页!$B$6+273.15</f>
        <v>293.14999999999998</v>
      </c>
      <c r="E961" s="6">
        <f>首页!$B$5+273.15</f>
        <v>1373.15</v>
      </c>
      <c r="F961" s="6">
        <f t="shared" si="140"/>
        <v>95</v>
      </c>
      <c r="G961" s="6">
        <f t="shared" si="141"/>
        <v>340.65</v>
      </c>
      <c r="H961" s="6">
        <f t="shared" si="142"/>
        <v>1.9926207055139041E-5</v>
      </c>
      <c r="I961" s="7">
        <f t="shared" si="143"/>
        <v>1158916576932337.8</v>
      </c>
      <c r="J961" s="6">
        <f t="shared" si="144"/>
        <v>1.0226038455893147</v>
      </c>
      <c r="K961" s="7">
        <f>J961*H961*首页!$B$12/P961</f>
        <v>0.69532757496605813</v>
      </c>
      <c r="L961" s="6">
        <f>首页!$B$9*0.0000000567*((C961^4-D961^4)/(C961-D961))</f>
        <v>7.7687338005019564</v>
      </c>
      <c r="M961" s="6">
        <f>IF(首页!$B$13="自然对流",IF(首页!$B$14="立式圆筒",首页!$B$10,PI()*B961/2),PI()*B961/2)</f>
        <v>55.2</v>
      </c>
      <c r="N961" s="7">
        <f>IF(首页!$B$13="强制对流",首页!$B$11*M961/H961,0)</f>
        <v>0</v>
      </c>
      <c r="O961" s="7">
        <f>IF(首页!$B$13="自然对流",IF(首页!$B$14="立式圆筒",(0.825+0.3063*I961^(1/6))^2+0.87*(M961/B961),(0.752+0.303*I961^(1/6))^2),0.3+SQRT((0.592*N961^0.5)^2+(0.0262*N961^0.8/(1-0.5/N961^0.1))^2))</f>
        <v>10042.841361202616</v>
      </c>
      <c r="P961" s="6">
        <f t="shared" si="145"/>
        <v>2.9510194925512497E-2</v>
      </c>
      <c r="Q961" s="6">
        <f t="shared" si="146"/>
        <v>5.3689530104182683</v>
      </c>
      <c r="R961" s="6">
        <f t="shared" si="147"/>
        <v>13.137686810920226</v>
      </c>
      <c r="S961" s="6">
        <f>IF($Y$2="按单位面积散热损失 qp",B961*LN(B961/首页!$B$4),LN(B961/首页!$B$4))</f>
        <v>5.7491052219419752</v>
      </c>
      <c r="T961" s="6">
        <f>IF($Y$2="按单位面积散热损失 qp",2*PI()*首页!$B$8*((E961-D961)/$Y$3-1/R961),2*PI()*首页!$B$8*((E961-D961)/$Y$4-1/(PI()*B961*R961)))</f>
        <v>4.0778183098688067E-2</v>
      </c>
      <c r="U961" t="str">
        <f t="shared" si="148"/>
        <v>按单位面积散热损失 qp</v>
      </c>
      <c r="V961" s="6">
        <f t="shared" si="149"/>
        <v>5.7083270388432874</v>
      </c>
    </row>
    <row r="962" spans="1:22" x14ac:dyDescent="0.15">
      <c r="A962">
        <v>957</v>
      </c>
      <c r="B962" s="6">
        <f>首页!$B$4+2*A962/1000</f>
        <v>2.0339999999999998</v>
      </c>
      <c r="C962" s="6">
        <f>首页!$B$7+273.15</f>
        <v>388.15</v>
      </c>
      <c r="D962" s="6">
        <f>首页!$B$6+273.15</f>
        <v>293.14999999999998</v>
      </c>
      <c r="E962" s="6">
        <f>首页!$B$5+273.15</f>
        <v>1373.15</v>
      </c>
      <c r="F962" s="6">
        <f t="shared" si="140"/>
        <v>95</v>
      </c>
      <c r="G962" s="6">
        <f t="shared" si="141"/>
        <v>340.65</v>
      </c>
      <c r="H962" s="6">
        <f t="shared" si="142"/>
        <v>1.9926207055139041E-5</v>
      </c>
      <c r="I962" s="7">
        <f t="shared" si="143"/>
        <v>1158916576932337.8</v>
      </c>
      <c r="J962" s="6">
        <f t="shared" si="144"/>
        <v>1.0226038455893147</v>
      </c>
      <c r="K962" s="7">
        <f>J962*H962*首页!$B$12/P962</f>
        <v>0.69532757496605813</v>
      </c>
      <c r="L962" s="6">
        <f>首页!$B$9*0.0000000567*((C962^4-D962^4)/(C962-D962))</f>
        <v>7.7687338005019564</v>
      </c>
      <c r="M962" s="6">
        <f>IF(首页!$B$13="自然对流",IF(首页!$B$14="立式圆筒",首页!$B$10,PI()*B962/2),PI()*B962/2)</f>
        <v>55.2</v>
      </c>
      <c r="N962" s="7">
        <f>IF(首页!$B$13="强制对流",首页!$B$11*M962/H962,0)</f>
        <v>0</v>
      </c>
      <c r="O962" s="7">
        <f>IF(首页!$B$13="自然对流",IF(首页!$B$14="立式圆筒",(0.825+0.3063*I962^(1/6))^2+0.87*(M962/B962),(0.752+0.303*I962^(1/6))^2),0.3+SQRT((0.592*N962^0.5)^2+(0.0262*N962^0.8/(1-0.5/N962^0.1))^2))</f>
        <v>10042.818122403927</v>
      </c>
      <c r="P962" s="6">
        <f t="shared" si="145"/>
        <v>2.9510194925512497E-2</v>
      </c>
      <c r="Q962" s="6">
        <f t="shared" si="146"/>
        <v>5.3689405868407478</v>
      </c>
      <c r="R962" s="6">
        <f t="shared" si="147"/>
        <v>13.137674387342704</v>
      </c>
      <c r="S962" s="6">
        <f>IF($Y$2="按单位面积散热损失 qp",B962*LN(B962/首页!$B$4),LN(B962/首页!$B$4))</f>
        <v>5.7567647740030168</v>
      </c>
      <c r="T962" s="6">
        <f>IF($Y$2="按单位面积散热损失 qp",2*PI()*首页!$B$8*((E962-D962)/$Y$3-1/R962),2*PI()*首页!$B$8*((E962-D962)/$Y$4-1/(PI()*B962*R962)))</f>
        <v>4.0778162746942813E-2</v>
      </c>
      <c r="U962" t="str">
        <f t="shared" si="148"/>
        <v>按单位面积散热损失 qp</v>
      </c>
      <c r="V962" s="6">
        <f t="shared" si="149"/>
        <v>5.7159866112560742</v>
      </c>
    </row>
    <row r="963" spans="1:22" x14ac:dyDescent="0.15">
      <c r="A963">
        <v>958</v>
      </c>
      <c r="B963" s="6">
        <f>首页!$B$4+2*A963/1000</f>
        <v>2.036</v>
      </c>
      <c r="C963" s="6">
        <f>首页!$B$7+273.15</f>
        <v>388.15</v>
      </c>
      <c r="D963" s="6">
        <f>首页!$B$6+273.15</f>
        <v>293.14999999999998</v>
      </c>
      <c r="E963" s="6">
        <f>首页!$B$5+273.15</f>
        <v>1373.15</v>
      </c>
      <c r="F963" s="6">
        <f t="shared" si="140"/>
        <v>95</v>
      </c>
      <c r="G963" s="6">
        <f t="shared" si="141"/>
        <v>340.65</v>
      </c>
      <c r="H963" s="6">
        <f t="shared" si="142"/>
        <v>1.9926207055139041E-5</v>
      </c>
      <c r="I963" s="7">
        <f t="shared" si="143"/>
        <v>1158916576932337.8</v>
      </c>
      <c r="J963" s="6">
        <f t="shared" si="144"/>
        <v>1.0226038455893147</v>
      </c>
      <c r="K963" s="7">
        <f>J963*H963*首页!$B$12/P963</f>
        <v>0.69532757496605813</v>
      </c>
      <c r="L963" s="6">
        <f>首页!$B$9*0.0000000567*((C963^4-D963^4)/(C963-D963))</f>
        <v>7.7687338005019564</v>
      </c>
      <c r="M963" s="6">
        <f>IF(首页!$B$13="自然对流",IF(首页!$B$14="立式圆筒",首页!$B$10,PI()*B963/2),PI()*B963/2)</f>
        <v>55.2</v>
      </c>
      <c r="N963" s="7">
        <f>IF(首页!$B$13="强制对流",首页!$B$11*M963/H963,0)</f>
        <v>0</v>
      </c>
      <c r="O963" s="7">
        <f>IF(首页!$B$13="自然对流",IF(首页!$B$14="立式圆筒",(0.825+0.3063*I963^(1/6))^2+0.87*(M963/B963),(0.752+0.303*I963^(1/6))^2),0.3+SQRT((0.592*N963^0.5)^2+(0.0262*N963^0.8/(1-0.5/N963^0.1))^2))</f>
        <v>10042.79492926103</v>
      </c>
      <c r="P963" s="6">
        <f t="shared" si="145"/>
        <v>2.9510194925512497E-2</v>
      </c>
      <c r="Q963" s="6">
        <f t="shared" si="146"/>
        <v>5.3689281876710417</v>
      </c>
      <c r="R963" s="6">
        <f t="shared" si="147"/>
        <v>13.137661988172997</v>
      </c>
      <c r="S963" s="6">
        <f>IF($Y$2="按单位面积散热损失 qp",B963*LN(B963/首页!$B$4),LN(B963/首页!$B$4))</f>
        <v>5.7644262926327166</v>
      </c>
      <c r="T963" s="6">
        <f>IF($Y$2="按单位面积散热损失 qp",2*PI()*首页!$B$8*((E963-D963)/$Y$3-1/R963),2*PI()*首页!$B$8*((E963-D963)/$Y$4-1/(PI()*B963*R963)))</f>
        <v>4.0778142435142946E-2</v>
      </c>
      <c r="U963" t="str">
        <f t="shared" si="148"/>
        <v>按单位面积散热损失 qp</v>
      </c>
      <c r="V963" s="6">
        <f t="shared" si="149"/>
        <v>5.7236481501975733</v>
      </c>
    </row>
    <row r="964" spans="1:22" x14ac:dyDescent="0.15">
      <c r="A964">
        <v>959</v>
      </c>
      <c r="B964" s="6">
        <f>首页!$B$4+2*A964/1000</f>
        <v>2.0379999999999998</v>
      </c>
      <c r="C964" s="6">
        <f>首页!$B$7+273.15</f>
        <v>388.15</v>
      </c>
      <c r="D964" s="6">
        <f>首页!$B$6+273.15</f>
        <v>293.14999999999998</v>
      </c>
      <c r="E964" s="6">
        <f>首页!$B$5+273.15</f>
        <v>1373.15</v>
      </c>
      <c r="F964" s="6">
        <f t="shared" si="140"/>
        <v>95</v>
      </c>
      <c r="G964" s="6">
        <f t="shared" si="141"/>
        <v>340.65</v>
      </c>
      <c r="H964" s="6">
        <f t="shared" si="142"/>
        <v>1.9926207055139041E-5</v>
      </c>
      <c r="I964" s="7">
        <f t="shared" si="143"/>
        <v>1158916576932337.8</v>
      </c>
      <c r="J964" s="6">
        <f t="shared" si="144"/>
        <v>1.0226038455893147</v>
      </c>
      <c r="K964" s="7">
        <f>J964*H964*首页!$B$12/P964</f>
        <v>0.69532757496605813</v>
      </c>
      <c r="L964" s="6">
        <f>首页!$B$9*0.0000000567*((C964^4-D964^4)/(C964-D964))</f>
        <v>7.7687338005019564</v>
      </c>
      <c r="M964" s="6">
        <f>IF(首页!$B$13="自然对流",IF(首页!$B$14="立式圆筒",首页!$B$10,PI()*B964/2),PI()*B964/2)</f>
        <v>55.2</v>
      </c>
      <c r="N964" s="7">
        <f>IF(首页!$B$13="强制对流",首页!$B$11*M964/H964,0)</f>
        <v>0</v>
      </c>
      <c r="O964" s="7">
        <f>IF(首页!$B$13="自然对流",IF(首页!$B$14="立式圆筒",(0.825+0.3063*I964^(1/6))^2+0.87*(M964/B964),(0.752+0.303*I964^(1/6))^2),0.3+SQRT((0.592*N964^0.5)^2+(0.0262*N964^0.8/(1-0.5/N964^0.1))^2))</f>
        <v>10042.771781639512</v>
      </c>
      <c r="P964" s="6">
        <f t="shared" si="145"/>
        <v>2.9510194925512497E-2</v>
      </c>
      <c r="Q964" s="6">
        <f t="shared" si="146"/>
        <v>5.3689158128372902</v>
      </c>
      <c r="R964" s="6">
        <f t="shared" si="147"/>
        <v>13.137649613339246</v>
      </c>
      <c r="S964" s="6">
        <f>IF($Y$2="按单位面积散热损失 qp",B964*LN(B964/首页!$B$4),LN(B964/首页!$B$4))</f>
        <v>5.7720897758992713</v>
      </c>
      <c r="T964" s="6">
        <f>IF($Y$2="按单位面积散热损失 qp",2*PI()*首页!$B$8*((E964-D964)/$Y$3-1/R964),2*PI()*首页!$B$8*((E964-D964)/$Y$4-1/(PI()*B964*R964)))</f>
        <v>4.0778122163171004E-2</v>
      </c>
      <c r="U964" t="str">
        <f t="shared" si="148"/>
        <v>按单位面积散热损失 qp</v>
      </c>
      <c r="V964" s="6">
        <f t="shared" si="149"/>
        <v>5.7313116537361006</v>
      </c>
    </row>
    <row r="965" spans="1:22" x14ac:dyDescent="0.15">
      <c r="A965">
        <v>960</v>
      </c>
      <c r="B965" s="6">
        <f>首页!$B$4+2*A965/1000</f>
        <v>2.04</v>
      </c>
      <c r="C965" s="6">
        <f>首页!$B$7+273.15</f>
        <v>388.15</v>
      </c>
      <c r="D965" s="6">
        <f>首页!$B$6+273.15</f>
        <v>293.14999999999998</v>
      </c>
      <c r="E965" s="6">
        <f>首页!$B$5+273.15</f>
        <v>1373.15</v>
      </c>
      <c r="F965" s="6">
        <f t="shared" ref="F965:F1004" si="150">C965-D965</f>
        <v>95</v>
      </c>
      <c r="G965" s="6">
        <f t="shared" ref="G965:G1004" si="151">(C965+D965)/2</f>
        <v>340.65</v>
      </c>
      <c r="H965" s="6">
        <f t="shared" ref="H965:H1004" si="152">0.0000000042113*G965^2.5/(112+G965)</f>
        <v>1.9926207055139041E-5</v>
      </c>
      <c r="I965" s="7">
        <f t="shared" ref="I965:I1004" si="153">9.81*M965^3*F965/(H965^2*G965)</f>
        <v>1158916576932337.8</v>
      </c>
      <c r="J965" s="6">
        <f t="shared" ref="J965:J1004" si="154">348.35/G965</f>
        <v>1.0226038455893147</v>
      </c>
      <c r="K965" s="7">
        <f>J965*H965*首页!$B$12/P965</f>
        <v>0.69532757496605813</v>
      </c>
      <c r="L965" s="6">
        <f>首页!$B$9*0.0000000567*((C965^4-D965^4)/(C965-D965))</f>
        <v>7.7687338005019564</v>
      </c>
      <c r="M965" s="6">
        <f>IF(首页!$B$13="自然对流",IF(首页!$B$14="立式圆筒",首页!$B$10,PI()*B965/2),PI()*B965/2)</f>
        <v>55.2</v>
      </c>
      <c r="N965" s="7">
        <f>IF(首页!$B$13="强制对流",首页!$B$11*M965/H965,0)</f>
        <v>0</v>
      </c>
      <c r="O965" s="7">
        <f>IF(首页!$B$13="自然对流",IF(首页!$B$14="立式圆筒",(0.825+0.3063*I965^(1/6))^2+0.87*(M965/B965),(0.752+0.303*I965^(1/6))^2),0.3+SQRT((0.592*N965^0.5)^2+(0.0262*N965^0.8/(1-0.5/N965^0.1))^2))</f>
        <v>10042.748679405488</v>
      </c>
      <c r="P965" s="6">
        <f t="shared" ref="P965:P1004" si="155">0.0243+0.000078421*(G965-273)-0.000000020755*(G965-273)^2</f>
        <v>2.9510194925512497E-2</v>
      </c>
      <c r="Q965" s="6">
        <f t="shared" ref="Q965:Q1004" si="156">O965*P965/M965</f>
        <v>5.3689034622679186</v>
      </c>
      <c r="R965" s="6">
        <f t="shared" ref="R965:R1004" si="157">L965+Q965</f>
        <v>13.137637262769875</v>
      </c>
      <c r="S965" s="6">
        <f>IF($Y$2="按单位面积散热损失 qp",B965*LN(B965/首页!$B$4),LN(B965/首页!$B$4))</f>
        <v>5.779755221874681</v>
      </c>
      <c r="T965" s="6">
        <f>IF($Y$2="按单位面积散热损失 qp",2*PI()*首页!$B$8*((E965-D965)/$Y$3-1/R965),2*PI()*首页!$B$8*((E965-D965)/$Y$4-1/(PI()*B965*R965)))</f>
        <v>4.077810193090995E-2</v>
      </c>
      <c r="U965" t="str">
        <f t="shared" ref="U965:U1004" si="158">IF($Y$2="按单位面积散热损失 qp","按单位面积散热损失 qp","按单位长度散热损失 ql")</f>
        <v>按单位面积散热损失 qp</v>
      </c>
      <c r="V965" s="6">
        <f t="shared" ref="V965:V1004" si="159">ABS(S965-T965)</f>
        <v>5.7389771199437707</v>
      </c>
    </row>
    <row r="966" spans="1:22" x14ac:dyDescent="0.15">
      <c r="A966">
        <v>961</v>
      </c>
      <c r="B966" s="6">
        <f>首页!$B$4+2*A966/1000</f>
        <v>2.0419999999999998</v>
      </c>
      <c r="C966" s="6">
        <f>首页!$B$7+273.15</f>
        <v>388.15</v>
      </c>
      <c r="D966" s="6">
        <f>首页!$B$6+273.15</f>
        <v>293.14999999999998</v>
      </c>
      <c r="E966" s="6">
        <f>首页!$B$5+273.15</f>
        <v>1373.15</v>
      </c>
      <c r="F966" s="6">
        <f t="shared" si="150"/>
        <v>95</v>
      </c>
      <c r="G966" s="6">
        <f t="shared" si="151"/>
        <v>340.65</v>
      </c>
      <c r="H966" s="6">
        <f t="shared" si="152"/>
        <v>1.9926207055139041E-5</v>
      </c>
      <c r="I966" s="7">
        <f t="shared" si="153"/>
        <v>1158916576932337.8</v>
      </c>
      <c r="J966" s="6">
        <f t="shared" si="154"/>
        <v>1.0226038455893147</v>
      </c>
      <c r="K966" s="7">
        <f>J966*H966*首页!$B$12/P966</f>
        <v>0.69532757496605813</v>
      </c>
      <c r="L966" s="6">
        <f>首页!$B$9*0.0000000567*((C966^4-D966^4)/(C966-D966))</f>
        <v>7.7687338005019564</v>
      </c>
      <c r="M966" s="6">
        <f>IF(首页!$B$13="自然对流",IF(首页!$B$14="立式圆筒",首页!$B$10,PI()*B966/2),PI()*B966/2)</f>
        <v>55.2</v>
      </c>
      <c r="N966" s="7">
        <f>IF(首页!$B$13="强制对流",首页!$B$11*M966/H966,0)</f>
        <v>0</v>
      </c>
      <c r="O966" s="7">
        <f>IF(首页!$B$13="自然对流",IF(首页!$B$14="立式圆筒",(0.825+0.3063*I966^(1/6))^2+0.87*(M966/B966),(0.752+0.303*I966^(1/6))^2),0.3+SQRT((0.592*N966^0.5)^2+(0.0262*N966^0.8/(1-0.5/N966^0.1))^2))</f>
        <v>10042.725622425594</v>
      </c>
      <c r="P966" s="6">
        <f t="shared" si="155"/>
        <v>2.9510194925512497E-2</v>
      </c>
      <c r="Q966" s="6">
        <f t="shared" si="156"/>
        <v>5.3688911358916318</v>
      </c>
      <c r="R966" s="6">
        <f t="shared" si="157"/>
        <v>13.137624936393589</v>
      </c>
      <c r="S966" s="6">
        <f>IF($Y$2="按单位面积散热损失 qp",B966*LN(B966/首页!$B$4),LN(B966/首页!$B$4))</f>
        <v>5.787422628634717</v>
      </c>
      <c r="T966" s="6">
        <f>IF($Y$2="按单位面积散热损失 qp",2*PI()*首页!$B$8*((E966-D966)/$Y$3-1/R966),2*PI()*首页!$B$8*((E966-D966)/$Y$4-1/(PI()*B966*R966)))</f>
        <v>4.077808173824321E-2</v>
      </c>
      <c r="U966" t="str">
        <f t="shared" si="158"/>
        <v>按单位面积散热损失 qp</v>
      </c>
      <c r="V966" s="6">
        <f t="shared" si="159"/>
        <v>5.7466445468964737</v>
      </c>
    </row>
    <row r="967" spans="1:22" x14ac:dyDescent="0.15">
      <c r="A967">
        <v>962</v>
      </c>
      <c r="B967" s="6">
        <f>首页!$B$4+2*A967/1000</f>
        <v>2.044</v>
      </c>
      <c r="C967" s="6">
        <f>首页!$B$7+273.15</f>
        <v>388.15</v>
      </c>
      <c r="D967" s="6">
        <f>首页!$B$6+273.15</f>
        <v>293.14999999999998</v>
      </c>
      <c r="E967" s="6">
        <f>首页!$B$5+273.15</f>
        <v>1373.15</v>
      </c>
      <c r="F967" s="6">
        <f t="shared" si="150"/>
        <v>95</v>
      </c>
      <c r="G967" s="6">
        <f t="shared" si="151"/>
        <v>340.65</v>
      </c>
      <c r="H967" s="6">
        <f t="shared" si="152"/>
        <v>1.9926207055139041E-5</v>
      </c>
      <c r="I967" s="7">
        <f t="shared" si="153"/>
        <v>1158916576932337.8</v>
      </c>
      <c r="J967" s="6">
        <f t="shared" si="154"/>
        <v>1.0226038455893147</v>
      </c>
      <c r="K967" s="7">
        <f>J967*H967*首页!$B$12/P967</f>
        <v>0.69532757496605813</v>
      </c>
      <c r="L967" s="6">
        <f>首页!$B$9*0.0000000567*((C967^4-D967^4)/(C967-D967))</f>
        <v>7.7687338005019564</v>
      </c>
      <c r="M967" s="6">
        <f>IF(首页!$B$13="自然对流",IF(首页!$B$14="立式圆筒",首页!$B$10,PI()*B967/2),PI()*B967/2)</f>
        <v>55.2</v>
      </c>
      <c r="N967" s="7">
        <f>IF(首页!$B$13="强制对流",首页!$B$11*M967/H967,0)</f>
        <v>0</v>
      </c>
      <c r="O967" s="7">
        <f>IF(首页!$B$13="自然对流",IF(首页!$B$14="立式圆筒",(0.825+0.3063*I967^(1/6))^2+0.87*(M967/B967),(0.752+0.303*I967^(1/6))^2),0.3+SQRT((0.592*N967^0.5)^2+(0.0262*N967^0.8/(1-0.5/N967^0.1))^2))</f>
        <v>10042.702610566994</v>
      </c>
      <c r="P967" s="6">
        <f t="shared" si="155"/>
        <v>2.9510194925512497E-2</v>
      </c>
      <c r="Q967" s="6">
        <f t="shared" si="156"/>
        <v>5.3688788336374129</v>
      </c>
      <c r="R967" s="6">
        <f t="shared" si="157"/>
        <v>13.137612634139369</v>
      </c>
      <c r="S967" s="6">
        <f>IF($Y$2="按单位面积散热损失 qp",B967*LN(B967/首页!$B$4),LN(B967/首页!$B$4))</f>
        <v>5.7950919942589261</v>
      </c>
      <c r="T967" s="6">
        <f>IF($Y$2="按单位面积散热损失 qp",2*PI()*首页!$B$8*((E967-D967)/$Y$3-1/R967),2*PI()*首页!$B$8*((E967-D967)/$Y$4-1/(PI()*B967*R967)))</f>
        <v>4.0778061585054676E-2</v>
      </c>
      <c r="U967" t="str">
        <f t="shared" si="158"/>
        <v>按单位面积散热损失 qp</v>
      </c>
      <c r="V967" s="6">
        <f t="shared" si="159"/>
        <v>5.7543139326738713</v>
      </c>
    </row>
    <row r="968" spans="1:22" x14ac:dyDescent="0.15">
      <c r="A968">
        <v>963</v>
      </c>
      <c r="B968" s="6">
        <f>首页!$B$4+2*A968/1000</f>
        <v>2.0459999999999998</v>
      </c>
      <c r="C968" s="6">
        <f>首页!$B$7+273.15</f>
        <v>388.15</v>
      </c>
      <c r="D968" s="6">
        <f>首页!$B$6+273.15</f>
        <v>293.14999999999998</v>
      </c>
      <c r="E968" s="6">
        <f>首页!$B$5+273.15</f>
        <v>1373.15</v>
      </c>
      <c r="F968" s="6">
        <f t="shared" si="150"/>
        <v>95</v>
      </c>
      <c r="G968" s="6">
        <f t="shared" si="151"/>
        <v>340.65</v>
      </c>
      <c r="H968" s="6">
        <f t="shared" si="152"/>
        <v>1.9926207055139041E-5</v>
      </c>
      <c r="I968" s="7">
        <f t="shared" si="153"/>
        <v>1158916576932337.8</v>
      </c>
      <c r="J968" s="6">
        <f t="shared" si="154"/>
        <v>1.0226038455893147</v>
      </c>
      <c r="K968" s="7">
        <f>J968*H968*首页!$B$12/P968</f>
        <v>0.69532757496605813</v>
      </c>
      <c r="L968" s="6">
        <f>首页!$B$9*0.0000000567*((C968^4-D968^4)/(C968-D968))</f>
        <v>7.7687338005019564</v>
      </c>
      <c r="M968" s="6">
        <f>IF(首页!$B$13="自然对流",IF(首页!$B$14="立式圆筒",首页!$B$10,PI()*B968/2),PI()*B968/2)</f>
        <v>55.2</v>
      </c>
      <c r="N968" s="7">
        <f>IF(首页!$B$13="强制对流",首页!$B$11*M968/H968,0)</f>
        <v>0</v>
      </c>
      <c r="O968" s="7">
        <f>IF(首页!$B$13="自然对流",IF(首页!$B$14="立式圆筒",(0.825+0.3063*I968^(1/6))^2+0.87*(M968/B968),(0.752+0.303*I968^(1/6))^2),0.3+SQRT((0.592*N968^0.5)^2+(0.0262*N968^0.8/(1-0.5/N968^0.1))^2))</f>
        <v>10042.679643697364</v>
      </c>
      <c r="P968" s="6">
        <f t="shared" si="155"/>
        <v>2.9510194925512497E-2</v>
      </c>
      <c r="Q968" s="6">
        <f t="shared" si="156"/>
        <v>5.3688665554345212</v>
      </c>
      <c r="R968" s="6">
        <f t="shared" si="157"/>
        <v>13.137600355936478</v>
      </c>
      <c r="S968" s="6">
        <f>IF($Y$2="按单位面积散热损失 qp",B968*LN(B968/首页!$B$4),LN(B968/首页!$B$4))</f>
        <v>5.8027633168306085</v>
      </c>
      <c r="T968" s="6">
        <f>IF($Y$2="按单位面积散热损失 qp",2*PI()*首页!$B$8*((E968-D968)/$Y$3-1/R968),2*PI()*首页!$B$8*((E968-D968)/$Y$4-1/(PI()*B968*R968)))</f>
        <v>4.0778041471228675E-2</v>
      </c>
      <c r="U968" t="str">
        <f t="shared" si="158"/>
        <v>按单位面积散热损失 qp</v>
      </c>
      <c r="V968" s="6">
        <f t="shared" si="159"/>
        <v>5.7619852753593799</v>
      </c>
    </row>
    <row r="969" spans="1:22" x14ac:dyDescent="0.15">
      <c r="A969">
        <v>964</v>
      </c>
      <c r="B969" s="6">
        <f>首页!$B$4+2*A969/1000</f>
        <v>2.048</v>
      </c>
      <c r="C969" s="6">
        <f>首页!$B$7+273.15</f>
        <v>388.15</v>
      </c>
      <c r="D969" s="6">
        <f>首页!$B$6+273.15</f>
        <v>293.14999999999998</v>
      </c>
      <c r="E969" s="6">
        <f>首页!$B$5+273.15</f>
        <v>1373.15</v>
      </c>
      <c r="F969" s="6">
        <f t="shared" si="150"/>
        <v>95</v>
      </c>
      <c r="G969" s="6">
        <f t="shared" si="151"/>
        <v>340.65</v>
      </c>
      <c r="H969" s="6">
        <f t="shared" si="152"/>
        <v>1.9926207055139041E-5</v>
      </c>
      <c r="I969" s="7">
        <f t="shared" si="153"/>
        <v>1158916576932337.8</v>
      </c>
      <c r="J969" s="6">
        <f t="shared" si="154"/>
        <v>1.0226038455893147</v>
      </c>
      <c r="K969" s="7">
        <f>J969*H969*首页!$B$12/P969</f>
        <v>0.69532757496605813</v>
      </c>
      <c r="L969" s="6">
        <f>首页!$B$9*0.0000000567*((C969^4-D969^4)/(C969-D969))</f>
        <v>7.7687338005019564</v>
      </c>
      <c r="M969" s="6">
        <f>IF(首页!$B$13="自然对流",IF(首页!$B$14="立式圆筒",首页!$B$10,PI()*B969/2),PI()*B969/2)</f>
        <v>55.2</v>
      </c>
      <c r="N969" s="7">
        <f>IF(首页!$B$13="强制对流",首页!$B$11*M969/H969,0)</f>
        <v>0</v>
      </c>
      <c r="O969" s="7">
        <f>IF(首页!$B$13="自然对流",IF(首页!$B$14="立式圆筒",(0.825+0.3063*I969^(1/6))^2+0.87*(M969/B969),(0.752+0.303*I969^(1/6))^2),0.3+SQRT((0.592*N969^0.5)^2+(0.0262*N969^0.8/(1-0.5/N969^0.1))^2))</f>
        <v>10042.6567216849</v>
      </c>
      <c r="P969" s="6">
        <f t="shared" si="155"/>
        <v>2.9510194925512497E-2</v>
      </c>
      <c r="Q969" s="6">
        <f t="shared" si="156"/>
        <v>5.3688543012124939</v>
      </c>
      <c r="R969" s="6">
        <f t="shared" si="157"/>
        <v>13.137588101714449</v>
      </c>
      <c r="S969" s="6">
        <f>IF($Y$2="按单位面积散热损失 qp",B969*LN(B969/首页!$B$4),LN(B969/首页!$B$4))</f>
        <v>5.8104365944368173</v>
      </c>
      <c r="T969" s="6">
        <f>IF($Y$2="按单位面积散热损失 qp",2*PI()*首页!$B$8*((E969-D969)/$Y$3-1/R969),2*PI()*首页!$B$8*((E969-D969)/$Y$4-1/(PI()*B969*R969)))</f>
        <v>4.0778021396650009E-2</v>
      </c>
      <c r="U969" t="str">
        <f t="shared" si="158"/>
        <v>按单位面积散热损失 qp</v>
      </c>
      <c r="V969" s="6">
        <f t="shared" si="159"/>
        <v>5.769658573040167</v>
      </c>
    </row>
    <row r="970" spans="1:22" x14ac:dyDescent="0.15">
      <c r="A970">
        <v>965</v>
      </c>
      <c r="B970" s="6">
        <f>首页!$B$4+2*A970/1000</f>
        <v>2.0499999999999998</v>
      </c>
      <c r="C970" s="6">
        <f>首页!$B$7+273.15</f>
        <v>388.15</v>
      </c>
      <c r="D970" s="6">
        <f>首页!$B$6+273.15</f>
        <v>293.14999999999998</v>
      </c>
      <c r="E970" s="6">
        <f>首页!$B$5+273.15</f>
        <v>1373.15</v>
      </c>
      <c r="F970" s="6">
        <f t="shared" si="150"/>
        <v>95</v>
      </c>
      <c r="G970" s="6">
        <f t="shared" si="151"/>
        <v>340.65</v>
      </c>
      <c r="H970" s="6">
        <f t="shared" si="152"/>
        <v>1.9926207055139041E-5</v>
      </c>
      <c r="I970" s="7">
        <f t="shared" si="153"/>
        <v>1158916576932337.8</v>
      </c>
      <c r="J970" s="6">
        <f t="shared" si="154"/>
        <v>1.0226038455893147</v>
      </c>
      <c r="K970" s="7">
        <f>J970*H970*首页!$B$12/P970</f>
        <v>0.69532757496605813</v>
      </c>
      <c r="L970" s="6">
        <f>首页!$B$9*0.0000000567*((C970^4-D970^4)/(C970-D970))</f>
        <v>7.7687338005019564</v>
      </c>
      <c r="M970" s="6">
        <f>IF(首页!$B$13="自然对流",IF(首页!$B$14="立式圆筒",首页!$B$10,PI()*B970/2),PI()*B970/2)</f>
        <v>55.2</v>
      </c>
      <c r="N970" s="7">
        <f>IF(首页!$B$13="强制对流",首页!$B$11*M970/H970,0)</f>
        <v>0</v>
      </c>
      <c r="O970" s="7">
        <f>IF(首页!$B$13="自然对流",IF(首页!$B$14="立式圆筒",(0.825+0.3063*I970^(1/6))^2+0.87*(M970/B970),(0.752+0.303*I970^(1/6))^2),0.3+SQRT((0.592*N970^0.5)^2+(0.0262*N970^0.8/(1-0.5/N970^0.1))^2))</f>
        <v>10042.633844398315</v>
      </c>
      <c r="P970" s="6">
        <f t="shared" si="155"/>
        <v>2.9510194925512497E-2</v>
      </c>
      <c r="Q970" s="6">
        <f t="shared" si="156"/>
        <v>5.3688420709011444</v>
      </c>
      <c r="R970" s="6">
        <f t="shared" si="157"/>
        <v>13.137575871403101</v>
      </c>
      <c r="S970" s="6">
        <f>IF($Y$2="按单位面积散热损失 qp",B970*LN(B970/首页!$B$4),LN(B970/首页!$B$4))</f>
        <v>5.8181118251683355</v>
      </c>
      <c r="T970" s="6">
        <f>IF($Y$2="按单位面积散热损失 qp",2*PI()*首页!$B$8*((E970-D970)/$Y$3-1/R970),2*PI()*首页!$B$8*((E970-D970)/$Y$4-1/(PI()*B970*R970)))</f>
        <v>4.0778001361203908E-2</v>
      </c>
      <c r="U970" t="str">
        <f t="shared" si="158"/>
        <v>按单位面积散热损失 qp</v>
      </c>
      <c r="V970" s="6">
        <f t="shared" si="159"/>
        <v>5.7773338238071315</v>
      </c>
    </row>
    <row r="971" spans="1:22" x14ac:dyDescent="0.15">
      <c r="A971">
        <v>966</v>
      </c>
      <c r="B971" s="6">
        <f>首页!$B$4+2*A971/1000</f>
        <v>2.052</v>
      </c>
      <c r="C971" s="6">
        <f>首页!$B$7+273.15</f>
        <v>388.15</v>
      </c>
      <c r="D971" s="6">
        <f>首页!$B$6+273.15</f>
        <v>293.14999999999998</v>
      </c>
      <c r="E971" s="6">
        <f>首页!$B$5+273.15</f>
        <v>1373.15</v>
      </c>
      <c r="F971" s="6">
        <f t="shared" si="150"/>
        <v>95</v>
      </c>
      <c r="G971" s="6">
        <f t="shared" si="151"/>
        <v>340.65</v>
      </c>
      <c r="H971" s="6">
        <f t="shared" si="152"/>
        <v>1.9926207055139041E-5</v>
      </c>
      <c r="I971" s="7">
        <f t="shared" si="153"/>
        <v>1158916576932337.8</v>
      </c>
      <c r="J971" s="6">
        <f t="shared" si="154"/>
        <v>1.0226038455893147</v>
      </c>
      <c r="K971" s="7">
        <f>J971*H971*首页!$B$12/P971</f>
        <v>0.69532757496605813</v>
      </c>
      <c r="L971" s="6">
        <f>首页!$B$9*0.0000000567*((C971^4-D971^4)/(C971-D971))</f>
        <v>7.7687338005019564</v>
      </c>
      <c r="M971" s="6">
        <f>IF(首页!$B$13="自然对流",IF(首页!$B$14="立式圆筒",首页!$B$10,PI()*B971/2),PI()*B971/2)</f>
        <v>55.2</v>
      </c>
      <c r="N971" s="7">
        <f>IF(首页!$B$13="强制对流",首页!$B$11*M971/H971,0)</f>
        <v>0</v>
      </c>
      <c r="O971" s="7">
        <f>IF(首页!$B$13="自然对流",IF(首页!$B$14="立式圆筒",(0.825+0.3063*I971^(1/6))^2+0.87*(M971/B971),(0.752+0.303*I971^(1/6))^2),0.3+SQRT((0.592*N971^0.5)^2+(0.0262*N971^0.8/(1-0.5/N971^0.1))^2))</f>
        <v>10042.611011706829</v>
      </c>
      <c r="P971" s="6">
        <f t="shared" si="155"/>
        <v>2.9510194925512497E-2</v>
      </c>
      <c r="Q971" s="6">
        <f t="shared" si="156"/>
        <v>5.3688298644305581</v>
      </c>
      <c r="R971" s="6">
        <f t="shared" si="157"/>
        <v>13.137563664932514</v>
      </c>
      <c r="S971" s="6">
        <f>IF($Y$2="按单位面积散热损失 qp",B971*LN(B971/首页!$B$4),LN(B971/首页!$B$4))</f>
        <v>5.8257890071196767</v>
      </c>
      <c r="T971" s="6">
        <f>IF($Y$2="按单位面积散热损失 qp",2*PI()*首页!$B$8*((E971-D971)/$Y$3-1/R971),2*PI()*首页!$B$8*((E971-D971)/$Y$4-1/(PI()*B971*R971)))</f>
        <v>4.0777981364776068E-2</v>
      </c>
      <c r="U971" t="str">
        <f t="shared" si="158"/>
        <v>按单位面积散热损失 qp</v>
      </c>
      <c r="V971" s="6">
        <f t="shared" si="159"/>
        <v>5.7850110257549003</v>
      </c>
    </row>
    <row r="972" spans="1:22" x14ac:dyDescent="0.15">
      <c r="A972">
        <v>967</v>
      </c>
      <c r="B972" s="6">
        <f>首页!$B$4+2*A972/1000</f>
        <v>2.0539999999999998</v>
      </c>
      <c r="C972" s="6">
        <f>首页!$B$7+273.15</f>
        <v>388.15</v>
      </c>
      <c r="D972" s="6">
        <f>首页!$B$6+273.15</f>
        <v>293.14999999999998</v>
      </c>
      <c r="E972" s="6">
        <f>首页!$B$5+273.15</f>
        <v>1373.15</v>
      </c>
      <c r="F972" s="6">
        <f t="shared" si="150"/>
        <v>95</v>
      </c>
      <c r="G972" s="6">
        <f t="shared" si="151"/>
        <v>340.65</v>
      </c>
      <c r="H972" s="6">
        <f t="shared" si="152"/>
        <v>1.9926207055139041E-5</v>
      </c>
      <c r="I972" s="7">
        <f t="shared" si="153"/>
        <v>1158916576932337.8</v>
      </c>
      <c r="J972" s="6">
        <f t="shared" si="154"/>
        <v>1.0226038455893147</v>
      </c>
      <c r="K972" s="7">
        <f>J972*H972*首页!$B$12/P972</f>
        <v>0.69532757496605813</v>
      </c>
      <c r="L972" s="6">
        <f>首页!$B$9*0.0000000567*((C972^4-D972^4)/(C972-D972))</f>
        <v>7.7687338005019564</v>
      </c>
      <c r="M972" s="6">
        <f>IF(首页!$B$13="自然对流",IF(首页!$B$14="立式圆筒",首页!$B$10,PI()*B972/2),PI()*B972/2)</f>
        <v>55.2</v>
      </c>
      <c r="N972" s="7">
        <f>IF(首页!$B$13="强制对流",首页!$B$11*M972/H972,0)</f>
        <v>0</v>
      </c>
      <c r="O972" s="7">
        <f>IF(首页!$B$13="自然对流",IF(首页!$B$14="立式圆筒",(0.825+0.3063*I972^(1/6))^2+0.87*(M972/B972),(0.752+0.303*I972^(1/6))^2),0.3+SQRT((0.592*N972^0.5)^2+(0.0262*N972^0.8/(1-0.5/N972^0.1))^2))</f>
        <v>10042.588223480177</v>
      </c>
      <c r="P972" s="6">
        <f t="shared" si="155"/>
        <v>2.9510194925512497E-2</v>
      </c>
      <c r="Q972" s="6">
        <f t="shared" si="156"/>
        <v>5.368817681731092</v>
      </c>
      <c r="R972" s="6">
        <f t="shared" si="157"/>
        <v>13.137551482233048</v>
      </c>
      <c r="S972" s="6">
        <f>IF($Y$2="按单位面积散热损失 qp",B972*LN(B972/首页!$B$4),LN(B972/首页!$B$4))</f>
        <v>5.8334681383890628</v>
      </c>
      <c r="T972" s="6">
        <f>IF($Y$2="按单位面积散热损失 qp",2*PI()*首页!$B$8*((E972-D972)/$Y$3-1/R972),2*PI()*首页!$B$8*((E972-D972)/$Y$4-1/(PI()*B972*R972)))</f>
        <v>4.0777961407252615E-2</v>
      </c>
      <c r="U972" t="str">
        <f t="shared" si="158"/>
        <v>按单位面积散热损失 qp</v>
      </c>
      <c r="V972" s="6">
        <f t="shared" si="159"/>
        <v>5.79269017698181</v>
      </c>
    </row>
    <row r="973" spans="1:22" x14ac:dyDescent="0.15">
      <c r="A973">
        <v>968</v>
      </c>
      <c r="B973" s="6">
        <f>首页!$B$4+2*A973/1000</f>
        <v>2.056</v>
      </c>
      <c r="C973" s="6">
        <f>首页!$B$7+273.15</f>
        <v>388.15</v>
      </c>
      <c r="D973" s="6">
        <f>首页!$B$6+273.15</f>
        <v>293.14999999999998</v>
      </c>
      <c r="E973" s="6">
        <f>首页!$B$5+273.15</f>
        <v>1373.15</v>
      </c>
      <c r="F973" s="6">
        <f t="shared" si="150"/>
        <v>95</v>
      </c>
      <c r="G973" s="6">
        <f t="shared" si="151"/>
        <v>340.65</v>
      </c>
      <c r="H973" s="6">
        <f t="shared" si="152"/>
        <v>1.9926207055139041E-5</v>
      </c>
      <c r="I973" s="7">
        <f t="shared" si="153"/>
        <v>1158916576932337.8</v>
      </c>
      <c r="J973" s="6">
        <f t="shared" si="154"/>
        <v>1.0226038455893147</v>
      </c>
      <c r="K973" s="7">
        <f>J973*H973*首页!$B$12/P973</f>
        <v>0.69532757496605813</v>
      </c>
      <c r="L973" s="6">
        <f>首页!$B$9*0.0000000567*((C973^4-D973^4)/(C973-D973))</f>
        <v>7.7687338005019564</v>
      </c>
      <c r="M973" s="6">
        <f>IF(首页!$B$13="自然对流",IF(首页!$B$14="立式圆筒",首页!$B$10,PI()*B973/2),PI()*B973/2)</f>
        <v>55.2</v>
      </c>
      <c r="N973" s="7">
        <f>IF(首页!$B$13="强制对流",首页!$B$11*M973/H973,0)</f>
        <v>0</v>
      </c>
      <c r="O973" s="7">
        <f>IF(首页!$B$13="自然对流",IF(首页!$B$14="立式圆筒",(0.825+0.3063*I973^(1/6))^2+0.87*(M973/B973),(0.752+0.303*I973^(1/6))^2),0.3+SQRT((0.592*N973^0.5)^2+(0.0262*N973^0.8/(1-0.5/N973^0.1))^2))</f>
        <v>10042.565479588597</v>
      </c>
      <c r="P973" s="6">
        <f t="shared" si="155"/>
        <v>2.9510194925512497E-2</v>
      </c>
      <c r="Q973" s="6">
        <f t="shared" si="156"/>
        <v>5.3688055227333766</v>
      </c>
      <c r="R973" s="6">
        <f t="shared" si="157"/>
        <v>13.137539323235334</v>
      </c>
      <c r="S973" s="6">
        <f>IF($Y$2="按单位面积散热损失 qp",B973*LN(B973/首页!$B$4),LN(B973/首页!$B$4))</f>
        <v>5.8411492170784278</v>
      </c>
      <c r="T973" s="6">
        <f>IF($Y$2="按单位面积散热损失 qp",2*PI()*首页!$B$8*((E973-D973)/$Y$3-1/R973),2*PI()*首页!$B$8*((E973-D973)/$Y$4-1/(PI()*B973*R973)))</f>
        <v>4.0777941488520125E-2</v>
      </c>
      <c r="U973" t="str">
        <f t="shared" si="158"/>
        <v>按单位面积散热损失 qp</v>
      </c>
      <c r="V973" s="6">
        <f t="shared" si="159"/>
        <v>5.8003712755899075</v>
      </c>
    </row>
    <row r="974" spans="1:22" x14ac:dyDescent="0.15">
      <c r="A974">
        <v>969</v>
      </c>
      <c r="B974" s="6">
        <f>首页!$B$4+2*A974/1000</f>
        <v>2.0579999999999998</v>
      </c>
      <c r="C974" s="6">
        <f>首页!$B$7+273.15</f>
        <v>388.15</v>
      </c>
      <c r="D974" s="6">
        <f>首页!$B$6+273.15</f>
        <v>293.14999999999998</v>
      </c>
      <c r="E974" s="6">
        <f>首页!$B$5+273.15</f>
        <v>1373.15</v>
      </c>
      <c r="F974" s="6">
        <f t="shared" si="150"/>
        <v>95</v>
      </c>
      <c r="G974" s="6">
        <f t="shared" si="151"/>
        <v>340.65</v>
      </c>
      <c r="H974" s="6">
        <f t="shared" si="152"/>
        <v>1.9926207055139041E-5</v>
      </c>
      <c r="I974" s="7">
        <f t="shared" si="153"/>
        <v>1158916576932337.8</v>
      </c>
      <c r="J974" s="6">
        <f t="shared" si="154"/>
        <v>1.0226038455893147</v>
      </c>
      <c r="K974" s="7">
        <f>J974*H974*首页!$B$12/P974</f>
        <v>0.69532757496605813</v>
      </c>
      <c r="L974" s="6">
        <f>首页!$B$9*0.0000000567*((C974^4-D974^4)/(C974-D974))</f>
        <v>7.7687338005019564</v>
      </c>
      <c r="M974" s="6">
        <f>IF(首页!$B$13="自然对流",IF(首页!$B$14="立式圆筒",首页!$B$10,PI()*B974/2),PI()*B974/2)</f>
        <v>55.2</v>
      </c>
      <c r="N974" s="7">
        <f>IF(首页!$B$13="强制对流",首页!$B$11*M974/H974,0)</f>
        <v>0</v>
      </c>
      <c r="O974" s="7">
        <f>IF(首页!$B$13="自然对流",IF(首页!$B$14="立式圆筒",(0.825+0.3063*I974^(1/6))^2+0.87*(M974/B974),(0.752+0.303*I974^(1/6))^2),0.3+SQRT((0.592*N974^0.5)^2+(0.0262*N974^0.8/(1-0.5/N974^0.1))^2))</f>
        <v>10042.542779902829</v>
      </c>
      <c r="P974" s="6">
        <f t="shared" si="155"/>
        <v>2.9510194925512497E-2</v>
      </c>
      <c r="Q974" s="6">
        <f t="shared" si="156"/>
        <v>5.3687933873683082</v>
      </c>
      <c r="R974" s="6">
        <f t="shared" si="157"/>
        <v>13.137527187870266</v>
      </c>
      <c r="S974" s="6">
        <f>IF($Y$2="按单位面积散热损失 qp",B974*LN(B974/首页!$B$4),LN(B974/首页!$B$4))</f>
        <v>5.8488322412933895</v>
      </c>
      <c r="T974" s="6">
        <f>IF($Y$2="按单位面积散热损失 qp",2*PI()*首页!$B$8*((E974-D974)/$Y$3-1/R974),2*PI()*首页!$B$8*((E974-D974)/$Y$4-1/(PI()*B974*R974)))</f>
        <v>4.0777921608465599E-2</v>
      </c>
      <c r="U974" t="str">
        <f t="shared" si="158"/>
        <v>按单位面积散热损失 qp</v>
      </c>
      <c r="V974" s="6">
        <f t="shared" si="159"/>
        <v>5.8080543196849241</v>
      </c>
    </row>
    <row r="975" spans="1:22" x14ac:dyDescent="0.15">
      <c r="A975">
        <v>970</v>
      </c>
      <c r="B975" s="6">
        <f>首页!$B$4+2*A975/1000</f>
        <v>2.06</v>
      </c>
      <c r="C975" s="6">
        <f>首页!$B$7+273.15</f>
        <v>388.15</v>
      </c>
      <c r="D975" s="6">
        <f>首页!$B$6+273.15</f>
        <v>293.14999999999998</v>
      </c>
      <c r="E975" s="6">
        <f>首页!$B$5+273.15</f>
        <v>1373.15</v>
      </c>
      <c r="F975" s="6">
        <f t="shared" si="150"/>
        <v>95</v>
      </c>
      <c r="G975" s="6">
        <f t="shared" si="151"/>
        <v>340.65</v>
      </c>
      <c r="H975" s="6">
        <f t="shared" si="152"/>
        <v>1.9926207055139041E-5</v>
      </c>
      <c r="I975" s="7">
        <f t="shared" si="153"/>
        <v>1158916576932337.8</v>
      </c>
      <c r="J975" s="6">
        <f t="shared" si="154"/>
        <v>1.0226038455893147</v>
      </c>
      <c r="K975" s="7">
        <f>J975*H975*首页!$B$12/P975</f>
        <v>0.69532757496605813</v>
      </c>
      <c r="L975" s="6">
        <f>首页!$B$9*0.0000000567*((C975^4-D975^4)/(C975-D975))</f>
        <v>7.7687338005019564</v>
      </c>
      <c r="M975" s="6">
        <f>IF(首页!$B$13="自然对流",IF(首页!$B$14="立式圆筒",首页!$B$10,PI()*B975/2),PI()*B975/2)</f>
        <v>55.2</v>
      </c>
      <c r="N975" s="7">
        <f>IF(首页!$B$13="强制对流",首页!$B$11*M975/H975,0)</f>
        <v>0</v>
      </c>
      <c r="O975" s="7">
        <f>IF(首页!$B$13="自然对流",IF(首页!$B$14="立式圆筒",(0.825+0.3063*I975^(1/6))^2+0.87*(M975/B975),(0.752+0.303*I975^(1/6))^2),0.3+SQRT((0.592*N975^0.5)^2+(0.0262*N975^0.8/(1-0.5/N975^0.1))^2))</f>
        <v>10042.520124294124</v>
      </c>
      <c r="P975" s="6">
        <f t="shared" si="155"/>
        <v>2.9510194925512497E-2</v>
      </c>
      <c r="Q975" s="6">
        <f t="shared" si="156"/>
        <v>5.3687812755670574</v>
      </c>
      <c r="R975" s="6">
        <f t="shared" si="157"/>
        <v>13.137515076069015</v>
      </c>
      <c r="S975" s="6">
        <f>IF($Y$2="按单位面积散热损失 qp",B975*LN(B975/首页!$B$4),LN(B975/首页!$B$4))</f>
        <v>5.8565172091432567</v>
      </c>
      <c r="T975" s="6">
        <f>IF($Y$2="按单位面积散热损失 qp",2*PI()*首页!$B$8*((E975-D975)/$Y$3-1/R975),2*PI()*首页!$B$8*((E975-D975)/$Y$4-1/(PI()*B975*R975)))</f>
        <v>4.0777901766976508E-2</v>
      </c>
      <c r="U975" t="str">
        <f t="shared" si="158"/>
        <v>按单位面积散热损失 qp</v>
      </c>
      <c r="V975" s="6">
        <f t="shared" si="159"/>
        <v>5.8157393073762798</v>
      </c>
    </row>
    <row r="976" spans="1:22" x14ac:dyDescent="0.15">
      <c r="A976">
        <v>971</v>
      </c>
      <c r="B976" s="6">
        <f>首页!$B$4+2*A976/1000</f>
        <v>2.0619999999999998</v>
      </c>
      <c r="C976" s="6">
        <f>首页!$B$7+273.15</f>
        <v>388.15</v>
      </c>
      <c r="D976" s="6">
        <f>首页!$B$6+273.15</f>
        <v>293.14999999999998</v>
      </c>
      <c r="E976" s="6">
        <f>首页!$B$5+273.15</f>
        <v>1373.15</v>
      </c>
      <c r="F976" s="6">
        <f t="shared" si="150"/>
        <v>95</v>
      </c>
      <c r="G976" s="6">
        <f t="shared" si="151"/>
        <v>340.65</v>
      </c>
      <c r="H976" s="6">
        <f t="shared" si="152"/>
        <v>1.9926207055139041E-5</v>
      </c>
      <c r="I976" s="7">
        <f t="shared" si="153"/>
        <v>1158916576932337.8</v>
      </c>
      <c r="J976" s="6">
        <f t="shared" si="154"/>
        <v>1.0226038455893147</v>
      </c>
      <c r="K976" s="7">
        <f>J976*H976*首页!$B$12/P976</f>
        <v>0.69532757496605813</v>
      </c>
      <c r="L976" s="6">
        <f>首页!$B$9*0.0000000567*((C976^4-D976^4)/(C976-D976))</f>
        <v>7.7687338005019564</v>
      </c>
      <c r="M976" s="6">
        <f>IF(首页!$B$13="自然对流",IF(首页!$B$14="立式圆筒",首页!$B$10,PI()*B976/2),PI()*B976/2)</f>
        <v>55.2</v>
      </c>
      <c r="N976" s="7">
        <f>IF(首页!$B$13="强制对流",首页!$B$11*M976/H976,0)</f>
        <v>0</v>
      </c>
      <c r="O976" s="7">
        <f>IF(首页!$B$13="自然对流",IF(首页!$B$14="立式圆筒",(0.825+0.3063*I976^(1/6))^2+0.87*(M976/B976),(0.752+0.303*I976^(1/6))^2),0.3+SQRT((0.592*N976^0.5)^2+(0.0262*N976^0.8/(1-0.5/N976^0.1))^2))</f>
        <v>10042.497512634221</v>
      </c>
      <c r="P976" s="6">
        <f t="shared" si="155"/>
        <v>2.9510194925512497E-2</v>
      </c>
      <c r="Q976" s="6">
        <f t="shared" si="156"/>
        <v>5.368769187261055</v>
      </c>
      <c r="R976" s="6">
        <f t="shared" si="157"/>
        <v>13.137502987763011</v>
      </c>
      <c r="S976" s="6">
        <f>IF($Y$2="按单位面积散热损失 qp",B976*LN(B976/首页!$B$4),LN(B976/首页!$B$4))</f>
        <v>5.8642041187409992</v>
      </c>
      <c r="T976" s="6">
        <f>IF($Y$2="按单位面积散热损失 qp",2*PI()*首页!$B$8*((E976-D976)/$Y$3-1/R976),2*PI()*首页!$B$8*((E976-D976)/$Y$4-1/(PI()*B976*R976)))</f>
        <v>4.0777881963940742E-2</v>
      </c>
      <c r="U976" t="str">
        <f t="shared" si="158"/>
        <v>按单位面积散热损失 qp</v>
      </c>
      <c r="V976" s="6">
        <f t="shared" si="159"/>
        <v>5.8234262367770588</v>
      </c>
    </row>
    <row r="977" spans="1:22" x14ac:dyDescent="0.15">
      <c r="A977">
        <v>972</v>
      </c>
      <c r="B977" s="6">
        <f>首页!$B$4+2*A977/1000</f>
        <v>2.0640000000000001</v>
      </c>
      <c r="C977" s="6">
        <f>首页!$B$7+273.15</f>
        <v>388.15</v>
      </c>
      <c r="D977" s="6">
        <f>首页!$B$6+273.15</f>
        <v>293.14999999999998</v>
      </c>
      <c r="E977" s="6">
        <f>首页!$B$5+273.15</f>
        <v>1373.15</v>
      </c>
      <c r="F977" s="6">
        <f t="shared" si="150"/>
        <v>95</v>
      </c>
      <c r="G977" s="6">
        <f t="shared" si="151"/>
        <v>340.65</v>
      </c>
      <c r="H977" s="6">
        <f t="shared" si="152"/>
        <v>1.9926207055139041E-5</v>
      </c>
      <c r="I977" s="7">
        <f t="shared" si="153"/>
        <v>1158916576932337.8</v>
      </c>
      <c r="J977" s="6">
        <f t="shared" si="154"/>
        <v>1.0226038455893147</v>
      </c>
      <c r="K977" s="7">
        <f>J977*H977*首页!$B$12/P977</f>
        <v>0.69532757496605813</v>
      </c>
      <c r="L977" s="6">
        <f>首页!$B$9*0.0000000567*((C977^4-D977^4)/(C977-D977))</f>
        <v>7.7687338005019564</v>
      </c>
      <c r="M977" s="6">
        <f>IF(首页!$B$13="自然对流",IF(首页!$B$14="立式圆筒",首页!$B$10,PI()*B977/2),PI()*B977/2)</f>
        <v>55.2</v>
      </c>
      <c r="N977" s="7">
        <f>IF(首页!$B$13="强制对流",首页!$B$11*M977/H977,0)</f>
        <v>0</v>
      </c>
      <c r="O977" s="7">
        <f>IF(首页!$B$13="自然对流",IF(首页!$B$14="立式圆筒",(0.825+0.3063*I977^(1/6))^2+0.87*(M977/B977),(0.752+0.303*I977^(1/6))^2),0.3+SQRT((0.592*N977^0.5)^2+(0.0262*N977^0.8/(1-0.5/N977^0.1))^2))</f>
        <v>10042.474944795365</v>
      </c>
      <c r="P977" s="6">
        <f t="shared" si="155"/>
        <v>2.9510194925512497E-2</v>
      </c>
      <c r="Q977" s="6">
        <f t="shared" si="156"/>
        <v>5.3687571223820028</v>
      </c>
      <c r="R977" s="6">
        <f t="shared" si="157"/>
        <v>13.137490922883959</v>
      </c>
      <c r="S977" s="6">
        <f>IF($Y$2="按单位面积散热损失 qp",B977*LN(B977/首页!$B$4),LN(B977/首页!$B$4))</f>
        <v>5.8718929682032579</v>
      </c>
      <c r="T977" s="6">
        <f>IF($Y$2="按单位面积散热损失 qp",2*PI()*首页!$B$8*((E977-D977)/$Y$3-1/R977),2*PI()*首页!$B$8*((E977-D977)/$Y$4-1/(PI()*B977*R977)))</f>
        <v>4.0777862199246596E-2</v>
      </c>
      <c r="U977" t="str">
        <f t="shared" si="158"/>
        <v>按单位面积散热损失 qp</v>
      </c>
      <c r="V977" s="6">
        <f t="shared" si="159"/>
        <v>5.8311151060040114</v>
      </c>
    </row>
    <row r="978" spans="1:22" x14ac:dyDescent="0.15">
      <c r="A978">
        <v>973</v>
      </c>
      <c r="B978" s="6">
        <f>首页!$B$4+2*A978/1000</f>
        <v>2.0659999999999998</v>
      </c>
      <c r="C978" s="6">
        <f>首页!$B$7+273.15</f>
        <v>388.15</v>
      </c>
      <c r="D978" s="6">
        <f>首页!$B$6+273.15</f>
        <v>293.14999999999998</v>
      </c>
      <c r="E978" s="6">
        <f>首页!$B$5+273.15</f>
        <v>1373.15</v>
      </c>
      <c r="F978" s="6">
        <f t="shared" si="150"/>
        <v>95</v>
      </c>
      <c r="G978" s="6">
        <f t="shared" si="151"/>
        <v>340.65</v>
      </c>
      <c r="H978" s="6">
        <f t="shared" si="152"/>
        <v>1.9926207055139041E-5</v>
      </c>
      <c r="I978" s="7">
        <f t="shared" si="153"/>
        <v>1158916576932337.8</v>
      </c>
      <c r="J978" s="6">
        <f t="shared" si="154"/>
        <v>1.0226038455893147</v>
      </c>
      <c r="K978" s="7">
        <f>J978*H978*首页!$B$12/P978</f>
        <v>0.69532757496605813</v>
      </c>
      <c r="L978" s="6">
        <f>首页!$B$9*0.0000000567*((C978^4-D978^4)/(C978-D978))</f>
        <v>7.7687338005019564</v>
      </c>
      <c r="M978" s="6">
        <f>IF(首页!$B$13="自然对流",IF(首页!$B$14="立式圆筒",首页!$B$10,PI()*B978/2),PI()*B978/2)</f>
        <v>55.2</v>
      </c>
      <c r="N978" s="7">
        <f>IF(首页!$B$13="强制对流",首页!$B$11*M978/H978,0)</f>
        <v>0</v>
      </c>
      <c r="O978" s="7">
        <f>IF(首页!$B$13="自然对流",IF(首页!$B$14="立式圆筒",(0.825+0.3063*I978^(1/6))^2+0.87*(M978/B978),(0.752+0.303*I978^(1/6))^2),0.3+SQRT((0.592*N978^0.5)^2+(0.0262*N978^0.8/(1-0.5/N978^0.1))^2))</f>
        <v>10042.452420650292</v>
      </c>
      <c r="P978" s="6">
        <f t="shared" si="155"/>
        <v>2.9510194925512497E-2</v>
      </c>
      <c r="Q978" s="6">
        <f t="shared" si="156"/>
        <v>5.3687450808618644</v>
      </c>
      <c r="R978" s="6">
        <f t="shared" si="157"/>
        <v>13.137478881363821</v>
      </c>
      <c r="S978" s="6">
        <f>IF($Y$2="按单位面积散热损失 qp",B978*LN(B978/首页!$B$4),LN(B978/首页!$B$4))</f>
        <v>5.8795837556503123</v>
      </c>
      <c r="T978" s="6">
        <f>IF($Y$2="按单位面积散热损失 qp",2*PI()*首页!$B$8*((E978-D978)/$Y$3-1/R978),2*PI()*首页!$B$8*((E978-D978)/$Y$4-1/(PI()*B978*R978)))</f>
        <v>4.0777842472782856E-2</v>
      </c>
      <c r="U978" t="str">
        <f t="shared" si="158"/>
        <v>按单位面积散热损失 qp</v>
      </c>
      <c r="V978" s="6">
        <f t="shared" si="159"/>
        <v>5.8388059131775298</v>
      </c>
    </row>
    <row r="979" spans="1:22" x14ac:dyDescent="0.15">
      <c r="A979">
        <v>974</v>
      </c>
      <c r="B979" s="6">
        <f>首页!$B$4+2*A979/1000</f>
        <v>2.0680000000000001</v>
      </c>
      <c r="C979" s="6">
        <f>首页!$B$7+273.15</f>
        <v>388.15</v>
      </c>
      <c r="D979" s="6">
        <f>首页!$B$6+273.15</f>
        <v>293.14999999999998</v>
      </c>
      <c r="E979" s="6">
        <f>首页!$B$5+273.15</f>
        <v>1373.15</v>
      </c>
      <c r="F979" s="6">
        <f t="shared" si="150"/>
        <v>95</v>
      </c>
      <c r="G979" s="6">
        <f t="shared" si="151"/>
        <v>340.65</v>
      </c>
      <c r="H979" s="6">
        <f t="shared" si="152"/>
        <v>1.9926207055139041E-5</v>
      </c>
      <c r="I979" s="7">
        <f t="shared" si="153"/>
        <v>1158916576932337.8</v>
      </c>
      <c r="J979" s="6">
        <f t="shared" si="154"/>
        <v>1.0226038455893147</v>
      </c>
      <c r="K979" s="7">
        <f>J979*H979*首页!$B$12/P979</f>
        <v>0.69532757496605813</v>
      </c>
      <c r="L979" s="6">
        <f>首页!$B$9*0.0000000567*((C979^4-D979^4)/(C979-D979))</f>
        <v>7.7687338005019564</v>
      </c>
      <c r="M979" s="6">
        <f>IF(首页!$B$13="自然对流",IF(首页!$B$14="立式圆筒",首页!$B$10,PI()*B979/2),PI()*B979/2)</f>
        <v>55.2</v>
      </c>
      <c r="N979" s="7">
        <f>IF(首页!$B$13="强制对流",首页!$B$11*M979/H979,0)</f>
        <v>0</v>
      </c>
      <c r="O979" s="7">
        <f>IF(首页!$B$13="自然对流",IF(首页!$B$14="立式圆筒",(0.825+0.3063*I979^(1/6))^2+0.87*(M979/B979),(0.752+0.303*I979^(1/6))^2),0.3+SQRT((0.592*N979^0.5)^2+(0.0262*N979^0.8/(1-0.5/N979^0.1))^2))</f>
        <v>10042.42994007223</v>
      </c>
      <c r="P979" s="6">
        <f t="shared" si="155"/>
        <v>2.9510194925512497E-2</v>
      </c>
      <c r="Q979" s="6">
        <f t="shared" si="156"/>
        <v>5.3687330626328675</v>
      </c>
      <c r="R979" s="6">
        <f t="shared" si="157"/>
        <v>13.137466863134824</v>
      </c>
      <c r="S979" s="6">
        <f>IF($Y$2="按单位面积散热损失 qp",B979*LN(B979/首页!$B$4),LN(B979/首页!$B$4))</f>
        <v>5.8872764792060943</v>
      </c>
      <c r="T979" s="6">
        <f>IF($Y$2="按单位面积散热损失 qp",2*PI()*首页!$B$8*((E979-D979)/$Y$3-1/R979),2*PI()*首页!$B$8*((E979-D979)/$Y$4-1/(PI()*B979*R979)))</f>
        <v>4.0777822784438693E-2</v>
      </c>
      <c r="U979" t="str">
        <f t="shared" si="158"/>
        <v>按单位面积散热损失 qp</v>
      </c>
      <c r="V979" s="6">
        <f t="shared" si="159"/>
        <v>5.8464986564216552</v>
      </c>
    </row>
    <row r="980" spans="1:22" x14ac:dyDescent="0.15">
      <c r="A980">
        <v>975</v>
      </c>
      <c r="B980" s="6">
        <f>首页!$B$4+2*A980/1000</f>
        <v>2.0699999999999998</v>
      </c>
      <c r="C980" s="6">
        <f>首页!$B$7+273.15</f>
        <v>388.15</v>
      </c>
      <c r="D980" s="6">
        <f>首页!$B$6+273.15</f>
        <v>293.14999999999998</v>
      </c>
      <c r="E980" s="6">
        <f>首页!$B$5+273.15</f>
        <v>1373.15</v>
      </c>
      <c r="F980" s="6">
        <f t="shared" si="150"/>
        <v>95</v>
      </c>
      <c r="G980" s="6">
        <f t="shared" si="151"/>
        <v>340.65</v>
      </c>
      <c r="H980" s="6">
        <f t="shared" si="152"/>
        <v>1.9926207055139041E-5</v>
      </c>
      <c r="I980" s="7">
        <f t="shared" si="153"/>
        <v>1158916576932337.8</v>
      </c>
      <c r="J980" s="6">
        <f t="shared" si="154"/>
        <v>1.0226038455893147</v>
      </c>
      <c r="K980" s="7">
        <f>J980*H980*首页!$B$12/P980</f>
        <v>0.69532757496605813</v>
      </c>
      <c r="L980" s="6">
        <f>首页!$B$9*0.0000000567*((C980^4-D980^4)/(C980-D980))</f>
        <v>7.7687338005019564</v>
      </c>
      <c r="M980" s="6">
        <f>IF(首页!$B$13="自然对流",IF(首页!$B$14="立式圆筒",首页!$B$10,PI()*B980/2),PI()*B980/2)</f>
        <v>55.2</v>
      </c>
      <c r="N980" s="7">
        <f>IF(首页!$B$13="强制对流",首页!$B$11*M980/H980,0)</f>
        <v>0</v>
      </c>
      <c r="O980" s="7">
        <f>IF(首页!$B$13="自然对流",IF(首页!$B$14="立式圆筒",(0.825+0.3063*I980^(1/6))^2+0.87*(M980/B980),(0.752+0.303*I980^(1/6))^2),0.3+SQRT((0.592*N980^0.5)^2+(0.0262*N980^0.8/(1-0.5/N980^0.1))^2))</f>
        <v>10042.407502934901</v>
      </c>
      <c r="P980" s="6">
        <f t="shared" si="155"/>
        <v>2.9510194925512497E-2</v>
      </c>
      <c r="Q980" s="6">
        <f t="shared" si="156"/>
        <v>5.3687210676275017</v>
      </c>
      <c r="R980" s="6">
        <f t="shared" si="157"/>
        <v>13.137454868129458</v>
      </c>
      <c r="S980" s="6">
        <f>IF($Y$2="按单位面积散热损失 qp",B980*LN(B980/首页!$B$4),LN(B980/首页!$B$4))</f>
        <v>5.8949711369981532</v>
      </c>
      <c r="T980" s="6">
        <f>IF($Y$2="按单位面积散热损失 qp",2*PI()*首页!$B$8*((E980-D980)/$Y$3-1/R980),2*PI()*首页!$B$8*((E980-D980)/$Y$4-1/(PI()*B980*R980)))</f>
        <v>4.0777803134103716E-2</v>
      </c>
      <c r="U980" t="str">
        <f t="shared" si="158"/>
        <v>按单位面积散热损失 qp</v>
      </c>
      <c r="V980" s="6">
        <f t="shared" si="159"/>
        <v>5.8541933338640497</v>
      </c>
    </row>
    <row r="981" spans="1:22" x14ac:dyDescent="0.15">
      <c r="A981">
        <v>976</v>
      </c>
      <c r="B981" s="6">
        <f>首页!$B$4+2*A981/1000</f>
        <v>2.0720000000000001</v>
      </c>
      <c r="C981" s="6">
        <f>首页!$B$7+273.15</f>
        <v>388.15</v>
      </c>
      <c r="D981" s="6">
        <f>首页!$B$6+273.15</f>
        <v>293.14999999999998</v>
      </c>
      <c r="E981" s="6">
        <f>首页!$B$5+273.15</f>
        <v>1373.15</v>
      </c>
      <c r="F981" s="6">
        <f t="shared" si="150"/>
        <v>95</v>
      </c>
      <c r="G981" s="6">
        <f t="shared" si="151"/>
        <v>340.65</v>
      </c>
      <c r="H981" s="6">
        <f t="shared" si="152"/>
        <v>1.9926207055139041E-5</v>
      </c>
      <c r="I981" s="7">
        <f t="shared" si="153"/>
        <v>1158916576932337.8</v>
      </c>
      <c r="J981" s="6">
        <f t="shared" si="154"/>
        <v>1.0226038455893147</v>
      </c>
      <c r="K981" s="7">
        <f>J981*H981*首页!$B$12/P981</f>
        <v>0.69532757496605813</v>
      </c>
      <c r="L981" s="6">
        <f>首页!$B$9*0.0000000567*((C981^4-D981^4)/(C981-D981))</f>
        <v>7.7687338005019564</v>
      </c>
      <c r="M981" s="6">
        <f>IF(首页!$B$13="自然对流",IF(首页!$B$14="立式圆筒",首页!$B$10,PI()*B981/2),PI()*B981/2)</f>
        <v>55.2</v>
      </c>
      <c r="N981" s="7">
        <f>IF(首页!$B$13="强制对流",首页!$B$11*M981/H981,0)</f>
        <v>0</v>
      </c>
      <c r="O981" s="7">
        <f>IF(首页!$B$13="自然对流",IF(首页!$B$14="立式圆筒",(0.825+0.3063*I981^(1/6))^2+0.87*(M981/B981),(0.752+0.303*I981^(1/6))^2),0.3+SQRT((0.592*N981^0.5)^2+(0.0262*N981^0.8/(1-0.5/N981^0.1))^2))</f>
        <v>10042.385109112505</v>
      </c>
      <c r="P981" s="6">
        <f t="shared" si="155"/>
        <v>2.9510194925512497E-2</v>
      </c>
      <c r="Q981" s="6">
        <f t="shared" si="156"/>
        <v>5.3687090957785157</v>
      </c>
      <c r="R981" s="6">
        <f t="shared" si="157"/>
        <v>13.137442896280472</v>
      </c>
      <c r="S981" s="6">
        <f>IF($Y$2="按单位面积散热损失 qp",B981*LN(B981/首页!$B$4),LN(B981/首页!$B$4))</f>
        <v>5.9026677271576631</v>
      </c>
      <c r="T981" s="6">
        <f>IF($Y$2="按单位面积散热损失 qp",2*PI()*首页!$B$8*((E981-D981)/$Y$3-1/R981),2*PI()*首页!$B$8*((E981-D981)/$Y$4-1/(PI()*B981*R981)))</f>
        <v>4.0777783521667978E-2</v>
      </c>
      <c r="U981" t="str">
        <f t="shared" si="158"/>
        <v>按单位面积散热损失 qp</v>
      </c>
      <c r="V981" s="6">
        <f t="shared" si="159"/>
        <v>5.8618899436359948</v>
      </c>
    </row>
    <row r="982" spans="1:22" x14ac:dyDescent="0.15">
      <c r="A982">
        <v>977</v>
      </c>
      <c r="B982" s="6">
        <f>首页!$B$4+2*A982/1000</f>
        <v>2.0739999999999998</v>
      </c>
      <c r="C982" s="6">
        <f>首页!$B$7+273.15</f>
        <v>388.15</v>
      </c>
      <c r="D982" s="6">
        <f>首页!$B$6+273.15</f>
        <v>293.14999999999998</v>
      </c>
      <c r="E982" s="6">
        <f>首页!$B$5+273.15</f>
        <v>1373.15</v>
      </c>
      <c r="F982" s="6">
        <f t="shared" si="150"/>
        <v>95</v>
      </c>
      <c r="G982" s="6">
        <f t="shared" si="151"/>
        <v>340.65</v>
      </c>
      <c r="H982" s="6">
        <f t="shared" si="152"/>
        <v>1.9926207055139041E-5</v>
      </c>
      <c r="I982" s="7">
        <f t="shared" si="153"/>
        <v>1158916576932337.8</v>
      </c>
      <c r="J982" s="6">
        <f t="shared" si="154"/>
        <v>1.0226038455893147</v>
      </c>
      <c r="K982" s="7">
        <f>J982*H982*首页!$B$12/P982</f>
        <v>0.69532757496605813</v>
      </c>
      <c r="L982" s="6">
        <f>首页!$B$9*0.0000000567*((C982^4-D982^4)/(C982-D982))</f>
        <v>7.7687338005019564</v>
      </c>
      <c r="M982" s="6">
        <f>IF(首页!$B$13="自然对流",IF(首页!$B$14="立式圆筒",首页!$B$10,PI()*B982/2),PI()*B982/2)</f>
        <v>55.2</v>
      </c>
      <c r="N982" s="7">
        <f>IF(首页!$B$13="强制对流",首页!$B$11*M982/H982,0)</f>
        <v>0</v>
      </c>
      <c r="O982" s="7">
        <f>IF(首页!$B$13="自然对流",IF(首页!$B$14="立式圆筒",(0.825+0.3063*I982^(1/6))^2+0.87*(M982/B982),(0.752+0.303*I982^(1/6))^2),0.3+SQRT((0.592*N982^0.5)^2+(0.0262*N982^0.8/(1-0.5/N982^0.1))^2))</f>
        <v>10042.362758479741</v>
      </c>
      <c r="P982" s="6">
        <f t="shared" si="155"/>
        <v>2.9510194925512497E-2</v>
      </c>
      <c r="Q982" s="6">
        <f t="shared" si="156"/>
        <v>5.3686971470189224</v>
      </c>
      <c r="R982" s="6">
        <f t="shared" si="157"/>
        <v>13.13743094752088</v>
      </c>
      <c r="S982" s="6">
        <f>IF($Y$2="按单位面积散热损失 qp",B982*LN(B982/首页!$B$4),LN(B982/首页!$B$4))</f>
        <v>5.9103662478194021</v>
      </c>
      <c r="T982" s="6">
        <f>IF($Y$2="按单位面积散热损失 qp",2*PI()*首页!$B$8*((E982-D982)/$Y$3-1/R982),2*PI()*首页!$B$8*((E982-D982)/$Y$4-1/(PI()*B982*R982)))</f>
        <v>4.0777763947021928E-2</v>
      </c>
      <c r="U982" t="str">
        <f t="shared" si="158"/>
        <v>按单位面积散热损失 qp</v>
      </c>
      <c r="V982" s="6">
        <f t="shared" si="159"/>
        <v>5.8695884838723806</v>
      </c>
    </row>
    <row r="983" spans="1:22" x14ac:dyDescent="0.15">
      <c r="A983">
        <v>978</v>
      </c>
      <c r="B983" s="6">
        <f>首页!$B$4+2*A983/1000</f>
        <v>2.0760000000000001</v>
      </c>
      <c r="C983" s="6">
        <f>首页!$B$7+273.15</f>
        <v>388.15</v>
      </c>
      <c r="D983" s="6">
        <f>首页!$B$6+273.15</f>
        <v>293.14999999999998</v>
      </c>
      <c r="E983" s="6">
        <f>首页!$B$5+273.15</f>
        <v>1373.15</v>
      </c>
      <c r="F983" s="6">
        <f t="shared" si="150"/>
        <v>95</v>
      </c>
      <c r="G983" s="6">
        <f t="shared" si="151"/>
        <v>340.65</v>
      </c>
      <c r="H983" s="6">
        <f t="shared" si="152"/>
        <v>1.9926207055139041E-5</v>
      </c>
      <c r="I983" s="7">
        <f t="shared" si="153"/>
        <v>1158916576932337.8</v>
      </c>
      <c r="J983" s="6">
        <f t="shared" si="154"/>
        <v>1.0226038455893147</v>
      </c>
      <c r="K983" s="7">
        <f>J983*H983*首页!$B$12/P983</f>
        <v>0.69532757496605813</v>
      </c>
      <c r="L983" s="6">
        <f>首页!$B$9*0.0000000567*((C983^4-D983^4)/(C983-D983))</f>
        <v>7.7687338005019564</v>
      </c>
      <c r="M983" s="6">
        <f>IF(首页!$B$13="自然对流",IF(首页!$B$14="立式圆筒",首页!$B$10,PI()*B983/2),PI()*B983/2)</f>
        <v>55.2</v>
      </c>
      <c r="N983" s="7">
        <f>IF(首页!$B$13="强制对流",首页!$B$11*M983/H983,0)</f>
        <v>0</v>
      </c>
      <c r="O983" s="7">
        <f>IF(首页!$B$13="自然对流",IF(首页!$B$14="立式圆筒",(0.825+0.3063*I983^(1/6))^2+0.87*(M983/B983),(0.752+0.303*I983^(1/6))^2),0.3+SQRT((0.592*N983^0.5)^2+(0.0262*N983^0.8/(1-0.5/N983^0.1))^2))</f>
        <v>10042.340450911779</v>
      </c>
      <c r="P983" s="6">
        <f t="shared" si="155"/>
        <v>2.9510194925512497E-2</v>
      </c>
      <c r="Q983" s="6">
        <f t="shared" si="156"/>
        <v>5.3686852212819858</v>
      </c>
      <c r="R983" s="6">
        <f t="shared" si="157"/>
        <v>13.137419021783941</v>
      </c>
      <c r="S983" s="6">
        <f>IF($Y$2="按单位面积散热损失 qp",B983*LN(B983/首页!$B$4),LN(B983/首页!$B$4))</f>
        <v>5.918066697121751</v>
      </c>
      <c r="T983" s="6">
        <f>IF($Y$2="按单位面积散热损失 qp",2*PI()*首页!$B$8*((E983-D983)/$Y$3-1/R983),2*PI()*首页!$B$8*((E983-D983)/$Y$4-1/(PI()*B983*R983)))</f>
        <v>4.0777744410056452E-2</v>
      </c>
      <c r="U983" t="str">
        <f t="shared" si="158"/>
        <v>按单位面积散热损失 qp</v>
      </c>
      <c r="V983" s="6">
        <f t="shared" si="159"/>
        <v>5.8772889527116945</v>
      </c>
    </row>
    <row r="984" spans="1:22" x14ac:dyDescent="0.15">
      <c r="A984">
        <v>979</v>
      </c>
      <c r="B984" s="6">
        <f>首页!$B$4+2*A984/1000</f>
        <v>2.0779999999999998</v>
      </c>
      <c r="C984" s="6">
        <f>首页!$B$7+273.15</f>
        <v>388.15</v>
      </c>
      <c r="D984" s="6">
        <f>首页!$B$6+273.15</f>
        <v>293.14999999999998</v>
      </c>
      <c r="E984" s="6">
        <f>首页!$B$5+273.15</f>
        <v>1373.15</v>
      </c>
      <c r="F984" s="6">
        <f t="shared" si="150"/>
        <v>95</v>
      </c>
      <c r="G984" s="6">
        <f t="shared" si="151"/>
        <v>340.65</v>
      </c>
      <c r="H984" s="6">
        <f t="shared" si="152"/>
        <v>1.9926207055139041E-5</v>
      </c>
      <c r="I984" s="7">
        <f t="shared" si="153"/>
        <v>1158916576932337.8</v>
      </c>
      <c r="J984" s="6">
        <f t="shared" si="154"/>
        <v>1.0226038455893147</v>
      </c>
      <c r="K984" s="7">
        <f>J984*H984*首页!$B$12/P984</f>
        <v>0.69532757496605813</v>
      </c>
      <c r="L984" s="6">
        <f>首页!$B$9*0.0000000567*((C984^4-D984^4)/(C984-D984))</f>
        <v>7.7687338005019564</v>
      </c>
      <c r="M984" s="6">
        <f>IF(首页!$B$13="自然对流",IF(首页!$B$14="立式圆筒",首页!$B$10,PI()*B984/2),PI()*B984/2)</f>
        <v>55.2</v>
      </c>
      <c r="N984" s="7">
        <f>IF(首页!$B$13="强制对流",首页!$B$11*M984/H984,0)</f>
        <v>0</v>
      </c>
      <c r="O984" s="7">
        <f>IF(首页!$B$13="自然对流",IF(首页!$B$14="立式圆筒",(0.825+0.3063*I984^(1/6))^2+0.87*(M984/B984),(0.752+0.303*I984^(1/6))^2),0.3+SQRT((0.592*N984^0.5)^2+(0.0262*N984^0.8/(1-0.5/N984^0.1))^2))</f>
        <v>10042.318186284274</v>
      </c>
      <c r="P984" s="6">
        <f t="shared" si="155"/>
        <v>2.9510194925512497E-2</v>
      </c>
      <c r="Q984" s="6">
        <f t="shared" si="156"/>
        <v>5.3686733185012327</v>
      </c>
      <c r="R984" s="6">
        <f t="shared" si="157"/>
        <v>13.137407119003189</v>
      </c>
      <c r="S984" s="6">
        <f>IF($Y$2="按单位面积散热损失 qp",B984*LN(B984/首页!$B$4),LN(B984/首页!$B$4))</f>
        <v>5.9257690732066681</v>
      </c>
      <c r="T984" s="6">
        <f>IF($Y$2="按单位面积散热损失 qp",2*PI()*首页!$B$8*((E984-D984)/$Y$3-1/R984),2*PI()*首页!$B$8*((E984-D984)/$Y$4-1/(PI()*B984*R984)))</f>
        <v>4.0777724910662859E-2</v>
      </c>
      <c r="U984" t="str">
        <f t="shared" si="158"/>
        <v>按单位面积散热损失 qp</v>
      </c>
      <c r="V984" s="6">
        <f t="shared" si="159"/>
        <v>5.8849913482960057</v>
      </c>
    </row>
    <row r="985" spans="1:22" x14ac:dyDescent="0.15">
      <c r="A985">
        <v>980</v>
      </c>
      <c r="B985" s="6">
        <f>首页!$B$4+2*A985/1000</f>
        <v>2.08</v>
      </c>
      <c r="C985" s="6">
        <f>首页!$B$7+273.15</f>
        <v>388.15</v>
      </c>
      <c r="D985" s="6">
        <f>首页!$B$6+273.15</f>
        <v>293.14999999999998</v>
      </c>
      <c r="E985" s="6">
        <f>首页!$B$5+273.15</f>
        <v>1373.15</v>
      </c>
      <c r="F985" s="6">
        <f t="shared" si="150"/>
        <v>95</v>
      </c>
      <c r="G985" s="6">
        <f t="shared" si="151"/>
        <v>340.65</v>
      </c>
      <c r="H985" s="6">
        <f t="shared" si="152"/>
        <v>1.9926207055139041E-5</v>
      </c>
      <c r="I985" s="7">
        <f t="shared" si="153"/>
        <v>1158916576932337.8</v>
      </c>
      <c r="J985" s="6">
        <f t="shared" si="154"/>
        <v>1.0226038455893147</v>
      </c>
      <c r="K985" s="7">
        <f>J985*H985*首页!$B$12/P985</f>
        <v>0.69532757496605813</v>
      </c>
      <c r="L985" s="6">
        <f>首页!$B$9*0.0000000567*((C985^4-D985^4)/(C985-D985))</f>
        <v>7.7687338005019564</v>
      </c>
      <c r="M985" s="6">
        <f>IF(首页!$B$13="自然对流",IF(首页!$B$14="立式圆筒",首页!$B$10,PI()*B985/2),PI()*B985/2)</f>
        <v>55.2</v>
      </c>
      <c r="N985" s="7">
        <f>IF(首页!$B$13="强制对流",首页!$B$11*M985/H985,0)</f>
        <v>0</v>
      </c>
      <c r="O985" s="7">
        <f>IF(首页!$B$13="自然对流",IF(首页!$B$14="立式圆筒",(0.825+0.3063*I985^(1/6))^2+0.87*(M985/B985),(0.752+0.303*I985^(1/6))^2),0.3+SQRT((0.592*N985^0.5)^2+(0.0262*N985^0.8/(1-0.5/N985^0.1))^2))</f>
        <v>10042.295964473362</v>
      </c>
      <c r="P985" s="6">
        <f t="shared" si="155"/>
        <v>2.9510194925512497E-2</v>
      </c>
      <c r="Q985" s="6">
        <f t="shared" si="156"/>
        <v>5.3686614386104425</v>
      </c>
      <c r="R985" s="6">
        <f t="shared" si="157"/>
        <v>13.137395239112399</v>
      </c>
      <c r="S985" s="6">
        <f>IF($Y$2="按单位面积散热损失 qp",B985*LN(B985/首页!$B$4),LN(B985/首页!$B$4))</f>
        <v>5.9334733742197017</v>
      </c>
      <c r="T985" s="6">
        <f>IF($Y$2="按单位面积散热损失 qp",2*PI()*首页!$B$8*((E985-D985)/$Y$3-1/R985),2*PI()*首页!$B$8*((E985-D985)/$Y$4-1/(PI()*B985*R985)))</f>
        <v>4.0777705448732875E-2</v>
      </c>
      <c r="U985" t="str">
        <f t="shared" si="158"/>
        <v>按单位面积散热损失 qp</v>
      </c>
      <c r="V985" s="6">
        <f t="shared" si="159"/>
        <v>5.8926956687709691</v>
      </c>
    </row>
    <row r="986" spans="1:22" x14ac:dyDescent="0.15">
      <c r="A986">
        <v>981</v>
      </c>
      <c r="B986" s="6">
        <f>首页!$B$4+2*A986/1000</f>
        <v>2.0819999999999999</v>
      </c>
      <c r="C986" s="6">
        <f>首页!$B$7+273.15</f>
        <v>388.15</v>
      </c>
      <c r="D986" s="6">
        <f>首页!$B$6+273.15</f>
        <v>293.14999999999998</v>
      </c>
      <c r="E986" s="6">
        <f>首页!$B$5+273.15</f>
        <v>1373.15</v>
      </c>
      <c r="F986" s="6">
        <f t="shared" si="150"/>
        <v>95</v>
      </c>
      <c r="G986" s="6">
        <f t="shared" si="151"/>
        <v>340.65</v>
      </c>
      <c r="H986" s="6">
        <f t="shared" si="152"/>
        <v>1.9926207055139041E-5</v>
      </c>
      <c r="I986" s="7">
        <f t="shared" si="153"/>
        <v>1158916576932337.8</v>
      </c>
      <c r="J986" s="6">
        <f t="shared" si="154"/>
        <v>1.0226038455893147</v>
      </c>
      <c r="K986" s="7">
        <f>J986*H986*首页!$B$12/P986</f>
        <v>0.69532757496605813</v>
      </c>
      <c r="L986" s="6">
        <f>首页!$B$9*0.0000000567*((C986^4-D986^4)/(C986-D986))</f>
        <v>7.7687338005019564</v>
      </c>
      <c r="M986" s="6">
        <f>IF(首页!$B$13="自然对流",IF(首页!$B$14="立式圆筒",首页!$B$10,PI()*B986/2),PI()*B986/2)</f>
        <v>55.2</v>
      </c>
      <c r="N986" s="7">
        <f>IF(首页!$B$13="强制对流",首页!$B$11*M986/H986,0)</f>
        <v>0</v>
      </c>
      <c r="O986" s="7">
        <f>IF(首页!$B$13="自然对流",IF(首页!$B$14="立式圆筒",(0.825+0.3063*I986^(1/6))^2+0.87*(M986/B986),(0.752+0.303*I986^(1/6))^2),0.3+SQRT((0.592*N986^0.5)^2+(0.0262*N986^0.8/(1-0.5/N986^0.1))^2))</f>
        <v>10042.273785355648</v>
      </c>
      <c r="P986" s="6">
        <f t="shared" si="155"/>
        <v>2.9510194925512497E-2</v>
      </c>
      <c r="Q986" s="6">
        <f t="shared" si="156"/>
        <v>5.3686495815436484</v>
      </c>
      <c r="R986" s="6">
        <f t="shared" si="157"/>
        <v>13.137383382045606</v>
      </c>
      <c r="S986" s="6">
        <f>IF($Y$2="按单位面积散热损失 qp",B986*LN(B986/首页!$B$4),LN(B986/首页!$B$4))</f>
        <v>5.9411795983099509</v>
      </c>
      <c r="T986" s="6">
        <f>IF($Y$2="按单位面积散热损失 qp",2*PI()*首页!$B$8*((E986-D986)/$Y$3-1/R986),2*PI()*首页!$B$8*((E986-D986)/$Y$4-1/(PI()*B986*R986)))</f>
        <v>4.0777686024158627E-2</v>
      </c>
      <c r="U986" t="str">
        <f t="shared" si="158"/>
        <v>按单位面积散热损失 qp</v>
      </c>
      <c r="V986" s="6">
        <f t="shared" si="159"/>
        <v>5.9004019122857922</v>
      </c>
    </row>
    <row r="987" spans="1:22" x14ac:dyDescent="0.15">
      <c r="A987">
        <v>982</v>
      </c>
      <c r="B987" s="6">
        <f>首页!$B$4+2*A987/1000</f>
        <v>2.0840000000000001</v>
      </c>
      <c r="C987" s="6">
        <f>首页!$B$7+273.15</f>
        <v>388.15</v>
      </c>
      <c r="D987" s="6">
        <f>首页!$B$6+273.15</f>
        <v>293.14999999999998</v>
      </c>
      <c r="E987" s="6">
        <f>首页!$B$5+273.15</f>
        <v>1373.15</v>
      </c>
      <c r="F987" s="6">
        <f t="shared" si="150"/>
        <v>95</v>
      </c>
      <c r="G987" s="6">
        <f t="shared" si="151"/>
        <v>340.65</v>
      </c>
      <c r="H987" s="6">
        <f t="shared" si="152"/>
        <v>1.9926207055139041E-5</v>
      </c>
      <c r="I987" s="7">
        <f t="shared" si="153"/>
        <v>1158916576932337.8</v>
      </c>
      <c r="J987" s="6">
        <f t="shared" si="154"/>
        <v>1.0226038455893147</v>
      </c>
      <c r="K987" s="7">
        <f>J987*H987*首页!$B$12/P987</f>
        <v>0.69532757496605813</v>
      </c>
      <c r="L987" s="6">
        <f>首页!$B$9*0.0000000567*((C987^4-D987^4)/(C987-D987))</f>
        <v>7.7687338005019564</v>
      </c>
      <c r="M987" s="6">
        <f>IF(首页!$B$13="自然对流",IF(首页!$B$14="立式圆筒",首页!$B$10,PI()*B987/2),PI()*B987/2)</f>
        <v>55.2</v>
      </c>
      <c r="N987" s="7">
        <f>IF(首页!$B$13="强制对流",首页!$B$11*M987/H987,0)</f>
        <v>0</v>
      </c>
      <c r="O987" s="7">
        <f>IF(首页!$B$13="自然对流",IF(首页!$B$14="立式圆筒",(0.825+0.3063*I987^(1/6))^2+0.87*(M987/B987),(0.752+0.303*I987^(1/6))^2),0.3+SQRT((0.592*N987^0.5)^2+(0.0262*N987^0.8/(1-0.5/N987^0.1))^2))</f>
        <v>10042.25164880822</v>
      </c>
      <c r="P987" s="6">
        <f t="shared" si="155"/>
        <v>2.9510194925512497E-2</v>
      </c>
      <c r="Q987" s="6">
        <f t="shared" si="156"/>
        <v>5.3686377472351419</v>
      </c>
      <c r="R987" s="6">
        <f t="shared" si="157"/>
        <v>13.137371547737098</v>
      </c>
      <c r="S987" s="6">
        <f>IF($Y$2="按单位面积散热损失 qp",B987*LN(B987/首页!$B$4),LN(B987/首页!$B$4))</f>
        <v>5.9488877436300847</v>
      </c>
      <c r="T987" s="6">
        <f>IF($Y$2="按单位面积散热损失 qp",2*PI()*首页!$B$8*((E987-D987)/$Y$3-1/R987),2*PI()*首页!$B$8*((E987-D987)/$Y$4-1/(PI()*B987*R987)))</f>
        <v>4.0777666636832667E-2</v>
      </c>
      <c r="U987" t="str">
        <f t="shared" si="158"/>
        <v>按单位面积散热损失 qp</v>
      </c>
      <c r="V987" s="6">
        <f t="shared" si="159"/>
        <v>5.9081100769932524</v>
      </c>
    </row>
    <row r="988" spans="1:22" x14ac:dyDescent="0.15">
      <c r="A988">
        <v>983</v>
      </c>
      <c r="B988" s="6">
        <f>首页!$B$4+2*A988/1000</f>
        <v>2.0859999999999999</v>
      </c>
      <c r="C988" s="6">
        <f>首页!$B$7+273.15</f>
        <v>388.15</v>
      </c>
      <c r="D988" s="6">
        <f>首页!$B$6+273.15</f>
        <v>293.14999999999998</v>
      </c>
      <c r="E988" s="6">
        <f>首页!$B$5+273.15</f>
        <v>1373.15</v>
      </c>
      <c r="F988" s="6">
        <f t="shared" si="150"/>
        <v>95</v>
      </c>
      <c r="G988" s="6">
        <f t="shared" si="151"/>
        <v>340.65</v>
      </c>
      <c r="H988" s="6">
        <f t="shared" si="152"/>
        <v>1.9926207055139041E-5</v>
      </c>
      <c r="I988" s="7">
        <f t="shared" si="153"/>
        <v>1158916576932337.8</v>
      </c>
      <c r="J988" s="6">
        <f t="shared" si="154"/>
        <v>1.0226038455893147</v>
      </c>
      <c r="K988" s="7">
        <f>J988*H988*首页!$B$12/P988</f>
        <v>0.69532757496605813</v>
      </c>
      <c r="L988" s="6">
        <f>首页!$B$9*0.0000000567*((C988^4-D988^4)/(C988-D988))</f>
        <v>7.7687338005019564</v>
      </c>
      <c r="M988" s="6">
        <f>IF(首页!$B$13="自然对流",IF(首页!$B$14="立式圆筒",首页!$B$10,PI()*B988/2),PI()*B988/2)</f>
        <v>55.2</v>
      </c>
      <c r="N988" s="7">
        <f>IF(首页!$B$13="强制对流",首页!$B$11*M988/H988,0)</f>
        <v>0</v>
      </c>
      <c r="O988" s="7">
        <f>IF(首页!$B$13="自然对流",IF(首页!$B$14="立式圆筒",(0.825+0.3063*I988^(1/6))^2+0.87*(M988/B988),(0.752+0.303*I988^(1/6))^2),0.3+SQRT((0.592*N988^0.5)^2+(0.0262*N988^0.8/(1-0.5/N988^0.1))^2))</f>
        <v>10042.229554708629</v>
      </c>
      <c r="P988" s="6">
        <f t="shared" si="155"/>
        <v>2.9510194925512497E-2</v>
      </c>
      <c r="Q988" s="6">
        <f t="shared" si="156"/>
        <v>5.3686259356194599</v>
      </c>
      <c r="R988" s="6">
        <f t="shared" si="157"/>
        <v>13.137359736121416</v>
      </c>
      <c r="S988" s="6">
        <f>IF($Y$2="按单位面积散热损失 qp",B988*LN(B988/首页!$B$4),LN(B988/首页!$B$4))</f>
        <v>5.9565978083363094</v>
      </c>
      <c r="T988" s="6">
        <f>IF($Y$2="按单位面积散热损失 qp",2*PI()*首页!$B$8*((E988-D988)/$Y$3-1/R988),2*PI()*首页!$B$8*((E988-D988)/$Y$4-1/(PI()*B988*R988)))</f>
        <v>4.0777647286647963E-2</v>
      </c>
      <c r="U988" t="str">
        <f t="shared" si="158"/>
        <v>按单位面积散热损失 qp</v>
      </c>
      <c r="V988" s="6">
        <f t="shared" si="159"/>
        <v>5.9158201610496617</v>
      </c>
    </row>
    <row r="989" spans="1:22" x14ac:dyDescent="0.15">
      <c r="A989">
        <v>984</v>
      </c>
      <c r="B989" s="6">
        <f>首页!$B$4+2*A989/1000</f>
        <v>2.0880000000000001</v>
      </c>
      <c r="C989" s="6">
        <f>首页!$B$7+273.15</f>
        <v>388.15</v>
      </c>
      <c r="D989" s="6">
        <f>首页!$B$6+273.15</f>
        <v>293.14999999999998</v>
      </c>
      <c r="E989" s="6">
        <f>首页!$B$5+273.15</f>
        <v>1373.15</v>
      </c>
      <c r="F989" s="6">
        <f t="shared" si="150"/>
        <v>95</v>
      </c>
      <c r="G989" s="6">
        <f t="shared" si="151"/>
        <v>340.65</v>
      </c>
      <c r="H989" s="6">
        <f t="shared" si="152"/>
        <v>1.9926207055139041E-5</v>
      </c>
      <c r="I989" s="7">
        <f t="shared" si="153"/>
        <v>1158916576932337.8</v>
      </c>
      <c r="J989" s="6">
        <f t="shared" si="154"/>
        <v>1.0226038455893147</v>
      </c>
      <c r="K989" s="7">
        <f>J989*H989*首页!$B$12/P989</f>
        <v>0.69532757496605813</v>
      </c>
      <c r="L989" s="6">
        <f>首页!$B$9*0.0000000567*((C989^4-D989^4)/(C989-D989))</f>
        <v>7.7687338005019564</v>
      </c>
      <c r="M989" s="6">
        <f>IF(首页!$B$13="自然对流",IF(首页!$B$14="立式圆筒",首页!$B$10,PI()*B989/2),PI()*B989/2)</f>
        <v>55.2</v>
      </c>
      <c r="N989" s="7">
        <f>IF(首页!$B$13="强制对流",首页!$B$11*M989/H989,0)</f>
        <v>0</v>
      </c>
      <c r="O989" s="7">
        <f>IF(首页!$B$13="自然对流",IF(首页!$B$14="立式圆筒",(0.825+0.3063*I989^(1/6))^2+0.87*(M989/B989),(0.752+0.303*I989^(1/6))^2),0.3+SQRT((0.592*N989^0.5)^2+(0.0262*N989^0.8/(1-0.5/N989^0.1))^2))</f>
        <v>10042.2075029349</v>
      </c>
      <c r="P989" s="6">
        <f t="shared" si="155"/>
        <v>2.9510194925512497E-2</v>
      </c>
      <c r="Q989" s="6">
        <f t="shared" si="156"/>
        <v>5.3686141466313941</v>
      </c>
      <c r="R989" s="6">
        <f t="shared" si="157"/>
        <v>13.13734794713335</v>
      </c>
      <c r="S989" s="6">
        <f>IF($Y$2="按单位面积散热损失 qp",B989*LN(B989/首页!$B$4),LN(B989/首页!$B$4))</f>
        <v>5.96430979058837</v>
      </c>
      <c r="T989" s="6">
        <f>IF($Y$2="按单位面积散热损失 qp",2*PI()*首页!$B$8*((E989-D989)/$Y$3-1/R989),2*PI()*首页!$B$8*((E989-D989)/$Y$4-1/(PI()*B989*R989)))</f>
        <v>4.0777627973497869E-2</v>
      </c>
      <c r="U989" t="str">
        <f t="shared" si="158"/>
        <v>按单位面积散热损失 qp</v>
      </c>
      <c r="V989" s="6">
        <f t="shared" si="159"/>
        <v>5.9235321626148725</v>
      </c>
    </row>
    <row r="990" spans="1:22" x14ac:dyDescent="0.15">
      <c r="A990">
        <v>985</v>
      </c>
      <c r="B990" s="6">
        <f>首页!$B$4+2*A990/1000</f>
        <v>2.09</v>
      </c>
      <c r="C990" s="6">
        <f>首页!$B$7+273.15</f>
        <v>388.15</v>
      </c>
      <c r="D990" s="6">
        <f>首页!$B$6+273.15</f>
        <v>293.14999999999998</v>
      </c>
      <c r="E990" s="6">
        <f>首页!$B$5+273.15</f>
        <v>1373.15</v>
      </c>
      <c r="F990" s="6">
        <f t="shared" si="150"/>
        <v>95</v>
      </c>
      <c r="G990" s="6">
        <f t="shared" si="151"/>
        <v>340.65</v>
      </c>
      <c r="H990" s="6">
        <f t="shared" si="152"/>
        <v>1.9926207055139041E-5</v>
      </c>
      <c r="I990" s="7">
        <f t="shared" si="153"/>
        <v>1158916576932337.8</v>
      </c>
      <c r="J990" s="6">
        <f t="shared" si="154"/>
        <v>1.0226038455893147</v>
      </c>
      <c r="K990" s="7">
        <f>J990*H990*首页!$B$12/P990</f>
        <v>0.69532757496605813</v>
      </c>
      <c r="L990" s="6">
        <f>首页!$B$9*0.0000000567*((C990^4-D990^4)/(C990-D990))</f>
        <v>7.7687338005019564</v>
      </c>
      <c r="M990" s="6">
        <f>IF(首页!$B$13="自然对流",IF(首页!$B$14="立式圆筒",首页!$B$10,PI()*B990/2),PI()*B990/2)</f>
        <v>55.2</v>
      </c>
      <c r="N990" s="7">
        <f>IF(首页!$B$13="强制对流",首页!$B$11*M990/H990,0)</f>
        <v>0</v>
      </c>
      <c r="O990" s="7">
        <f>IF(首页!$B$13="自然对流",IF(首页!$B$14="立式圆筒",(0.825+0.3063*I990^(1/6))^2+0.87*(M990/B990),(0.752+0.303*I990^(1/6))^2),0.3+SQRT((0.592*N990^0.5)^2+(0.0262*N990^0.8/(1-0.5/N990^0.1))^2))</f>
        <v>10042.185493365521</v>
      </c>
      <c r="P990" s="6">
        <f t="shared" si="155"/>
        <v>2.9510194925512497E-2</v>
      </c>
      <c r="Q990" s="6">
        <f t="shared" si="156"/>
        <v>5.368602380205985</v>
      </c>
      <c r="R990" s="6">
        <f t="shared" si="157"/>
        <v>13.137336180707941</v>
      </c>
      <c r="S990" s="6">
        <f>IF($Y$2="按单位面积散热损失 qp",B990*LN(B990/首页!$B$4),LN(B990/首页!$B$4))</f>
        <v>5.9720236885495339</v>
      </c>
      <c r="T990" s="6">
        <f>IF($Y$2="按单位面积散热损失 qp",2*PI()*首页!$B$8*((E990-D990)/$Y$3-1/R990),2*PI()*首页!$B$8*((E990-D990)/$Y$4-1/(PI()*B990*R990)))</f>
        <v>4.0777608697276188E-2</v>
      </c>
      <c r="U990" t="str">
        <f t="shared" si="158"/>
        <v>按单位面积散热损失 qp</v>
      </c>
      <c r="V990" s="6">
        <f t="shared" si="159"/>
        <v>5.9312460798522579</v>
      </c>
    </row>
    <row r="991" spans="1:22" x14ac:dyDescent="0.15">
      <c r="A991">
        <v>986</v>
      </c>
      <c r="B991" s="6">
        <f>首页!$B$4+2*A991/1000</f>
        <v>2.0920000000000001</v>
      </c>
      <c r="C991" s="6">
        <f>首页!$B$7+273.15</f>
        <v>388.15</v>
      </c>
      <c r="D991" s="6">
        <f>首页!$B$6+273.15</f>
        <v>293.14999999999998</v>
      </c>
      <c r="E991" s="6">
        <f>首页!$B$5+273.15</f>
        <v>1373.15</v>
      </c>
      <c r="F991" s="6">
        <f t="shared" si="150"/>
        <v>95</v>
      </c>
      <c r="G991" s="6">
        <f t="shared" si="151"/>
        <v>340.65</v>
      </c>
      <c r="H991" s="6">
        <f t="shared" si="152"/>
        <v>1.9926207055139041E-5</v>
      </c>
      <c r="I991" s="7">
        <f t="shared" si="153"/>
        <v>1158916576932337.8</v>
      </c>
      <c r="J991" s="6">
        <f t="shared" si="154"/>
        <v>1.0226038455893147</v>
      </c>
      <c r="K991" s="7">
        <f>J991*H991*首页!$B$12/P991</f>
        <v>0.69532757496605813</v>
      </c>
      <c r="L991" s="6">
        <f>首页!$B$9*0.0000000567*((C991^4-D991^4)/(C991-D991))</f>
        <v>7.7687338005019564</v>
      </c>
      <c r="M991" s="6">
        <f>IF(首页!$B$13="自然对流",IF(首页!$B$14="立式圆筒",首页!$B$10,PI()*B991/2),PI()*B991/2)</f>
        <v>55.2</v>
      </c>
      <c r="N991" s="7">
        <f>IF(首页!$B$13="强制对流",首页!$B$11*M991/H991,0)</f>
        <v>0</v>
      </c>
      <c r="O991" s="7">
        <f>IF(首页!$B$13="自然对流",IF(首页!$B$14="立式圆筒",(0.825+0.3063*I991^(1/6))^2+0.87*(M991/B991),(0.752+0.303*I991^(1/6))^2),0.3+SQRT((0.592*N991^0.5)^2+(0.0262*N991^0.8/(1-0.5/N991^0.1))^2))</f>
        <v>10042.16352587945</v>
      </c>
      <c r="P991" s="6">
        <f t="shared" si="155"/>
        <v>2.9510194925512497E-2</v>
      </c>
      <c r="Q991" s="6">
        <f t="shared" si="156"/>
        <v>5.3685906362785216</v>
      </c>
      <c r="R991" s="6">
        <f t="shared" si="157"/>
        <v>13.137324436780478</v>
      </c>
      <c r="S991" s="6">
        <f>IF($Y$2="按单位面积散热损失 qp",B991*LN(B991/首页!$B$4),LN(B991/首页!$B$4))</f>
        <v>5.9797395003865903</v>
      </c>
      <c r="T991" s="6">
        <f>IF($Y$2="按单位面积散热损失 qp",2*PI()*首页!$B$8*((E991-D991)/$Y$3-1/R991),2*PI()*首页!$B$8*((E991-D991)/$Y$4-1/(PI()*B991*R991)))</f>
        <v>4.07775894578771E-2</v>
      </c>
      <c r="U991" t="str">
        <f t="shared" si="158"/>
        <v>按单位面积散热损失 qp</v>
      </c>
      <c r="V991" s="6">
        <f t="shared" si="159"/>
        <v>5.9389619109287128</v>
      </c>
    </row>
    <row r="992" spans="1:22" x14ac:dyDescent="0.15">
      <c r="A992">
        <v>987</v>
      </c>
      <c r="B992" s="6">
        <f>首页!$B$4+2*A992/1000</f>
        <v>2.0939999999999999</v>
      </c>
      <c r="C992" s="6">
        <f>首页!$B$7+273.15</f>
        <v>388.15</v>
      </c>
      <c r="D992" s="6">
        <f>首页!$B$6+273.15</f>
        <v>293.14999999999998</v>
      </c>
      <c r="E992" s="6">
        <f>首页!$B$5+273.15</f>
        <v>1373.15</v>
      </c>
      <c r="F992" s="6">
        <f t="shared" si="150"/>
        <v>95</v>
      </c>
      <c r="G992" s="6">
        <f t="shared" si="151"/>
        <v>340.65</v>
      </c>
      <c r="H992" s="6">
        <f t="shared" si="152"/>
        <v>1.9926207055139041E-5</v>
      </c>
      <c r="I992" s="7">
        <f t="shared" si="153"/>
        <v>1158916576932337.8</v>
      </c>
      <c r="J992" s="6">
        <f t="shared" si="154"/>
        <v>1.0226038455893147</v>
      </c>
      <c r="K992" s="7">
        <f>J992*H992*首页!$B$12/P992</f>
        <v>0.69532757496605813</v>
      </c>
      <c r="L992" s="6">
        <f>首页!$B$9*0.0000000567*((C992^4-D992^4)/(C992-D992))</f>
        <v>7.7687338005019564</v>
      </c>
      <c r="M992" s="6">
        <f>IF(首页!$B$13="自然对流",IF(首页!$B$14="立式圆筒",首页!$B$10,PI()*B992/2),PI()*B992/2)</f>
        <v>55.2</v>
      </c>
      <c r="N992" s="7">
        <f>IF(首页!$B$13="强制对流",首页!$B$11*M992/H992,0)</f>
        <v>0</v>
      </c>
      <c r="O992" s="7">
        <f>IF(首页!$B$13="自然对流",IF(首页!$B$14="立式圆筒",(0.825+0.3063*I992^(1/6))^2+0.87*(M992/B992),(0.752+0.303*I992^(1/6))^2),0.3+SQRT((0.592*N992^0.5)^2+(0.0262*N992^0.8/(1-0.5/N992^0.1))^2))</f>
        <v>10042.141600356103</v>
      </c>
      <c r="P992" s="6">
        <f t="shared" si="155"/>
        <v>2.9510194925512497E-2</v>
      </c>
      <c r="Q992" s="6">
        <f t="shared" si="156"/>
        <v>5.3685789147845391</v>
      </c>
      <c r="R992" s="6">
        <f t="shared" si="157"/>
        <v>13.137312715286495</v>
      </c>
      <c r="S992" s="6">
        <f>IF($Y$2="按单位面积散热损失 qp",B992*LN(B992/首页!$B$4),LN(B992/首页!$B$4))</f>
        <v>5.987457224269825</v>
      </c>
      <c r="T992" s="6">
        <f>IF($Y$2="按单位面积散热损失 qp",2*PI()*首页!$B$8*((E992-D992)/$Y$3-1/R992),2*PI()*首页!$B$8*((E992-D992)/$Y$4-1/(PI()*B992*R992)))</f>
        <v>4.077757025519519E-2</v>
      </c>
      <c r="U992" t="str">
        <f t="shared" si="158"/>
        <v>按单位面积散热损失 qp</v>
      </c>
      <c r="V992" s="6">
        <f t="shared" si="159"/>
        <v>5.9466796540146296</v>
      </c>
    </row>
    <row r="993" spans="1:22" x14ac:dyDescent="0.15">
      <c r="A993">
        <v>988</v>
      </c>
      <c r="B993" s="6">
        <f>首页!$B$4+2*A993/1000</f>
        <v>2.0960000000000001</v>
      </c>
      <c r="C993" s="6">
        <f>首页!$B$7+273.15</f>
        <v>388.15</v>
      </c>
      <c r="D993" s="6">
        <f>首页!$B$6+273.15</f>
        <v>293.14999999999998</v>
      </c>
      <c r="E993" s="6">
        <f>首页!$B$5+273.15</f>
        <v>1373.15</v>
      </c>
      <c r="F993" s="6">
        <f t="shared" si="150"/>
        <v>95</v>
      </c>
      <c r="G993" s="6">
        <f t="shared" si="151"/>
        <v>340.65</v>
      </c>
      <c r="H993" s="6">
        <f t="shared" si="152"/>
        <v>1.9926207055139041E-5</v>
      </c>
      <c r="I993" s="7">
        <f t="shared" si="153"/>
        <v>1158916576932337.8</v>
      </c>
      <c r="J993" s="6">
        <f t="shared" si="154"/>
        <v>1.0226038455893147</v>
      </c>
      <c r="K993" s="7">
        <f>J993*H993*首页!$B$12/P993</f>
        <v>0.69532757496605813</v>
      </c>
      <c r="L993" s="6">
        <f>首页!$B$9*0.0000000567*((C993^4-D993^4)/(C993-D993))</f>
        <v>7.7687338005019564</v>
      </c>
      <c r="M993" s="6">
        <f>IF(首页!$B$13="自然对流",IF(首页!$B$14="立式圆筒",首页!$B$10,PI()*B993/2),PI()*B993/2)</f>
        <v>55.2</v>
      </c>
      <c r="N993" s="7">
        <f>IF(首页!$B$13="强制对流",首页!$B$11*M993/H993,0)</f>
        <v>0</v>
      </c>
      <c r="O993" s="7">
        <f>IF(首页!$B$13="自然对流",IF(首页!$B$14="立式圆筒",(0.825+0.3063*I993^(1/6))^2+0.87*(M993/B993),(0.752+0.303*I993^(1/6))^2),0.3+SQRT((0.592*N993^0.5)^2+(0.0262*N993^0.8/(1-0.5/N993^0.1))^2))</f>
        <v>10042.119716675357</v>
      </c>
      <c r="P993" s="6">
        <f t="shared" si="155"/>
        <v>2.9510194925512497E-2</v>
      </c>
      <c r="Q993" s="6">
        <f t="shared" si="156"/>
        <v>5.3685672156598203</v>
      </c>
      <c r="R993" s="6">
        <f t="shared" si="157"/>
        <v>13.137301016161777</v>
      </c>
      <c r="S993" s="6">
        <f>IF($Y$2="按单位面积散热损失 qp",B993*LN(B993/首页!$B$4),LN(B993/首页!$B$4))</f>
        <v>5.9951768583730276</v>
      </c>
      <c r="T993" s="6">
        <f>IF($Y$2="按单位面积散热损失 qp",2*PI()*首页!$B$8*((E993-D993)/$Y$3-1/R993),2*PI()*首页!$B$8*((E993-D993)/$Y$4-1/(PI()*B993*R993)))</f>
        <v>4.0777551089125445E-2</v>
      </c>
      <c r="U993" t="str">
        <f t="shared" si="158"/>
        <v>按单位面积散热损失 qp</v>
      </c>
      <c r="V993" s="6">
        <f t="shared" si="159"/>
        <v>5.9543993072839019</v>
      </c>
    </row>
    <row r="994" spans="1:22" x14ac:dyDescent="0.15">
      <c r="A994">
        <v>989</v>
      </c>
      <c r="B994" s="6">
        <f>首页!$B$4+2*A994/1000</f>
        <v>2.0979999999999999</v>
      </c>
      <c r="C994" s="6">
        <f>首页!$B$7+273.15</f>
        <v>388.15</v>
      </c>
      <c r="D994" s="6">
        <f>首页!$B$6+273.15</f>
        <v>293.14999999999998</v>
      </c>
      <c r="E994" s="6">
        <f>首页!$B$5+273.15</f>
        <v>1373.15</v>
      </c>
      <c r="F994" s="6">
        <f t="shared" si="150"/>
        <v>95</v>
      </c>
      <c r="G994" s="6">
        <f t="shared" si="151"/>
        <v>340.65</v>
      </c>
      <c r="H994" s="6">
        <f t="shared" si="152"/>
        <v>1.9926207055139041E-5</v>
      </c>
      <c r="I994" s="7">
        <f t="shared" si="153"/>
        <v>1158916576932337.8</v>
      </c>
      <c r="J994" s="6">
        <f t="shared" si="154"/>
        <v>1.0226038455893147</v>
      </c>
      <c r="K994" s="7">
        <f>J994*H994*首页!$B$12/P994</f>
        <v>0.69532757496605813</v>
      </c>
      <c r="L994" s="6">
        <f>首页!$B$9*0.0000000567*((C994^4-D994^4)/(C994-D994))</f>
        <v>7.7687338005019564</v>
      </c>
      <c r="M994" s="6">
        <f>IF(首页!$B$13="自然对流",IF(首页!$B$14="立式圆筒",首页!$B$10,PI()*B994/2),PI()*B994/2)</f>
        <v>55.2</v>
      </c>
      <c r="N994" s="7">
        <f>IF(首页!$B$13="强制对流",首页!$B$11*M994/H994,0)</f>
        <v>0</v>
      </c>
      <c r="O994" s="7">
        <f>IF(首页!$B$13="自然对流",IF(首页!$B$14="立式圆筒",(0.825+0.3063*I994^(1/6))^2+0.87*(M994/B994),(0.752+0.303*I994^(1/6))^2),0.3+SQRT((0.592*N994^0.5)^2+(0.0262*N994^0.8/(1-0.5/N994^0.1))^2))</f>
        <v>10042.09787471755</v>
      </c>
      <c r="P994" s="6">
        <f t="shared" si="155"/>
        <v>2.9510194925512497E-2</v>
      </c>
      <c r="Q994" s="6">
        <f t="shared" si="156"/>
        <v>5.3685555388403925</v>
      </c>
      <c r="R994" s="6">
        <f t="shared" si="157"/>
        <v>13.137289339342349</v>
      </c>
      <c r="S994" s="6">
        <f>IF($Y$2="按单位面积散热损失 qp",B994*LN(B994/首页!$B$4),LN(B994/首页!$B$4))</f>
        <v>6.0028984008734643</v>
      </c>
      <c r="T994" s="6">
        <f>IF($Y$2="按单位面积散热损失 qp",2*PI()*首页!$B$8*((E994-D994)/$Y$3-1/R994),2*PI()*首页!$B$8*((E994-D994)/$Y$4-1/(PI()*B994*R994)))</f>
        <v>4.0777531959563275E-2</v>
      </c>
      <c r="U994" t="str">
        <f t="shared" si="158"/>
        <v>按单位面积散热损失 qp</v>
      </c>
      <c r="V994" s="6">
        <f t="shared" si="159"/>
        <v>5.9621208689139014</v>
      </c>
    </row>
    <row r="995" spans="1:22" x14ac:dyDescent="0.15">
      <c r="A995">
        <v>990</v>
      </c>
      <c r="B995" s="6">
        <f>首页!$B$4+2*A995/1000</f>
        <v>2.1</v>
      </c>
      <c r="C995" s="6">
        <f>首页!$B$7+273.15</f>
        <v>388.15</v>
      </c>
      <c r="D995" s="6">
        <f>首页!$B$6+273.15</f>
        <v>293.14999999999998</v>
      </c>
      <c r="E995" s="6">
        <f>首页!$B$5+273.15</f>
        <v>1373.15</v>
      </c>
      <c r="F995" s="6">
        <f t="shared" si="150"/>
        <v>95</v>
      </c>
      <c r="G995" s="6">
        <f t="shared" si="151"/>
        <v>340.65</v>
      </c>
      <c r="H995" s="6">
        <f t="shared" si="152"/>
        <v>1.9926207055139041E-5</v>
      </c>
      <c r="I995" s="7">
        <f t="shared" si="153"/>
        <v>1158916576932337.8</v>
      </c>
      <c r="J995" s="6">
        <f t="shared" si="154"/>
        <v>1.0226038455893147</v>
      </c>
      <c r="K995" s="7">
        <f>J995*H995*首页!$B$12/P995</f>
        <v>0.69532757496605813</v>
      </c>
      <c r="L995" s="6">
        <f>首页!$B$9*0.0000000567*((C995^4-D995^4)/(C995-D995))</f>
        <v>7.7687338005019564</v>
      </c>
      <c r="M995" s="6">
        <f>IF(首页!$B$13="自然对流",IF(首页!$B$14="立式圆筒",首页!$B$10,PI()*B995/2),PI()*B995/2)</f>
        <v>55.2</v>
      </c>
      <c r="N995" s="7">
        <f>IF(首页!$B$13="强制对流",首页!$B$11*M995/H995,0)</f>
        <v>0</v>
      </c>
      <c r="O995" s="7">
        <f>IF(首页!$B$13="自然对流",IF(首页!$B$14="立式圆筒",(0.825+0.3063*I995^(1/6))^2+0.87*(M995/B995),(0.752+0.303*I995^(1/6))^2),0.3+SQRT((0.592*N995^0.5)^2+(0.0262*N995^0.8/(1-0.5/N995^0.1))^2))</f>
        <v>10042.076074363471</v>
      </c>
      <c r="P995" s="6">
        <f t="shared" si="155"/>
        <v>2.9510194925512497E-2</v>
      </c>
      <c r="Q995" s="6">
        <f t="shared" si="156"/>
        <v>5.3685438842625235</v>
      </c>
      <c r="R995" s="6">
        <f t="shared" si="157"/>
        <v>13.137277684764481</v>
      </c>
      <c r="S995" s="6">
        <f>IF($Y$2="按单位面积散热损失 qp",B995*LN(B995/首页!$B$4),LN(B995/首页!$B$4))</f>
        <v>6.0106218499518844</v>
      </c>
      <c r="T995" s="6">
        <f>IF($Y$2="按单位面积散热损失 qp",2*PI()*首页!$B$8*((E995-D995)/$Y$3-1/R995),2*PI()*首页!$B$8*((E995-D995)/$Y$4-1/(PI()*B995*R995)))</f>
        <v>4.0777512866404443E-2</v>
      </c>
      <c r="U995" t="str">
        <f t="shared" si="158"/>
        <v>按单位面积散热损失 qp</v>
      </c>
      <c r="V995" s="6">
        <f t="shared" si="159"/>
        <v>5.9698443370854797</v>
      </c>
    </row>
    <row r="996" spans="1:22" x14ac:dyDescent="0.15">
      <c r="A996">
        <v>991</v>
      </c>
      <c r="B996" s="6">
        <f>首页!$B$4+2*A996/1000</f>
        <v>2.1019999999999999</v>
      </c>
      <c r="C996" s="6">
        <f>首页!$B$7+273.15</f>
        <v>388.15</v>
      </c>
      <c r="D996" s="6">
        <f>首页!$B$6+273.15</f>
        <v>293.14999999999998</v>
      </c>
      <c r="E996" s="6">
        <f>首页!$B$5+273.15</f>
        <v>1373.15</v>
      </c>
      <c r="F996" s="6">
        <f t="shared" si="150"/>
        <v>95</v>
      </c>
      <c r="G996" s="6">
        <f t="shared" si="151"/>
        <v>340.65</v>
      </c>
      <c r="H996" s="6">
        <f t="shared" si="152"/>
        <v>1.9926207055139041E-5</v>
      </c>
      <c r="I996" s="7">
        <f t="shared" si="153"/>
        <v>1158916576932337.8</v>
      </c>
      <c r="J996" s="6">
        <f t="shared" si="154"/>
        <v>1.0226038455893147</v>
      </c>
      <c r="K996" s="7">
        <f>J996*H996*首页!$B$12/P996</f>
        <v>0.69532757496605813</v>
      </c>
      <c r="L996" s="6">
        <f>首页!$B$9*0.0000000567*((C996^4-D996^4)/(C996-D996))</f>
        <v>7.7687338005019564</v>
      </c>
      <c r="M996" s="6">
        <f>IF(首页!$B$13="自然对流",IF(首页!$B$14="立式圆筒",首页!$B$10,PI()*B996/2),PI()*B996/2)</f>
        <v>55.2</v>
      </c>
      <c r="N996" s="7">
        <f>IF(首页!$B$13="强制对流",首页!$B$11*M996/H996,0)</f>
        <v>0</v>
      </c>
      <c r="O996" s="7">
        <f>IF(首页!$B$13="自然对流",IF(首页!$B$14="立式圆筒",(0.825+0.3063*I996^(1/6))^2+0.87*(M996/B996),(0.752+0.303*I996^(1/6))^2),0.3+SQRT((0.592*N996^0.5)^2+(0.0262*N996^0.8/(1-0.5/N996^0.1))^2))</f>
        <v>10042.054315494366</v>
      </c>
      <c r="P996" s="6">
        <f t="shared" si="155"/>
        <v>2.9510194925512497E-2</v>
      </c>
      <c r="Q996" s="6">
        <f t="shared" si="156"/>
        <v>5.3685322518627299</v>
      </c>
      <c r="R996" s="6">
        <f t="shared" si="157"/>
        <v>13.137266052364687</v>
      </c>
      <c r="S996" s="6">
        <f>IF($Y$2="按单位面积散热损失 qp",B996*LN(B996/首页!$B$4),LN(B996/首页!$B$4))</f>
        <v>6.0183472037924952</v>
      </c>
      <c r="T996" s="6">
        <f>IF($Y$2="按单位面积散热损失 qp",2*PI()*首页!$B$8*((E996-D996)/$Y$3-1/R996),2*PI()*首页!$B$8*((E996-D996)/$Y$4-1/(PI()*B996*R996)))</f>
        <v>4.0777493809545165E-2</v>
      </c>
      <c r="U996" t="str">
        <f t="shared" si="158"/>
        <v>按单位面积散热损失 qp</v>
      </c>
      <c r="V996" s="6">
        <f t="shared" si="159"/>
        <v>5.9775697099829497</v>
      </c>
    </row>
    <row r="997" spans="1:22" x14ac:dyDescent="0.15">
      <c r="A997">
        <v>992</v>
      </c>
      <c r="B997" s="6">
        <f>首页!$B$4+2*A997/1000</f>
        <v>2.1040000000000001</v>
      </c>
      <c r="C997" s="6">
        <f>首页!$B$7+273.15</f>
        <v>388.15</v>
      </c>
      <c r="D997" s="6">
        <f>首页!$B$6+273.15</f>
        <v>293.14999999999998</v>
      </c>
      <c r="E997" s="6">
        <f>首页!$B$5+273.15</f>
        <v>1373.15</v>
      </c>
      <c r="F997" s="6">
        <f t="shared" si="150"/>
        <v>95</v>
      </c>
      <c r="G997" s="6">
        <f t="shared" si="151"/>
        <v>340.65</v>
      </c>
      <c r="H997" s="6">
        <f t="shared" si="152"/>
        <v>1.9926207055139041E-5</v>
      </c>
      <c r="I997" s="7">
        <f t="shared" si="153"/>
        <v>1158916576932337.8</v>
      </c>
      <c r="J997" s="6">
        <f t="shared" si="154"/>
        <v>1.0226038455893147</v>
      </c>
      <c r="K997" s="7">
        <f>J997*H997*首页!$B$12/P997</f>
        <v>0.69532757496605813</v>
      </c>
      <c r="L997" s="6">
        <f>首页!$B$9*0.0000000567*((C997^4-D997^4)/(C997-D997))</f>
        <v>7.7687338005019564</v>
      </c>
      <c r="M997" s="6">
        <f>IF(首页!$B$13="自然对流",IF(首页!$B$14="立式圆筒",首页!$B$10,PI()*B997/2),PI()*B997/2)</f>
        <v>55.2</v>
      </c>
      <c r="N997" s="7">
        <f>IF(首页!$B$13="强制对流",首页!$B$11*M997/H997,0)</f>
        <v>0</v>
      </c>
      <c r="O997" s="7">
        <f>IF(首页!$B$13="自然对流",IF(首页!$B$14="立式圆筒",(0.825+0.3063*I997^(1/6))^2+0.87*(M997/B997),(0.752+0.303*I997^(1/6))^2),0.3+SQRT((0.592*N997^0.5)^2+(0.0262*N997^0.8/(1-0.5/N997^0.1))^2))</f>
        <v>10042.032597991934</v>
      </c>
      <c r="P997" s="6">
        <f t="shared" si="155"/>
        <v>2.9510194925512497E-2</v>
      </c>
      <c r="Q997" s="6">
        <f t="shared" si="156"/>
        <v>5.3685206415777653</v>
      </c>
      <c r="R997" s="6">
        <f t="shared" si="157"/>
        <v>13.137254442079723</v>
      </c>
      <c r="S997" s="6">
        <f>IF($Y$2="按单位面积散热损失 qp",B997*LN(B997/首页!$B$4),LN(B997/首页!$B$4))</f>
        <v>6.0260744605829677</v>
      </c>
      <c r="T997" s="6">
        <f>IF($Y$2="按单位面积散热损失 qp",2*PI()*首页!$B$8*((E997-D997)/$Y$3-1/R997),2*PI()*首页!$B$8*((E997-D997)/$Y$4-1/(PI()*B997*R997)))</f>
        <v>4.0777474788881996E-2</v>
      </c>
      <c r="U997" t="str">
        <f t="shared" si="158"/>
        <v>按单位面积散热损失 qp</v>
      </c>
      <c r="V997" s="6">
        <f t="shared" si="159"/>
        <v>5.9852969857940854</v>
      </c>
    </row>
    <row r="998" spans="1:22" x14ac:dyDescent="0.15">
      <c r="A998">
        <v>993</v>
      </c>
      <c r="B998" s="6">
        <f>首页!$B$4+2*A998/1000</f>
        <v>2.1059999999999999</v>
      </c>
      <c r="C998" s="6">
        <f>首页!$B$7+273.15</f>
        <v>388.15</v>
      </c>
      <c r="D998" s="6">
        <f>首页!$B$6+273.15</f>
        <v>293.14999999999998</v>
      </c>
      <c r="E998" s="6">
        <f>首页!$B$5+273.15</f>
        <v>1373.15</v>
      </c>
      <c r="F998" s="6">
        <f t="shared" si="150"/>
        <v>95</v>
      </c>
      <c r="G998" s="6">
        <f t="shared" si="151"/>
        <v>340.65</v>
      </c>
      <c r="H998" s="6">
        <f t="shared" si="152"/>
        <v>1.9926207055139041E-5</v>
      </c>
      <c r="I998" s="7">
        <f t="shared" si="153"/>
        <v>1158916576932337.8</v>
      </c>
      <c r="J998" s="6">
        <f t="shared" si="154"/>
        <v>1.0226038455893147</v>
      </c>
      <c r="K998" s="7">
        <f>J998*H998*首页!$B$12/P998</f>
        <v>0.69532757496605813</v>
      </c>
      <c r="L998" s="6">
        <f>首页!$B$9*0.0000000567*((C998^4-D998^4)/(C998-D998))</f>
        <v>7.7687338005019564</v>
      </c>
      <c r="M998" s="6">
        <f>IF(首页!$B$13="自然对流",IF(首页!$B$14="立式圆筒",首页!$B$10,PI()*B998/2),PI()*B998/2)</f>
        <v>55.2</v>
      </c>
      <c r="N998" s="7">
        <f>IF(首页!$B$13="强制对流",首页!$B$11*M998/H998,0)</f>
        <v>0</v>
      </c>
      <c r="O998" s="7">
        <f>IF(首页!$B$13="自然对流",IF(首页!$B$14="立式圆筒",(0.825+0.3063*I998^(1/6))^2+0.87*(M998/B998),(0.752+0.303*I998^(1/6))^2),0.3+SQRT((0.592*N998^0.5)^2+(0.0262*N998^0.8/(1-0.5/N998^0.1))^2))</f>
        <v>10042.010921738318</v>
      </c>
      <c r="P998" s="6">
        <f t="shared" si="155"/>
        <v>2.9510194925512497E-2</v>
      </c>
      <c r="Q998" s="6">
        <f t="shared" si="156"/>
        <v>5.3685090533446225</v>
      </c>
      <c r="R998" s="6">
        <f t="shared" si="157"/>
        <v>13.13724285384658</v>
      </c>
      <c r="S998" s="6">
        <f>IF($Y$2="按单位面积散热损失 qp",B998*LN(B998/首页!$B$4),LN(B998/首页!$B$4))</f>
        <v>6.0338036185144084</v>
      </c>
      <c r="T998" s="6">
        <f>IF($Y$2="按单位面积散热损失 qp",2*PI()*首页!$B$8*((E998-D998)/$Y$3-1/R998),2*PI()*首页!$B$8*((E998-D998)/$Y$4-1/(PI()*B998*R998)))</f>
        <v>4.077745580431192E-2</v>
      </c>
      <c r="U998" t="str">
        <f t="shared" si="158"/>
        <v>按单位面积散热损失 qp</v>
      </c>
      <c r="V998" s="6">
        <f t="shared" si="159"/>
        <v>5.9930261627100965</v>
      </c>
    </row>
    <row r="999" spans="1:22" x14ac:dyDescent="0.15">
      <c r="A999">
        <v>994</v>
      </c>
      <c r="B999" s="6">
        <f>首页!$B$4+2*A999/1000</f>
        <v>2.1080000000000001</v>
      </c>
      <c r="C999" s="6">
        <f>首页!$B$7+273.15</f>
        <v>388.15</v>
      </c>
      <c r="D999" s="6">
        <f>首页!$B$6+273.15</f>
        <v>293.14999999999998</v>
      </c>
      <c r="E999" s="6">
        <f>首页!$B$5+273.15</f>
        <v>1373.15</v>
      </c>
      <c r="F999" s="6">
        <f t="shared" si="150"/>
        <v>95</v>
      </c>
      <c r="G999" s="6">
        <f t="shared" si="151"/>
        <v>340.65</v>
      </c>
      <c r="H999" s="6">
        <f t="shared" si="152"/>
        <v>1.9926207055139041E-5</v>
      </c>
      <c r="I999" s="7">
        <f t="shared" si="153"/>
        <v>1158916576932337.8</v>
      </c>
      <c r="J999" s="6">
        <f t="shared" si="154"/>
        <v>1.0226038455893147</v>
      </c>
      <c r="K999" s="7">
        <f>J999*H999*首页!$B$12/P999</f>
        <v>0.69532757496605813</v>
      </c>
      <c r="L999" s="6">
        <f>首页!$B$9*0.0000000567*((C999^4-D999^4)/(C999-D999))</f>
        <v>7.7687338005019564</v>
      </c>
      <c r="M999" s="6">
        <f>IF(首页!$B$13="自然对流",IF(首页!$B$14="立式圆筒",首页!$B$10,PI()*B999/2),PI()*B999/2)</f>
        <v>55.2</v>
      </c>
      <c r="N999" s="7">
        <f>IF(首页!$B$13="强制对流",首页!$B$11*M999/H999,0)</f>
        <v>0</v>
      </c>
      <c r="O999" s="7">
        <f>IF(首页!$B$13="自然对流",IF(首页!$B$14="立式圆筒",(0.825+0.3063*I999^(1/6))^2+0.87*(M999/B999),(0.752+0.303*I999^(1/6))^2),0.3+SQRT((0.592*N999^0.5)^2+(0.0262*N999^0.8/(1-0.5/N999^0.1))^2))</f>
        <v>10041.989286616114</v>
      </c>
      <c r="P999" s="6">
        <f t="shared" si="155"/>
        <v>2.9510194925512497E-2</v>
      </c>
      <c r="Q999" s="6">
        <f t="shared" si="156"/>
        <v>5.3684974871005373</v>
      </c>
      <c r="R999" s="6">
        <f t="shared" si="157"/>
        <v>13.137231287602493</v>
      </c>
      <c r="S999" s="6">
        <f>IF($Y$2="按单位面积散热损失 qp",B999*LN(B999/首页!$B$4),LN(B999/首页!$B$4))</f>
        <v>6.0415346757813682</v>
      </c>
      <c r="T999" s="6">
        <f>IF($Y$2="按单位面积散热损失 qp",2*PI()*首页!$B$8*((E999-D999)/$Y$3-1/R999),2*PI()*首页!$B$8*((E999-D999)/$Y$4-1/(PI()*B999*R999)))</f>
        <v>4.0777436855732298E-2</v>
      </c>
      <c r="U999" t="str">
        <f t="shared" si="158"/>
        <v>按单位面积散热损失 qp</v>
      </c>
      <c r="V999" s="6">
        <f t="shared" si="159"/>
        <v>6.0007572389256358</v>
      </c>
    </row>
    <row r="1000" spans="1:22" x14ac:dyDescent="0.15">
      <c r="A1000">
        <v>995</v>
      </c>
      <c r="B1000" s="6">
        <f>首页!$B$4+2*A1000/1000</f>
        <v>2.11</v>
      </c>
      <c r="C1000" s="6">
        <f>首页!$B$7+273.15</f>
        <v>388.15</v>
      </c>
      <c r="D1000" s="6">
        <f>首页!$B$6+273.15</f>
        <v>293.14999999999998</v>
      </c>
      <c r="E1000" s="6">
        <f>首页!$B$5+273.15</f>
        <v>1373.15</v>
      </c>
      <c r="F1000" s="6">
        <f t="shared" si="150"/>
        <v>95</v>
      </c>
      <c r="G1000" s="6">
        <f t="shared" si="151"/>
        <v>340.65</v>
      </c>
      <c r="H1000" s="6">
        <f t="shared" si="152"/>
        <v>1.9926207055139041E-5</v>
      </c>
      <c r="I1000" s="7">
        <f t="shared" si="153"/>
        <v>1158916576932337.8</v>
      </c>
      <c r="J1000" s="6">
        <f t="shared" si="154"/>
        <v>1.0226038455893147</v>
      </c>
      <c r="K1000" s="7">
        <f>J1000*H1000*首页!$B$12/P1000</f>
        <v>0.69532757496605813</v>
      </c>
      <c r="L1000" s="6">
        <f>首页!$B$9*0.0000000567*((C1000^4-D1000^4)/(C1000-D1000))</f>
        <v>7.7687338005019564</v>
      </c>
      <c r="M1000" s="6">
        <f>IF(首页!$B$13="自然对流",IF(首页!$B$14="立式圆筒",首页!$B$10,PI()*B1000/2),PI()*B1000/2)</f>
        <v>55.2</v>
      </c>
      <c r="N1000" s="7">
        <f>IF(首页!$B$13="强制对流",首页!$B$11*M1000/H1000,0)</f>
        <v>0</v>
      </c>
      <c r="O1000" s="7">
        <f>IF(首页!$B$13="自然对流",IF(首页!$B$14="立式圆筒",(0.825+0.3063*I1000^(1/6))^2+0.87*(M1000/B1000),(0.752+0.303*I1000^(1/6))^2),0.3+SQRT((0.592*N1000^0.5)^2+(0.0262*N1000^0.8/(1-0.5/N1000^0.1))^2))</f>
        <v>10041.96769250836</v>
      </c>
      <c r="P1000" s="6">
        <f t="shared" si="155"/>
        <v>2.9510194925512497E-2</v>
      </c>
      <c r="Q1000" s="6">
        <f t="shared" si="156"/>
        <v>5.368485942782983</v>
      </c>
      <c r="R1000" s="6">
        <f t="shared" si="157"/>
        <v>13.137219743284939</v>
      </c>
      <c r="S1000" s="6">
        <f>IF($Y$2="按单位面积散热损失 qp",B1000*LN(B1000/首页!$B$4),LN(B1000/首页!$B$4))</f>
        <v>6.0492676305818192</v>
      </c>
      <c r="T1000" s="6">
        <f>IF($Y$2="按单位面积散热损失 qp",2*PI()*首页!$B$8*((E1000-D1000)/$Y$3-1/R1000),2*PI()*首页!$B$8*((E1000-D1000)/$Y$4-1/(PI()*B1000*R1000)))</f>
        <v>4.0777417943040885E-2</v>
      </c>
      <c r="U1000" t="str">
        <f t="shared" si="158"/>
        <v>按单位面积散热损失 qp</v>
      </c>
      <c r="V1000" s="6">
        <f t="shared" si="159"/>
        <v>6.0084902126387787</v>
      </c>
    </row>
    <row r="1001" spans="1:22" x14ac:dyDescent="0.15">
      <c r="A1001">
        <v>996</v>
      </c>
      <c r="B1001" s="6">
        <f>首页!$B$4+2*A1001/1000</f>
        <v>2.1120000000000001</v>
      </c>
      <c r="C1001" s="6">
        <f>首页!$B$7+273.15</f>
        <v>388.15</v>
      </c>
      <c r="D1001" s="6">
        <f>首页!$B$6+273.15</f>
        <v>293.14999999999998</v>
      </c>
      <c r="E1001" s="6">
        <f>首页!$B$5+273.15</f>
        <v>1373.15</v>
      </c>
      <c r="F1001" s="6">
        <f t="shared" si="150"/>
        <v>95</v>
      </c>
      <c r="G1001" s="6">
        <f t="shared" si="151"/>
        <v>340.65</v>
      </c>
      <c r="H1001" s="6">
        <f t="shared" si="152"/>
        <v>1.9926207055139041E-5</v>
      </c>
      <c r="I1001" s="7">
        <f t="shared" si="153"/>
        <v>1158916576932337.8</v>
      </c>
      <c r="J1001" s="6">
        <f t="shared" si="154"/>
        <v>1.0226038455893147</v>
      </c>
      <c r="K1001" s="7">
        <f>J1001*H1001*首页!$B$12/P1001</f>
        <v>0.69532757496605813</v>
      </c>
      <c r="L1001" s="6">
        <f>首页!$B$9*0.0000000567*((C1001^4-D1001^4)/(C1001-D1001))</f>
        <v>7.7687338005019564</v>
      </c>
      <c r="M1001" s="6">
        <f>IF(首页!$B$13="自然对流",IF(首页!$B$14="立式圆筒",首页!$B$10,PI()*B1001/2),PI()*B1001/2)</f>
        <v>55.2</v>
      </c>
      <c r="N1001" s="7">
        <f>IF(首页!$B$13="强制对流",首页!$B$11*M1001/H1001,0)</f>
        <v>0</v>
      </c>
      <c r="O1001" s="7">
        <f>IF(首页!$B$13="自然对流",IF(首页!$B$14="立式圆筒",(0.825+0.3063*I1001^(1/6))^2+0.87*(M1001/B1001),(0.752+0.303*I1001^(1/6))^2),0.3+SQRT((0.592*N1001^0.5)^2+(0.0262*N1001^0.8/(1-0.5/N1001^0.1))^2))</f>
        <v>10041.946139298536</v>
      </c>
      <c r="P1001" s="6">
        <f t="shared" si="155"/>
        <v>2.9510194925512497E-2</v>
      </c>
      <c r="Q1001" s="6">
        <f t="shared" si="156"/>
        <v>5.3684744203296635</v>
      </c>
      <c r="R1001" s="6">
        <f t="shared" si="157"/>
        <v>13.137208220831621</v>
      </c>
      <c r="S1001" s="6">
        <f>IF($Y$2="按单位面积散热损失 qp",B1001*LN(B1001/首页!$B$4),LN(B1001/首页!$B$4))</f>
        <v>6.057002481117153</v>
      </c>
      <c r="T1001" s="6">
        <f>IF($Y$2="按单位面积散热损失 qp",2*PI()*首页!$B$8*((E1001-D1001)/$Y$3-1/R1001),2*PI()*首页!$B$8*((E1001-D1001)/$Y$4-1/(PI()*B1001*R1001)))</f>
        <v>4.0777399066135818E-2</v>
      </c>
      <c r="U1001" t="str">
        <f t="shared" si="158"/>
        <v>按单位面积散热损失 qp</v>
      </c>
      <c r="V1001" s="6">
        <f t="shared" si="159"/>
        <v>6.016225082051017</v>
      </c>
    </row>
    <row r="1002" spans="1:22" x14ac:dyDescent="0.15">
      <c r="A1002">
        <v>997</v>
      </c>
      <c r="B1002" s="6">
        <f>首页!$B$4+2*A1002/1000</f>
        <v>2.1139999999999999</v>
      </c>
      <c r="C1002" s="6">
        <f>首页!$B$7+273.15</f>
        <v>388.15</v>
      </c>
      <c r="D1002" s="6">
        <f>首页!$B$6+273.15</f>
        <v>293.14999999999998</v>
      </c>
      <c r="E1002" s="6">
        <f>首页!$B$5+273.15</f>
        <v>1373.15</v>
      </c>
      <c r="F1002" s="6">
        <f t="shared" si="150"/>
        <v>95</v>
      </c>
      <c r="G1002" s="6">
        <f t="shared" si="151"/>
        <v>340.65</v>
      </c>
      <c r="H1002" s="6">
        <f t="shared" si="152"/>
        <v>1.9926207055139041E-5</v>
      </c>
      <c r="I1002" s="7">
        <f t="shared" si="153"/>
        <v>1158916576932337.8</v>
      </c>
      <c r="J1002" s="6">
        <f t="shared" si="154"/>
        <v>1.0226038455893147</v>
      </c>
      <c r="K1002" s="7">
        <f>J1002*H1002*首页!$B$12/P1002</f>
        <v>0.69532757496605813</v>
      </c>
      <c r="L1002" s="6">
        <f>首页!$B$9*0.0000000567*((C1002^4-D1002^4)/(C1002-D1002))</f>
        <v>7.7687338005019564</v>
      </c>
      <c r="M1002" s="6">
        <f>IF(首页!$B$13="自然对流",IF(首页!$B$14="立式圆筒",首页!$B$10,PI()*B1002/2),PI()*B1002/2)</f>
        <v>55.2</v>
      </c>
      <c r="N1002" s="7">
        <f>IF(首页!$B$13="强制对流",首页!$B$11*M1002/H1002,0)</f>
        <v>0</v>
      </c>
      <c r="O1002" s="7">
        <f>IF(首页!$B$13="自然对流",IF(首页!$B$14="立式圆筒",(0.825+0.3063*I1002^(1/6))^2+0.87*(M1002/B1002),(0.752+0.303*I1002^(1/6))^2),0.3+SQRT((0.592*N1002^0.5)^2+(0.0262*N1002^0.8/(1-0.5/N1002^0.1))^2))</f>
        <v>10041.924626870566</v>
      </c>
      <c r="P1002" s="6">
        <f t="shared" si="155"/>
        <v>2.9510194925512497E-2</v>
      </c>
      <c r="Q1002" s="6">
        <f t="shared" si="156"/>
        <v>5.368462919678529</v>
      </c>
      <c r="R1002" s="6">
        <f t="shared" si="157"/>
        <v>13.137196720180485</v>
      </c>
      <c r="S1002" s="6">
        <f>IF($Y$2="按单位面积散热损失 qp",B1002*LN(B1002/首页!$B$4),LN(B1002/首页!$B$4))</f>
        <v>6.0647392255921613</v>
      </c>
      <c r="T1002" s="6">
        <f>IF($Y$2="按单位面积散热损失 qp",2*PI()*首页!$B$8*((E1002-D1002)/$Y$3-1/R1002),2*PI()*首页!$B$8*((E1002-D1002)/$Y$4-1/(PI()*B1002*R1002)))</f>
        <v>4.077738022491563E-2</v>
      </c>
      <c r="U1002" t="str">
        <f t="shared" si="158"/>
        <v>按单位面积散热损失 qp</v>
      </c>
      <c r="V1002" s="6">
        <f t="shared" si="159"/>
        <v>6.0239618453672454</v>
      </c>
    </row>
    <row r="1003" spans="1:22" x14ac:dyDescent="0.15">
      <c r="A1003">
        <v>998</v>
      </c>
      <c r="B1003" s="6">
        <f>首页!$B$4+2*A1003/1000</f>
        <v>2.1160000000000001</v>
      </c>
      <c r="C1003" s="6">
        <f>首页!$B$7+273.15</f>
        <v>388.15</v>
      </c>
      <c r="D1003" s="6">
        <f>首页!$B$6+273.15</f>
        <v>293.14999999999998</v>
      </c>
      <c r="E1003" s="6">
        <f>首页!$B$5+273.15</f>
        <v>1373.15</v>
      </c>
      <c r="F1003" s="6">
        <f t="shared" si="150"/>
        <v>95</v>
      </c>
      <c r="G1003" s="6">
        <f t="shared" si="151"/>
        <v>340.65</v>
      </c>
      <c r="H1003" s="6">
        <f t="shared" si="152"/>
        <v>1.9926207055139041E-5</v>
      </c>
      <c r="I1003" s="7">
        <f t="shared" si="153"/>
        <v>1158916576932337.8</v>
      </c>
      <c r="J1003" s="6">
        <f t="shared" si="154"/>
        <v>1.0226038455893147</v>
      </c>
      <c r="K1003" s="7">
        <f>J1003*H1003*首页!$B$12/P1003</f>
        <v>0.69532757496605813</v>
      </c>
      <c r="L1003" s="6">
        <f>首页!$B$9*0.0000000567*((C1003^4-D1003^4)/(C1003-D1003))</f>
        <v>7.7687338005019564</v>
      </c>
      <c r="M1003" s="6">
        <f>IF(首页!$B$13="自然对流",IF(首页!$B$14="立式圆筒",首页!$B$10,PI()*B1003/2),PI()*B1003/2)</f>
        <v>55.2</v>
      </c>
      <c r="N1003" s="7">
        <f>IF(首页!$B$13="强制对流",首页!$B$11*M1003/H1003,0)</f>
        <v>0</v>
      </c>
      <c r="O1003" s="7">
        <f>IF(首页!$B$13="自然对流",IF(首页!$B$14="立式圆筒",(0.825+0.3063*I1003^(1/6))^2+0.87*(M1003/B1003),(0.752+0.303*I1003^(1/6))^2),0.3+SQRT((0.592*N1003^0.5)^2+(0.0262*N1003^0.8/(1-0.5/N1003^0.1))^2))</f>
        <v>10041.903155108814</v>
      </c>
      <c r="P1003" s="6">
        <f t="shared" si="155"/>
        <v>2.9510194925512497E-2</v>
      </c>
      <c r="Q1003" s="6">
        <f t="shared" si="156"/>
        <v>5.3684514407677542</v>
      </c>
      <c r="R1003" s="6">
        <f t="shared" si="157"/>
        <v>13.137185241269711</v>
      </c>
      <c r="S1003" s="6">
        <f>IF($Y$2="按单位面积散热损失 qp",B1003*LN(B1003/首页!$B$4),LN(B1003/首页!$B$4))</f>
        <v>6.0724778622150417</v>
      </c>
      <c r="T1003" s="6">
        <f>IF($Y$2="按单位面积散热损失 qp",2*PI()*首页!$B$8*((E1003-D1003)/$Y$3-1/R1003),2*PI()*首页!$B$8*((E1003-D1003)/$Y$4-1/(PI()*B1003*R1003)))</f>
        <v>4.0777361419279207E-2</v>
      </c>
      <c r="U1003" t="str">
        <f t="shared" si="158"/>
        <v>按单位面积散热损失 qp</v>
      </c>
      <c r="V1003" s="6">
        <f t="shared" si="159"/>
        <v>6.0317005007957629</v>
      </c>
    </row>
    <row r="1004" spans="1:22" x14ac:dyDescent="0.15">
      <c r="A1004">
        <v>999</v>
      </c>
      <c r="B1004" s="6">
        <f>首页!$B$4+2*A1004/1000</f>
        <v>2.1179999999999999</v>
      </c>
      <c r="C1004" s="6">
        <f>首页!$B$7+273.15</f>
        <v>388.15</v>
      </c>
      <c r="D1004" s="6">
        <f>首页!$B$6+273.15</f>
        <v>293.14999999999998</v>
      </c>
      <c r="E1004" s="6">
        <f>首页!$B$5+273.15</f>
        <v>1373.15</v>
      </c>
      <c r="F1004" s="6">
        <f t="shared" si="150"/>
        <v>95</v>
      </c>
      <c r="G1004" s="6">
        <f t="shared" si="151"/>
        <v>340.65</v>
      </c>
      <c r="H1004" s="6">
        <f t="shared" si="152"/>
        <v>1.9926207055139041E-5</v>
      </c>
      <c r="I1004" s="7">
        <f t="shared" si="153"/>
        <v>1158916576932337.8</v>
      </c>
      <c r="J1004" s="6">
        <f t="shared" si="154"/>
        <v>1.0226038455893147</v>
      </c>
      <c r="K1004" s="7">
        <f>J1004*H1004*首页!$B$12/P1004</f>
        <v>0.69532757496605813</v>
      </c>
      <c r="L1004" s="6">
        <f>首页!$B$9*0.0000000567*((C1004^4-D1004^4)/(C1004-D1004))</f>
        <v>7.7687338005019564</v>
      </c>
      <c r="M1004" s="6">
        <f>IF(首页!$B$13="自然对流",IF(首页!$B$14="立式圆筒",首页!$B$10,PI()*B1004/2),PI()*B1004/2)</f>
        <v>55.2</v>
      </c>
      <c r="N1004" s="7">
        <f>IF(首页!$B$13="强制对流",首页!$B$11*M1004/H1004,0)</f>
        <v>0</v>
      </c>
      <c r="O1004" s="7">
        <f>IF(首页!$B$13="自然对流",IF(首页!$B$14="立式圆筒",(0.825+0.3063*I1004^(1/6))^2+0.87*(M1004/B1004),(0.752+0.303*I1004^(1/6))^2),0.3+SQRT((0.592*N1004^0.5)^2+(0.0262*N1004^0.8/(1-0.5/N1004^0.1))^2))</f>
        <v>10041.881723898072</v>
      </c>
      <c r="P1004" s="6">
        <f t="shared" si="155"/>
        <v>2.9510194925512497E-2</v>
      </c>
      <c r="Q1004" s="6">
        <f t="shared" si="156"/>
        <v>5.3684399835357528</v>
      </c>
      <c r="R1004" s="6">
        <f t="shared" si="157"/>
        <v>13.13717378403771</v>
      </c>
      <c r="S1004" s="6">
        <f>IF($Y$2="按单位面积散热损失 qp",B1004*LN(B1004/首页!$B$4),LN(B1004/首页!$B$4))</f>
        <v>6.0802183891973689</v>
      </c>
      <c r="T1004" s="6">
        <f>IF($Y$2="按单位面积散热损失 qp",2*PI()*首页!$B$8*((E1004-D1004)/$Y$3-1/R1004),2*PI()*首页!$B$8*((E1004-D1004)/$Y$4-1/(PI()*B1004*R1004)))</f>
        <v>4.0777342649125865E-2</v>
      </c>
      <c r="U1004" t="str">
        <f t="shared" si="158"/>
        <v>按单位面积散热损失 qp</v>
      </c>
      <c r="V1004" s="6">
        <f t="shared" si="159"/>
        <v>6.0394410465482427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首页</vt:lpstr>
      <vt:lpstr>迭代计算</vt:lpstr>
      <vt:lpstr>公式说明</vt:lpstr>
      <vt:lpstr>允许散热损失法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王梓安 wangzian</cp:lastModifiedBy>
  <dcterms:created xsi:type="dcterms:W3CDTF">2026-03-31T08:19:48Z</dcterms:created>
  <dcterms:modified xsi:type="dcterms:W3CDTF">2026-04-14T09:50:51Z</dcterms:modified>
</cp:coreProperties>
</file>