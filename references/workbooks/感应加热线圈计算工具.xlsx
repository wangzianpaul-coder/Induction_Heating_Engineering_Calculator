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<sst xmlns="http://schemas.openxmlformats.org/spreadsheetml/2006/main" count="75" uniqueCount="48">
  <si>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类别</t>
  </si>
  <si>
    <t>参数名称</t>
  </si>
  <si>
    <t>数值/公式示例</t>
  </si>
  <si>
    <t>单位</t>
  </si>
  <si>
    <t>输入参数</t>
  </si>
  <si>
    <t>常量</t>
  </si>
  <si>
    <t>中间计算</t>
  </si>
  <si>
    <t>最终结果</t>
  </si>
  <si>
    <t>额定功率 (P)</t>
  </si>
  <si>
    <t>工作频率 (f)</t>
  </si>
  <si>
    <t>线圈内径 (D1)</t>
  </si>
  <si>
    <t>炉料外径 (D2)</t>
  </si>
  <si>
    <t>线圈总匝数 (N)</t>
  </si>
  <si>
    <t>线圈总高度 (L1)</t>
  </si>
  <si>
    <t>铜管高度 (h_cu)</t>
  </si>
  <si>
    <t>炉料高度 (L2)</t>
  </si>
  <si>
    <t>炉料电阻率 (rho_w)</t>
  </si>
  <si>
    <t>铜电阻率 (rho_cu)</t>
  </si>
  <si>
    <t>真空磁导率 (mu0)</t>
  </si>
  <si>
    <t>进出水温差 (deltaT)</t>
  </si>
  <si>
    <t>铜管肌肤深度 (delta_cu)</t>
  </si>
  <si>
    <t>炉料肌肤深度 (delta_w)</t>
  </si>
  <si>
    <t>线圈电阻 (Rc)</t>
  </si>
  <si>
    <t>等效电感 (Leq) - 估算</t>
  </si>
  <si>
    <t>等效电阻 (Req)</t>
  </si>
  <si>
    <t>品质因数 (Q)</t>
  </si>
  <si>
    <t>线圈电流 (I)</t>
  </si>
  <si>
    <t>线圈损耗 (P_loss)</t>
  </si>
  <si>
    <t>线圈电压 (V_coil)</t>
  </si>
  <si>
    <t>冷却水流量 (W)</t>
  </si>
  <si>
    <t>变压器匝数比</t>
  </si>
  <si>
    <t>12.38e-6</t>
  </si>
  <si>
    <t>0.035048</t>
  </si>
  <si>
    <t>kW</t>
  </si>
  <si>
    <t>Hz</t>
  </si>
  <si>
    <t>mm</t>
  </si>
  <si>
    <t>匝</t>
  </si>
  <si>
    <t>Ω·m</t>
  </si>
  <si>
    <t>H/m</t>
  </si>
  <si>
    <t>°C</t>
  </si>
  <si>
    <t>m</t>
  </si>
  <si>
    <t>Ω</t>
  </si>
  <si>
    <t>H</t>
  </si>
  <si>
    <t>-</t>
  </si>
  <si>
    <t>A</t>
  </si>
  <si>
    <t>V</t>
  </si>
  <si>
    <t>L/min</t>
  </si>
  <si>
    <t>比值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</si>
</sst>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133</v>
      </c>
      <c r="D2" t="s">
        <v>33</v>
      </c>
    </row>
    <row r="3" spans="1:4">
      <c r="A3" t="s">
        <v>4</v>
      </c>
      <c r="B3" t="s">
        <v>9</v>
      </c>
      <c r="C3">
        <v>10000</v>
      </c>
      <c r="D3" t="s">
        <v>34</v>
      </c>
    </row>
    <row r="4" spans="1:4">
      <c r="A4" t="s">
        <v>4</v>
      </c>
      <c r="B4" t="s">
        <v>10</v>
      </c>
      <c r="C4">
        <v>888</v>
      </c>
      <c r="D4" t="s">
        <v>35</v>
      </c>
    </row>
    <row r="5" spans="1:4">
      <c r="A5" t="s">
        <v>4</v>
      </c>
      <c r="B5" t="s">
        <v>11</v>
      </c>
      <c r="C5">
        <v>766</v>
      </c>
      <c r="D5" t="s">
        <v>35</v>
      </c>
    </row>
    <row r="6" spans="1:4">
      <c r="A6" t="s">
        <v>4</v>
      </c>
      <c r="B6" t="s">
        <v>12</v>
      </c>
      <c r="C6">
        <v>4</v>
      </c>
      <c r="D6" t="s">
        <v>36</v>
      </c>
    </row>
    <row r="7" spans="1:4">
      <c r="A7" t="s">
        <v>4</v>
      </c>
      <c r="B7" t="s">
        <v>13</v>
      </c>
      <c r="C7">
        <v>300</v>
      </c>
      <c r="D7" t="s">
        <v>35</v>
      </c>
    </row>
    <row r="8" spans="1:4">
      <c r="A8" t="s">
        <v>4</v>
      </c>
      <c r="B8" t="s">
        <v>14</v>
      </c>
      <c r="C8">
        <v>60</v>
      </c>
      <c r="D8" t="s">
        <v>35</v>
      </c>
    </row>
    <row r="9" spans="1:4">
      <c r="A9" t="s">
        <v>4</v>
      </c>
      <c r="B9" t="s">
        <v>15</v>
      </c>
      <c r="C9">
        <v>300</v>
      </c>
      <c r="D9" t="s">
        <v>35</v>
      </c>
    </row>
    <row r="10" spans="1:4">
      <c r="A10" t="s">
        <v>4</v>
      </c>
      <c r="B10" t="s">
        <v>16</v>
      </c>
      <c r="C10">
        <v>3E-06</v>
      </c>
      <c r="D10" t="s">
        <v>37</v>
      </c>
    </row>
    <row r="12" spans="1:4">
      <c r="A12" t="s">
        <v>5</v>
      </c>
      <c r="B12" t="s">
        <v>17</v>
      </c>
      <c r="C12">
        <v>2E-08</v>
      </c>
      <c r="D12" t="s">
        <v>37</v>
      </c>
    </row>
    <row r="13" spans="1:4">
      <c r="A13" t="s">
        <v>5</v>
      </c>
      <c r="B13" t="s">
        <v>18</v>
      </c>
      <c r="C13">
        <v>1.2566E-06</v>
      </c>
      <c r="D13" t="s">
        <v>38</v>
      </c>
    </row>
    <row r="14" spans="1:4">
      <c r="A14" t="s">
        <v>5</v>
      </c>
      <c r="B14" t="s">
        <v>19</v>
      </c>
      <c r="C14">
        <v>20</v>
      </c>
      <c r="D14" t="s">
        <v>39</v>
      </c>
    </row>
    <row r="16" spans="1:4">
      <c r="A16" t="s">
        <v>6</v>
      </c>
      <c r="B16" t="s">
        <v>20</v>
      </c>
      <c r="C16">
        <f>SQRT(B11/(PI()*B2*B12))</f>
        <v>0</v>
      </c>
      <c r="D16" t="s">
        <v>40</v>
      </c>
    </row>
    <row r="17" spans="1:4">
      <c r="A17" t="s">
        <v>6</v>
      </c>
      <c r="B17" t="s">
        <v>21</v>
      </c>
      <c r="C17">
        <f>SQRT(B9/(PI()*B2*B12))</f>
        <v>0</v>
      </c>
      <c r="D17" t="s">
        <v>40</v>
      </c>
    </row>
    <row r="18" spans="1:4">
      <c r="A18" t="s">
        <v>6</v>
      </c>
      <c r="B18" t="s">
        <v>22</v>
      </c>
      <c r="C18">
        <f>B11*(PI()*(B3/1000)*B5)/((B7/1000)*B15)</f>
        <v>0</v>
      </c>
      <c r="D18" t="s">
        <v>41</v>
      </c>
    </row>
    <row r="19" spans="1:4">
      <c r="A19" t="s">
        <v>6</v>
      </c>
      <c r="B19" t="s">
        <v>23</v>
      </c>
      <c r="C19" t="s">
        <v>31</v>
      </c>
      <c r="D19" t="s">
        <v>42</v>
      </c>
    </row>
    <row r="20" spans="1:4">
      <c r="A20" t="s">
        <v>6</v>
      </c>
      <c r="B20" t="s">
        <v>24</v>
      </c>
      <c r="C20" t="s">
        <v>32</v>
      </c>
      <c r="D20" t="s">
        <v>41</v>
      </c>
    </row>
    <row r="21" spans="1:4">
      <c r="A21" t="s">
        <v>6</v>
      </c>
      <c r="B21" t="s">
        <v>25</v>
      </c>
      <c r="C21">
        <f>(2*PI()*B2*B18)/B19</f>
        <v>0</v>
      </c>
      <c r="D21" t="s">
        <v>43</v>
      </c>
    </row>
    <row r="23" spans="1:4">
      <c r="A23" t="s">
        <v>7</v>
      </c>
      <c r="B23" t="s">
        <v>26</v>
      </c>
      <c r="C23">
        <f>SQRT(B1*1000/B19)</f>
        <v>0</v>
      </c>
      <c r="D23" t="s">
        <v>44</v>
      </c>
    </row>
    <row r="24" spans="1:4">
      <c r="A24" t="s">
        <v>7</v>
      </c>
      <c r="B24" t="s">
        <v>27</v>
      </c>
      <c r="C24">
        <f>B22^2*B17/1000</f>
        <v>0</v>
      </c>
      <c r="D24" t="s">
        <v>33</v>
      </c>
    </row>
    <row r="25" spans="1:4">
      <c r="A25" t="s">
        <v>7</v>
      </c>
      <c r="B25" t="s">
        <v>28</v>
      </c>
      <c r="C25">
        <f>B22*2*PI()*B2*B18</f>
        <v>0</v>
      </c>
      <c r="D25" t="s">
        <v>45</v>
      </c>
    </row>
    <row r="26" spans="1:4">
      <c r="A26" t="s">
        <v>7</v>
      </c>
      <c r="B26" t="s">
        <v>29</v>
      </c>
      <c r="C26">
        <f>(B23 + 0.2*(B1-B23))*860/(60*B13)</f>
        <v>0</v>
      </c>
      <c r="D26" t="s">
        <v>46</v>
      </c>
    </row>
    <row r="27" spans="1:4">
      <c r="A27" t="s">
        <v>7</v>
      </c>
      <c r="B27" t="s">
        <v>30</v>
      </c>
      <c r="C27">
        <f>B22/(B1*1000/513)</f>
        <v>0</v>
      </c>
      <c r="D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2026-03-19T01:49:13Z</dcterms:created>
  <dcterms:modified xsi:type="dcterms:W3CDTF">2026-03-19T01:49:13Z</dcterms:modified>
</cp:coreProperties>
</file>