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页" sheetId="1" state="visible" r:id="rId1"/>
    <sheet xmlns:r="http://schemas.openxmlformats.org/officeDocument/2006/relationships" name="Nagaoka系数" sheetId="2" state="visible" r:id="rId2"/>
    <sheet xmlns:r="http://schemas.openxmlformats.org/officeDocument/2006/relationships" name="Wheeler公式" sheetId="3" state="visible" r:id="rId3"/>
    <sheet xmlns:r="http://schemas.openxmlformats.org/officeDocument/2006/relationships" name="保温层厚度" sheetId="4" state="visible" r:id="rId4"/>
    <sheet xmlns:r="http://schemas.openxmlformats.org/officeDocument/2006/relationships" name="冷却水流量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b val="1"/>
      <color rgb="00000000"/>
      <sz val="11"/>
    </font>
    <font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4" customWidth="1" min="4" max="4"/>
    <col width="4" customWidth="1" min="5" max="5"/>
    <col width="22" customWidth="1" min="6" max="6"/>
    <col width="16" customWidth="1" min="7" max="7"/>
    <col width="12" customWidth="1" min="8" max="8"/>
    <col width="16" customWidth="1" min="9" max="9"/>
  </cols>
  <sheetData>
    <row r="1" ht="26" customHeight="1">
      <c r="A1" s="1" t="inlineStr">
        <is>
          <t>一种感应加热炉管 - 综合计算主页</t>
        </is>
      </c>
    </row>
    <row r="2" ht="20" customHeight="1"/>
    <row r="3" ht="20" customHeight="1">
      <c r="A3" s="2" t="inlineStr">
        <is>
          <t>电感计算输入（主页只输入，计算由专用工作表完成）</t>
        </is>
      </c>
      <c r="F3" s="2" t="inlineStr">
        <is>
          <t>结果汇总（均由专用工作表提取）</t>
        </is>
      </c>
    </row>
    <row r="4" ht="20" customHeight="1">
      <c r="A4" s="3" t="inlineStr">
        <is>
          <t>线圈内径 D1</t>
        </is>
      </c>
      <c r="B4" s="4" t="n">
        <v>220</v>
      </c>
      <c r="C4" s="5" t="inlineStr">
        <is>
          <t>mm</t>
        </is>
      </c>
      <c r="D4" s="6" t="inlineStr">
        <is>
          <t>供 Nagaoka / Wheeler 使用</t>
        </is>
      </c>
      <c r="F4" s="3" t="inlineStr">
        <is>
          <t>Nagaoka 系数 KN</t>
        </is>
      </c>
      <c r="G4" s="7">
        <f>'Nagaoka系数'!E8</f>
        <v/>
      </c>
      <c r="H4" s="5" t="inlineStr"/>
    </row>
    <row r="5" ht="20" customHeight="1">
      <c r="A5" s="3" t="inlineStr">
        <is>
          <t>线圈高度 L1</t>
        </is>
      </c>
      <c r="B5" s="4" t="n">
        <v>1323</v>
      </c>
      <c r="C5" s="5" t="inlineStr">
        <is>
          <t>mm</t>
        </is>
      </c>
      <c r="D5" s="6" t="inlineStr">
        <is>
          <t>线圈总长度</t>
        </is>
      </c>
      <c r="F5" s="3" t="inlineStr">
        <is>
          <t>Wheeler 单层电感</t>
        </is>
      </c>
      <c r="G5" s="7">
        <f>'Wheeler公式'!B13</f>
        <v/>
      </c>
      <c r="H5" s="5" t="inlineStr">
        <is>
          <t>μH</t>
        </is>
      </c>
    </row>
    <row r="6" ht="20" customHeight="1">
      <c r="A6" s="3" t="inlineStr">
        <is>
          <t>匝数 N</t>
        </is>
      </c>
      <c r="B6" s="4" t="n">
        <v>23</v>
      </c>
      <c r="C6" s="5" t="inlineStr">
        <is>
          <t>匝</t>
        </is>
      </c>
      <c r="D6" s="6" t="inlineStr">
        <is>
          <t>总匝数</t>
        </is>
      </c>
      <c r="F6" s="3" t="inlineStr">
        <is>
          <t>Wheeler 多层电感</t>
        </is>
      </c>
      <c r="G6" s="7">
        <f>'Wheeler公式'!G13</f>
        <v/>
      </c>
      <c r="H6" s="5" t="inlineStr">
        <is>
          <t>μH</t>
        </is>
      </c>
    </row>
    <row r="7" ht="20" customHeight="1">
      <c r="A7" s="3" t="inlineStr">
        <is>
          <t>径向厚度 c</t>
        </is>
      </c>
      <c r="B7" s="4" t="n">
        <v>4</v>
      </c>
      <c r="C7" s="5" t="inlineStr">
        <is>
          <t>mm</t>
        </is>
      </c>
      <c r="D7" s="6" t="inlineStr">
        <is>
          <t>多层 Wheeler 用；单层时可取 0~4</t>
        </is>
      </c>
      <c r="F7" s="3" t="inlineStr">
        <is>
          <t>建议采用电感值</t>
        </is>
      </c>
      <c r="G7" s="7">
        <f>'Wheeler公式'!I13</f>
        <v/>
      </c>
      <c r="H7" s="5" t="inlineStr">
        <is>
          <t>μH</t>
        </is>
      </c>
    </row>
    <row r="8" ht="20" customHeight="1">
      <c r="A8" s="3" t="inlineStr">
        <is>
          <t>积分分段数 n</t>
        </is>
      </c>
      <c r="B8" s="4" t="n">
        <v>400</v>
      </c>
      <c r="C8" s="5" t="inlineStr">
        <is>
          <t>-</t>
        </is>
      </c>
      <c r="D8" s="6" t="inlineStr">
        <is>
          <t>Nagaoka 数值积分；建议偶数</t>
        </is>
      </c>
      <c r="F8" s="3" t="inlineStr">
        <is>
          <t>保温层厚度 δins</t>
        </is>
      </c>
      <c r="G8" s="7">
        <f>'保温层厚度'!B14</f>
        <v/>
      </c>
      <c r="H8" s="5" t="inlineStr">
        <is>
          <t>mm</t>
        </is>
      </c>
    </row>
    <row r="9" ht="20" customHeight="1">
      <c r="F9" s="3" t="inlineStr">
        <is>
          <t>保温层热流 Qins 校核</t>
        </is>
      </c>
      <c r="G9" s="7">
        <f>'保温层厚度'!B15</f>
        <v/>
      </c>
      <c r="H9" s="5" t="inlineStr">
        <is>
          <t>W</t>
        </is>
      </c>
    </row>
    <row r="10" ht="20" customHeight="1">
      <c r="F10" s="3" t="inlineStr">
        <is>
          <t>外表面对流+辐射</t>
        </is>
      </c>
      <c r="G10" s="7">
        <f>'保温层厚度'!B19</f>
        <v/>
      </c>
      <c r="H10" s="5" t="inlineStr">
        <is>
          <t>W</t>
        </is>
      </c>
    </row>
    <row r="11" ht="20" customHeight="1">
      <c r="A11" s="2" t="inlineStr">
        <is>
          <t>保温层计算输入（圆筒导热公式）</t>
        </is>
      </c>
      <c r="F11" s="3" t="inlineStr">
        <is>
          <t>冷却水总流量</t>
        </is>
      </c>
      <c r="G11" s="7">
        <f>'冷却水流量'!B12</f>
        <v/>
      </c>
      <c r="H11" s="5" t="inlineStr">
        <is>
          <t>L/min</t>
        </is>
      </c>
    </row>
    <row r="12" ht="20" customHeight="1">
      <c r="A12" s="3" t="inlineStr">
        <is>
          <t>炉管外径 Dp</t>
        </is>
      </c>
      <c r="B12" s="4" t="n">
        <v>109</v>
      </c>
      <c r="C12" s="5" t="inlineStr">
        <is>
          <t>mm</t>
        </is>
      </c>
      <c r="D12" s="6" t="inlineStr">
        <is>
          <t>用于 rp=Dp/2</t>
        </is>
      </c>
      <c r="F12" s="3" t="inlineStr">
        <is>
          <t>单路流量</t>
        </is>
      </c>
      <c r="G12" s="7">
        <f>'冷却水流量'!B13</f>
        <v/>
      </c>
      <c r="H12" s="5" t="inlineStr">
        <is>
          <t>L/min</t>
        </is>
      </c>
    </row>
    <row r="13" ht="20" customHeight="1">
      <c r="A13" s="3" t="inlineStr">
        <is>
          <t>计算长度 L</t>
        </is>
      </c>
      <c r="B13" s="4" t="n">
        <v>1323</v>
      </c>
      <c r="C13" s="5" t="inlineStr">
        <is>
          <t>mm</t>
        </is>
      </c>
      <c r="D13" s="6" t="inlineStr">
        <is>
          <t>保温段长度</t>
        </is>
      </c>
      <c r="F13" s="3" t="inlineStr">
        <is>
          <t>单路平均流速</t>
        </is>
      </c>
      <c r="G13" s="7">
        <f>'冷却水流量'!B14</f>
        <v/>
      </c>
      <c r="H13" s="5" t="inlineStr">
        <is>
          <t>m/s</t>
        </is>
      </c>
    </row>
    <row r="14" ht="20" customHeight="1">
      <c r="A14" s="3" t="inlineStr">
        <is>
          <t>保温层导热系数 λ</t>
        </is>
      </c>
      <c r="B14" s="4" t="n">
        <v>0.18</v>
      </c>
      <c r="C14" s="5" t="inlineStr">
        <is>
          <t>W/(m·K)</t>
        </is>
      </c>
      <c r="D14" s="6" t="inlineStr">
        <is>
          <t>按材料手册填写</t>
        </is>
      </c>
      <c r="F14" s="3" t="inlineStr">
        <is>
          <t>流速建议</t>
        </is>
      </c>
      <c r="G14" s="7">
        <f>'冷却水流量'!B15</f>
        <v/>
      </c>
      <c r="H14" s="5" t="inlineStr"/>
    </row>
    <row r="15" ht="20" customHeight="1">
      <c r="A15" s="3" t="inlineStr">
        <is>
          <t>炉管温度 Tp</t>
        </is>
      </c>
      <c r="B15" s="4" t="n">
        <v>850</v>
      </c>
      <c r="C15" s="5" t="inlineStr">
        <is>
          <t>℃</t>
        </is>
      </c>
      <c r="D15" s="6" t="inlineStr">
        <is>
          <t>热面温度</t>
        </is>
      </c>
    </row>
    <row r="16" ht="20" customHeight="1">
      <c r="A16" s="3" t="inlineStr">
        <is>
          <t>目标外表面温度 Ts</t>
        </is>
      </c>
      <c r="B16" s="4" t="n">
        <v>80</v>
      </c>
      <c r="C16" s="5" t="inlineStr">
        <is>
          <t>℃</t>
        </is>
      </c>
      <c r="D16" s="6" t="inlineStr">
        <is>
          <t>用于反算保温层厚度</t>
        </is>
      </c>
    </row>
    <row r="17" ht="20" customHeight="1">
      <c r="A17" s="3" t="inlineStr">
        <is>
          <t>允许热损失 Q</t>
        </is>
      </c>
      <c r="B17" s="4" t="n">
        <v>3000</v>
      </c>
      <c r="C17" s="5" t="inlineStr">
        <is>
          <t>W</t>
        </is>
      </c>
      <c r="D17" s="6" t="inlineStr">
        <is>
          <t>Q_ins 目标值</t>
        </is>
      </c>
      <c r="F17" s="8" t="inlineStr">
        <is>
          <t>使用说明：
1）主页只输入参数，不在主页进行 Nagaoka / Wheeler / 保温层 / 冷却水核心公式计算；
2）结果均链接自对应工作表；
3）Excel 打开后会自动重算，若未刷新请按 F9。</t>
        </is>
      </c>
    </row>
    <row r="18" ht="20" customHeight="1">
      <c r="A18" s="3" t="inlineStr">
        <is>
          <t>环境温度 T∞</t>
        </is>
      </c>
      <c r="B18" s="4" t="n">
        <v>25</v>
      </c>
      <c r="C18" s="5" t="inlineStr">
        <is>
          <t>℃</t>
        </is>
      </c>
      <c r="D18" s="6" t="inlineStr">
        <is>
          <t>供外表面对流/辐射参考</t>
        </is>
      </c>
    </row>
    <row r="19" ht="20" customHeight="1">
      <c r="A19" s="3" t="inlineStr">
        <is>
          <t>外表面对流系数 h</t>
        </is>
      </c>
      <c r="B19" s="4" t="n">
        <v>8</v>
      </c>
      <c r="C19" s="5" t="inlineStr">
        <is>
          <t>W/(m²·K)</t>
        </is>
      </c>
      <c r="D19" s="6" t="inlineStr">
        <is>
          <t>自然对流初值</t>
        </is>
      </c>
    </row>
    <row r="20" ht="20" customHeight="1">
      <c r="A20" s="3" t="inlineStr">
        <is>
          <t>外表面发射率 ε</t>
        </is>
      </c>
      <c r="B20" s="4" t="n">
        <v>0.85</v>
      </c>
      <c r="C20" s="5" t="inlineStr">
        <is>
          <t>-</t>
        </is>
      </c>
      <c r="D20" s="6" t="inlineStr">
        <is>
          <t>辐射热计算参考</t>
        </is>
      </c>
    </row>
    <row r="21" ht="20" customHeight="1"/>
    <row r="22" ht="20" customHeight="1"/>
    <row r="23" ht="20" customHeight="1">
      <c r="A23" s="2" t="inlineStr">
        <is>
          <t>冷却水输入</t>
        </is>
      </c>
    </row>
    <row r="24" ht="20" customHeight="1">
      <c r="A24" s="3" t="inlineStr">
        <is>
          <t>线圈损耗 Pcoil</t>
        </is>
      </c>
      <c r="B24" s="4" t="n">
        <v>24.7081</v>
      </c>
      <c r="C24" s="5" t="inlineStr">
        <is>
          <t>kW</t>
        </is>
      </c>
      <c r="D24" s="6" t="inlineStr">
        <is>
          <t>来自电磁计算</t>
        </is>
      </c>
    </row>
    <row r="25" ht="20" customHeight="1">
      <c r="A25" s="3" t="inlineStr">
        <is>
          <t>附加吸热 Qgap→coil</t>
        </is>
      </c>
      <c r="B25" s="4" t="n">
        <v>0</v>
      </c>
      <c r="C25" s="5" t="inlineStr">
        <is>
          <t>kW</t>
        </is>
      </c>
      <c r="D25" s="6" t="inlineStr">
        <is>
          <t>保温层/空气隙传到线圈的热量</t>
        </is>
      </c>
    </row>
    <row r="26" ht="20" customHeight="1">
      <c r="A26" s="3" t="inlineStr">
        <is>
          <t>冷却水进口温度</t>
        </is>
      </c>
      <c r="B26" s="4" t="n">
        <v>25</v>
      </c>
      <c r="C26" s="5" t="inlineStr">
        <is>
          <t>℃</t>
        </is>
      </c>
      <c r="D26" s="6" t="inlineStr">
        <is>
          <t>Tw,in</t>
        </is>
      </c>
    </row>
    <row r="27" ht="20" customHeight="1">
      <c r="A27" s="3" t="inlineStr">
        <is>
          <t>冷却水出口温度</t>
        </is>
      </c>
      <c r="B27" s="4" t="n">
        <v>35</v>
      </c>
      <c r="C27" s="5" t="inlineStr">
        <is>
          <t>℃</t>
        </is>
      </c>
      <c r="D27" s="6" t="inlineStr">
        <is>
          <t>Tw,out</t>
        </is>
      </c>
    </row>
    <row r="28" ht="20" customHeight="1">
      <c r="A28" s="3" t="inlineStr">
        <is>
          <t>铜管内径 di</t>
        </is>
      </c>
      <c r="B28" s="4" t="n">
        <v>20</v>
      </c>
      <c r="C28" s="5" t="inlineStr">
        <is>
          <t>mm</t>
        </is>
      </c>
      <c r="D28" s="6" t="inlineStr">
        <is>
          <t>用于流速校核</t>
        </is>
      </c>
    </row>
    <row r="29" ht="20" customHeight="1">
      <c r="A29" s="3" t="inlineStr">
        <is>
          <t>并联水路数</t>
        </is>
      </c>
      <c r="B29" s="4" t="n">
        <v>1</v>
      </c>
      <c r="C29" s="5" t="inlineStr">
        <is>
          <t>路</t>
        </is>
      </c>
      <c r="D29" s="6" t="inlineStr">
        <is>
          <t>总流量按支路平均分配</t>
        </is>
      </c>
    </row>
  </sheetData>
  <mergeCells count="6">
    <mergeCell ref="A1:H1"/>
    <mergeCell ref="A23:D23"/>
    <mergeCell ref="A3:D3"/>
    <mergeCell ref="F17:H21"/>
    <mergeCell ref="A11:D11"/>
    <mergeCell ref="F3:H3"/>
  </mergeCells>
  <dataValidations count="2">
    <dataValidation sqref="B8" showDropDown="0" showInputMessage="0" showErrorMessage="0" allowBlank="0" type="whole" operator="between">
      <formula1>2</formula1>
      <formula2>1000</formula2>
    </dataValidation>
    <dataValidation sqref="B29" showDropDown="0" showInputMessage="0" showErrorMessage="0" allowBlank="0" type="whole" operator="between">
      <formula1>1</formula1>
      <formula2>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14" customWidth="1" min="11" max="11"/>
    <col width="10" customWidth="1" min="12" max="12"/>
    <col width="14" customWidth="1" min="13" max="13"/>
    <col width="14" customWidth="1" min="14" max="14"/>
  </cols>
  <sheetData>
    <row r="1" ht="20" customHeight="1">
      <c r="A1" s="1" t="inlineStr">
        <is>
          <t>Nagaoka 系数计算</t>
        </is>
      </c>
    </row>
    <row r="2" ht="20" customHeight="1"/>
    <row r="3" ht="20" customHeight="1">
      <c r="A3" s="2" t="inlineStr">
        <is>
          <t>输入（全部引用主页）</t>
        </is>
      </c>
      <c r="D3" s="2" t="inlineStr">
        <is>
          <t>输出</t>
        </is>
      </c>
    </row>
    <row r="4" ht="20" customHeight="1">
      <c r="A4" s="3" t="inlineStr">
        <is>
          <t>线圈半径 a</t>
        </is>
      </c>
      <c r="B4" s="4">
        <f>主页!B4/2</f>
        <v/>
      </c>
      <c r="C4" s="5" t="inlineStr">
        <is>
          <t>mm</t>
        </is>
      </c>
      <c r="D4" s="3" t="inlineStr">
        <is>
          <t>2a/b</t>
        </is>
      </c>
      <c r="E4" s="9">
        <f>2*B4/B5</f>
        <v/>
      </c>
    </row>
    <row r="5" ht="20" customHeight="1">
      <c r="A5" s="3" t="inlineStr">
        <is>
          <t>线圈长度 b</t>
        </is>
      </c>
      <c r="B5" s="4">
        <f>主页!B5</f>
        <v/>
      </c>
      <c r="C5" s="5" t="inlineStr">
        <is>
          <t>mm</t>
        </is>
      </c>
      <c r="D5" s="3" t="inlineStr">
        <is>
          <t>模数 k</t>
        </is>
      </c>
      <c r="E5" s="9">
        <f>2*B4/SQRT(4*B4^2+B5^2)</f>
        <v/>
      </c>
    </row>
    <row r="6" ht="20" customHeight="1">
      <c r="A6" s="3" t="inlineStr">
        <is>
          <t>积分分段数 n</t>
        </is>
      </c>
      <c r="B6" s="4">
        <f>主页!B8</f>
        <v/>
      </c>
      <c r="C6" s="5" t="inlineStr">
        <is>
          <t>-</t>
        </is>
      </c>
      <c r="D6" s="3" t="inlineStr">
        <is>
          <t>K(k)</t>
        </is>
      </c>
      <c r="E6" s="9">
        <f>((PI()/(2*$B$6))/3)*SUMPRODUCT(INDEX($L$20:$L$1020,1):INDEX($L$20:$L$1020,$B$6+1),INDEX($M$20:$M$1020,1):INDEX($M$20:$M$1020,$B$6+1))</f>
        <v/>
      </c>
    </row>
    <row r="7" ht="20" customHeight="1">
      <c r="D7" s="3" t="inlineStr">
        <is>
          <t>E(k)</t>
        </is>
      </c>
      <c r="E7" s="9">
        <f>((PI()/(2*$B$6))/3)*SUMPRODUCT(INDEX($L$20:$L$1020,1):INDEX($L$20:$L$1020,$B$6+1),INDEX($N$20:$N$1020,1):INDEX($N$20:$N$1020,$B$6+1))</f>
        <v/>
      </c>
    </row>
    <row r="8" ht="20" customHeight="1">
      <c r="D8" s="3" t="inlineStr">
        <is>
          <t>KN</t>
        </is>
      </c>
      <c r="E8" s="7">
        <f>(((B5*SQRT(4*B4^2+B5^2))/B4^2)*(E6-E7)+((4*SQRT(4*B4^2+B5^2))/B5)*E7-(8*B4/B5))/(3*PI())</f>
        <v/>
      </c>
    </row>
    <row r="9" ht="20" customHeight="1"/>
    <row r="10" ht="20" customHeight="1">
      <c r="A10" s="8" t="inlineStr">
        <is>
          <t>说明：为匹配 2R/l 表，这里采用 a=R、b=l。K(k)、E(k) 通过 Simpson 数值积分得到。</t>
        </is>
      </c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>
      <c r="J19" s="10" t="inlineStr">
        <is>
          <t>i</t>
        </is>
      </c>
      <c r="K19" s="10" t="inlineStr">
        <is>
          <t>θ</t>
        </is>
      </c>
      <c r="L19" s="10" t="inlineStr">
        <is>
          <t>权重</t>
        </is>
      </c>
      <c r="M19" s="10" t="inlineStr">
        <is>
          <t>fK</t>
        </is>
      </c>
      <c r="N19" s="10" t="inlineStr">
        <is>
          <t>fE</t>
        </is>
      </c>
    </row>
    <row r="20" ht="20" customHeight="1">
      <c r="J20" t="n">
        <v>0</v>
      </c>
      <c r="K20">
        <f>J20*PI()/(2*$B$6)</f>
        <v/>
      </c>
      <c r="L20">
        <f>IF(OR(J20=0,J20=$B$6),1,IF(MOD(J20,2)=1,4,2))</f>
        <v/>
      </c>
      <c r="M20">
        <f>1/SQRT(1-($E$5^2)*(SIN(K20)^2))</f>
        <v/>
      </c>
      <c r="N20">
        <f>SQRT(1-($E$5^2)*(SIN(K20)^2))</f>
        <v/>
      </c>
    </row>
    <row r="21" ht="20" customHeight="1">
      <c r="J21" t="n">
        <v>1</v>
      </c>
      <c r="K21">
        <f>J21*PI()/(2*$B$6)</f>
        <v/>
      </c>
      <c r="L21">
        <f>IF(OR(J21=0,J21=$B$6),1,IF(MOD(J21,2)=1,4,2))</f>
        <v/>
      </c>
      <c r="M21">
        <f>1/SQRT(1-($E$5^2)*(SIN(K21)^2))</f>
        <v/>
      </c>
      <c r="N21">
        <f>SQRT(1-($E$5^2)*(SIN(K21)^2))</f>
        <v/>
      </c>
    </row>
    <row r="22" ht="20" customHeight="1">
      <c r="J22" t="n">
        <v>2</v>
      </c>
      <c r="K22">
        <f>J22*PI()/(2*$B$6)</f>
        <v/>
      </c>
      <c r="L22">
        <f>IF(OR(J22=0,J22=$B$6),1,IF(MOD(J22,2)=1,4,2))</f>
        <v/>
      </c>
      <c r="M22">
        <f>1/SQRT(1-($E$5^2)*(SIN(K22)^2))</f>
        <v/>
      </c>
      <c r="N22">
        <f>SQRT(1-($E$5^2)*(SIN(K22)^2))</f>
        <v/>
      </c>
    </row>
    <row r="23" ht="20" customHeight="1">
      <c r="J23" t="n">
        <v>3</v>
      </c>
      <c r="K23">
        <f>J23*PI()/(2*$B$6)</f>
        <v/>
      </c>
      <c r="L23">
        <f>IF(OR(J23=0,J23=$B$6),1,IF(MOD(J23,2)=1,4,2))</f>
        <v/>
      </c>
      <c r="M23">
        <f>1/SQRT(1-($E$5^2)*(SIN(K23)^2))</f>
        <v/>
      </c>
      <c r="N23">
        <f>SQRT(1-($E$5^2)*(SIN(K23)^2))</f>
        <v/>
      </c>
    </row>
    <row r="24" ht="20" customHeight="1">
      <c r="J24" t="n">
        <v>4</v>
      </c>
      <c r="K24">
        <f>J24*PI()/(2*$B$6)</f>
        <v/>
      </c>
      <c r="L24">
        <f>IF(OR(J24=0,J24=$B$6),1,IF(MOD(J24,2)=1,4,2))</f>
        <v/>
      </c>
      <c r="M24">
        <f>1/SQRT(1-($E$5^2)*(SIN(K24)^2))</f>
        <v/>
      </c>
      <c r="N24">
        <f>SQRT(1-($E$5^2)*(SIN(K24)^2))</f>
        <v/>
      </c>
    </row>
    <row r="25" ht="20" customHeight="1">
      <c r="J25" t="n">
        <v>5</v>
      </c>
      <c r="K25">
        <f>J25*PI()/(2*$B$6)</f>
        <v/>
      </c>
      <c r="L25">
        <f>IF(OR(J25=0,J25=$B$6),1,IF(MOD(J25,2)=1,4,2))</f>
        <v/>
      </c>
      <c r="M25">
        <f>1/SQRT(1-($E$5^2)*(SIN(K25)^2))</f>
        <v/>
      </c>
      <c r="N25">
        <f>SQRT(1-($E$5^2)*(SIN(K25)^2))</f>
        <v/>
      </c>
    </row>
    <row r="26" ht="20" customHeight="1">
      <c r="J26" t="n">
        <v>6</v>
      </c>
      <c r="K26">
        <f>J26*PI()/(2*$B$6)</f>
        <v/>
      </c>
      <c r="L26">
        <f>IF(OR(J26=0,J26=$B$6),1,IF(MOD(J26,2)=1,4,2))</f>
        <v/>
      </c>
      <c r="M26">
        <f>1/SQRT(1-($E$5^2)*(SIN(K26)^2))</f>
        <v/>
      </c>
      <c r="N26">
        <f>SQRT(1-($E$5^2)*(SIN(K26)^2))</f>
        <v/>
      </c>
    </row>
    <row r="27" ht="20" customHeight="1">
      <c r="J27" t="n">
        <v>7</v>
      </c>
      <c r="K27">
        <f>J27*PI()/(2*$B$6)</f>
        <v/>
      </c>
      <c r="L27">
        <f>IF(OR(J27=0,J27=$B$6),1,IF(MOD(J27,2)=1,4,2))</f>
        <v/>
      </c>
      <c r="M27">
        <f>1/SQRT(1-($E$5^2)*(SIN(K27)^2))</f>
        <v/>
      </c>
      <c r="N27">
        <f>SQRT(1-($E$5^2)*(SIN(K27)^2))</f>
        <v/>
      </c>
    </row>
    <row r="28" ht="20" customHeight="1">
      <c r="J28" t="n">
        <v>8</v>
      </c>
      <c r="K28">
        <f>J28*PI()/(2*$B$6)</f>
        <v/>
      </c>
      <c r="L28">
        <f>IF(OR(J28=0,J28=$B$6),1,IF(MOD(J28,2)=1,4,2))</f>
        <v/>
      </c>
      <c r="M28">
        <f>1/SQRT(1-($E$5^2)*(SIN(K28)^2))</f>
        <v/>
      </c>
      <c r="N28">
        <f>SQRT(1-($E$5^2)*(SIN(K28)^2))</f>
        <v/>
      </c>
    </row>
    <row r="29" ht="20" customHeight="1">
      <c r="J29" t="n">
        <v>9</v>
      </c>
      <c r="K29">
        <f>J29*PI()/(2*$B$6)</f>
        <v/>
      </c>
      <c r="L29">
        <f>IF(OR(J29=0,J29=$B$6),1,IF(MOD(J29,2)=1,4,2))</f>
        <v/>
      </c>
      <c r="M29">
        <f>1/SQRT(1-($E$5^2)*(SIN(K29)^2))</f>
        <v/>
      </c>
      <c r="N29">
        <f>SQRT(1-($E$5^2)*(SIN(K29)^2))</f>
        <v/>
      </c>
    </row>
    <row r="30" ht="20" customHeight="1">
      <c r="J30" t="n">
        <v>10</v>
      </c>
      <c r="K30">
        <f>J30*PI()/(2*$B$6)</f>
        <v/>
      </c>
      <c r="L30">
        <f>IF(OR(J30=0,J30=$B$6),1,IF(MOD(J30,2)=1,4,2))</f>
        <v/>
      </c>
      <c r="M30">
        <f>1/SQRT(1-($E$5^2)*(SIN(K30)^2))</f>
        <v/>
      </c>
      <c r="N30">
        <f>SQRT(1-($E$5^2)*(SIN(K30)^2))</f>
        <v/>
      </c>
    </row>
    <row r="31" ht="20" customHeight="1">
      <c r="J31" t="n">
        <v>11</v>
      </c>
      <c r="K31">
        <f>J31*PI()/(2*$B$6)</f>
        <v/>
      </c>
      <c r="L31">
        <f>IF(OR(J31=0,J31=$B$6),1,IF(MOD(J31,2)=1,4,2))</f>
        <v/>
      </c>
      <c r="M31">
        <f>1/SQRT(1-($E$5^2)*(SIN(K31)^2))</f>
        <v/>
      </c>
      <c r="N31">
        <f>SQRT(1-($E$5^2)*(SIN(K31)^2))</f>
        <v/>
      </c>
    </row>
    <row r="32" ht="20" customHeight="1">
      <c r="J32" t="n">
        <v>12</v>
      </c>
      <c r="K32">
        <f>J32*PI()/(2*$B$6)</f>
        <v/>
      </c>
      <c r="L32">
        <f>IF(OR(J32=0,J32=$B$6),1,IF(MOD(J32,2)=1,4,2))</f>
        <v/>
      </c>
      <c r="M32">
        <f>1/SQRT(1-($E$5^2)*(SIN(K32)^2))</f>
        <v/>
      </c>
      <c r="N32">
        <f>SQRT(1-($E$5^2)*(SIN(K32)^2))</f>
        <v/>
      </c>
    </row>
    <row r="33" ht="20" customHeight="1">
      <c r="J33" t="n">
        <v>13</v>
      </c>
      <c r="K33">
        <f>J33*PI()/(2*$B$6)</f>
        <v/>
      </c>
      <c r="L33">
        <f>IF(OR(J33=0,J33=$B$6),1,IF(MOD(J33,2)=1,4,2))</f>
        <v/>
      </c>
      <c r="M33">
        <f>1/SQRT(1-($E$5^2)*(SIN(K33)^2))</f>
        <v/>
      </c>
      <c r="N33">
        <f>SQRT(1-($E$5^2)*(SIN(K33)^2))</f>
        <v/>
      </c>
    </row>
    <row r="34" ht="20" customHeight="1">
      <c r="J34" t="n">
        <v>14</v>
      </c>
      <c r="K34">
        <f>J34*PI()/(2*$B$6)</f>
        <v/>
      </c>
      <c r="L34">
        <f>IF(OR(J34=0,J34=$B$6),1,IF(MOD(J34,2)=1,4,2))</f>
        <v/>
      </c>
      <c r="M34">
        <f>1/SQRT(1-($E$5^2)*(SIN(K34)^2))</f>
        <v/>
      </c>
      <c r="N34">
        <f>SQRT(1-($E$5^2)*(SIN(K34)^2))</f>
        <v/>
      </c>
    </row>
    <row r="35" ht="20" customHeight="1">
      <c r="J35" t="n">
        <v>15</v>
      </c>
      <c r="K35">
        <f>J35*PI()/(2*$B$6)</f>
        <v/>
      </c>
      <c r="L35">
        <f>IF(OR(J35=0,J35=$B$6),1,IF(MOD(J35,2)=1,4,2))</f>
        <v/>
      </c>
      <c r="M35">
        <f>1/SQRT(1-($E$5^2)*(SIN(K35)^2))</f>
        <v/>
      </c>
      <c r="N35">
        <f>SQRT(1-($E$5^2)*(SIN(K35)^2))</f>
        <v/>
      </c>
    </row>
    <row r="36" ht="20" customHeight="1">
      <c r="J36" t="n">
        <v>16</v>
      </c>
      <c r="K36">
        <f>J36*PI()/(2*$B$6)</f>
        <v/>
      </c>
      <c r="L36">
        <f>IF(OR(J36=0,J36=$B$6),1,IF(MOD(J36,2)=1,4,2))</f>
        <v/>
      </c>
      <c r="M36">
        <f>1/SQRT(1-($E$5^2)*(SIN(K36)^2))</f>
        <v/>
      </c>
      <c r="N36">
        <f>SQRT(1-($E$5^2)*(SIN(K36)^2))</f>
        <v/>
      </c>
    </row>
    <row r="37" ht="20" customHeight="1">
      <c r="J37" t="n">
        <v>17</v>
      </c>
      <c r="K37">
        <f>J37*PI()/(2*$B$6)</f>
        <v/>
      </c>
      <c r="L37">
        <f>IF(OR(J37=0,J37=$B$6),1,IF(MOD(J37,2)=1,4,2))</f>
        <v/>
      </c>
      <c r="M37">
        <f>1/SQRT(1-($E$5^2)*(SIN(K37)^2))</f>
        <v/>
      </c>
      <c r="N37">
        <f>SQRT(1-($E$5^2)*(SIN(K37)^2))</f>
        <v/>
      </c>
    </row>
    <row r="38" ht="20" customHeight="1">
      <c r="J38" t="n">
        <v>18</v>
      </c>
      <c r="K38">
        <f>J38*PI()/(2*$B$6)</f>
        <v/>
      </c>
      <c r="L38">
        <f>IF(OR(J38=0,J38=$B$6),1,IF(MOD(J38,2)=1,4,2))</f>
        <v/>
      </c>
      <c r="M38">
        <f>1/SQRT(1-($E$5^2)*(SIN(K38)^2))</f>
        <v/>
      </c>
      <c r="N38">
        <f>SQRT(1-($E$5^2)*(SIN(K38)^2))</f>
        <v/>
      </c>
    </row>
    <row r="39" ht="20" customHeight="1">
      <c r="J39" t="n">
        <v>19</v>
      </c>
      <c r="K39">
        <f>J39*PI()/(2*$B$6)</f>
        <v/>
      </c>
      <c r="L39">
        <f>IF(OR(J39=0,J39=$B$6),1,IF(MOD(J39,2)=1,4,2))</f>
        <v/>
      </c>
      <c r="M39">
        <f>1/SQRT(1-($E$5^2)*(SIN(K39)^2))</f>
        <v/>
      </c>
      <c r="N39">
        <f>SQRT(1-($E$5^2)*(SIN(K39)^2))</f>
        <v/>
      </c>
    </row>
    <row r="40" ht="20" customHeight="1">
      <c r="J40" t="n">
        <v>20</v>
      </c>
      <c r="K40">
        <f>J40*PI()/(2*$B$6)</f>
        <v/>
      </c>
      <c r="L40">
        <f>IF(OR(J40=0,J40=$B$6),1,IF(MOD(J40,2)=1,4,2))</f>
        <v/>
      </c>
      <c r="M40">
        <f>1/SQRT(1-($E$5^2)*(SIN(K40)^2))</f>
        <v/>
      </c>
      <c r="N40">
        <f>SQRT(1-($E$5^2)*(SIN(K40)^2))</f>
        <v/>
      </c>
    </row>
    <row r="41" ht="20" customHeight="1">
      <c r="J41" t="n">
        <v>21</v>
      </c>
      <c r="K41">
        <f>J41*PI()/(2*$B$6)</f>
        <v/>
      </c>
      <c r="L41">
        <f>IF(OR(J41=0,J41=$B$6),1,IF(MOD(J41,2)=1,4,2))</f>
        <v/>
      </c>
      <c r="M41">
        <f>1/SQRT(1-($E$5^2)*(SIN(K41)^2))</f>
        <v/>
      </c>
      <c r="N41">
        <f>SQRT(1-($E$5^2)*(SIN(K41)^2))</f>
        <v/>
      </c>
    </row>
    <row r="42" ht="20" customHeight="1">
      <c r="J42" t="n">
        <v>22</v>
      </c>
      <c r="K42">
        <f>J42*PI()/(2*$B$6)</f>
        <v/>
      </c>
      <c r="L42">
        <f>IF(OR(J42=0,J42=$B$6),1,IF(MOD(J42,2)=1,4,2))</f>
        <v/>
      </c>
      <c r="M42">
        <f>1/SQRT(1-($E$5^2)*(SIN(K42)^2))</f>
        <v/>
      </c>
      <c r="N42">
        <f>SQRT(1-($E$5^2)*(SIN(K42)^2))</f>
        <v/>
      </c>
    </row>
    <row r="43" ht="20" customHeight="1">
      <c r="J43" t="n">
        <v>23</v>
      </c>
      <c r="K43">
        <f>J43*PI()/(2*$B$6)</f>
        <v/>
      </c>
      <c r="L43">
        <f>IF(OR(J43=0,J43=$B$6),1,IF(MOD(J43,2)=1,4,2))</f>
        <v/>
      </c>
      <c r="M43">
        <f>1/SQRT(1-($E$5^2)*(SIN(K43)^2))</f>
        <v/>
      </c>
      <c r="N43">
        <f>SQRT(1-($E$5^2)*(SIN(K43)^2))</f>
        <v/>
      </c>
    </row>
    <row r="44" ht="20" customHeight="1">
      <c r="J44" t="n">
        <v>24</v>
      </c>
      <c r="K44">
        <f>J44*PI()/(2*$B$6)</f>
        <v/>
      </c>
      <c r="L44">
        <f>IF(OR(J44=0,J44=$B$6),1,IF(MOD(J44,2)=1,4,2))</f>
        <v/>
      </c>
      <c r="M44">
        <f>1/SQRT(1-($E$5^2)*(SIN(K44)^2))</f>
        <v/>
      </c>
      <c r="N44">
        <f>SQRT(1-($E$5^2)*(SIN(K44)^2))</f>
        <v/>
      </c>
    </row>
    <row r="45" ht="20" customHeight="1">
      <c r="J45" t="n">
        <v>25</v>
      </c>
      <c r="K45">
        <f>J45*PI()/(2*$B$6)</f>
        <v/>
      </c>
      <c r="L45">
        <f>IF(OR(J45=0,J45=$B$6),1,IF(MOD(J45,2)=1,4,2))</f>
        <v/>
      </c>
      <c r="M45">
        <f>1/SQRT(1-($E$5^2)*(SIN(K45)^2))</f>
        <v/>
      </c>
      <c r="N45">
        <f>SQRT(1-($E$5^2)*(SIN(K45)^2))</f>
        <v/>
      </c>
    </row>
    <row r="46" ht="20" customHeight="1">
      <c r="J46" t="n">
        <v>26</v>
      </c>
      <c r="K46">
        <f>J46*PI()/(2*$B$6)</f>
        <v/>
      </c>
      <c r="L46">
        <f>IF(OR(J46=0,J46=$B$6),1,IF(MOD(J46,2)=1,4,2))</f>
        <v/>
      </c>
      <c r="M46">
        <f>1/SQRT(1-($E$5^2)*(SIN(K46)^2))</f>
        <v/>
      </c>
      <c r="N46">
        <f>SQRT(1-($E$5^2)*(SIN(K46)^2))</f>
        <v/>
      </c>
    </row>
    <row r="47" ht="20" customHeight="1">
      <c r="J47" t="n">
        <v>27</v>
      </c>
      <c r="K47">
        <f>J47*PI()/(2*$B$6)</f>
        <v/>
      </c>
      <c r="L47">
        <f>IF(OR(J47=0,J47=$B$6),1,IF(MOD(J47,2)=1,4,2))</f>
        <v/>
      </c>
      <c r="M47">
        <f>1/SQRT(1-($E$5^2)*(SIN(K47)^2))</f>
        <v/>
      </c>
      <c r="N47">
        <f>SQRT(1-($E$5^2)*(SIN(K47)^2))</f>
        <v/>
      </c>
    </row>
    <row r="48" ht="20" customHeight="1">
      <c r="J48" t="n">
        <v>28</v>
      </c>
      <c r="K48">
        <f>J48*PI()/(2*$B$6)</f>
        <v/>
      </c>
      <c r="L48">
        <f>IF(OR(J48=0,J48=$B$6),1,IF(MOD(J48,2)=1,4,2))</f>
        <v/>
      </c>
      <c r="M48">
        <f>1/SQRT(1-($E$5^2)*(SIN(K48)^2))</f>
        <v/>
      </c>
      <c r="N48">
        <f>SQRT(1-($E$5^2)*(SIN(K48)^2))</f>
        <v/>
      </c>
    </row>
    <row r="49" ht="20" customHeight="1">
      <c r="J49" t="n">
        <v>29</v>
      </c>
      <c r="K49">
        <f>J49*PI()/(2*$B$6)</f>
        <v/>
      </c>
      <c r="L49">
        <f>IF(OR(J49=0,J49=$B$6),1,IF(MOD(J49,2)=1,4,2))</f>
        <v/>
      </c>
      <c r="M49">
        <f>1/SQRT(1-($E$5^2)*(SIN(K49)^2))</f>
        <v/>
      </c>
      <c r="N49">
        <f>SQRT(1-($E$5^2)*(SIN(K49)^2))</f>
        <v/>
      </c>
    </row>
    <row r="50" ht="20" customHeight="1">
      <c r="J50" t="n">
        <v>30</v>
      </c>
      <c r="K50">
        <f>J50*PI()/(2*$B$6)</f>
        <v/>
      </c>
      <c r="L50">
        <f>IF(OR(J50=0,J50=$B$6),1,IF(MOD(J50,2)=1,4,2))</f>
        <v/>
      </c>
      <c r="M50">
        <f>1/SQRT(1-($E$5^2)*(SIN(K50)^2))</f>
        <v/>
      </c>
      <c r="N50">
        <f>SQRT(1-($E$5^2)*(SIN(K50)^2))</f>
        <v/>
      </c>
    </row>
    <row r="51" ht="20" customHeight="1">
      <c r="J51" t="n">
        <v>31</v>
      </c>
      <c r="K51">
        <f>J51*PI()/(2*$B$6)</f>
        <v/>
      </c>
      <c r="L51">
        <f>IF(OR(J51=0,J51=$B$6),1,IF(MOD(J51,2)=1,4,2))</f>
        <v/>
      </c>
      <c r="M51">
        <f>1/SQRT(1-($E$5^2)*(SIN(K51)^2))</f>
        <v/>
      </c>
      <c r="N51">
        <f>SQRT(1-($E$5^2)*(SIN(K51)^2))</f>
        <v/>
      </c>
    </row>
    <row r="52" ht="20" customHeight="1">
      <c r="J52" t="n">
        <v>32</v>
      </c>
      <c r="K52">
        <f>J52*PI()/(2*$B$6)</f>
        <v/>
      </c>
      <c r="L52">
        <f>IF(OR(J52=0,J52=$B$6),1,IF(MOD(J52,2)=1,4,2))</f>
        <v/>
      </c>
      <c r="M52">
        <f>1/SQRT(1-($E$5^2)*(SIN(K52)^2))</f>
        <v/>
      </c>
      <c r="N52">
        <f>SQRT(1-($E$5^2)*(SIN(K52)^2))</f>
        <v/>
      </c>
    </row>
    <row r="53" ht="20" customHeight="1">
      <c r="J53" t="n">
        <v>33</v>
      </c>
      <c r="K53">
        <f>J53*PI()/(2*$B$6)</f>
        <v/>
      </c>
      <c r="L53">
        <f>IF(OR(J53=0,J53=$B$6),1,IF(MOD(J53,2)=1,4,2))</f>
        <v/>
      </c>
      <c r="M53">
        <f>1/SQRT(1-($E$5^2)*(SIN(K53)^2))</f>
        <v/>
      </c>
      <c r="N53">
        <f>SQRT(1-($E$5^2)*(SIN(K53)^2))</f>
        <v/>
      </c>
    </row>
    <row r="54" ht="20" customHeight="1">
      <c r="J54" t="n">
        <v>34</v>
      </c>
      <c r="K54">
        <f>J54*PI()/(2*$B$6)</f>
        <v/>
      </c>
      <c r="L54">
        <f>IF(OR(J54=0,J54=$B$6),1,IF(MOD(J54,2)=1,4,2))</f>
        <v/>
      </c>
      <c r="M54">
        <f>1/SQRT(1-($E$5^2)*(SIN(K54)^2))</f>
        <v/>
      </c>
      <c r="N54">
        <f>SQRT(1-($E$5^2)*(SIN(K54)^2))</f>
        <v/>
      </c>
    </row>
    <row r="55" ht="20" customHeight="1">
      <c r="J55" t="n">
        <v>35</v>
      </c>
      <c r="K55">
        <f>J55*PI()/(2*$B$6)</f>
        <v/>
      </c>
      <c r="L55">
        <f>IF(OR(J55=0,J55=$B$6),1,IF(MOD(J55,2)=1,4,2))</f>
        <v/>
      </c>
      <c r="M55">
        <f>1/SQRT(1-($E$5^2)*(SIN(K55)^2))</f>
        <v/>
      </c>
      <c r="N55">
        <f>SQRT(1-($E$5^2)*(SIN(K55)^2))</f>
        <v/>
      </c>
    </row>
    <row r="56" ht="20" customHeight="1">
      <c r="J56" t="n">
        <v>36</v>
      </c>
      <c r="K56">
        <f>J56*PI()/(2*$B$6)</f>
        <v/>
      </c>
      <c r="L56">
        <f>IF(OR(J56=0,J56=$B$6),1,IF(MOD(J56,2)=1,4,2))</f>
        <v/>
      </c>
      <c r="M56">
        <f>1/SQRT(1-($E$5^2)*(SIN(K56)^2))</f>
        <v/>
      </c>
      <c r="N56">
        <f>SQRT(1-($E$5^2)*(SIN(K56)^2))</f>
        <v/>
      </c>
    </row>
    <row r="57" ht="20" customHeight="1">
      <c r="J57" t="n">
        <v>37</v>
      </c>
      <c r="K57">
        <f>J57*PI()/(2*$B$6)</f>
        <v/>
      </c>
      <c r="L57">
        <f>IF(OR(J57=0,J57=$B$6),1,IF(MOD(J57,2)=1,4,2))</f>
        <v/>
      </c>
      <c r="M57">
        <f>1/SQRT(1-($E$5^2)*(SIN(K57)^2))</f>
        <v/>
      </c>
      <c r="N57">
        <f>SQRT(1-($E$5^2)*(SIN(K57)^2))</f>
        <v/>
      </c>
    </row>
    <row r="58" ht="20" customHeight="1">
      <c r="J58" t="n">
        <v>38</v>
      </c>
      <c r="K58">
        <f>J58*PI()/(2*$B$6)</f>
        <v/>
      </c>
      <c r="L58">
        <f>IF(OR(J58=0,J58=$B$6),1,IF(MOD(J58,2)=1,4,2))</f>
        <v/>
      </c>
      <c r="M58">
        <f>1/SQRT(1-($E$5^2)*(SIN(K58)^2))</f>
        <v/>
      </c>
      <c r="N58">
        <f>SQRT(1-($E$5^2)*(SIN(K58)^2))</f>
        <v/>
      </c>
    </row>
    <row r="59" ht="20" customHeight="1">
      <c r="J59" t="n">
        <v>39</v>
      </c>
      <c r="K59">
        <f>J59*PI()/(2*$B$6)</f>
        <v/>
      </c>
      <c r="L59">
        <f>IF(OR(J59=0,J59=$B$6),1,IF(MOD(J59,2)=1,4,2))</f>
        <v/>
      </c>
      <c r="M59">
        <f>1/SQRT(1-($E$5^2)*(SIN(K59)^2))</f>
        <v/>
      </c>
      <c r="N59">
        <f>SQRT(1-($E$5^2)*(SIN(K59)^2))</f>
        <v/>
      </c>
    </row>
    <row r="60" ht="20" customHeight="1">
      <c r="J60" t="n">
        <v>40</v>
      </c>
      <c r="K60">
        <f>J60*PI()/(2*$B$6)</f>
        <v/>
      </c>
      <c r="L60">
        <f>IF(OR(J60=0,J60=$B$6),1,IF(MOD(J60,2)=1,4,2))</f>
        <v/>
      </c>
      <c r="M60">
        <f>1/SQRT(1-($E$5^2)*(SIN(K60)^2))</f>
        <v/>
      </c>
      <c r="N60">
        <f>SQRT(1-($E$5^2)*(SIN(K60)^2))</f>
        <v/>
      </c>
    </row>
    <row r="61" ht="20" customHeight="1">
      <c r="J61" t="n">
        <v>41</v>
      </c>
      <c r="K61">
        <f>J61*PI()/(2*$B$6)</f>
        <v/>
      </c>
      <c r="L61">
        <f>IF(OR(J61=0,J61=$B$6),1,IF(MOD(J61,2)=1,4,2))</f>
        <v/>
      </c>
      <c r="M61">
        <f>1/SQRT(1-($E$5^2)*(SIN(K61)^2))</f>
        <v/>
      </c>
      <c r="N61">
        <f>SQRT(1-($E$5^2)*(SIN(K61)^2))</f>
        <v/>
      </c>
    </row>
    <row r="62" ht="20" customHeight="1">
      <c r="J62" t="n">
        <v>42</v>
      </c>
      <c r="K62">
        <f>J62*PI()/(2*$B$6)</f>
        <v/>
      </c>
      <c r="L62">
        <f>IF(OR(J62=0,J62=$B$6),1,IF(MOD(J62,2)=1,4,2))</f>
        <v/>
      </c>
      <c r="M62">
        <f>1/SQRT(1-($E$5^2)*(SIN(K62)^2))</f>
        <v/>
      </c>
      <c r="N62">
        <f>SQRT(1-($E$5^2)*(SIN(K62)^2))</f>
        <v/>
      </c>
    </row>
    <row r="63" ht="20" customHeight="1">
      <c r="J63" t="n">
        <v>43</v>
      </c>
      <c r="K63">
        <f>J63*PI()/(2*$B$6)</f>
        <v/>
      </c>
      <c r="L63">
        <f>IF(OR(J63=0,J63=$B$6),1,IF(MOD(J63,2)=1,4,2))</f>
        <v/>
      </c>
      <c r="M63">
        <f>1/SQRT(1-($E$5^2)*(SIN(K63)^2))</f>
        <v/>
      </c>
      <c r="N63">
        <f>SQRT(1-($E$5^2)*(SIN(K63)^2))</f>
        <v/>
      </c>
    </row>
    <row r="64" ht="20" customHeight="1">
      <c r="J64" t="n">
        <v>44</v>
      </c>
      <c r="K64">
        <f>J64*PI()/(2*$B$6)</f>
        <v/>
      </c>
      <c r="L64">
        <f>IF(OR(J64=0,J64=$B$6),1,IF(MOD(J64,2)=1,4,2))</f>
        <v/>
      </c>
      <c r="M64">
        <f>1/SQRT(1-($E$5^2)*(SIN(K64)^2))</f>
        <v/>
      </c>
      <c r="N64">
        <f>SQRT(1-($E$5^2)*(SIN(K64)^2))</f>
        <v/>
      </c>
    </row>
    <row r="65" ht="20" customHeight="1">
      <c r="J65" t="n">
        <v>45</v>
      </c>
      <c r="K65">
        <f>J65*PI()/(2*$B$6)</f>
        <v/>
      </c>
      <c r="L65">
        <f>IF(OR(J65=0,J65=$B$6),1,IF(MOD(J65,2)=1,4,2))</f>
        <v/>
      </c>
      <c r="M65">
        <f>1/SQRT(1-($E$5^2)*(SIN(K65)^2))</f>
        <v/>
      </c>
      <c r="N65">
        <f>SQRT(1-($E$5^2)*(SIN(K65)^2))</f>
        <v/>
      </c>
    </row>
    <row r="66" ht="20" customHeight="1">
      <c r="J66" t="n">
        <v>46</v>
      </c>
      <c r="K66">
        <f>J66*PI()/(2*$B$6)</f>
        <v/>
      </c>
      <c r="L66">
        <f>IF(OR(J66=0,J66=$B$6),1,IF(MOD(J66,2)=1,4,2))</f>
        <v/>
      </c>
      <c r="M66">
        <f>1/SQRT(1-($E$5^2)*(SIN(K66)^2))</f>
        <v/>
      </c>
      <c r="N66">
        <f>SQRT(1-($E$5^2)*(SIN(K66)^2))</f>
        <v/>
      </c>
    </row>
    <row r="67" ht="20" customHeight="1">
      <c r="J67" t="n">
        <v>47</v>
      </c>
      <c r="K67">
        <f>J67*PI()/(2*$B$6)</f>
        <v/>
      </c>
      <c r="L67">
        <f>IF(OR(J67=0,J67=$B$6),1,IF(MOD(J67,2)=1,4,2))</f>
        <v/>
      </c>
      <c r="M67">
        <f>1/SQRT(1-($E$5^2)*(SIN(K67)^2))</f>
        <v/>
      </c>
      <c r="N67">
        <f>SQRT(1-($E$5^2)*(SIN(K67)^2))</f>
        <v/>
      </c>
    </row>
    <row r="68" ht="20" customHeight="1">
      <c r="J68" t="n">
        <v>48</v>
      </c>
      <c r="K68">
        <f>J68*PI()/(2*$B$6)</f>
        <v/>
      </c>
      <c r="L68">
        <f>IF(OR(J68=0,J68=$B$6),1,IF(MOD(J68,2)=1,4,2))</f>
        <v/>
      </c>
      <c r="M68">
        <f>1/SQRT(1-($E$5^2)*(SIN(K68)^2))</f>
        <v/>
      </c>
      <c r="N68">
        <f>SQRT(1-($E$5^2)*(SIN(K68)^2))</f>
        <v/>
      </c>
    </row>
    <row r="69" ht="20" customHeight="1">
      <c r="J69" t="n">
        <v>49</v>
      </c>
      <c r="K69">
        <f>J69*PI()/(2*$B$6)</f>
        <v/>
      </c>
      <c r="L69">
        <f>IF(OR(J69=0,J69=$B$6),1,IF(MOD(J69,2)=1,4,2))</f>
        <v/>
      </c>
      <c r="M69">
        <f>1/SQRT(1-($E$5^2)*(SIN(K69)^2))</f>
        <v/>
      </c>
      <c r="N69">
        <f>SQRT(1-($E$5^2)*(SIN(K69)^2))</f>
        <v/>
      </c>
    </row>
    <row r="70" ht="20" customHeight="1">
      <c r="J70" t="n">
        <v>50</v>
      </c>
      <c r="K70">
        <f>J70*PI()/(2*$B$6)</f>
        <v/>
      </c>
      <c r="L70">
        <f>IF(OR(J70=0,J70=$B$6),1,IF(MOD(J70,2)=1,4,2))</f>
        <v/>
      </c>
      <c r="M70">
        <f>1/SQRT(1-($E$5^2)*(SIN(K70)^2))</f>
        <v/>
      </c>
      <c r="N70">
        <f>SQRT(1-($E$5^2)*(SIN(K70)^2))</f>
        <v/>
      </c>
    </row>
    <row r="71" ht="20" customHeight="1">
      <c r="J71" t="n">
        <v>51</v>
      </c>
      <c r="K71">
        <f>J71*PI()/(2*$B$6)</f>
        <v/>
      </c>
      <c r="L71">
        <f>IF(OR(J71=0,J71=$B$6),1,IF(MOD(J71,2)=1,4,2))</f>
        <v/>
      </c>
      <c r="M71">
        <f>1/SQRT(1-($E$5^2)*(SIN(K71)^2))</f>
        <v/>
      </c>
      <c r="N71">
        <f>SQRT(1-($E$5^2)*(SIN(K71)^2))</f>
        <v/>
      </c>
    </row>
    <row r="72" ht="20" customHeight="1">
      <c r="J72" t="n">
        <v>52</v>
      </c>
      <c r="K72">
        <f>J72*PI()/(2*$B$6)</f>
        <v/>
      </c>
      <c r="L72">
        <f>IF(OR(J72=0,J72=$B$6),1,IF(MOD(J72,2)=1,4,2))</f>
        <v/>
      </c>
      <c r="M72">
        <f>1/SQRT(1-($E$5^2)*(SIN(K72)^2))</f>
        <v/>
      </c>
      <c r="N72">
        <f>SQRT(1-($E$5^2)*(SIN(K72)^2))</f>
        <v/>
      </c>
    </row>
    <row r="73" ht="20" customHeight="1">
      <c r="J73" t="n">
        <v>53</v>
      </c>
      <c r="K73">
        <f>J73*PI()/(2*$B$6)</f>
        <v/>
      </c>
      <c r="L73">
        <f>IF(OR(J73=0,J73=$B$6),1,IF(MOD(J73,2)=1,4,2))</f>
        <v/>
      </c>
      <c r="M73">
        <f>1/SQRT(1-($E$5^2)*(SIN(K73)^2))</f>
        <v/>
      </c>
      <c r="N73">
        <f>SQRT(1-($E$5^2)*(SIN(K73)^2))</f>
        <v/>
      </c>
    </row>
    <row r="74" ht="20" customHeight="1">
      <c r="J74" t="n">
        <v>54</v>
      </c>
      <c r="K74">
        <f>J74*PI()/(2*$B$6)</f>
        <v/>
      </c>
      <c r="L74">
        <f>IF(OR(J74=0,J74=$B$6),1,IF(MOD(J74,2)=1,4,2))</f>
        <v/>
      </c>
      <c r="M74">
        <f>1/SQRT(1-($E$5^2)*(SIN(K74)^2))</f>
        <v/>
      </c>
      <c r="N74">
        <f>SQRT(1-($E$5^2)*(SIN(K74)^2))</f>
        <v/>
      </c>
    </row>
    <row r="75" ht="20" customHeight="1">
      <c r="J75" t="n">
        <v>55</v>
      </c>
      <c r="K75">
        <f>J75*PI()/(2*$B$6)</f>
        <v/>
      </c>
      <c r="L75">
        <f>IF(OR(J75=0,J75=$B$6),1,IF(MOD(J75,2)=1,4,2))</f>
        <v/>
      </c>
      <c r="M75">
        <f>1/SQRT(1-($E$5^2)*(SIN(K75)^2))</f>
        <v/>
      </c>
      <c r="N75">
        <f>SQRT(1-($E$5^2)*(SIN(K75)^2))</f>
        <v/>
      </c>
    </row>
    <row r="76" ht="20" customHeight="1">
      <c r="J76" t="n">
        <v>56</v>
      </c>
      <c r="K76">
        <f>J76*PI()/(2*$B$6)</f>
        <v/>
      </c>
      <c r="L76">
        <f>IF(OR(J76=0,J76=$B$6),1,IF(MOD(J76,2)=1,4,2))</f>
        <v/>
      </c>
      <c r="M76">
        <f>1/SQRT(1-($E$5^2)*(SIN(K76)^2))</f>
        <v/>
      </c>
      <c r="N76">
        <f>SQRT(1-($E$5^2)*(SIN(K76)^2))</f>
        <v/>
      </c>
    </row>
    <row r="77" ht="20" customHeight="1">
      <c r="J77" t="n">
        <v>57</v>
      </c>
      <c r="K77">
        <f>J77*PI()/(2*$B$6)</f>
        <v/>
      </c>
      <c r="L77">
        <f>IF(OR(J77=0,J77=$B$6),1,IF(MOD(J77,2)=1,4,2))</f>
        <v/>
      </c>
      <c r="M77">
        <f>1/SQRT(1-($E$5^2)*(SIN(K77)^2))</f>
        <v/>
      </c>
      <c r="N77">
        <f>SQRT(1-($E$5^2)*(SIN(K77)^2))</f>
        <v/>
      </c>
    </row>
    <row r="78" ht="20" customHeight="1">
      <c r="J78" t="n">
        <v>58</v>
      </c>
      <c r="K78">
        <f>J78*PI()/(2*$B$6)</f>
        <v/>
      </c>
      <c r="L78">
        <f>IF(OR(J78=0,J78=$B$6),1,IF(MOD(J78,2)=1,4,2))</f>
        <v/>
      </c>
      <c r="M78">
        <f>1/SQRT(1-($E$5^2)*(SIN(K78)^2))</f>
        <v/>
      </c>
      <c r="N78">
        <f>SQRT(1-($E$5^2)*(SIN(K78)^2))</f>
        <v/>
      </c>
    </row>
    <row r="79" ht="20" customHeight="1">
      <c r="J79" t="n">
        <v>59</v>
      </c>
      <c r="K79">
        <f>J79*PI()/(2*$B$6)</f>
        <v/>
      </c>
      <c r="L79">
        <f>IF(OR(J79=0,J79=$B$6),1,IF(MOD(J79,2)=1,4,2))</f>
        <v/>
      </c>
      <c r="M79">
        <f>1/SQRT(1-($E$5^2)*(SIN(K79)^2))</f>
        <v/>
      </c>
      <c r="N79">
        <f>SQRT(1-($E$5^2)*(SIN(K79)^2))</f>
        <v/>
      </c>
    </row>
    <row r="80" ht="20" customHeight="1">
      <c r="J80" t="n">
        <v>60</v>
      </c>
      <c r="K80">
        <f>J80*PI()/(2*$B$6)</f>
        <v/>
      </c>
      <c r="L80">
        <f>IF(OR(J80=0,J80=$B$6),1,IF(MOD(J80,2)=1,4,2))</f>
        <v/>
      </c>
      <c r="M80">
        <f>1/SQRT(1-($E$5^2)*(SIN(K80)^2))</f>
        <v/>
      </c>
      <c r="N80">
        <f>SQRT(1-($E$5^2)*(SIN(K80)^2))</f>
        <v/>
      </c>
    </row>
    <row r="81" ht="20" customHeight="1">
      <c r="J81" t="n">
        <v>61</v>
      </c>
      <c r="K81">
        <f>J81*PI()/(2*$B$6)</f>
        <v/>
      </c>
      <c r="L81">
        <f>IF(OR(J81=0,J81=$B$6),1,IF(MOD(J81,2)=1,4,2))</f>
        <v/>
      </c>
      <c r="M81">
        <f>1/SQRT(1-($E$5^2)*(SIN(K81)^2))</f>
        <v/>
      </c>
      <c r="N81">
        <f>SQRT(1-($E$5^2)*(SIN(K81)^2))</f>
        <v/>
      </c>
    </row>
    <row r="82" ht="20" customHeight="1">
      <c r="J82" t="n">
        <v>62</v>
      </c>
      <c r="K82">
        <f>J82*PI()/(2*$B$6)</f>
        <v/>
      </c>
      <c r="L82">
        <f>IF(OR(J82=0,J82=$B$6),1,IF(MOD(J82,2)=1,4,2))</f>
        <v/>
      </c>
      <c r="M82">
        <f>1/SQRT(1-($E$5^2)*(SIN(K82)^2))</f>
        <v/>
      </c>
      <c r="N82">
        <f>SQRT(1-($E$5^2)*(SIN(K82)^2))</f>
        <v/>
      </c>
    </row>
    <row r="83" ht="20" customHeight="1">
      <c r="J83" t="n">
        <v>63</v>
      </c>
      <c r="K83">
        <f>J83*PI()/(2*$B$6)</f>
        <v/>
      </c>
      <c r="L83">
        <f>IF(OR(J83=0,J83=$B$6),1,IF(MOD(J83,2)=1,4,2))</f>
        <v/>
      </c>
      <c r="M83">
        <f>1/SQRT(1-($E$5^2)*(SIN(K83)^2))</f>
        <v/>
      </c>
      <c r="N83">
        <f>SQRT(1-($E$5^2)*(SIN(K83)^2))</f>
        <v/>
      </c>
    </row>
    <row r="84" ht="20" customHeight="1">
      <c r="J84" t="n">
        <v>64</v>
      </c>
      <c r="K84">
        <f>J84*PI()/(2*$B$6)</f>
        <v/>
      </c>
      <c r="L84">
        <f>IF(OR(J84=0,J84=$B$6),1,IF(MOD(J84,2)=1,4,2))</f>
        <v/>
      </c>
      <c r="M84">
        <f>1/SQRT(1-($E$5^2)*(SIN(K84)^2))</f>
        <v/>
      </c>
      <c r="N84">
        <f>SQRT(1-($E$5^2)*(SIN(K84)^2))</f>
        <v/>
      </c>
    </row>
    <row r="85" ht="20" customHeight="1">
      <c r="J85" t="n">
        <v>65</v>
      </c>
      <c r="K85">
        <f>J85*PI()/(2*$B$6)</f>
        <v/>
      </c>
      <c r="L85">
        <f>IF(OR(J85=0,J85=$B$6),1,IF(MOD(J85,2)=1,4,2))</f>
        <v/>
      </c>
      <c r="M85">
        <f>1/SQRT(1-($E$5^2)*(SIN(K85)^2))</f>
        <v/>
      </c>
      <c r="N85">
        <f>SQRT(1-($E$5^2)*(SIN(K85)^2))</f>
        <v/>
      </c>
    </row>
    <row r="86" ht="20" customHeight="1">
      <c r="J86" t="n">
        <v>66</v>
      </c>
      <c r="K86">
        <f>J86*PI()/(2*$B$6)</f>
        <v/>
      </c>
      <c r="L86">
        <f>IF(OR(J86=0,J86=$B$6),1,IF(MOD(J86,2)=1,4,2))</f>
        <v/>
      </c>
      <c r="M86">
        <f>1/SQRT(1-($E$5^2)*(SIN(K86)^2))</f>
        <v/>
      </c>
      <c r="N86">
        <f>SQRT(1-($E$5^2)*(SIN(K86)^2))</f>
        <v/>
      </c>
    </row>
    <row r="87" ht="20" customHeight="1">
      <c r="J87" t="n">
        <v>67</v>
      </c>
      <c r="K87">
        <f>J87*PI()/(2*$B$6)</f>
        <v/>
      </c>
      <c r="L87">
        <f>IF(OR(J87=0,J87=$B$6),1,IF(MOD(J87,2)=1,4,2))</f>
        <v/>
      </c>
      <c r="M87">
        <f>1/SQRT(1-($E$5^2)*(SIN(K87)^2))</f>
        <v/>
      </c>
      <c r="N87">
        <f>SQRT(1-($E$5^2)*(SIN(K87)^2))</f>
        <v/>
      </c>
    </row>
    <row r="88" ht="20" customHeight="1">
      <c r="J88" t="n">
        <v>68</v>
      </c>
      <c r="K88">
        <f>J88*PI()/(2*$B$6)</f>
        <v/>
      </c>
      <c r="L88">
        <f>IF(OR(J88=0,J88=$B$6),1,IF(MOD(J88,2)=1,4,2))</f>
        <v/>
      </c>
      <c r="M88">
        <f>1/SQRT(1-($E$5^2)*(SIN(K88)^2))</f>
        <v/>
      </c>
      <c r="N88">
        <f>SQRT(1-($E$5^2)*(SIN(K88)^2))</f>
        <v/>
      </c>
    </row>
    <row r="89" ht="20" customHeight="1">
      <c r="J89" t="n">
        <v>69</v>
      </c>
      <c r="K89">
        <f>J89*PI()/(2*$B$6)</f>
        <v/>
      </c>
      <c r="L89">
        <f>IF(OR(J89=0,J89=$B$6),1,IF(MOD(J89,2)=1,4,2))</f>
        <v/>
      </c>
      <c r="M89">
        <f>1/SQRT(1-($E$5^2)*(SIN(K89)^2))</f>
        <v/>
      </c>
      <c r="N89">
        <f>SQRT(1-($E$5^2)*(SIN(K89)^2))</f>
        <v/>
      </c>
    </row>
    <row r="90" ht="20" customHeight="1">
      <c r="J90" t="n">
        <v>70</v>
      </c>
      <c r="K90">
        <f>J90*PI()/(2*$B$6)</f>
        <v/>
      </c>
      <c r="L90">
        <f>IF(OR(J90=0,J90=$B$6),1,IF(MOD(J90,2)=1,4,2))</f>
        <v/>
      </c>
      <c r="M90">
        <f>1/SQRT(1-($E$5^2)*(SIN(K90)^2))</f>
        <v/>
      </c>
      <c r="N90">
        <f>SQRT(1-($E$5^2)*(SIN(K90)^2))</f>
        <v/>
      </c>
    </row>
    <row r="91" ht="20" customHeight="1">
      <c r="J91" t="n">
        <v>71</v>
      </c>
      <c r="K91">
        <f>J91*PI()/(2*$B$6)</f>
        <v/>
      </c>
      <c r="L91">
        <f>IF(OR(J91=0,J91=$B$6),1,IF(MOD(J91,2)=1,4,2))</f>
        <v/>
      </c>
      <c r="M91">
        <f>1/SQRT(1-($E$5^2)*(SIN(K91)^2))</f>
        <v/>
      </c>
      <c r="N91">
        <f>SQRT(1-($E$5^2)*(SIN(K91)^2))</f>
        <v/>
      </c>
    </row>
    <row r="92" ht="20" customHeight="1">
      <c r="J92" t="n">
        <v>72</v>
      </c>
      <c r="K92">
        <f>J92*PI()/(2*$B$6)</f>
        <v/>
      </c>
      <c r="L92">
        <f>IF(OR(J92=0,J92=$B$6),1,IF(MOD(J92,2)=1,4,2))</f>
        <v/>
      </c>
      <c r="M92">
        <f>1/SQRT(1-($E$5^2)*(SIN(K92)^2))</f>
        <v/>
      </c>
      <c r="N92">
        <f>SQRT(1-($E$5^2)*(SIN(K92)^2))</f>
        <v/>
      </c>
    </row>
    <row r="93" ht="20" customHeight="1">
      <c r="J93" t="n">
        <v>73</v>
      </c>
      <c r="K93">
        <f>J93*PI()/(2*$B$6)</f>
        <v/>
      </c>
      <c r="L93">
        <f>IF(OR(J93=0,J93=$B$6),1,IF(MOD(J93,2)=1,4,2))</f>
        <v/>
      </c>
      <c r="M93">
        <f>1/SQRT(1-($E$5^2)*(SIN(K93)^2))</f>
        <v/>
      </c>
      <c r="N93">
        <f>SQRT(1-($E$5^2)*(SIN(K93)^2))</f>
        <v/>
      </c>
    </row>
    <row r="94" ht="20" customHeight="1">
      <c r="J94" t="n">
        <v>74</v>
      </c>
      <c r="K94">
        <f>J94*PI()/(2*$B$6)</f>
        <v/>
      </c>
      <c r="L94">
        <f>IF(OR(J94=0,J94=$B$6),1,IF(MOD(J94,2)=1,4,2))</f>
        <v/>
      </c>
      <c r="M94">
        <f>1/SQRT(1-($E$5^2)*(SIN(K94)^2))</f>
        <v/>
      </c>
      <c r="N94">
        <f>SQRT(1-($E$5^2)*(SIN(K94)^2))</f>
        <v/>
      </c>
    </row>
    <row r="95" ht="20" customHeight="1">
      <c r="J95" t="n">
        <v>75</v>
      </c>
      <c r="K95">
        <f>J95*PI()/(2*$B$6)</f>
        <v/>
      </c>
      <c r="L95">
        <f>IF(OR(J95=0,J95=$B$6),1,IF(MOD(J95,2)=1,4,2))</f>
        <v/>
      </c>
      <c r="M95">
        <f>1/SQRT(1-($E$5^2)*(SIN(K95)^2))</f>
        <v/>
      </c>
      <c r="N95">
        <f>SQRT(1-($E$5^2)*(SIN(K95)^2))</f>
        <v/>
      </c>
    </row>
    <row r="96" ht="20" customHeight="1">
      <c r="J96" t="n">
        <v>76</v>
      </c>
      <c r="K96">
        <f>J96*PI()/(2*$B$6)</f>
        <v/>
      </c>
      <c r="L96">
        <f>IF(OR(J96=0,J96=$B$6),1,IF(MOD(J96,2)=1,4,2))</f>
        <v/>
      </c>
      <c r="M96">
        <f>1/SQRT(1-($E$5^2)*(SIN(K96)^2))</f>
        <v/>
      </c>
      <c r="N96">
        <f>SQRT(1-($E$5^2)*(SIN(K96)^2))</f>
        <v/>
      </c>
    </row>
    <row r="97" ht="20" customHeight="1">
      <c r="J97" t="n">
        <v>77</v>
      </c>
      <c r="K97">
        <f>J97*PI()/(2*$B$6)</f>
        <v/>
      </c>
      <c r="L97">
        <f>IF(OR(J97=0,J97=$B$6),1,IF(MOD(J97,2)=1,4,2))</f>
        <v/>
      </c>
      <c r="M97">
        <f>1/SQRT(1-($E$5^2)*(SIN(K97)^2))</f>
        <v/>
      </c>
      <c r="N97">
        <f>SQRT(1-($E$5^2)*(SIN(K97)^2))</f>
        <v/>
      </c>
    </row>
    <row r="98" ht="20" customHeight="1">
      <c r="J98" t="n">
        <v>78</v>
      </c>
      <c r="K98">
        <f>J98*PI()/(2*$B$6)</f>
        <v/>
      </c>
      <c r="L98">
        <f>IF(OR(J98=0,J98=$B$6),1,IF(MOD(J98,2)=1,4,2))</f>
        <v/>
      </c>
      <c r="M98">
        <f>1/SQRT(1-($E$5^2)*(SIN(K98)^2))</f>
        <v/>
      </c>
      <c r="N98">
        <f>SQRT(1-($E$5^2)*(SIN(K98)^2))</f>
        <v/>
      </c>
    </row>
    <row r="99" ht="20" customHeight="1">
      <c r="J99" t="n">
        <v>79</v>
      </c>
      <c r="K99">
        <f>J99*PI()/(2*$B$6)</f>
        <v/>
      </c>
      <c r="L99">
        <f>IF(OR(J99=0,J99=$B$6),1,IF(MOD(J99,2)=1,4,2))</f>
        <v/>
      </c>
      <c r="M99">
        <f>1/SQRT(1-($E$5^2)*(SIN(K99)^2))</f>
        <v/>
      </c>
      <c r="N99">
        <f>SQRT(1-($E$5^2)*(SIN(K99)^2))</f>
        <v/>
      </c>
    </row>
    <row r="100" ht="20" customHeight="1">
      <c r="J100" t="n">
        <v>80</v>
      </c>
      <c r="K100">
        <f>J100*PI()/(2*$B$6)</f>
        <v/>
      </c>
      <c r="L100">
        <f>IF(OR(J100=0,J100=$B$6),1,IF(MOD(J100,2)=1,4,2))</f>
        <v/>
      </c>
      <c r="M100">
        <f>1/SQRT(1-($E$5^2)*(SIN(K100)^2))</f>
        <v/>
      </c>
      <c r="N100">
        <f>SQRT(1-($E$5^2)*(SIN(K100)^2))</f>
        <v/>
      </c>
    </row>
    <row r="101" ht="20" customHeight="1">
      <c r="J101" t="n">
        <v>81</v>
      </c>
      <c r="K101">
        <f>J101*PI()/(2*$B$6)</f>
        <v/>
      </c>
      <c r="L101">
        <f>IF(OR(J101=0,J101=$B$6),1,IF(MOD(J101,2)=1,4,2))</f>
        <v/>
      </c>
      <c r="M101">
        <f>1/SQRT(1-($E$5^2)*(SIN(K101)^2))</f>
        <v/>
      </c>
      <c r="N101">
        <f>SQRT(1-($E$5^2)*(SIN(K101)^2))</f>
        <v/>
      </c>
    </row>
    <row r="102" ht="20" customHeight="1">
      <c r="J102" t="n">
        <v>82</v>
      </c>
      <c r="K102">
        <f>J102*PI()/(2*$B$6)</f>
        <v/>
      </c>
      <c r="L102">
        <f>IF(OR(J102=0,J102=$B$6),1,IF(MOD(J102,2)=1,4,2))</f>
        <v/>
      </c>
      <c r="M102">
        <f>1/SQRT(1-($E$5^2)*(SIN(K102)^2))</f>
        <v/>
      </c>
      <c r="N102">
        <f>SQRT(1-($E$5^2)*(SIN(K102)^2))</f>
        <v/>
      </c>
    </row>
    <row r="103" ht="20" customHeight="1">
      <c r="J103" t="n">
        <v>83</v>
      </c>
      <c r="K103">
        <f>J103*PI()/(2*$B$6)</f>
        <v/>
      </c>
      <c r="L103">
        <f>IF(OR(J103=0,J103=$B$6),1,IF(MOD(J103,2)=1,4,2))</f>
        <v/>
      </c>
      <c r="M103">
        <f>1/SQRT(1-($E$5^2)*(SIN(K103)^2))</f>
        <v/>
      </c>
      <c r="N103">
        <f>SQRT(1-($E$5^2)*(SIN(K103)^2))</f>
        <v/>
      </c>
    </row>
    <row r="104" ht="20" customHeight="1">
      <c r="J104" t="n">
        <v>84</v>
      </c>
      <c r="K104">
        <f>J104*PI()/(2*$B$6)</f>
        <v/>
      </c>
      <c r="L104">
        <f>IF(OR(J104=0,J104=$B$6),1,IF(MOD(J104,2)=1,4,2))</f>
        <v/>
      </c>
      <c r="M104">
        <f>1/SQRT(1-($E$5^2)*(SIN(K104)^2))</f>
        <v/>
      </c>
      <c r="N104">
        <f>SQRT(1-($E$5^2)*(SIN(K104)^2))</f>
        <v/>
      </c>
    </row>
    <row r="105" ht="20" customHeight="1">
      <c r="J105" t="n">
        <v>85</v>
      </c>
      <c r="K105">
        <f>J105*PI()/(2*$B$6)</f>
        <v/>
      </c>
      <c r="L105">
        <f>IF(OR(J105=0,J105=$B$6),1,IF(MOD(J105,2)=1,4,2))</f>
        <v/>
      </c>
      <c r="M105">
        <f>1/SQRT(1-($E$5^2)*(SIN(K105)^2))</f>
        <v/>
      </c>
      <c r="N105">
        <f>SQRT(1-($E$5^2)*(SIN(K105)^2))</f>
        <v/>
      </c>
    </row>
    <row r="106" ht="20" customHeight="1">
      <c r="J106" t="n">
        <v>86</v>
      </c>
      <c r="K106">
        <f>J106*PI()/(2*$B$6)</f>
        <v/>
      </c>
      <c r="L106">
        <f>IF(OR(J106=0,J106=$B$6),1,IF(MOD(J106,2)=1,4,2))</f>
        <v/>
      </c>
      <c r="M106">
        <f>1/SQRT(1-($E$5^2)*(SIN(K106)^2))</f>
        <v/>
      </c>
      <c r="N106">
        <f>SQRT(1-($E$5^2)*(SIN(K106)^2))</f>
        <v/>
      </c>
    </row>
    <row r="107" ht="20" customHeight="1">
      <c r="J107" t="n">
        <v>87</v>
      </c>
      <c r="K107">
        <f>J107*PI()/(2*$B$6)</f>
        <v/>
      </c>
      <c r="L107">
        <f>IF(OR(J107=0,J107=$B$6),1,IF(MOD(J107,2)=1,4,2))</f>
        <v/>
      </c>
      <c r="M107">
        <f>1/SQRT(1-($E$5^2)*(SIN(K107)^2))</f>
        <v/>
      </c>
      <c r="N107">
        <f>SQRT(1-($E$5^2)*(SIN(K107)^2))</f>
        <v/>
      </c>
    </row>
    <row r="108" ht="20" customHeight="1">
      <c r="J108" t="n">
        <v>88</v>
      </c>
      <c r="K108">
        <f>J108*PI()/(2*$B$6)</f>
        <v/>
      </c>
      <c r="L108">
        <f>IF(OR(J108=0,J108=$B$6),1,IF(MOD(J108,2)=1,4,2))</f>
        <v/>
      </c>
      <c r="M108">
        <f>1/SQRT(1-($E$5^2)*(SIN(K108)^2))</f>
        <v/>
      </c>
      <c r="N108">
        <f>SQRT(1-($E$5^2)*(SIN(K108)^2))</f>
        <v/>
      </c>
    </row>
    <row r="109" ht="20" customHeight="1">
      <c r="J109" t="n">
        <v>89</v>
      </c>
      <c r="K109">
        <f>J109*PI()/(2*$B$6)</f>
        <v/>
      </c>
      <c r="L109">
        <f>IF(OR(J109=0,J109=$B$6),1,IF(MOD(J109,2)=1,4,2))</f>
        <v/>
      </c>
      <c r="M109">
        <f>1/SQRT(1-($E$5^2)*(SIN(K109)^2))</f>
        <v/>
      </c>
      <c r="N109">
        <f>SQRT(1-($E$5^2)*(SIN(K109)^2))</f>
        <v/>
      </c>
    </row>
    <row r="110" ht="20" customHeight="1">
      <c r="J110" t="n">
        <v>90</v>
      </c>
      <c r="K110">
        <f>J110*PI()/(2*$B$6)</f>
        <v/>
      </c>
      <c r="L110">
        <f>IF(OR(J110=0,J110=$B$6),1,IF(MOD(J110,2)=1,4,2))</f>
        <v/>
      </c>
      <c r="M110">
        <f>1/SQRT(1-($E$5^2)*(SIN(K110)^2))</f>
        <v/>
      </c>
      <c r="N110">
        <f>SQRT(1-($E$5^2)*(SIN(K110)^2))</f>
        <v/>
      </c>
    </row>
    <row r="111" ht="20" customHeight="1">
      <c r="J111" t="n">
        <v>91</v>
      </c>
      <c r="K111">
        <f>J111*PI()/(2*$B$6)</f>
        <v/>
      </c>
      <c r="L111">
        <f>IF(OR(J111=0,J111=$B$6),1,IF(MOD(J111,2)=1,4,2))</f>
        <v/>
      </c>
      <c r="M111">
        <f>1/SQRT(1-($E$5^2)*(SIN(K111)^2))</f>
        <v/>
      </c>
      <c r="N111">
        <f>SQRT(1-($E$5^2)*(SIN(K111)^2))</f>
        <v/>
      </c>
    </row>
    <row r="112" ht="20" customHeight="1">
      <c r="J112" t="n">
        <v>92</v>
      </c>
      <c r="K112">
        <f>J112*PI()/(2*$B$6)</f>
        <v/>
      </c>
      <c r="L112">
        <f>IF(OR(J112=0,J112=$B$6),1,IF(MOD(J112,2)=1,4,2))</f>
        <v/>
      </c>
      <c r="M112">
        <f>1/SQRT(1-($E$5^2)*(SIN(K112)^2))</f>
        <v/>
      </c>
      <c r="N112">
        <f>SQRT(1-($E$5^2)*(SIN(K112)^2))</f>
        <v/>
      </c>
    </row>
    <row r="113" ht="20" customHeight="1">
      <c r="J113" t="n">
        <v>93</v>
      </c>
      <c r="K113">
        <f>J113*PI()/(2*$B$6)</f>
        <v/>
      </c>
      <c r="L113">
        <f>IF(OR(J113=0,J113=$B$6),1,IF(MOD(J113,2)=1,4,2))</f>
        <v/>
      </c>
      <c r="M113">
        <f>1/SQRT(1-($E$5^2)*(SIN(K113)^2))</f>
        <v/>
      </c>
      <c r="N113">
        <f>SQRT(1-($E$5^2)*(SIN(K113)^2))</f>
        <v/>
      </c>
    </row>
    <row r="114" ht="20" customHeight="1">
      <c r="J114" t="n">
        <v>94</v>
      </c>
      <c r="K114">
        <f>J114*PI()/(2*$B$6)</f>
        <v/>
      </c>
      <c r="L114">
        <f>IF(OR(J114=0,J114=$B$6),1,IF(MOD(J114,2)=1,4,2))</f>
        <v/>
      </c>
      <c r="M114">
        <f>1/SQRT(1-($E$5^2)*(SIN(K114)^2))</f>
        <v/>
      </c>
      <c r="N114">
        <f>SQRT(1-($E$5^2)*(SIN(K114)^2))</f>
        <v/>
      </c>
    </row>
    <row r="115" ht="20" customHeight="1">
      <c r="J115" t="n">
        <v>95</v>
      </c>
      <c r="K115">
        <f>J115*PI()/(2*$B$6)</f>
        <v/>
      </c>
      <c r="L115">
        <f>IF(OR(J115=0,J115=$B$6),1,IF(MOD(J115,2)=1,4,2))</f>
        <v/>
      </c>
      <c r="M115">
        <f>1/SQRT(1-($E$5^2)*(SIN(K115)^2))</f>
        <v/>
      </c>
      <c r="N115">
        <f>SQRT(1-($E$5^2)*(SIN(K115)^2))</f>
        <v/>
      </c>
    </row>
    <row r="116" ht="20" customHeight="1">
      <c r="J116" t="n">
        <v>96</v>
      </c>
      <c r="K116">
        <f>J116*PI()/(2*$B$6)</f>
        <v/>
      </c>
      <c r="L116">
        <f>IF(OR(J116=0,J116=$B$6),1,IF(MOD(J116,2)=1,4,2))</f>
        <v/>
      </c>
      <c r="M116">
        <f>1/SQRT(1-($E$5^2)*(SIN(K116)^2))</f>
        <v/>
      </c>
      <c r="N116">
        <f>SQRT(1-($E$5^2)*(SIN(K116)^2))</f>
        <v/>
      </c>
    </row>
    <row r="117" ht="20" customHeight="1">
      <c r="J117" t="n">
        <v>97</v>
      </c>
      <c r="K117">
        <f>J117*PI()/(2*$B$6)</f>
        <v/>
      </c>
      <c r="L117">
        <f>IF(OR(J117=0,J117=$B$6),1,IF(MOD(J117,2)=1,4,2))</f>
        <v/>
      </c>
      <c r="M117">
        <f>1/SQRT(1-($E$5^2)*(SIN(K117)^2))</f>
        <v/>
      </c>
      <c r="N117">
        <f>SQRT(1-($E$5^2)*(SIN(K117)^2))</f>
        <v/>
      </c>
    </row>
    <row r="118" ht="20" customHeight="1">
      <c r="J118" t="n">
        <v>98</v>
      </c>
      <c r="K118">
        <f>J118*PI()/(2*$B$6)</f>
        <v/>
      </c>
      <c r="L118">
        <f>IF(OR(J118=0,J118=$B$6),1,IF(MOD(J118,2)=1,4,2))</f>
        <v/>
      </c>
      <c r="M118">
        <f>1/SQRT(1-($E$5^2)*(SIN(K118)^2))</f>
        <v/>
      </c>
      <c r="N118">
        <f>SQRT(1-($E$5^2)*(SIN(K118)^2))</f>
        <v/>
      </c>
    </row>
    <row r="119" ht="20" customHeight="1">
      <c r="J119" t="n">
        <v>99</v>
      </c>
      <c r="K119">
        <f>J119*PI()/(2*$B$6)</f>
        <v/>
      </c>
      <c r="L119">
        <f>IF(OR(J119=0,J119=$B$6),1,IF(MOD(J119,2)=1,4,2))</f>
        <v/>
      </c>
      <c r="M119">
        <f>1/SQRT(1-($E$5^2)*(SIN(K119)^2))</f>
        <v/>
      </c>
      <c r="N119">
        <f>SQRT(1-($E$5^2)*(SIN(K119)^2))</f>
        <v/>
      </c>
    </row>
    <row r="120" ht="20" customHeight="1">
      <c r="J120" t="n">
        <v>100</v>
      </c>
      <c r="K120">
        <f>J120*PI()/(2*$B$6)</f>
        <v/>
      </c>
      <c r="L120">
        <f>IF(OR(J120=0,J120=$B$6),1,IF(MOD(J120,2)=1,4,2))</f>
        <v/>
      </c>
      <c r="M120">
        <f>1/SQRT(1-($E$5^2)*(SIN(K120)^2))</f>
        <v/>
      </c>
      <c r="N120">
        <f>SQRT(1-($E$5^2)*(SIN(K120)^2))</f>
        <v/>
      </c>
    </row>
    <row r="121" ht="20" customHeight="1">
      <c r="J121" t="n">
        <v>101</v>
      </c>
      <c r="K121">
        <f>J121*PI()/(2*$B$6)</f>
        <v/>
      </c>
      <c r="L121">
        <f>IF(OR(J121=0,J121=$B$6),1,IF(MOD(J121,2)=1,4,2))</f>
        <v/>
      </c>
      <c r="M121">
        <f>1/SQRT(1-($E$5^2)*(SIN(K121)^2))</f>
        <v/>
      </c>
      <c r="N121">
        <f>SQRT(1-($E$5^2)*(SIN(K121)^2))</f>
        <v/>
      </c>
    </row>
    <row r="122" ht="20" customHeight="1">
      <c r="J122" t="n">
        <v>102</v>
      </c>
      <c r="K122">
        <f>J122*PI()/(2*$B$6)</f>
        <v/>
      </c>
      <c r="L122">
        <f>IF(OR(J122=0,J122=$B$6),1,IF(MOD(J122,2)=1,4,2))</f>
        <v/>
      </c>
      <c r="M122">
        <f>1/SQRT(1-($E$5^2)*(SIN(K122)^2))</f>
        <v/>
      </c>
      <c r="N122">
        <f>SQRT(1-($E$5^2)*(SIN(K122)^2))</f>
        <v/>
      </c>
    </row>
    <row r="123" ht="20" customHeight="1">
      <c r="J123" t="n">
        <v>103</v>
      </c>
      <c r="K123">
        <f>J123*PI()/(2*$B$6)</f>
        <v/>
      </c>
      <c r="L123">
        <f>IF(OR(J123=0,J123=$B$6),1,IF(MOD(J123,2)=1,4,2))</f>
        <v/>
      </c>
      <c r="M123">
        <f>1/SQRT(1-($E$5^2)*(SIN(K123)^2))</f>
        <v/>
      </c>
      <c r="N123">
        <f>SQRT(1-($E$5^2)*(SIN(K123)^2))</f>
        <v/>
      </c>
    </row>
    <row r="124" ht="20" customHeight="1">
      <c r="J124" t="n">
        <v>104</v>
      </c>
      <c r="K124">
        <f>J124*PI()/(2*$B$6)</f>
        <v/>
      </c>
      <c r="L124">
        <f>IF(OR(J124=0,J124=$B$6),1,IF(MOD(J124,2)=1,4,2))</f>
        <v/>
      </c>
      <c r="M124">
        <f>1/SQRT(1-($E$5^2)*(SIN(K124)^2))</f>
        <v/>
      </c>
      <c r="N124">
        <f>SQRT(1-($E$5^2)*(SIN(K124)^2))</f>
        <v/>
      </c>
    </row>
    <row r="125" ht="20" customHeight="1">
      <c r="J125" t="n">
        <v>105</v>
      </c>
      <c r="K125">
        <f>J125*PI()/(2*$B$6)</f>
        <v/>
      </c>
      <c r="L125">
        <f>IF(OR(J125=0,J125=$B$6),1,IF(MOD(J125,2)=1,4,2))</f>
        <v/>
      </c>
      <c r="M125">
        <f>1/SQRT(1-($E$5^2)*(SIN(K125)^2))</f>
        <v/>
      </c>
      <c r="N125">
        <f>SQRT(1-($E$5^2)*(SIN(K125)^2))</f>
        <v/>
      </c>
    </row>
    <row r="126" ht="20" customHeight="1">
      <c r="J126" t="n">
        <v>106</v>
      </c>
      <c r="K126">
        <f>J126*PI()/(2*$B$6)</f>
        <v/>
      </c>
      <c r="L126">
        <f>IF(OR(J126=0,J126=$B$6),1,IF(MOD(J126,2)=1,4,2))</f>
        <v/>
      </c>
      <c r="M126">
        <f>1/SQRT(1-($E$5^2)*(SIN(K126)^2))</f>
        <v/>
      </c>
      <c r="N126">
        <f>SQRT(1-($E$5^2)*(SIN(K126)^2))</f>
        <v/>
      </c>
    </row>
    <row r="127" ht="20" customHeight="1">
      <c r="J127" t="n">
        <v>107</v>
      </c>
      <c r="K127">
        <f>J127*PI()/(2*$B$6)</f>
        <v/>
      </c>
      <c r="L127">
        <f>IF(OR(J127=0,J127=$B$6),1,IF(MOD(J127,2)=1,4,2))</f>
        <v/>
      </c>
      <c r="M127">
        <f>1/SQRT(1-($E$5^2)*(SIN(K127)^2))</f>
        <v/>
      </c>
      <c r="N127">
        <f>SQRT(1-($E$5^2)*(SIN(K127)^2))</f>
        <v/>
      </c>
    </row>
    <row r="128" ht="20" customHeight="1">
      <c r="J128" t="n">
        <v>108</v>
      </c>
      <c r="K128">
        <f>J128*PI()/(2*$B$6)</f>
        <v/>
      </c>
      <c r="L128">
        <f>IF(OR(J128=0,J128=$B$6),1,IF(MOD(J128,2)=1,4,2))</f>
        <v/>
      </c>
      <c r="M128">
        <f>1/SQRT(1-($E$5^2)*(SIN(K128)^2))</f>
        <v/>
      </c>
      <c r="N128">
        <f>SQRT(1-($E$5^2)*(SIN(K128)^2))</f>
        <v/>
      </c>
    </row>
    <row r="129" ht="20" customHeight="1">
      <c r="J129" t="n">
        <v>109</v>
      </c>
      <c r="K129">
        <f>J129*PI()/(2*$B$6)</f>
        <v/>
      </c>
      <c r="L129">
        <f>IF(OR(J129=0,J129=$B$6),1,IF(MOD(J129,2)=1,4,2))</f>
        <v/>
      </c>
      <c r="M129">
        <f>1/SQRT(1-($E$5^2)*(SIN(K129)^2))</f>
        <v/>
      </c>
      <c r="N129">
        <f>SQRT(1-($E$5^2)*(SIN(K129)^2))</f>
        <v/>
      </c>
    </row>
    <row r="130" ht="20" customHeight="1">
      <c r="J130" t="n">
        <v>110</v>
      </c>
      <c r="K130">
        <f>J130*PI()/(2*$B$6)</f>
        <v/>
      </c>
      <c r="L130">
        <f>IF(OR(J130=0,J130=$B$6),1,IF(MOD(J130,2)=1,4,2))</f>
        <v/>
      </c>
      <c r="M130">
        <f>1/SQRT(1-($E$5^2)*(SIN(K130)^2))</f>
        <v/>
      </c>
      <c r="N130">
        <f>SQRT(1-($E$5^2)*(SIN(K130)^2))</f>
        <v/>
      </c>
    </row>
    <row r="131" ht="20" customHeight="1">
      <c r="J131" t="n">
        <v>111</v>
      </c>
      <c r="K131">
        <f>J131*PI()/(2*$B$6)</f>
        <v/>
      </c>
      <c r="L131">
        <f>IF(OR(J131=0,J131=$B$6),1,IF(MOD(J131,2)=1,4,2))</f>
        <v/>
      </c>
      <c r="M131">
        <f>1/SQRT(1-($E$5^2)*(SIN(K131)^2))</f>
        <v/>
      </c>
      <c r="N131">
        <f>SQRT(1-($E$5^2)*(SIN(K131)^2))</f>
        <v/>
      </c>
    </row>
    <row r="132" ht="20" customHeight="1">
      <c r="J132" t="n">
        <v>112</v>
      </c>
      <c r="K132">
        <f>J132*PI()/(2*$B$6)</f>
        <v/>
      </c>
      <c r="L132">
        <f>IF(OR(J132=0,J132=$B$6),1,IF(MOD(J132,2)=1,4,2))</f>
        <v/>
      </c>
      <c r="M132">
        <f>1/SQRT(1-($E$5^2)*(SIN(K132)^2))</f>
        <v/>
      </c>
      <c r="N132">
        <f>SQRT(1-($E$5^2)*(SIN(K132)^2))</f>
        <v/>
      </c>
    </row>
    <row r="133" ht="20" customHeight="1">
      <c r="J133" t="n">
        <v>113</v>
      </c>
      <c r="K133">
        <f>J133*PI()/(2*$B$6)</f>
        <v/>
      </c>
      <c r="L133">
        <f>IF(OR(J133=0,J133=$B$6),1,IF(MOD(J133,2)=1,4,2))</f>
        <v/>
      </c>
      <c r="M133">
        <f>1/SQRT(1-($E$5^2)*(SIN(K133)^2))</f>
        <v/>
      </c>
      <c r="N133">
        <f>SQRT(1-($E$5^2)*(SIN(K133)^2))</f>
        <v/>
      </c>
    </row>
    <row r="134" ht="20" customHeight="1">
      <c r="J134" t="n">
        <v>114</v>
      </c>
      <c r="K134">
        <f>J134*PI()/(2*$B$6)</f>
        <v/>
      </c>
      <c r="L134">
        <f>IF(OR(J134=0,J134=$B$6),1,IF(MOD(J134,2)=1,4,2))</f>
        <v/>
      </c>
      <c r="M134">
        <f>1/SQRT(1-($E$5^2)*(SIN(K134)^2))</f>
        <v/>
      </c>
      <c r="N134">
        <f>SQRT(1-($E$5^2)*(SIN(K134)^2))</f>
        <v/>
      </c>
    </row>
    <row r="135" ht="20" customHeight="1">
      <c r="J135" t="n">
        <v>115</v>
      </c>
      <c r="K135">
        <f>J135*PI()/(2*$B$6)</f>
        <v/>
      </c>
      <c r="L135">
        <f>IF(OR(J135=0,J135=$B$6),1,IF(MOD(J135,2)=1,4,2))</f>
        <v/>
      </c>
      <c r="M135">
        <f>1/SQRT(1-($E$5^2)*(SIN(K135)^2))</f>
        <v/>
      </c>
      <c r="N135">
        <f>SQRT(1-($E$5^2)*(SIN(K135)^2))</f>
        <v/>
      </c>
    </row>
    <row r="136" ht="20" customHeight="1">
      <c r="J136" t="n">
        <v>116</v>
      </c>
      <c r="K136">
        <f>J136*PI()/(2*$B$6)</f>
        <v/>
      </c>
      <c r="L136">
        <f>IF(OR(J136=0,J136=$B$6),1,IF(MOD(J136,2)=1,4,2))</f>
        <v/>
      </c>
      <c r="M136">
        <f>1/SQRT(1-($E$5^2)*(SIN(K136)^2))</f>
        <v/>
      </c>
      <c r="N136">
        <f>SQRT(1-($E$5^2)*(SIN(K136)^2))</f>
        <v/>
      </c>
    </row>
    <row r="137" ht="20" customHeight="1">
      <c r="J137" t="n">
        <v>117</v>
      </c>
      <c r="K137">
        <f>J137*PI()/(2*$B$6)</f>
        <v/>
      </c>
      <c r="L137">
        <f>IF(OR(J137=0,J137=$B$6),1,IF(MOD(J137,2)=1,4,2))</f>
        <v/>
      </c>
      <c r="M137">
        <f>1/SQRT(1-($E$5^2)*(SIN(K137)^2))</f>
        <v/>
      </c>
      <c r="N137">
        <f>SQRT(1-($E$5^2)*(SIN(K137)^2))</f>
        <v/>
      </c>
    </row>
    <row r="138" ht="20" customHeight="1">
      <c r="J138" t="n">
        <v>118</v>
      </c>
      <c r="K138">
        <f>J138*PI()/(2*$B$6)</f>
        <v/>
      </c>
      <c r="L138">
        <f>IF(OR(J138=0,J138=$B$6),1,IF(MOD(J138,2)=1,4,2))</f>
        <v/>
      </c>
      <c r="M138">
        <f>1/SQRT(1-($E$5^2)*(SIN(K138)^2))</f>
        <v/>
      </c>
      <c r="N138">
        <f>SQRT(1-($E$5^2)*(SIN(K138)^2))</f>
        <v/>
      </c>
    </row>
    <row r="139" ht="20" customHeight="1">
      <c r="J139" t="n">
        <v>119</v>
      </c>
      <c r="K139">
        <f>J139*PI()/(2*$B$6)</f>
        <v/>
      </c>
      <c r="L139">
        <f>IF(OR(J139=0,J139=$B$6),1,IF(MOD(J139,2)=1,4,2))</f>
        <v/>
      </c>
      <c r="M139">
        <f>1/SQRT(1-($E$5^2)*(SIN(K139)^2))</f>
        <v/>
      </c>
      <c r="N139">
        <f>SQRT(1-($E$5^2)*(SIN(K139)^2))</f>
        <v/>
      </c>
    </row>
    <row r="140" ht="20" customHeight="1">
      <c r="J140" t="n">
        <v>120</v>
      </c>
      <c r="K140">
        <f>J140*PI()/(2*$B$6)</f>
        <v/>
      </c>
      <c r="L140">
        <f>IF(OR(J140=0,J140=$B$6),1,IF(MOD(J140,2)=1,4,2))</f>
        <v/>
      </c>
      <c r="M140">
        <f>1/SQRT(1-($E$5^2)*(SIN(K140)^2))</f>
        <v/>
      </c>
      <c r="N140">
        <f>SQRT(1-($E$5^2)*(SIN(K140)^2))</f>
        <v/>
      </c>
    </row>
    <row r="141" ht="20" customHeight="1">
      <c r="J141" t="n">
        <v>121</v>
      </c>
      <c r="K141">
        <f>J141*PI()/(2*$B$6)</f>
        <v/>
      </c>
      <c r="L141">
        <f>IF(OR(J141=0,J141=$B$6),1,IF(MOD(J141,2)=1,4,2))</f>
        <v/>
      </c>
      <c r="M141">
        <f>1/SQRT(1-($E$5^2)*(SIN(K141)^2))</f>
        <v/>
      </c>
      <c r="N141">
        <f>SQRT(1-($E$5^2)*(SIN(K141)^2))</f>
        <v/>
      </c>
    </row>
    <row r="142" ht="20" customHeight="1">
      <c r="J142" t="n">
        <v>122</v>
      </c>
      <c r="K142">
        <f>J142*PI()/(2*$B$6)</f>
        <v/>
      </c>
      <c r="L142">
        <f>IF(OR(J142=0,J142=$B$6),1,IF(MOD(J142,2)=1,4,2))</f>
        <v/>
      </c>
      <c r="M142">
        <f>1/SQRT(1-($E$5^2)*(SIN(K142)^2))</f>
        <v/>
      </c>
      <c r="N142">
        <f>SQRT(1-($E$5^2)*(SIN(K142)^2))</f>
        <v/>
      </c>
    </row>
    <row r="143" ht="20" customHeight="1">
      <c r="J143" t="n">
        <v>123</v>
      </c>
      <c r="K143">
        <f>J143*PI()/(2*$B$6)</f>
        <v/>
      </c>
      <c r="L143">
        <f>IF(OR(J143=0,J143=$B$6),1,IF(MOD(J143,2)=1,4,2))</f>
        <v/>
      </c>
      <c r="M143">
        <f>1/SQRT(1-($E$5^2)*(SIN(K143)^2))</f>
        <v/>
      </c>
      <c r="N143">
        <f>SQRT(1-($E$5^2)*(SIN(K143)^2))</f>
        <v/>
      </c>
    </row>
    <row r="144" ht="20" customHeight="1">
      <c r="J144" t="n">
        <v>124</v>
      </c>
      <c r="K144">
        <f>J144*PI()/(2*$B$6)</f>
        <v/>
      </c>
      <c r="L144">
        <f>IF(OR(J144=0,J144=$B$6),1,IF(MOD(J144,2)=1,4,2))</f>
        <v/>
      </c>
      <c r="M144">
        <f>1/SQRT(1-($E$5^2)*(SIN(K144)^2))</f>
        <v/>
      </c>
      <c r="N144">
        <f>SQRT(1-($E$5^2)*(SIN(K144)^2))</f>
        <v/>
      </c>
    </row>
    <row r="145" ht="20" customHeight="1">
      <c r="J145" t="n">
        <v>125</v>
      </c>
      <c r="K145">
        <f>J145*PI()/(2*$B$6)</f>
        <v/>
      </c>
      <c r="L145">
        <f>IF(OR(J145=0,J145=$B$6),1,IF(MOD(J145,2)=1,4,2))</f>
        <v/>
      </c>
      <c r="M145">
        <f>1/SQRT(1-($E$5^2)*(SIN(K145)^2))</f>
        <v/>
      </c>
      <c r="N145">
        <f>SQRT(1-($E$5^2)*(SIN(K145)^2))</f>
        <v/>
      </c>
    </row>
    <row r="146" ht="20" customHeight="1">
      <c r="J146" t="n">
        <v>126</v>
      </c>
      <c r="K146">
        <f>J146*PI()/(2*$B$6)</f>
        <v/>
      </c>
      <c r="L146">
        <f>IF(OR(J146=0,J146=$B$6),1,IF(MOD(J146,2)=1,4,2))</f>
        <v/>
      </c>
      <c r="M146">
        <f>1/SQRT(1-($E$5^2)*(SIN(K146)^2))</f>
        <v/>
      </c>
      <c r="N146">
        <f>SQRT(1-($E$5^2)*(SIN(K146)^2))</f>
        <v/>
      </c>
    </row>
    <row r="147" ht="20" customHeight="1">
      <c r="J147" t="n">
        <v>127</v>
      </c>
      <c r="K147">
        <f>J147*PI()/(2*$B$6)</f>
        <v/>
      </c>
      <c r="L147">
        <f>IF(OR(J147=0,J147=$B$6),1,IF(MOD(J147,2)=1,4,2))</f>
        <v/>
      </c>
      <c r="M147">
        <f>1/SQRT(1-($E$5^2)*(SIN(K147)^2))</f>
        <v/>
      </c>
      <c r="N147">
        <f>SQRT(1-($E$5^2)*(SIN(K147)^2))</f>
        <v/>
      </c>
    </row>
    <row r="148" ht="20" customHeight="1">
      <c r="J148" t="n">
        <v>128</v>
      </c>
      <c r="K148">
        <f>J148*PI()/(2*$B$6)</f>
        <v/>
      </c>
      <c r="L148">
        <f>IF(OR(J148=0,J148=$B$6),1,IF(MOD(J148,2)=1,4,2))</f>
        <v/>
      </c>
      <c r="M148">
        <f>1/SQRT(1-($E$5^2)*(SIN(K148)^2))</f>
        <v/>
      </c>
      <c r="N148">
        <f>SQRT(1-($E$5^2)*(SIN(K148)^2))</f>
        <v/>
      </c>
    </row>
    <row r="149" ht="20" customHeight="1">
      <c r="J149" t="n">
        <v>129</v>
      </c>
      <c r="K149">
        <f>J149*PI()/(2*$B$6)</f>
        <v/>
      </c>
      <c r="L149">
        <f>IF(OR(J149=0,J149=$B$6),1,IF(MOD(J149,2)=1,4,2))</f>
        <v/>
      </c>
      <c r="M149">
        <f>1/SQRT(1-($E$5^2)*(SIN(K149)^2))</f>
        <v/>
      </c>
      <c r="N149">
        <f>SQRT(1-($E$5^2)*(SIN(K149)^2))</f>
        <v/>
      </c>
    </row>
    <row r="150" ht="20" customHeight="1">
      <c r="J150" t="n">
        <v>130</v>
      </c>
      <c r="K150">
        <f>J150*PI()/(2*$B$6)</f>
        <v/>
      </c>
      <c r="L150">
        <f>IF(OR(J150=0,J150=$B$6),1,IF(MOD(J150,2)=1,4,2))</f>
        <v/>
      </c>
      <c r="M150">
        <f>1/SQRT(1-($E$5^2)*(SIN(K150)^2))</f>
        <v/>
      </c>
      <c r="N150">
        <f>SQRT(1-($E$5^2)*(SIN(K150)^2))</f>
        <v/>
      </c>
    </row>
    <row r="151" ht="20" customHeight="1">
      <c r="J151" t="n">
        <v>131</v>
      </c>
      <c r="K151">
        <f>J151*PI()/(2*$B$6)</f>
        <v/>
      </c>
      <c r="L151">
        <f>IF(OR(J151=0,J151=$B$6),1,IF(MOD(J151,2)=1,4,2))</f>
        <v/>
      </c>
      <c r="M151">
        <f>1/SQRT(1-($E$5^2)*(SIN(K151)^2))</f>
        <v/>
      </c>
      <c r="N151">
        <f>SQRT(1-($E$5^2)*(SIN(K151)^2))</f>
        <v/>
      </c>
    </row>
    <row r="152" ht="20" customHeight="1">
      <c r="J152" t="n">
        <v>132</v>
      </c>
      <c r="K152">
        <f>J152*PI()/(2*$B$6)</f>
        <v/>
      </c>
      <c r="L152">
        <f>IF(OR(J152=0,J152=$B$6),1,IF(MOD(J152,2)=1,4,2))</f>
        <v/>
      </c>
      <c r="M152">
        <f>1/SQRT(1-($E$5^2)*(SIN(K152)^2))</f>
        <v/>
      </c>
      <c r="N152">
        <f>SQRT(1-($E$5^2)*(SIN(K152)^2))</f>
        <v/>
      </c>
    </row>
    <row r="153" ht="20" customHeight="1">
      <c r="J153" t="n">
        <v>133</v>
      </c>
      <c r="K153">
        <f>J153*PI()/(2*$B$6)</f>
        <v/>
      </c>
      <c r="L153">
        <f>IF(OR(J153=0,J153=$B$6),1,IF(MOD(J153,2)=1,4,2))</f>
        <v/>
      </c>
      <c r="M153">
        <f>1/SQRT(1-($E$5^2)*(SIN(K153)^2))</f>
        <v/>
      </c>
      <c r="N153">
        <f>SQRT(1-($E$5^2)*(SIN(K153)^2))</f>
        <v/>
      </c>
    </row>
    <row r="154" ht="20" customHeight="1">
      <c r="J154" t="n">
        <v>134</v>
      </c>
      <c r="K154">
        <f>J154*PI()/(2*$B$6)</f>
        <v/>
      </c>
      <c r="L154">
        <f>IF(OR(J154=0,J154=$B$6),1,IF(MOD(J154,2)=1,4,2))</f>
        <v/>
      </c>
      <c r="M154">
        <f>1/SQRT(1-($E$5^2)*(SIN(K154)^2))</f>
        <v/>
      </c>
      <c r="N154">
        <f>SQRT(1-($E$5^2)*(SIN(K154)^2))</f>
        <v/>
      </c>
    </row>
    <row r="155" ht="20" customHeight="1">
      <c r="J155" t="n">
        <v>135</v>
      </c>
      <c r="K155">
        <f>J155*PI()/(2*$B$6)</f>
        <v/>
      </c>
      <c r="L155">
        <f>IF(OR(J155=0,J155=$B$6),1,IF(MOD(J155,2)=1,4,2))</f>
        <v/>
      </c>
      <c r="M155">
        <f>1/SQRT(1-($E$5^2)*(SIN(K155)^2))</f>
        <v/>
      </c>
      <c r="N155">
        <f>SQRT(1-($E$5^2)*(SIN(K155)^2))</f>
        <v/>
      </c>
    </row>
    <row r="156" ht="20" customHeight="1">
      <c r="J156" t="n">
        <v>136</v>
      </c>
      <c r="K156">
        <f>J156*PI()/(2*$B$6)</f>
        <v/>
      </c>
      <c r="L156">
        <f>IF(OR(J156=0,J156=$B$6),1,IF(MOD(J156,2)=1,4,2))</f>
        <v/>
      </c>
      <c r="M156">
        <f>1/SQRT(1-($E$5^2)*(SIN(K156)^2))</f>
        <v/>
      </c>
      <c r="N156">
        <f>SQRT(1-($E$5^2)*(SIN(K156)^2))</f>
        <v/>
      </c>
    </row>
    <row r="157" ht="20" customHeight="1">
      <c r="J157" t="n">
        <v>137</v>
      </c>
      <c r="K157">
        <f>J157*PI()/(2*$B$6)</f>
        <v/>
      </c>
      <c r="L157">
        <f>IF(OR(J157=0,J157=$B$6),1,IF(MOD(J157,2)=1,4,2))</f>
        <v/>
      </c>
      <c r="M157">
        <f>1/SQRT(1-($E$5^2)*(SIN(K157)^2))</f>
        <v/>
      </c>
      <c r="N157">
        <f>SQRT(1-($E$5^2)*(SIN(K157)^2))</f>
        <v/>
      </c>
    </row>
    <row r="158" ht="20" customHeight="1">
      <c r="J158" t="n">
        <v>138</v>
      </c>
      <c r="K158">
        <f>J158*PI()/(2*$B$6)</f>
        <v/>
      </c>
      <c r="L158">
        <f>IF(OR(J158=0,J158=$B$6),1,IF(MOD(J158,2)=1,4,2))</f>
        <v/>
      </c>
      <c r="M158">
        <f>1/SQRT(1-($E$5^2)*(SIN(K158)^2))</f>
        <v/>
      </c>
      <c r="N158">
        <f>SQRT(1-($E$5^2)*(SIN(K158)^2))</f>
        <v/>
      </c>
    </row>
    <row r="159" ht="20" customHeight="1">
      <c r="J159" t="n">
        <v>139</v>
      </c>
      <c r="K159">
        <f>J159*PI()/(2*$B$6)</f>
        <v/>
      </c>
      <c r="L159">
        <f>IF(OR(J159=0,J159=$B$6),1,IF(MOD(J159,2)=1,4,2))</f>
        <v/>
      </c>
      <c r="M159">
        <f>1/SQRT(1-($E$5^2)*(SIN(K159)^2))</f>
        <v/>
      </c>
      <c r="N159">
        <f>SQRT(1-($E$5^2)*(SIN(K159)^2))</f>
        <v/>
      </c>
    </row>
    <row r="160" ht="20" customHeight="1">
      <c r="J160" t="n">
        <v>140</v>
      </c>
      <c r="K160">
        <f>J160*PI()/(2*$B$6)</f>
        <v/>
      </c>
      <c r="L160">
        <f>IF(OR(J160=0,J160=$B$6),1,IF(MOD(J160,2)=1,4,2))</f>
        <v/>
      </c>
      <c r="M160">
        <f>1/SQRT(1-($E$5^2)*(SIN(K160)^2))</f>
        <v/>
      </c>
      <c r="N160">
        <f>SQRT(1-($E$5^2)*(SIN(K160)^2))</f>
        <v/>
      </c>
    </row>
    <row r="161" ht="20" customHeight="1">
      <c r="J161" t="n">
        <v>141</v>
      </c>
      <c r="K161">
        <f>J161*PI()/(2*$B$6)</f>
        <v/>
      </c>
      <c r="L161">
        <f>IF(OR(J161=0,J161=$B$6),1,IF(MOD(J161,2)=1,4,2))</f>
        <v/>
      </c>
      <c r="M161">
        <f>1/SQRT(1-($E$5^2)*(SIN(K161)^2))</f>
        <v/>
      </c>
      <c r="N161">
        <f>SQRT(1-($E$5^2)*(SIN(K161)^2))</f>
        <v/>
      </c>
    </row>
    <row r="162" ht="20" customHeight="1">
      <c r="J162" t="n">
        <v>142</v>
      </c>
      <c r="K162">
        <f>J162*PI()/(2*$B$6)</f>
        <v/>
      </c>
      <c r="L162">
        <f>IF(OR(J162=0,J162=$B$6),1,IF(MOD(J162,2)=1,4,2))</f>
        <v/>
      </c>
      <c r="M162">
        <f>1/SQRT(1-($E$5^2)*(SIN(K162)^2))</f>
        <v/>
      </c>
      <c r="N162">
        <f>SQRT(1-($E$5^2)*(SIN(K162)^2))</f>
        <v/>
      </c>
    </row>
    <row r="163" ht="20" customHeight="1">
      <c r="J163" t="n">
        <v>143</v>
      </c>
      <c r="K163">
        <f>J163*PI()/(2*$B$6)</f>
        <v/>
      </c>
      <c r="L163">
        <f>IF(OR(J163=0,J163=$B$6),1,IF(MOD(J163,2)=1,4,2))</f>
        <v/>
      </c>
      <c r="M163">
        <f>1/SQRT(1-($E$5^2)*(SIN(K163)^2))</f>
        <v/>
      </c>
      <c r="N163">
        <f>SQRT(1-($E$5^2)*(SIN(K163)^2))</f>
        <v/>
      </c>
    </row>
    <row r="164" ht="20" customHeight="1">
      <c r="J164" t="n">
        <v>144</v>
      </c>
      <c r="K164">
        <f>J164*PI()/(2*$B$6)</f>
        <v/>
      </c>
      <c r="L164">
        <f>IF(OR(J164=0,J164=$B$6),1,IF(MOD(J164,2)=1,4,2))</f>
        <v/>
      </c>
      <c r="M164">
        <f>1/SQRT(1-($E$5^2)*(SIN(K164)^2))</f>
        <v/>
      </c>
      <c r="N164">
        <f>SQRT(1-($E$5^2)*(SIN(K164)^2))</f>
        <v/>
      </c>
    </row>
    <row r="165" ht="20" customHeight="1">
      <c r="J165" t="n">
        <v>145</v>
      </c>
      <c r="K165">
        <f>J165*PI()/(2*$B$6)</f>
        <v/>
      </c>
      <c r="L165">
        <f>IF(OR(J165=0,J165=$B$6),1,IF(MOD(J165,2)=1,4,2))</f>
        <v/>
      </c>
      <c r="M165">
        <f>1/SQRT(1-($E$5^2)*(SIN(K165)^2))</f>
        <v/>
      </c>
      <c r="N165">
        <f>SQRT(1-($E$5^2)*(SIN(K165)^2))</f>
        <v/>
      </c>
    </row>
    <row r="166" ht="20" customHeight="1">
      <c r="J166" t="n">
        <v>146</v>
      </c>
      <c r="K166">
        <f>J166*PI()/(2*$B$6)</f>
        <v/>
      </c>
      <c r="L166">
        <f>IF(OR(J166=0,J166=$B$6),1,IF(MOD(J166,2)=1,4,2))</f>
        <v/>
      </c>
      <c r="M166">
        <f>1/SQRT(1-($E$5^2)*(SIN(K166)^2))</f>
        <v/>
      </c>
      <c r="N166">
        <f>SQRT(1-($E$5^2)*(SIN(K166)^2))</f>
        <v/>
      </c>
    </row>
    <row r="167" ht="20" customHeight="1">
      <c r="J167" t="n">
        <v>147</v>
      </c>
      <c r="K167">
        <f>J167*PI()/(2*$B$6)</f>
        <v/>
      </c>
      <c r="L167">
        <f>IF(OR(J167=0,J167=$B$6),1,IF(MOD(J167,2)=1,4,2))</f>
        <v/>
      </c>
      <c r="M167">
        <f>1/SQRT(1-($E$5^2)*(SIN(K167)^2))</f>
        <v/>
      </c>
      <c r="N167">
        <f>SQRT(1-($E$5^2)*(SIN(K167)^2))</f>
        <v/>
      </c>
    </row>
    <row r="168" ht="20" customHeight="1">
      <c r="J168" t="n">
        <v>148</v>
      </c>
      <c r="K168">
        <f>J168*PI()/(2*$B$6)</f>
        <v/>
      </c>
      <c r="L168">
        <f>IF(OR(J168=0,J168=$B$6),1,IF(MOD(J168,2)=1,4,2))</f>
        <v/>
      </c>
      <c r="M168">
        <f>1/SQRT(1-($E$5^2)*(SIN(K168)^2))</f>
        <v/>
      </c>
      <c r="N168">
        <f>SQRT(1-($E$5^2)*(SIN(K168)^2))</f>
        <v/>
      </c>
    </row>
    <row r="169" ht="20" customHeight="1">
      <c r="J169" t="n">
        <v>149</v>
      </c>
      <c r="K169">
        <f>J169*PI()/(2*$B$6)</f>
        <v/>
      </c>
      <c r="L169">
        <f>IF(OR(J169=0,J169=$B$6),1,IF(MOD(J169,2)=1,4,2))</f>
        <v/>
      </c>
      <c r="M169">
        <f>1/SQRT(1-($E$5^2)*(SIN(K169)^2))</f>
        <v/>
      </c>
      <c r="N169">
        <f>SQRT(1-($E$5^2)*(SIN(K169)^2))</f>
        <v/>
      </c>
    </row>
    <row r="170" ht="20" customHeight="1">
      <c r="J170" t="n">
        <v>150</v>
      </c>
      <c r="K170">
        <f>J170*PI()/(2*$B$6)</f>
        <v/>
      </c>
      <c r="L170">
        <f>IF(OR(J170=0,J170=$B$6),1,IF(MOD(J170,2)=1,4,2))</f>
        <v/>
      </c>
      <c r="M170">
        <f>1/SQRT(1-($E$5^2)*(SIN(K170)^2))</f>
        <v/>
      </c>
      <c r="N170">
        <f>SQRT(1-($E$5^2)*(SIN(K170)^2))</f>
        <v/>
      </c>
    </row>
    <row r="171" ht="20" customHeight="1">
      <c r="J171" t="n">
        <v>151</v>
      </c>
      <c r="K171">
        <f>J171*PI()/(2*$B$6)</f>
        <v/>
      </c>
      <c r="L171">
        <f>IF(OR(J171=0,J171=$B$6),1,IF(MOD(J171,2)=1,4,2))</f>
        <v/>
      </c>
      <c r="M171">
        <f>1/SQRT(1-($E$5^2)*(SIN(K171)^2))</f>
        <v/>
      </c>
      <c r="N171">
        <f>SQRT(1-($E$5^2)*(SIN(K171)^2))</f>
        <v/>
      </c>
    </row>
    <row r="172" ht="20" customHeight="1">
      <c r="J172" t="n">
        <v>152</v>
      </c>
      <c r="K172">
        <f>J172*PI()/(2*$B$6)</f>
        <v/>
      </c>
      <c r="L172">
        <f>IF(OR(J172=0,J172=$B$6),1,IF(MOD(J172,2)=1,4,2))</f>
        <v/>
      </c>
      <c r="M172">
        <f>1/SQRT(1-($E$5^2)*(SIN(K172)^2))</f>
        <v/>
      </c>
      <c r="N172">
        <f>SQRT(1-($E$5^2)*(SIN(K172)^2))</f>
        <v/>
      </c>
    </row>
    <row r="173" ht="20" customHeight="1">
      <c r="J173" t="n">
        <v>153</v>
      </c>
      <c r="K173">
        <f>J173*PI()/(2*$B$6)</f>
        <v/>
      </c>
      <c r="L173">
        <f>IF(OR(J173=0,J173=$B$6),1,IF(MOD(J173,2)=1,4,2))</f>
        <v/>
      </c>
      <c r="M173">
        <f>1/SQRT(1-($E$5^2)*(SIN(K173)^2))</f>
        <v/>
      </c>
      <c r="N173">
        <f>SQRT(1-($E$5^2)*(SIN(K173)^2))</f>
        <v/>
      </c>
    </row>
    <row r="174" ht="20" customHeight="1">
      <c r="J174" t="n">
        <v>154</v>
      </c>
      <c r="K174">
        <f>J174*PI()/(2*$B$6)</f>
        <v/>
      </c>
      <c r="L174">
        <f>IF(OR(J174=0,J174=$B$6),1,IF(MOD(J174,2)=1,4,2))</f>
        <v/>
      </c>
      <c r="M174">
        <f>1/SQRT(1-($E$5^2)*(SIN(K174)^2))</f>
        <v/>
      </c>
      <c r="N174">
        <f>SQRT(1-($E$5^2)*(SIN(K174)^2))</f>
        <v/>
      </c>
    </row>
    <row r="175" ht="20" customHeight="1">
      <c r="J175" t="n">
        <v>155</v>
      </c>
      <c r="K175">
        <f>J175*PI()/(2*$B$6)</f>
        <v/>
      </c>
      <c r="L175">
        <f>IF(OR(J175=0,J175=$B$6),1,IF(MOD(J175,2)=1,4,2))</f>
        <v/>
      </c>
      <c r="M175">
        <f>1/SQRT(1-($E$5^2)*(SIN(K175)^2))</f>
        <v/>
      </c>
      <c r="N175">
        <f>SQRT(1-($E$5^2)*(SIN(K175)^2))</f>
        <v/>
      </c>
    </row>
    <row r="176" ht="20" customHeight="1">
      <c r="J176" t="n">
        <v>156</v>
      </c>
      <c r="K176">
        <f>J176*PI()/(2*$B$6)</f>
        <v/>
      </c>
      <c r="L176">
        <f>IF(OR(J176=0,J176=$B$6),1,IF(MOD(J176,2)=1,4,2))</f>
        <v/>
      </c>
      <c r="M176">
        <f>1/SQRT(1-($E$5^2)*(SIN(K176)^2))</f>
        <v/>
      </c>
      <c r="N176">
        <f>SQRT(1-($E$5^2)*(SIN(K176)^2))</f>
        <v/>
      </c>
    </row>
    <row r="177" ht="20" customHeight="1">
      <c r="J177" t="n">
        <v>157</v>
      </c>
      <c r="K177">
        <f>J177*PI()/(2*$B$6)</f>
        <v/>
      </c>
      <c r="L177">
        <f>IF(OR(J177=0,J177=$B$6),1,IF(MOD(J177,2)=1,4,2))</f>
        <v/>
      </c>
      <c r="M177">
        <f>1/SQRT(1-($E$5^2)*(SIN(K177)^2))</f>
        <v/>
      </c>
      <c r="N177">
        <f>SQRT(1-($E$5^2)*(SIN(K177)^2))</f>
        <v/>
      </c>
    </row>
    <row r="178" ht="20" customHeight="1">
      <c r="J178" t="n">
        <v>158</v>
      </c>
      <c r="K178">
        <f>J178*PI()/(2*$B$6)</f>
        <v/>
      </c>
      <c r="L178">
        <f>IF(OR(J178=0,J178=$B$6),1,IF(MOD(J178,2)=1,4,2))</f>
        <v/>
      </c>
      <c r="M178">
        <f>1/SQRT(1-($E$5^2)*(SIN(K178)^2))</f>
        <v/>
      </c>
      <c r="N178">
        <f>SQRT(1-($E$5^2)*(SIN(K178)^2))</f>
        <v/>
      </c>
    </row>
    <row r="179" ht="20" customHeight="1">
      <c r="J179" t="n">
        <v>159</v>
      </c>
      <c r="K179">
        <f>J179*PI()/(2*$B$6)</f>
        <v/>
      </c>
      <c r="L179">
        <f>IF(OR(J179=0,J179=$B$6),1,IF(MOD(J179,2)=1,4,2))</f>
        <v/>
      </c>
      <c r="M179">
        <f>1/SQRT(1-($E$5^2)*(SIN(K179)^2))</f>
        <v/>
      </c>
      <c r="N179">
        <f>SQRT(1-($E$5^2)*(SIN(K179)^2))</f>
        <v/>
      </c>
    </row>
    <row r="180" ht="20" customHeight="1">
      <c r="J180" t="n">
        <v>160</v>
      </c>
      <c r="K180">
        <f>J180*PI()/(2*$B$6)</f>
        <v/>
      </c>
      <c r="L180">
        <f>IF(OR(J180=0,J180=$B$6),1,IF(MOD(J180,2)=1,4,2))</f>
        <v/>
      </c>
      <c r="M180">
        <f>1/SQRT(1-($E$5^2)*(SIN(K180)^2))</f>
        <v/>
      </c>
      <c r="N180">
        <f>SQRT(1-($E$5^2)*(SIN(K180)^2))</f>
        <v/>
      </c>
    </row>
    <row r="181" ht="20" customHeight="1">
      <c r="J181" t="n">
        <v>161</v>
      </c>
      <c r="K181">
        <f>J181*PI()/(2*$B$6)</f>
        <v/>
      </c>
      <c r="L181">
        <f>IF(OR(J181=0,J181=$B$6),1,IF(MOD(J181,2)=1,4,2))</f>
        <v/>
      </c>
      <c r="M181">
        <f>1/SQRT(1-($E$5^2)*(SIN(K181)^2))</f>
        <v/>
      </c>
      <c r="N181">
        <f>SQRT(1-($E$5^2)*(SIN(K181)^2))</f>
        <v/>
      </c>
    </row>
    <row r="182" ht="20" customHeight="1">
      <c r="J182" t="n">
        <v>162</v>
      </c>
      <c r="K182">
        <f>J182*PI()/(2*$B$6)</f>
        <v/>
      </c>
      <c r="L182">
        <f>IF(OR(J182=0,J182=$B$6),1,IF(MOD(J182,2)=1,4,2))</f>
        <v/>
      </c>
      <c r="M182">
        <f>1/SQRT(1-($E$5^2)*(SIN(K182)^2))</f>
        <v/>
      </c>
      <c r="N182">
        <f>SQRT(1-($E$5^2)*(SIN(K182)^2))</f>
        <v/>
      </c>
    </row>
    <row r="183" ht="20" customHeight="1">
      <c r="J183" t="n">
        <v>163</v>
      </c>
      <c r="K183">
        <f>J183*PI()/(2*$B$6)</f>
        <v/>
      </c>
      <c r="L183">
        <f>IF(OR(J183=0,J183=$B$6),1,IF(MOD(J183,2)=1,4,2))</f>
        <v/>
      </c>
      <c r="M183">
        <f>1/SQRT(1-($E$5^2)*(SIN(K183)^2))</f>
        <v/>
      </c>
      <c r="N183">
        <f>SQRT(1-($E$5^2)*(SIN(K183)^2))</f>
        <v/>
      </c>
    </row>
    <row r="184" ht="20" customHeight="1">
      <c r="J184" t="n">
        <v>164</v>
      </c>
      <c r="K184">
        <f>J184*PI()/(2*$B$6)</f>
        <v/>
      </c>
      <c r="L184">
        <f>IF(OR(J184=0,J184=$B$6),1,IF(MOD(J184,2)=1,4,2))</f>
        <v/>
      </c>
      <c r="M184">
        <f>1/SQRT(1-($E$5^2)*(SIN(K184)^2))</f>
        <v/>
      </c>
      <c r="N184">
        <f>SQRT(1-($E$5^2)*(SIN(K184)^2))</f>
        <v/>
      </c>
    </row>
    <row r="185" ht="20" customHeight="1">
      <c r="J185" t="n">
        <v>165</v>
      </c>
      <c r="K185">
        <f>J185*PI()/(2*$B$6)</f>
        <v/>
      </c>
      <c r="L185">
        <f>IF(OR(J185=0,J185=$B$6),1,IF(MOD(J185,2)=1,4,2))</f>
        <v/>
      </c>
      <c r="M185">
        <f>1/SQRT(1-($E$5^2)*(SIN(K185)^2))</f>
        <v/>
      </c>
      <c r="N185">
        <f>SQRT(1-($E$5^2)*(SIN(K185)^2))</f>
        <v/>
      </c>
    </row>
    <row r="186" ht="20" customHeight="1">
      <c r="J186" t="n">
        <v>166</v>
      </c>
      <c r="K186">
        <f>J186*PI()/(2*$B$6)</f>
        <v/>
      </c>
      <c r="L186">
        <f>IF(OR(J186=0,J186=$B$6),1,IF(MOD(J186,2)=1,4,2))</f>
        <v/>
      </c>
      <c r="M186">
        <f>1/SQRT(1-($E$5^2)*(SIN(K186)^2))</f>
        <v/>
      </c>
      <c r="N186">
        <f>SQRT(1-($E$5^2)*(SIN(K186)^2))</f>
        <v/>
      </c>
    </row>
    <row r="187" ht="20" customHeight="1">
      <c r="J187" t="n">
        <v>167</v>
      </c>
      <c r="K187">
        <f>J187*PI()/(2*$B$6)</f>
        <v/>
      </c>
      <c r="L187">
        <f>IF(OR(J187=0,J187=$B$6),1,IF(MOD(J187,2)=1,4,2))</f>
        <v/>
      </c>
      <c r="M187">
        <f>1/SQRT(1-($E$5^2)*(SIN(K187)^2))</f>
        <v/>
      </c>
      <c r="N187">
        <f>SQRT(1-($E$5^2)*(SIN(K187)^2))</f>
        <v/>
      </c>
    </row>
    <row r="188" ht="20" customHeight="1">
      <c r="J188" t="n">
        <v>168</v>
      </c>
      <c r="K188">
        <f>J188*PI()/(2*$B$6)</f>
        <v/>
      </c>
      <c r="L188">
        <f>IF(OR(J188=0,J188=$B$6),1,IF(MOD(J188,2)=1,4,2))</f>
        <v/>
      </c>
      <c r="M188">
        <f>1/SQRT(1-($E$5^2)*(SIN(K188)^2))</f>
        <v/>
      </c>
      <c r="N188">
        <f>SQRT(1-($E$5^2)*(SIN(K188)^2))</f>
        <v/>
      </c>
    </row>
    <row r="189" ht="20" customHeight="1">
      <c r="J189" t="n">
        <v>169</v>
      </c>
      <c r="K189">
        <f>J189*PI()/(2*$B$6)</f>
        <v/>
      </c>
      <c r="L189">
        <f>IF(OR(J189=0,J189=$B$6),1,IF(MOD(J189,2)=1,4,2))</f>
        <v/>
      </c>
      <c r="M189">
        <f>1/SQRT(1-($E$5^2)*(SIN(K189)^2))</f>
        <v/>
      </c>
      <c r="N189">
        <f>SQRT(1-($E$5^2)*(SIN(K189)^2))</f>
        <v/>
      </c>
    </row>
    <row r="190" ht="20" customHeight="1">
      <c r="J190" t="n">
        <v>170</v>
      </c>
      <c r="K190">
        <f>J190*PI()/(2*$B$6)</f>
        <v/>
      </c>
      <c r="L190">
        <f>IF(OR(J190=0,J190=$B$6),1,IF(MOD(J190,2)=1,4,2))</f>
        <v/>
      </c>
      <c r="M190">
        <f>1/SQRT(1-($E$5^2)*(SIN(K190)^2))</f>
        <v/>
      </c>
      <c r="N190">
        <f>SQRT(1-($E$5^2)*(SIN(K190)^2))</f>
        <v/>
      </c>
    </row>
    <row r="191" ht="20" customHeight="1">
      <c r="J191" t="n">
        <v>171</v>
      </c>
      <c r="K191">
        <f>J191*PI()/(2*$B$6)</f>
        <v/>
      </c>
      <c r="L191">
        <f>IF(OR(J191=0,J191=$B$6),1,IF(MOD(J191,2)=1,4,2))</f>
        <v/>
      </c>
      <c r="M191">
        <f>1/SQRT(1-($E$5^2)*(SIN(K191)^2))</f>
        <v/>
      </c>
      <c r="N191">
        <f>SQRT(1-($E$5^2)*(SIN(K191)^2))</f>
        <v/>
      </c>
    </row>
    <row r="192" ht="20" customHeight="1">
      <c r="J192" t="n">
        <v>172</v>
      </c>
      <c r="K192">
        <f>J192*PI()/(2*$B$6)</f>
        <v/>
      </c>
      <c r="L192">
        <f>IF(OR(J192=0,J192=$B$6),1,IF(MOD(J192,2)=1,4,2))</f>
        <v/>
      </c>
      <c r="M192">
        <f>1/SQRT(1-($E$5^2)*(SIN(K192)^2))</f>
        <v/>
      </c>
      <c r="N192">
        <f>SQRT(1-($E$5^2)*(SIN(K192)^2))</f>
        <v/>
      </c>
    </row>
    <row r="193" ht="20" customHeight="1">
      <c r="J193" t="n">
        <v>173</v>
      </c>
      <c r="K193">
        <f>J193*PI()/(2*$B$6)</f>
        <v/>
      </c>
      <c r="L193">
        <f>IF(OR(J193=0,J193=$B$6),1,IF(MOD(J193,2)=1,4,2))</f>
        <v/>
      </c>
      <c r="M193">
        <f>1/SQRT(1-($E$5^2)*(SIN(K193)^2))</f>
        <v/>
      </c>
      <c r="N193">
        <f>SQRT(1-($E$5^2)*(SIN(K193)^2))</f>
        <v/>
      </c>
    </row>
    <row r="194" ht="20" customHeight="1">
      <c r="J194" t="n">
        <v>174</v>
      </c>
      <c r="K194">
        <f>J194*PI()/(2*$B$6)</f>
        <v/>
      </c>
      <c r="L194">
        <f>IF(OR(J194=0,J194=$B$6),1,IF(MOD(J194,2)=1,4,2))</f>
        <v/>
      </c>
      <c r="M194">
        <f>1/SQRT(1-($E$5^2)*(SIN(K194)^2))</f>
        <v/>
      </c>
      <c r="N194">
        <f>SQRT(1-($E$5^2)*(SIN(K194)^2))</f>
        <v/>
      </c>
    </row>
    <row r="195" ht="20" customHeight="1">
      <c r="J195" t="n">
        <v>175</v>
      </c>
      <c r="K195">
        <f>J195*PI()/(2*$B$6)</f>
        <v/>
      </c>
      <c r="L195">
        <f>IF(OR(J195=0,J195=$B$6),1,IF(MOD(J195,2)=1,4,2))</f>
        <v/>
      </c>
      <c r="M195">
        <f>1/SQRT(1-($E$5^2)*(SIN(K195)^2))</f>
        <v/>
      </c>
      <c r="N195">
        <f>SQRT(1-($E$5^2)*(SIN(K195)^2))</f>
        <v/>
      </c>
    </row>
    <row r="196" ht="20" customHeight="1">
      <c r="J196" t="n">
        <v>176</v>
      </c>
      <c r="K196">
        <f>J196*PI()/(2*$B$6)</f>
        <v/>
      </c>
      <c r="L196">
        <f>IF(OR(J196=0,J196=$B$6),1,IF(MOD(J196,2)=1,4,2))</f>
        <v/>
      </c>
      <c r="M196">
        <f>1/SQRT(1-($E$5^2)*(SIN(K196)^2))</f>
        <v/>
      </c>
      <c r="N196">
        <f>SQRT(1-($E$5^2)*(SIN(K196)^2))</f>
        <v/>
      </c>
    </row>
    <row r="197" ht="20" customHeight="1">
      <c r="J197" t="n">
        <v>177</v>
      </c>
      <c r="K197">
        <f>J197*PI()/(2*$B$6)</f>
        <v/>
      </c>
      <c r="L197">
        <f>IF(OR(J197=0,J197=$B$6),1,IF(MOD(J197,2)=1,4,2))</f>
        <v/>
      </c>
      <c r="M197">
        <f>1/SQRT(1-($E$5^2)*(SIN(K197)^2))</f>
        <v/>
      </c>
      <c r="N197">
        <f>SQRT(1-($E$5^2)*(SIN(K197)^2))</f>
        <v/>
      </c>
    </row>
    <row r="198" ht="20" customHeight="1">
      <c r="J198" t="n">
        <v>178</v>
      </c>
      <c r="K198">
        <f>J198*PI()/(2*$B$6)</f>
        <v/>
      </c>
      <c r="L198">
        <f>IF(OR(J198=0,J198=$B$6),1,IF(MOD(J198,2)=1,4,2))</f>
        <v/>
      </c>
      <c r="M198">
        <f>1/SQRT(1-($E$5^2)*(SIN(K198)^2))</f>
        <v/>
      </c>
      <c r="N198">
        <f>SQRT(1-($E$5^2)*(SIN(K198)^2))</f>
        <v/>
      </c>
    </row>
    <row r="199" ht="20" customHeight="1">
      <c r="J199" t="n">
        <v>179</v>
      </c>
      <c r="K199">
        <f>J199*PI()/(2*$B$6)</f>
        <v/>
      </c>
      <c r="L199">
        <f>IF(OR(J199=0,J199=$B$6),1,IF(MOD(J199,2)=1,4,2))</f>
        <v/>
      </c>
      <c r="M199">
        <f>1/SQRT(1-($E$5^2)*(SIN(K199)^2))</f>
        <v/>
      </c>
      <c r="N199">
        <f>SQRT(1-($E$5^2)*(SIN(K199)^2))</f>
        <v/>
      </c>
    </row>
    <row r="200" ht="20" customHeight="1">
      <c r="J200" t="n">
        <v>180</v>
      </c>
      <c r="K200">
        <f>J200*PI()/(2*$B$6)</f>
        <v/>
      </c>
      <c r="L200">
        <f>IF(OR(J200=0,J200=$B$6),1,IF(MOD(J200,2)=1,4,2))</f>
        <v/>
      </c>
      <c r="M200">
        <f>1/SQRT(1-($E$5^2)*(SIN(K200)^2))</f>
        <v/>
      </c>
      <c r="N200">
        <f>SQRT(1-($E$5^2)*(SIN(K200)^2))</f>
        <v/>
      </c>
    </row>
    <row r="201" ht="20" customHeight="1">
      <c r="J201" t="n">
        <v>181</v>
      </c>
      <c r="K201">
        <f>J201*PI()/(2*$B$6)</f>
        <v/>
      </c>
      <c r="L201">
        <f>IF(OR(J201=0,J201=$B$6),1,IF(MOD(J201,2)=1,4,2))</f>
        <v/>
      </c>
      <c r="M201">
        <f>1/SQRT(1-($E$5^2)*(SIN(K201)^2))</f>
        <v/>
      </c>
      <c r="N201">
        <f>SQRT(1-($E$5^2)*(SIN(K201)^2))</f>
        <v/>
      </c>
    </row>
    <row r="202" ht="20" customHeight="1">
      <c r="J202" t="n">
        <v>182</v>
      </c>
      <c r="K202">
        <f>J202*PI()/(2*$B$6)</f>
        <v/>
      </c>
      <c r="L202">
        <f>IF(OR(J202=0,J202=$B$6),1,IF(MOD(J202,2)=1,4,2))</f>
        <v/>
      </c>
      <c r="M202">
        <f>1/SQRT(1-($E$5^2)*(SIN(K202)^2))</f>
        <v/>
      </c>
      <c r="N202">
        <f>SQRT(1-($E$5^2)*(SIN(K202)^2))</f>
        <v/>
      </c>
    </row>
    <row r="203" ht="20" customHeight="1">
      <c r="J203" t="n">
        <v>183</v>
      </c>
      <c r="K203">
        <f>J203*PI()/(2*$B$6)</f>
        <v/>
      </c>
      <c r="L203">
        <f>IF(OR(J203=0,J203=$B$6),1,IF(MOD(J203,2)=1,4,2))</f>
        <v/>
      </c>
      <c r="M203">
        <f>1/SQRT(1-($E$5^2)*(SIN(K203)^2))</f>
        <v/>
      </c>
      <c r="N203">
        <f>SQRT(1-($E$5^2)*(SIN(K203)^2))</f>
        <v/>
      </c>
    </row>
    <row r="204" ht="20" customHeight="1">
      <c r="J204" t="n">
        <v>184</v>
      </c>
      <c r="K204">
        <f>J204*PI()/(2*$B$6)</f>
        <v/>
      </c>
      <c r="L204">
        <f>IF(OR(J204=0,J204=$B$6),1,IF(MOD(J204,2)=1,4,2))</f>
        <v/>
      </c>
      <c r="M204">
        <f>1/SQRT(1-($E$5^2)*(SIN(K204)^2))</f>
        <v/>
      </c>
      <c r="N204">
        <f>SQRT(1-($E$5^2)*(SIN(K204)^2))</f>
        <v/>
      </c>
    </row>
    <row r="205" ht="20" customHeight="1">
      <c r="J205" t="n">
        <v>185</v>
      </c>
      <c r="K205">
        <f>J205*PI()/(2*$B$6)</f>
        <v/>
      </c>
      <c r="L205">
        <f>IF(OR(J205=0,J205=$B$6),1,IF(MOD(J205,2)=1,4,2))</f>
        <v/>
      </c>
      <c r="M205">
        <f>1/SQRT(1-($E$5^2)*(SIN(K205)^2))</f>
        <v/>
      </c>
      <c r="N205">
        <f>SQRT(1-($E$5^2)*(SIN(K205)^2))</f>
        <v/>
      </c>
    </row>
    <row r="206" ht="20" customHeight="1">
      <c r="J206" t="n">
        <v>186</v>
      </c>
      <c r="K206">
        <f>J206*PI()/(2*$B$6)</f>
        <v/>
      </c>
      <c r="L206">
        <f>IF(OR(J206=0,J206=$B$6),1,IF(MOD(J206,2)=1,4,2))</f>
        <v/>
      </c>
      <c r="M206">
        <f>1/SQRT(1-($E$5^2)*(SIN(K206)^2))</f>
        <v/>
      </c>
      <c r="N206">
        <f>SQRT(1-($E$5^2)*(SIN(K206)^2))</f>
        <v/>
      </c>
    </row>
    <row r="207" ht="20" customHeight="1">
      <c r="J207" t="n">
        <v>187</v>
      </c>
      <c r="K207">
        <f>J207*PI()/(2*$B$6)</f>
        <v/>
      </c>
      <c r="L207">
        <f>IF(OR(J207=0,J207=$B$6),1,IF(MOD(J207,2)=1,4,2))</f>
        <v/>
      </c>
      <c r="M207">
        <f>1/SQRT(1-($E$5^2)*(SIN(K207)^2))</f>
        <v/>
      </c>
      <c r="N207">
        <f>SQRT(1-($E$5^2)*(SIN(K207)^2))</f>
        <v/>
      </c>
    </row>
    <row r="208" ht="20" customHeight="1">
      <c r="J208" t="n">
        <v>188</v>
      </c>
      <c r="K208">
        <f>J208*PI()/(2*$B$6)</f>
        <v/>
      </c>
      <c r="L208">
        <f>IF(OR(J208=0,J208=$B$6),1,IF(MOD(J208,2)=1,4,2))</f>
        <v/>
      </c>
      <c r="M208">
        <f>1/SQRT(1-($E$5^2)*(SIN(K208)^2))</f>
        <v/>
      </c>
      <c r="N208">
        <f>SQRT(1-($E$5^2)*(SIN(K208)^2))</f>
        <v/>
      </c>
    </row>
    <row r="209" ht="20" customHeight="1">
      <c r="J209" t="n">
        <v>189</v>
      </c>
      <c r="K209">
        <f>J209*PI()/(2*$B$6)</f>
        <v/>
      </c>
      <c r="L209">
        <f>IF(OR(J209=0,J209=$B$6),1,IF(MOD(J209,2)=1,4,2))</f>
        <v/>
      </c>
      <c r="M209">
        <f>1/SQRT(1-($E$5^2)*(SIN(K209)^2))</f>
        <v/>
      </c>
      <c r="N209">
        <f>SQRT(1-($E$5^2)*(SIN(K209)^2))</f>
        <v/>
      </c>
    </row>
    <row r="210" ht="20" customHeight="1">
      <c r="J210" t="n">
        <v>190</v>
      </c>
      <c r="K210">
        <f>J210*PI()/(2*$B$6)</f>
        <v/>
      </c>
      <c r="L210">
        <f>IF(OR(J210=0,J210=$B$6),1,IF(MOD(J210,2)=1,4,2))</f>
        <v/>
      </c>
      <c r="M210">
        <f>1/SQRT(1-($E$5^2)*(SIN(K210)^2))</f>
        <v/>
      </c>
      <c r="N210">
        <f>SQRT(1-($E$5^2)*(SIN(K210)^2))</f>
        <v/>
      </c>
    </row>
    <row r="211" ht="20" customHeight="1">
      <c r="J211" t="n">
        <v>191</v>
      </c>
      <c r="K211">
        <f>J211*PI()/(2*$B$6)</f>
        <v/>
      </c>
      <c r="L211">
        <f>IF(OR(J211=0,J211=$B$6),1,IF(MOD(J211,2)=1,4,2))</f>
        <v/>
      </c>
      <c r="M211">
        <f>1/SQRT(1-($E$5^2)*(SIN(K211)^2))</f>
        <v/>
      </c>
      <c r="N211">
        <f>SQRT(1-($E$5^2)*(SIN(K211)^2))</f>
        <v/>
      </c>
    </row>
    <row r="212" ht="20" customHeight="1">
      <c r="J212" t="n">
        <v>192</v>
      </c>
      <c r="K212">
        <f>J212*PI()/(2*$B$6)</f>
        <v/>
      </c>
      <c r="L212">
        <f>IF(OR(J212=0,J212=$B$6),1,IF(MOD(J212,2)=1,4,2))</f>
        <v/>
      </c>
      <c r="M212">
        <f>1/SQRT(1-($E$5^2)*(SIN(K212)^2))</f>
        <v/>
      </c>
      <c r="N212">
        <f>SQRT(1-($E$5^2)*(SIN(K212)^2))</f>
        <v/>
      </c>
    </row>
    <row r="213" ht="20" customHeight="1">
      <c r="J213" t="n">
        <v>193</v>
      </c>
      <c r="K213">
        <f>J213*PI()/(2*$B$6)</f>
        <v/>
      </c>
      <c r="L213">
        <f>IF(OR(J213=0,J213=$B$6),1,IF(MOD(J213,2)=1,4,2))</f>
        <v/>
      </c>
      <c r="M213">
        <f>1/SQRT(1-($E$5^2)*(SIN(K213)^2))</f>
        <v/>
      </c>
      <c r="N213">
        <f>SQRT(1-($E$5^2)*(SIN(K213)^2))</f>
        <v/>
      </c>
    </row>
    <row r="214" ht="20" customHeight="1">
      <c r="J214" t="n">
        <v>194</v>
      </c>
      <c r="K214">
        <f>J214*PI()/(2*$B$6)</f>
        <v/>
      </c>
      <c r="L214">
        <f>IF(OR(J214=0,J214=$B$6),1,IF(MOD(J214,2)=1,4,2))</f>
        <v/>
      </c>
      <c r="M214">
        <f>1/SQRT(1-($E$5^2)*(SIN(K214)^2))</f>
        <v/>
      </c>
      <c r="N214">
        <f>SQRT(1-($E$5^2)*(SIN(K214)^2))</f>
        <v/>
      </c>
    </row>
    <row r="215" ht="20" customHeight="1">
      <c r="J215" t="n">
        <v>195</v>
      </c>
      <c r="K215">
        <f>J215*PI()/(2*$B$6)</f>
        <v/>
      </c>
      <c r="L215">
        <f>IF(OR(J215=0,J215=$B$6),1,IF(MOD(J215,2)=1,4,2))</f>
        <v/>
      </c>
      <c r="M215">
        <f>1/SQRT(1-($E$5^2)*(SIN(K215)^2))</f>
        <v/>
      </c>
      <c r="N215">
        <f>SQRT(1-($E$5^2)*(SIN(K215)^2))</f>
        <v/>
      </c>
    </row>
    <row r="216" ht="20" customHeight="1">
      <c r="J216" t="n">
        <v>196</v>
      </c>
      <c r="K216">
        <f>J216*PI()/(2*$B$6)</f>
        <v/>
      </c>
      <c r="L216">
        <f>IF(OR(J216=0,J216=$B$6),1,IF(MOD(J216,2)=1,4,2))</f>
        <v/>
      </c>
      <c r="M216">
        <f>1/SQRT(1-($E$5^2)*(SIN(K216)^2))</f>
        <v/>
      </c>
      <c r="N216">
        <f>SQRT(1-($E$5^2)*(SIN(K216)^2))</f>
        <v/>
      </c>
    </row>
    <row r="217" ht="20" customHeight="1">
      <c r="J217" t="n">
        <v>197</v>
      </c>
      <c r="K217">
        <f>J217*PI()/(2*$B$6)</f>
        <v/>
      </c>
      <c r="L217">
        <f>IF(OR(J217=0,J217=$B$6),1,IF(MOD(J217,2)=1,4,2))</f>
        <v/>
      </c>
      <c r="M217">
        <f>1/SQRT(1-($E$5^2)*(SIN(K217)^2))</f>
        <v/>
      </c>
      <c r="N217">
        <f>SQRT(1-($E$5^2)*(SIN(K217)^2))</f>
        <v/>
      </c>
    </row>
    <row r="218" ht="20" customHeight="1">
      <c r="J218" t="n">
        <v>198</v>
      </c>
      <c r="K218">
        <f>J218*PI()/(2*$B$6)</f>
        <v/>
      </c>
      <c r="L218">
        <f>IF(OR(J218=0,J218=$B$6),1,IF(MOD(J218,2)=1,4,2))</f>
        <v/>
      </c>
      <c r="M218">
        <f>1/SQRT(1-($E$5^2)*(SIN(K218)^2))</f>
        <v/>
      </c>
      <c r="N218">
        <f>SQRT(1-($E$5^2)*(SIN(K218)^2))</f>
        <v/>
      </c>
    </row>
    <row r="219" ht="20" customHeight="1">
      <c r="J219" t="n">
        <v>199</v>
      </c>
      <c r="K219">
        <f>J219*PI()/(2*$B$6)</f>
        <v/>
      </c>
      <c r="L219">
        <f>IF(OR(J219=0,J219=$B$6),1,IF(MOD(J219,2)=1,4,2))</f>
        <v/>
      </c>
      <c r="M219">
        <f>1/SQRT(1-($E$5^2)*(SIN(K219)^2))</f>
        <v/>
      </c>
      <c r="N219">
        <f>SQRT(1-($E$5^2)*(SIN(K219)^2))</f>
        <v/>
      </c>
    </row>
    <row r="220" ht="20" customHeight="1">
      <c r="J220" t="n">
        <v>200</v>
      </c>
      <c r="K220">
        <f>J220*PI()/(2*$B$6)</f>
        <v/>
      </c>
      <c r="L220">
        <f>IF(OR(J220=0,J220=$B$6),1,IF(MOD(J220,2)=1,4,2))</f>
        <v/>
      </c>
      <c r="M220">
        <f>1/SQRT(1-($E$5^2)*(SIN(K220)^2))</f>
        <v/>
      </c>
      <c r="N220">
        <f>SQRT(1-($E$5^2)*(SIN(K220)^2))</f>
        <v/>
      </c>
    </row>
    <row r="221" ht="20" customHeight="1">
      <c r="J221" t="n">
        <v>201</v>
      </c>
      <c r="K221">
        <f>J221*PI()/(2*$B$6)</f>
        <v/>
      </c>
      <c r="L221">
        <f>IF(OR(J221=0,J221=$B$6),1,IF(MOD(J221,2)=1,4,2))</f>
        <v/>
      </c>
      <c r="M221">
        <f>1/SQRT(1-($E$5^2)*(SIN(K221)^2))</f>
        <v/>
      </c>
      <c r="N221">
        <f>SQRT(1-($E$5^2)*(SIN(K221)^2))</f>
        <v/>
      </c>
    </row>
    <row r="222" ht="20" customHeight="1">
      <c r="J222" t="n">
        <v>202</v>
      </c>
      <c r="K222">
        <f>J222*PI()/(2*$B$6)</f>
        <v/>
      </c>
      <c r="L222">
        <f>IF(OR(J222=0,J222=$B$6),1,IF(MOD(J222,2)=1,4,2))</f>
        <v/>
      </c>
      <c r="M222">
        <f>1/SQRT(1-($E$5^2)*(SIN(K222)^2))</f>
        <v/>
      </c>
      <c r="N222">
        <f>SQRT(1-($E$5^2)*(SIN(K222)^2))</f>
        <v/>
      </c>
    </row>
    <row r="223" ht="20" customHeight="1">
      <c r="J223" t="n">
        <v>203</v>
      </c>
      <c r="K223">
        <f>J223*PI()/(2*$B$6)</f>
        <v/>
      </c>
      <c r="L223">
        <f>IF(OR(J223=0,J223=$B$6),1,IF(MOD(J223,2)=1,4,2))</f>
        <v/>
      </c>
      <c r="M223">
        <f>1/SQRT(1-($E$5^2)*(SIN(K223)^2))</f>
        <v/>
      </c>
      <c r="N223">
        <f>SQRT(1-($E$5^2)*(SIN(K223)^2))</f>
        <v/>
      </c>
    </row>
    <row r="224" ht="20" customHeight="1">
      <c r="J224" t="n">
        <v>204</v>
      </c>
      <c r="K224">
        <f>J224*PI()/(2*$B$6)</f>
        <v/>
      </c>
      <c r="L224">
        <f>IF(OR(J224=0,J224=$B$6),1,IF(MOD(J224,2)=1,4,2))</f>
        <v/>
      </c>
      <c r="M224">
        <f>1/SQRT(1-($E$5^2)*(SIN(K224)^2))</f>
        <v/>
      </c>
      <c r="N224">
        <f>SQRT(1-($E$5^2)*(SIN(K224)^2))</f>
        <v/>
      </c>
    </row>
    <row r="225" ht="20" customHeight="1">
      <c r="J225" t="n">
        <v>205</v>
      </c>
      <c r="K225">
        <f>J225*PI()/(2*$B$6)</f>
        <v/>
      </c>
      <c r="L225">
        <f>IF(OR(J225=0,J225=$B$6),1,IF(MOD(J225,2)=1,4,2))</f>
        <v/>
      </c>
      <c r="M225">
        <f>1/SQRT(1-($E$5^2)*(SIN(K225)^2))</f>
        <v/>
      </c>
      <c r="N225">
        <f>SQRT(1-($E$5^2)*(SIN(K225)^2))</f>
        <v/>
      </c>
    </row>
    <row r="226" ht="20" customHeight="1">
      <c r="J226" t="n">
        <v>206</v>
      </c>
      <c r="K226">
        <f>J226*PI()/(2*$B$6)</f>
        <v/>
      </c>
      <c r="L226">
        <f>IF(OR(J226=0,J226=$B$6),1,IF(MOD(J226,2)=1,4,2))</f>
        <v/>
      </c>
      <c r="M226">
        <f>1/SQRT(1-($E$5^2)*(SIN(K226)^2))</f>
        <v/>
      </c>
      <c r="N226">
        <f>SQRT(1-($E$5^2)*(SIN(K226)^2))</f>
        <v/>
      </c>
    </row>
    <row r="227" ht="20" customHeight="1">
      <c r="J227" t="n">
        <v>207</v>
      </c>
      <c r="K227">
        <f>J227*PI()/(2*$B$6)</f>
        <v/>
      </c>
      <c r="L227">
        <f>IF(OR(J227=0,J227=$B$6),1,IF(MOD(J227,2)=1,4,2))</f>
        <v/>
      </c>
      <c r="M227">
        <f>1/SQRT(1-($E$5^2)*(SIN(K227)^2))</f>
        <v/>
      </c>
      <c r="N227">
        <f>SQRT(1-($E$5^2)*(SIN(K227)^2))</f>
        <v/>
      </c>
    </row>
    <row r="228" ht="20" customHeight="1">
      <c r="J228" t="n">
        <v>208</v>
      </c>
      <c r="K228">
        <f>J228*PI()/(2*$B$6)</f>
        <v/>
      </c>
      <c r="L228">
        <f>IF(OR(J228=0,J228=$B$6),1,IF(MOD(J228,2)=1,4,2))</f>
        <v/>
      </c>
      <c r="M228">
        <f>1/SQRT(1-($E$5^2)*(SIN(K228)^2))</f>
        <v/>
      </c>
      <c r="N228">
        <f>SQRT(1-($E$5^2)*(SIN(K228)^2))</f>
        <v/>
      </c>
    </row>
    <row r="229" ht="20" customHeight="1">
      <c r="J229" t="n">
        <v>209</v>
      </c>
      <c r="K229">
        <f>J229*PI()/(2*$B$6)</f>
        <v/>
      </c>
      <c r="L229">
        <f>IF(OR(J229=0,J229=$B$6),1,IF(MOD(J229,2)=1,4,2))</f>
        <v/>
      </c>
      <c r="M229">
        <f>1/SQRT(1-($E$5^2)*(SIN(K229)^2))</f>
        <v/>
      </c>
      <c r="N229">
        <f>SQRT(1-($E$5^2)*(SIN(K229)^2))</f>
        <v/>
      </c>
    </row>
    <row r="230" ht="20" customHeight="1">
      <c r="J230" t="n">
        <v>210</v>
      </c>
      <c r="K230">
        <f>J230*PI()/(2*$B$6)</f>
        <v/>
      </c>
      <c r="L230">
        <f>IF(OR(J230=0,J230=$B$6),1,IF(MOD(J230,2)=1,4,2))</f>
        <v/>
      </c>
      <c r="M230">
        <f>1/SQRT(1-($E$5^2)*(SIN(K230)^2))</f>
        <v/>
      </c>
      <c r="N230">
        <f>SQRT(1-($E$5^2)*(SIN(K230)^2))</f>
        <v/>
      </c>
    </row>
    <row r="231" ht="20" customHeight="1">
      <c r="J231" t="n">
        <v>211</v>
      </c>
      <c r="K231">
        <f>J231*PI()/(2*$B$6)</f>
        <v/>
      </c>
      <c r="L231">
        <f>IF(OR(J231=0,J231=$B$6),1,IF(MOD(J231,2)=1,4,2))</f>
        <v/>
      </c>
      <c r="M231">
        <f>1/SQRT(1-($E$5^2)*(SIN(K231)^2))</f>
        <v/>
      </c>
      <c r="N231">
        <f>SQRT(1-($E$5^2)*(SIN(K231)^2))</f>
        <v/>
      </c>
    </row>
    <row r="232" ht="20" customHeight="1">
      <c r="J232" t="n">
        <v>212</v>
      </c>
      <c r="K232">
        <f>J232*PI()/(2*$B$6)</f>
        <v/>
      </c>
      <c r="L232">
        <f>IF(OR(J232=0,J232=$B$6),1,IF(MOD(J232,2)=1,4,2))</f>
        <v/>
      </c>
      <c r="M232">
        <f>1/SQRT(1-($E$5^2)*(SIN(K232)^2))</f>
        <v/>
      </c>
      <c r="N232">
        <f>SQRT(1-($E$5^2)*(SIN(K232)^2))</f>
        <v/>
      </c>
    </row>
    <row r="233" ht="20" customHeight="1">
      <c r="J233" t="n">
        <v>213</v>
      </c>
      <c r="K233">
        <f>J233*PI()/(2*$B$6)</f>
        <v/>
      </c>
      <c r="L233">
        <f>IF(OR(J233=0,J233=$B$6),1,IF(MOD(J233,2)=1,4,2))</f>
        <v/>
      </c>
      <c r="M233">
        <f>1/SQRT(1-($E$5^2)*(SIN(K233)^2))</f>
        <v/>
      </c>
      <c r="N233">
        <f>SQRT(1-($E$5^2)*(SIN(K233)^2))</f>
        <v/>
      </c>
    </row>
    <row r="234" ht="20" customHeight="1">
      <c r="J234" t="n">
        <v>214</v>
      </c>
      <c r="K234">
        <f>J234*PI()/(2*$B$6)</f>
        <v/>
      </c>
      <c r="L234">
        <f>IF(OR(J234=0,J234=$B$6),1,IF(MOD(J234,2)=1,4,2))</f>
        <v/>
      </c>
      <c r="M234">
        <f>1/SQRT(1-($E$5^2)*(SIN(K234)^2))</f>
        <v/>
      </c>
      <c r="N234">
        <f>SQRT(1-($E$5^2)*(SIN(K234)^2))</f>
        <v/>
      </c>
    </row>
    <row r="235" ht="20" customHeight="1">
      <c r="J235" t="n">
        <v>215</v>
      </c>
      <c r="K235">
        <f>J235*PI()/(2*$B$6)</f>
        <v/>
      </c>
      <c r="L235">
        <f>IF(OR(J235=0,J235=$B$6),1,IF(MOD(J235,2)=1,4,2))</f>
        <v/>
      </c>
      <c r="M235">
        <f>1/SQRT(1-($E$5^2)*(SIN(K235)^2))</f>
        <v/>
      </c>
      <c r="N235">
        <f>SQRT(1-($E$5^2)*(SIN(K235)^2))</f>
        <v/>
      </c>
    </row>
    <row r="236" ht="20" customHeight="1">
      <c r="J236" t="n">
        <v>216</v>
      </c>
      <c r="K236">
        <f>J236*PI()/(2*$B$6)</f>
        <v/>
      </c>
      <c r="L236">
        <f>IF(OR(J236=0,J236=$B$6),1,IF(MOD(J236,2)=1,4,2))</f>
        <v/>
      </c>
      <c r="M236">
        <f>1/SQRT(1-($E$5^2)*(SIN(K236)^2))</f>
        <v/>
      </c>
      <c r="N236">
        <f>SQRT(1-($E$5^2)*(SIN(K236)^2))</f>
        <v/>
      </c>
    </row>
    <row r="237" ht="20" customHeight="1">
      <c r="J237" t="n">
        <v>217</v>
      </c>
      <c r="K237">
        <f>J237*PI()/(2*$B$6)</f>
        <v/>
      </c>
      <c r="L237">
        <f>IF(OR(J237=0,J237=$B$6),1,IF(MOD(J237,2)=1,4,2))</f>
        <v/>
      </c>
      <c r="M237">
        <f>1/SQRT(1-($E$5^2)*(SIN(K237)^2))</f>
        <v/>
      </c>
      <c r="N237">
        <f>SQRT(1-($E$5^2)*(SIN(K237)^2))</f>
        <v/>
      </c>
    </row>
    <row r="238" ht="20" customHeight="1">
      <c r="J238" t="n">
        <v>218</v>
      </c>
      <c r="K238">
        <f>J238*PI()/(2*$B$6)</f>
        <v/>
      </c>
      <c r="L238">
        <f>IF(OR(J238=0,J238=$B$6),1,IF(MOD(J238,2)=1,4,2))</f>
        <v/>
      </c>
      <c r="M238">
        <f>1/SQRT(1-($E$5^2)*(SIN(K238)^2))</f>
        <v/>
      </c>
      <c r="N238">
        <f>SQRT(1-($E$5^2)*(SIN(K238)^2))</f>
        <v/>
      </c>
    </row>
    <row r="239" ht="20" customHeight="1">
      <c r="J239" t="n">
        <v>219</v>
      </c>
      <c r="K239">
        <f>J239*PI()/(2*$B$6)</f>
        <v/>
      </c>
      <c r="L239">
        <f>IF(OR(J239=0,J239=$B$6),1,IF(MOD(J239,2)=1,4,2))</f>
        <v/>
      </c>
      <c r="M239">
        <f>1/SQRT(1-($E$5^2)*(SIN(K239)^2))</f>
        <v/>
      </c>
      <c r="N239">
        <f>SQRT(1-($E$5^2)*(SIN(K239)^2))</f>
        <v/>
      </c>
    </row>
    <row r="240" ht="20" customHeight="1">
      <c r="J240" t="n">
        <v>220</v>
      </c>
      <c r="K240">
        <f>J240*PI()/(2*$B$6)</f>
        <v/>
      </c>
      <c r="L240">
        <f>IF(OR(J240=0,J240=$B$6),1,IF(MOD(J240,2)=1,4,2))</f>
        <v/>
      </c>
      <c r="M240">
        <f>1/SQRT(1-($E$5^2)*(SIN(K240)^2))</f>
        <v/>
      </c>
      <c r="N240">
        <f>SQRT(1-($E$5^2)*(SIN(K240)^2))</f>
        <v/>
      </c>
    </row>
    <row r="241" ht="20" customHeight="1">
      <c r="J241" t="n">
        <v>221</v>
      </c>
      <c r="K241">
        <f>J241*PI()/(2*$B$6)</f>
        <v/>
      </c>
      <c r="L241">
        <f>IF(OR(J241=0,J241=$B$6),1,IF(MOD(J241,2)=1,4,2))</f>
        <v/>
      </c>
      <c r="M241">
        <f>1/SQRT(1-($E$5^2)*(SIN(K241)^2))</f>
        <v/>
      </c>
      <c r="N241">
        <f>SQRT(1-($E$5^2)*(SIN(K241)^2))</f>
        <v/>
      </c>
    </row>
    <row r="242" ht="20" customHeight="1">
      <c r="J242" t="n">
        <v>222</v>
      </c>
      <c r="K242">
        <f>J242*PI()/(2*$B$6)</f>
        <v/>
      </c>
      <c r="L242">
        <f>IF(OR(J242=0,J242=$B$6),1,IF(MOD(J242,2)=1,4,2))</f>
        <v/>
      </c>
      <c r="M242">
        <f>1/SQRT(1-($E$5^2)*(SIN(K242)^2))</f>
        <v/>
      </c>
      <c r="N242">
        <f>SQRT(1-($E$5^2)*(SIN(K242)^2))</f>
        <v/>
      </c>
    </row>
    <row r="243" ht="20" customHeight="1">
      <c r="J243" t="n">
        <v>223</v>
      </c>
      <c r="K243">
        <f>J243*PI()/(2*$B$6)</f>
        <v/>
      </c>
      <c r="L243">
        <f>IF(OR(J243=0,J243=$B$6),1,IF(MOD(J243,2)=1,4,2))</f>
        <v/>
      </c>
      <c r="M243">
        <f>1/SQRT(1-($E$5^2)*(SIN(K243)^2))</f>
        <v/>
      </c>
      <c r="N243">
        <f>SQRT(1-($E$5^2)*(SIN(K243)^2))</f>
        <v/>
      </c>
    </row>
    <row r="244" ht="20" customHeight="1">
      <c r="J244" t="n">
        <v>224</v>
      </c>
      <c r="K244">
        <f>J244*PI()/(2*$B$6)</f>
        <v/>
      </c>
      <c r="L244">
        <f>IF(OR(J244=0,J244=$B$6),1,IF(MOD(J244,2)=1,4,2))</f>
        <v/>
      </c>
      <c r="M244">
        <f>1/SQRT(1-($E$5^2)*(SIN(K244)^2))</f>
        <v/>
      </c>
      <c r="N244">
        <f>SQRT(1-($E$5^2)*(SIN(K244)^2))</f>
        <v/>
      </c>
    </row>
    <row r="245" ht="20" customHeight="1">
      <c r="J245" t="n">
        <v>225</v>
      </c>
      <c r="K245">
        <f>J245*PI()/(2*$B$6)</f>
        <v/>
      </c>
      <c r="L245">
        <f>IF(OR(J245=0,J245=$B$6),1,IF(MOD(J245,2)=1,4,2))</f>
        <v/>
      </c>
      <c r="M245">
        <f>1/SQRT(1-($E$5^2)*(SIN(K245)^2))</f>
        <v/>
      </c>
      <c r="N245">
        <f>SQRT(1-($E$5^2)*(SIN(K245)^2))</f>
        <v/>
      </c>
    </row>
    <row r="246" ht="20" customHeight="1">
      <c r="J246" t="n">
        <v>226</v>
      </c>
      <c r="K246">
        <f>J246*PI()/(2*$B$6)</f>
        <v/>
      </c>
      <c r="L246">
        <f>IF(OR(J246=0,J246=$B$6),1,IF(MOD(J246,2)=1,4,2))</f>
        <v/>
      </c>
      <c r="M246">
        <f>1/SQRT(1-($E$5^2)*(SIN(K246)^2))</f>
        <v/>
      </c>
      <c r="N246">
        <f>SQRT(1-($E$5^2)*(SIN(K246)^2))</f>
        <v/>
      </c>
    </row>
    <row r="247" ht="20" customHeight="1">
      <c r="J247" t="n">
        <v>227</v>
      </c>
      <c r="K247">
        <f>J247*PI()/(2*$B$6)</f>
        <v/>
      </c>
      <c r="L247">
        <f>IF(OR(J247=0,J247=$B$6),1,IF(MOD(J247,2)=1,4,2))</f>
        <v/>
      </c>
      <c r="M247">
        <f>1/SQRT(1-($E$5^2)*(SIN(K247)^2))</f>
        <v/>
      </c>
      <c r="N247">
        <f>SQRT(1-($E$5^2)*(SIN(K247)^2))</f>
        <v/>
      </c>
    </row>
    <row r="248" ht="20" customHeight="1">
      <c r="J248" t="n">
        <v>228</v>
      </c>
      <c r="K248">
        <f>J248*PI()/(2*$B$6)</f>
        <v/>
      </c>
      <c r="L248">
        <f>IF(OR(J248=0,J248=$B$6),1,IF(MOD(J248,2)=1,4,2))</f>
        <v/>
      </c>
      <c r="M248">
        <f>1/SQRT(1-($E$5^2)*(SIN(K248)^2))</f>
        <v/>
      </c>
      <c r="N248">
        <f>SQRT(1-($E$5^2)*(SIN(K248)^2))</f>
        <v/>
      </c>
    </row>
    <row r="249" ht="20" customHeight="1">
      <c r="J249" t="n">
        <v>229</v>
      </c>
      <c r="K249">
        <f>J249*PI()/(2*$B$6)</f>
        <v/>
      </c>
      <c r="L249">
        <f>IF(OR(J249=0,J249=$B$6),1,IF(MOD(J249,2)=1,4,2))</f>
        <v/>
      </c>
      <c r="M249">
        <f>1/SQRT(1-($E$5^2)*(SIN(K249)^2))</f>
        <v/>
      </c>
      <c r="N249">
        <f>SQRT(1-($E$5^2)*(SIN(K249)^2))</f>
        <v/>
      </c>
    </row>
    <row r="250" ht="20" customHeight="1">
      <c r="J250" t="n">
        <v>230</v>
      </c>
      <c r="K250">
        <f>J250*PI()/(2*$B$6)</f>
        <v/>
      </c>
      <c r="L250">
        <f>IF(OR(J250=0,J250=$B$6),1,IF(MOD(J250,2)=1,4,2))</f>
        <v/>
      </c>
      <c r="M250">
        <f>1/SQRT(1-($E$5^2)*(SIN(K250)^2))</f>
        <v/>
      </c>
      <c r="N250">
        <f>SQRT(1-($E$5^2)*(SIN(K250)^2))</f>
        <v/>
      </c>
    </row>
    <row r="251" ht="20" customHeight="1">
      <c r="J251" t="n">
        <v>231</v>
      </c>
      <c r="K251">
        <f>J251*PI()/(2*$B$6)</f>
        <v/>
      </c>
      <c r="L251">
        <f>IF(OR(J251=0,J251=$B$6),1,IF(MOD(J251,2)=1,4,2))</f>
        <v/>
      </c>
      <c r="M251">
        <f>1/SQRT(1-($E$5^2)*(SIN(K251)^2))</f>
        <v/>
      </c>
      <c r="N251">
        <f>SQRT(1-($E$5^2)*(SIN(K251)^2))</f>
        <v/>
      </c>
    </row>
    <row r="252" ht="20" customHeight="1">
      <c r="J252" t="n">
        <v>232</v>
      </c>
      <c r="K252">
        <f>J252*PI()/(2*$B$6)</f>
        <v/>
      </c>
      <c r="L252">
        <f>IF(OR(J252=0,J252=$B$6),1,IF(MOD(J252,2)=1,4,2))</f>
        <v/>
      </c>
      <c r="M252">
        <f>1/SQRT(1-($E$5^2)*(SIN(K252)^2))</f>
        <v/>
      </c>
      <c r="N252">
        <f>SQRT(1-($E$5^2)*(SIN(K252)^2))</f>
        <v/>
      </c>
    </row>
    <row r="253" ht="20" customHeight="1">
      <c r="J253" t="n">
        <v>233</v>
      </c>
      <c r="K253">
        <f>J253*PI()/(2*$B$6)</f>
        <v/>
      </c>
      <c r="L253">
        <f>IF(OR(J253=0,J253=$B$6),1,IF(MOD(J253,2)=1,4,2))</f>
        <v/>
      </c>
      <c r="M253">
        <f>1/SQRT(1-($E$5^2)*(SIN(K253)^2))</f>
        <v/>
      </c>
      <c r="N253">
        <f>SQRT(1-($E$5^2)*(SIN(K253)^2))</f>
        <v/>
      </c>
    </row>
    <row r="254" ht="20" customHeight="1">
      <c r="J254" t="n">
        <v>234</v>
      </c>
      <c r="K254">
        <f>J254*PI()/(2*$B$6)</f>
        <v/>
      </c>
      <c r="L254">
        <f>IF(OR(J254=0,J254=$B$6),1,IF(MOD(J254,2)=1,4,2))</f>
        <v/>
      </c>
      <c r="M254">
        <f>1/SQRT(1-($E$5^2)*(SIN(K254)^2))</f>
        <v/>
      </c>
      <c r="N254">
        <f>SQRT(1-($E$5^2)*(SIN(K254)^2))</f>
        <v/>
      </c>
    </row>
    <row r="255" ht="20" customHeight="1">
      <c r="J255" t="n">
        <v>235</v>
      </c>
      <c r="K255">
        <f>J255*PI()/(2*$B$6)</f>
        <v/>
      </c>
      <c r="L255">
        <f>IF(OR(J255=0,J255=$B$6),1,IF(MOD(J255,2)=1,4,2))</f>
        <v/>
      </c>
      <c r="M255">
        <f>1/SQRT(1-($E$5^2)*(SIN(K255)^2))</f>
        <v/>
      </c>
      <c r="N255">
        <f>SQRT(1-($E$5^2)*(SIN(K255)^2))</f>
        <v/>
      </c>
    </row>
    <row r="256" ht="20" customHeight="1">
      <c r="J256" t="n">
        <v>236</v>
      </c>
      <c r="K256">
        <f>J256*PI()/(2*$B$6)</f>
        <v/>
      </c>
      <c r="L256">
        <f>IF(OR(J256=0,J256=$B$6),1,IF(MOD(J256,2)=1,4,2))</f>
        <v/>
      </c>
      <c r="M256">
        <f>1/SQRT(1-($E$5^2)*(SIN(K256)^2))</f>
        <v/>
      </c>
      <c r="N256">
        <f>SQRT(1-($E$5^2)*(SIN(K256)^2))</f>
        <v/>
      </c>
    </row>
    <row r="257" ht="20" customHeight="1">
      <c r="J257" t="n">
        <v>237</v>
      </c>
      <c r="K257">
        <f>J257*PI()/(2*$B$6)</f>
        <v/>
      </c>
      <c r="L257">
        <f>IF(OR(J257=0,J257=$B$6),1,IF(MOD(J257,2)=1,4,2))</f>
        <v/>
      </c>
      <c r="M257">
        <f>1/SQRT(1-($E$5^2)*(SIN(K257)^2))</f>
        <v/>
      </c>
      <c r="N257">
        <f>SQRT(1-($E$5^2)*(SIN(K257)^2))</f>
        <v/>
      </c>
    </row>
    <row r="258" ht="20" customHeight="1">
      <c r="J258" t="n">
        <v>238</v>
      </c>
      <c r="K258">
        <f>J258*PI()/(2*$B$6)</f>
        <v/>
      </c>
      <c r="L258">
        <f>IF(OR(J258=0,J258=$B$6),1,IF(MOD(J258,2)=1,4,2))</f>
        <v/>
      </c>
      <c r="M258">
        <f>1/SQRT(1-($E$5^2)*(SIN(K258)^2))</f>
        <v/>
      </c>
      <c r="N258">
        <f>SQRT(1-($E$5^2)*(SIN(K258)^2))</f>
        <v/>
      </c>
    </row>
    <row r="259" ht="20" customHeight="1">
      <c r="J259" t="n">
        <v>239</v>
      </c>
      <c r="K259">
        <f>J259*PI()/(2*$B$6)</f>
        <v/>
      </c>
      <c r="L259">
        <f>IF(OR(J259=0,J259=$B$6),1,IF(MOD(J259,2)=1,4,2))</f>
        <v/>
      </c>
      <c r="M259">
        <f>1/SQRT(1-($E$5^2)*(SIN(K259)^2))</f>
        <v/>
      </c>
      <c r="N259">
        <f>SQRT(1-($E$5^2)*(SIN(K259)^2))</f>
        <v/>
      </c>
    </row>
    <row r="260" ht="20" customHeight="1">
      <c r="J260" t="n">
        <v>240</v>
      </c>
      <c r="K260">
        <f>J260*PI()/(2*$B$6)</f>
        <v/>
      </c>
      <c r="L260">
        <f>IF(OR(J260=0,J260=$B$6),1,IF(MOD(J260,2)=1,4,2))</f>
        <v/>
      </c>
      <c r="M260">
        <f>1/SQRT(1-($E$5^2)*(SIN(K260)^2))</f>
        <v/>
      </c>
      <c r="N260">
        <f>SQRT(1-($E$5^2)*(SIN(K260)^2))</f>
        <v/>
      </c>
    </row>
    <row r="261" ht="20" customHeight="1">
      <c r="J261" t="n">
        <v>241</v>
      </c>
      <c r="K261">
        <f>J261*PI()/(2*$B$6)</f>
        <v/>
      </c>
      <c r="L261">
        <f>IF(OR(J261=0,J261=$B$6),1,IF(MOD(J261,2)=1,4,2))</f>
        <v/>
      </c>
      <c r="M261">
        <f>1/SQRT(1-($E$5^2)*(SIN(K261)^2))</f>
        <v/>
      </c>
      <c r="N261">
        <f>SQRT(1-($E$5^2)*(SIN(K261)^2))</f>
        <v/>
      </c>
    </row>
    <row r="262" ht="20" customHeight="1">
      <c r="J262" t="n">
        <v>242</v>
      </c>
      <c r="K262">
        <f>J262*PI()/(2*$B$6)</f>
        <v/>
      </c>
      <c r="L262">
        <f>IF(OR(J262=0,J262=$B$6),1,IF(MOD(J262,2)=1,4,2))</f>
        <v/>
      </c>
      <c r="M262">
        <f>1/SQRT(1-($E$5^2)*(SIN(K262)^2))</f>
        <v/>
      </c>
      <c r="N262">
        <f>SQRT(1-($E$5^2)*(SIN(K262)^2))</f>
        <v/>
      </c>
    </row>
    <row r="263" ht="20" customHeight="1">
      <c r="J263" t="n">
        <v>243</v>
      </c>
      <c r="K263">
        <f>J263*PI()/(2*$B$6)</f>
        <v/>
      </c>
      <c r="L263">
        <f>IF(OR(J263=0,J263=$B$6),1,IF(MOD(J263,2)=1,4,2))</f>
        <v/>
      </c>
      <c r="M263">
        <f>1/SQRT(1-($E$5^2)*(SIN(K263)^2))</f>
        <v/>
      </c>
      <c r="N263">
        <f>SQRT(1-($E$5^2)*(SIN(K263)^2))</f>
        <v/>
      </c>
    </row>
    <row r="264" ht="20" customHeight="1">
      <c r="J264" t="n">
        <v>244</v>
      </c>
      <c r="K264">
        <f>J264*PI()/(2*$B$6)</f>
        <v/>
      </c>
      <c r="L264">
        <f>IF(OR(J264=0,J264=$B$6),1,IF(MOD(J264,2)=1,4,2))</f>
        <v/>
      </c>
      <c r="M264">
        <f>1/SQRT(1-($E$5^2)*(SIN(K264)^2))</f>
        <v/>
      </c>
      <c r="N264">
        <f>SQRT(1-($E$5^2)*(SIN(K264)^2))</f>
        <v/>
      </c>
    </row>
    <row r="265" ht="20" customHeight="1">
      <c r="J265" t="n">
        <v>245</v>
      </c>
      <c r="K265">
        <f>J265*PI()/(2*$B$6)</f>
        <v/>
      </c>
      <c r="L265">
        <f>IF(OR(J265=0,J265=$B$6),1,IF(MOD(J265,2)=1,4,2))</f>
        <v/>
      </c>
      <c r="M265">
        <f>1/SQRT(1-($E$5^2)*(SIN(K265)^2))</f>
        <v/>
      </c>
      <c r="N265">
        <f>SQRT(1-($E$5^2)*(SIN(K265)^2))</f>
        <v/>
      </c>
    </row>
    <row r="266" ht="20" customHeight="1">
      <c r="J266" t="n">
        <v>246</v>
      </c>
      <c r="K266">
        <f>J266*PI()/(2*$B$6)</f>
        <v/>
      </c>
      <c r="L266">
        <f>IF(OR(J266=0,J266=$B$6),1,IF(MOD(J266,2)=1,4,2))</f>
        <v/>
      </c>
      <c r="M266">
        <f>1/SQRT(1-($E$5^2)*(SIN(K266)^2))</f>
        <v/>
      </c>
      <c r="N266">
        <f>SQRT(1-($E$5^2)*(SIN(K266)^2))</f>
        <v/>
      </c>
    </row>
    <row r="267" ht="20" customHeight="1">
      <c r="J267" t="n">
        <v>247</v>
      </c>
      <c r="K267">
        <f>J267*PI()/(2*$B$6)</f>
        <v/>
      </c>
      <c r="L267">
        <f>IF(OR(J267=0,J267=$B$6),1,IF(MOD(J267,2)=1,4,2))</f>
        <v/>
      </c>
      <c r="M267">
        <f>1/SQRT(1-($E$5^2)*(SIN(K267)^2))</f>
        <v/>
      </c>
      <c r="N267">
        <f>SQRT(1-($E$5^2)*(SIN(K267)^2))</f>
        <v/>
      </c>
    </row>
    <row r="268" ht="20" customHeight="1">
      <c r="J268" t="n">
        <v>248</v>
      </c>
      <c r="K268">
        <f>J268*PI()/(2*$B$6)</f>
        <v/>
      </c>
      <c r="L268">
        <f>IF(OR(J268=0,J268=$B$6),1,IF(MOD(J268,2)=1,4,2))</f>
        <v/>
      </c>
      <c r="M268">
        <f>1/SQRT(1-($E$5^2)*(SIN(K268)^2))</f>
        <v/>
      </c>
      <c r="N268">
        <f>SQRT(1-($E$5^2)*(SIN(K268)^2))</f>
        <v/>
      </c>
    </row>
    <row r="269" ht="20" customHeight="1">
      <c r="J269" t="n">
        <v>249</v>
      </c>
      <c r="K269">
        <f>J269*PI()/(2*$B$6)</f>
        <v/>
      </c>
      <c r="L269">
        <f>IF(OR(J269=0,J269=$B$6),1,IF(MOD(J269,2)=1,4,2))</f>
        <v/>
      </c>
      <c r="M269">
        <f>1/SQRT(1-($E$5^2)*(SIN(K269)^2))</f>
        <v/>
      </c>
      <c r="N269">
        <f>SQRT(1-($E$5^2)*(SIN(K269)^2))</f>
        <v/>
      </c>
    </row>
    <row r="270" ht="20" customHeight="1">
      <c r="J270" t="n">
        <v>250</v>
      </c>
      <c r="K270">
        <f>J270*PI()/(2*$B$6)</f>
        <v/>
      </c>
      <c r="L270">
        <f>IF(OR(J270=0,J270=$B$6),1,IF(MOD(J270,2)=1,4,2))</f>
        <v/>
      </c>
      <c r="M270">
        <f>1/SQRT(1-($E$5^2)*(SIN(K270)^2))</f>
        <v/>
      </c>
      <c r="N270">
        <f>SQRT(1-($E$5^2)*(SIN(K270)^2))</f>
        <v/>
      </c>
    </row>
    <row r="271" ht="20" customHeight="1">
      <c r="J271" t="n">
        <v>251</v>
      </c>
      <c r="K271">
        <f>J271*PI()/(2*$B$6)</f>
        <v/>
      </c>
      <c r="L271">
        <f>IF(OR(J271=0,J271=$B$6),1,IF(MOD(J271,2)=1,4,2))</f>
        <v/>
      </c>
      <c r="M271">
        <f>1/SQRT(1-($E$5^2)*(SIN(K271)^2))</f>
        <v/>
      </c>
      <c r="N271">
        <f>SQRT(1-($E$5^2)*(SIN(K271)^2))</f>
        <v/>
      </c>
    </row>
    <row r="272" ht="20" customHeight="1">
      <c r="J272" t="n">
        <v>252</v>
      </c>
      <c r="K272">
        <f>J272*PI()/(2*$B$6)</f>
        <v/>
      </c>
      <c r="L272">
        <f>IF(OR(J272=0,J272=$B$6),1,IF(MOD(J272,2)=1,4,2))</f>
        <v/>
      </c>
      <c r="M272">
        <f>1/SQRT(1-($E$5^2)*(SIN(K272)^2))</f>
        <v/>
      </c>
      <c r="N272">
        <f>SQRT(1-($E$5^2)*(SIN(K272)^2))</f>
        <v/>
      </c>
    </row>
    <row r="273" ht="20" customHeight="1">
      <c r="J273" t="n">
        <v>253</v>
      </c>
      <c r="K273">
        <f>J273*PI()/(2*$B$6)</f>
        <v/>
      </c>
      <c r="L273">
        <f>IF(OR(J273=0,J273=$B$6),1,IF(MOD(J273,2)=1,4,2))</f>
        <v/>
      </c>
      <c r="M273">
        <f>1/SQRT(1-($E$5^2)*(SIN(K273)^2))</f>
        <v/>
      </c>
      <c r="N273">
        <f>SQRT(1-($E$5^2)*(SIN(K273)^2))</f>
        <v/>
      </c>
    </row>
    <row r="274" ht="20" customHeight="1">
      <c r="J274" t="n">
        <v>254</v>
      </c>
      <c r="K274">
        <f>J274*PI()/(2*$B$6)</f>
        <v/>
      </c>
      <c r="L274">
        <f>IF(OR(J274=0,J274=$B$6),1,IF(MOD(J274,2)=1,4,2))</f>
        <v/>
      </c>
      <c r="M274">
        <f>1/SQRT(1-($E$5^2)*(SIN(K274)^2))</f>
        <v/>
      </c>
      <c r="N274">
        <f>SQRT(1-($E$5^2)*(SIN(K274)^2))</f>
        <v/>
      </c>
    </row>
    <row r="275" ht="20" customHeight="1">
      <c r="J275" t="n">
        <v>255</v>
      </c>
      <c r="K275">
        <f>J275*PI()/(2*$B$6)</f>
        <v/>
      </c>
      <c r="L275">
        <f>IF(OR(J275=0,J275=$B$6),1,IF(MOD(J275,2)=1,4,2))</f>
        <v/>
      </c>
      <c r="M275">
        <f>1/SQRT(1-($E$5^2)*(SIN(K275)^2))</f>
        <v/>
      </c>
      <c r="N275">
        <f>SQRT(1-($E$5^2)*(SIN(K275)^2))</f>
        <v/>
      </c>
    </row>
    <row r="276" ht="20" customHeight="1">
      <c r="J276" t="n">
        <v>256</v>
      </c>
      <c r="K276">
        <f>J276*PI()/(2*$B$6)</f>
        <v/>
      </c>
      <c r="L276">
        <f>IF(OR(J276=0,J276=$B$6),1,IF(MOD(J276,2)=1,4,2))</f>
        <v/>
      </c>
      <c r="M276">
        <f>1/SQRT(1-($E$5^2)*(SIN(K276)^2))</f>
        <v/>
      </c>
      <c r="N276">
        <f>SQRT(1-($E$5^2)*(SIN(K276)^2))</f>
        <v/>
      </c>
    </row>
    <row r="277" ht="20" customHeight="1">
      <c r="J277" t="n">
        <v>257</v>
      </c>
      <c r="K277">
        <f>J277*PI()/(2*$B$6)</f>
        <v/>
      </c>
      <c r="L277">
        <f>IF(OR(J277=0,J277=$B$6),1,IF(MOD(J277,2)=1,4,2))</f>
        <v/>
      </c>
      <c r="M277">
        <f>1/SQRT(1-($E$5^2)*(SIN(K277)^2))</f>
        <v/>
      </c>
      <c r="N277">
        <f>SQRT(1-($E$5^2)*(SIN(K277)^2))</f>
        <v/>
      </c>
    </row>
    <row r="278" ht="20" customHeight="1">
      <c r="J278" t="n">
        <v>258</v>
      </c>
      <c r="K278">
        <f>J278*PI()/(2*$B$6)</f>
        <v/>
      </c>
      <c r="L278">
        <f>IF(OR(J278=0,J278=$B$6),1,IF(MOD(J278,2)=1,4,2))</f>
        <v/>
      </c>
      <c r="M278">
        <f>1/SQRT(1-($E$5^2)*(SIN(K278)^2))</f>
        <v/>
      </c>
      <c r="N278">
        <f>SQRT(1-($E$5^2)*(SIN(K278)^2))</f>
        <v/>
      </c>
    </row>
    <row r="279" ht="20" customHeight="1">
      <c r="J279" t="n">
        <v>259</v>
      </c>
      <c r="K279">
        <f>J279*PI()/(2*$B$6)</f>
        <v/>
      </c>
      <c r="L279">
        <f>IF(OR(J279=0,J279=$B$6),1,IF(MOD(J279,2)=1,4,2))</f>
        <v/>
      </c>
      <c r="M279">
        <f>1/SQRT(1-($E$5^2)*(SIN(K279)^2))</f>
        <v/>
      </c>
      <c r="N279">
        <f>SQRT(1-($E$5^2)*(SIN(K279)^2))</f>
        <v/>
      </c>
    </row>
    <row r="280" ht="20" customHeight="1">
      <c r="J280" t="n">
        <v>260</v>
      </c>
      <c r="K280">
        <f>J280*PI()/(2*$B$6)</f>
        <v/>
      </c>
      <c r="L280">
        <f>IF(OR(J280=0,J280=$B$6),1,IF(MOD(J280,2)=1,4,2))</f>
        <v/>
      </c>
      <c r="M280">
        <f>1/SQRT(1-($E$5^2)*(SIN(K280)^2))</f>
        <v/>
      </c>
      <c r="N280">
        <f>SQRT(1-($E$5^2)*(SIN(K280)^2))</f>
        <v/>
      </c>
    </row>
    <row r="281" ht="20" customHeight="1">
      <c r="J281" t="n">
        <v>261</v>
      </c>
      <c r="K281">
        <f>J281*PI()/(2*$B$6)</f>
        <v/>
      </c>
      <c r="L281">
        <f>IF(OR(J281=0,J281=$B$6),1,IF(MOD(J281,2)=1,4,2))</f>
        <v/>
      </c>
      <c r="M281">
        <f>1/SQRT(1-($E$5^2)*(SIN(K281)^2))</f>
        <v/>
      </c>
      <c r="N281">
        <f>SQRT(1-($E$5^2)*(SIN(K281)^2))</f>
        <v/>
      </c>
    </row>
    <row r="282" ht="20" customHeight="1">
      <c r="J282" t="n">
        <v>262</v>
      </c>
      <c r="K282">
        <f>J282*PI()/(2*$B$6)</f>
        <v/>
      </c>
      <c r="L282">
        <f>IF(OR(J282=0,J282=$B$6),1,IF(MOD(J282,2)=1,4,2))</f>
        <v/>
      </c>
      <c r="M282">
        <f>1/SQRT(1-($E$5^2)*(SIN(K282)^2))</f>
        <v/>
      </c>
      <c r="N282">
        <f>SQRT(1-($E$5^2)*(SIN(K282)^2))</f>
        <v/>
      </c>
    </row>
    <row r="283" ht="20" customHeight="1">
      <c r="J283" t="n">
        <v>263</v>
      </c>
      <c r="K283">
        <f>J283*PI()/(2*$B$6)</f>
        <v/>
      </c>
      <c r="L283">
        <f>IF(OR(J283=0,J283=$B$6),1,IF(MOD(J283,2)=1,4,2))</f>
        <v/>
      </c>
      <c r="M283">
        <f>1/SQRT(1-($E$5^2)*(SIN(K283)^2))</f>
        <v/>
      </c>
      <c r="N283">
        <f>SQRT(1-($E$5^2)*(SIN(K283)^2))</f>
        <v/>
      </c>
    </row>
    <row r="284" ht="20" customHeight="1">
      <c r="J284" t="n">
        <v>264</v>
      </c>
      <c r="K284">
        <f>J284*PI()/(2*$B$6)</f>
        <v/>
      </c>
      <c r="L284">
        <f>IF(OR(J284=0,J284=$B$6),1,IF(MOD(J284,2)=1,4,2))</f>
        <v/>
      </c>
      <c r="M284">
        <f>1/SQRT(1-($E$5^2)*(SIN(K284)^2))</f>
        <v/>
      </c>
      <c r="N284">
        <f>SQRT(1-($E$5^2)*(SIN(K284)^2))</f>
        <v/>
      </c>
    </row>
    <row r="285" ht="20" customHeight="1">
      <c r="J285" t="n">
        <v>265</v>
      </c>
      <c r="K285">
        <f>J285*PI()/(2*$B$6)</f>
        <v/>
      </c>
      <c r="L285">
        <f>IF(OR(J285=0,J285=$B$6),1,IF(MOD(J285,2)=1,4,2))</f>
        <v/>
      </c>
      <c r="M285">
        <f>1/SQRT(1-($E$5^2)*(SIN(K285)^2))</f>
        <v/>
      </c>
      <c r="N285">
        <f>SQRT(1-($E$5^2)*(SIN(K285)^2))</f>
        <v/>
      </c>
    </row>
    <row r="286" ht="20" customHeight="1">
      <c r="J286" t="n">
        <v>266</v>
      </c>
      <c r="K286">
        <f>J286*PI()/(2*$B$6)</f>
        <v/>
      </c>
      <c r="L286">
        <f>IF(OR(J286=0,J286=$B$6),1,IF(MOD(J286,2)=1,4,2))</f>
        <v/>
      </c>
      <c r="M286">
        <f>1/SQRT(1-($E$5^2)*(SIN(K286)^2))</f>
        <v/>
      </c>
      <c r="N286">
        <f>SQRT(1-($E$5^2)*(SIN(K286)^2))</f>
        <v/>
      </c>
    </row>
    <row r="287" ht="20" customHeight="1">
      <c r="J287" t="n">
        <v>267</v>
      </c>
      <c r="K287">
        <f>J287*PI()/(2*$B$6)</f>
        <v/>
      </c>
      <c r="L287">
        <f>IF(OR(J287=0,J287=$B$6),1,IF(MOD(J287,2)=1,4,2))</f>
        <v/>
      </c>
      <c r="M287">
        <f>1/SQRT(1-($E$5^2)*(SIN(K287)^2))</f>
        <v/>
      </c>
      <c r="N287">
        <f>SQRT(1-($E$5^2)*(SIN(K287)^2))</f>
        <v/>
      </c>
    </row>
    <row r="288" ht="20" customHeight="1">
      <c r="J288" t="n">
        <v>268</v>
      </c>
      <c r="K288">
        <f>J288*PI()/(2*$B$6)</f>
        <v/>
      </c>
      <c r="L288">
        <f>IF(OR(J288=0,J288=$B$6),1,IF(MOD(J288,2)=1,4,2))</f>
        <v/>
      </c>
      <c r="M288">
        <f>1/SQRT(1-($E$5^2)*(SIN(K288)^2))</f>
        <v/>
      </c>
      <c r="N288">
        <f>SQRT(1-($E$5^2)*(SIN(K288)^2))</f>
        <v/>
      </c>
    </row>
    <row r="289" ht="20" customHeight="1">
      <c r="J289" t="n">
        <v>269</v>
      </c>
      <c r="K289">
        <f>J289*PI()/(2*$B$6)</f>
        <v/>
      </c>
      <c r="L289">
        <f>IF(OR(J289=0,J289=$B$6),1,IF(MOD(J289,2)=1,4,2))</f>
        <v/>
      </c>
      <c r="M289">
        <f>1/SQRT(1-($E$5^2)*(SIN(K289)^2))</f>
        <v/>
      </c>
      <c r="N289">
        <f>SQRT(1-($E$5^2)*(SIN(K289)^2))</f>
        <v/>
      </c>
    </row>
    <row r="290" ht="20" customHeight="1">
      <c r="J290" t="n">
        <v>270</v>
      </c>
      <c r="K290">
        <f>J290*PI()/(2*$B$6)</f>
        <v/>
      </c>
      <c r="L290">
        <f>IF(OR(J290=0,J290=$B$6),1,IF(MOD(J290,2)=1,4,2))</f>
        <v/>
      </c>
      <c r="M290">
        <f>1/SQRT(1-($E$5^2)*(SIN(K290)^2))</f>
        <v/>
      </c>
      <c r="N290">
        <f>SQRT(1-($E$5^2)*(SIN(K290)^2))</f>
        <v/>
      </c>
    </row>
    <row r="291" ht="20" customHeight="1">
      <c r="J291" t="n">
        <v>271</v>
      </c>
      <c r="K291">
        <f>J291*PI()/(2*$B$6)</f>
        <v/>
      </c>
      <c r="L291">
        <f>IF(OR(J291=0,J291=$B$6),1,IF(MOD(J291,2)=1,4,2))</f>
        <v/>
      </c>
      <c r="M291">
        <f>1/SQRT(1-($E$5^2)*(SIN(K291)^2))</f>
        <v/>
      </c>
      <c r="N291">
        <f>SQRT(1-($E$5^2)*(SIN(K291)^2))</f>
        <v/>
      </c>
    </row>
    <row r="292" ht="20" customHeight="1">
      <c r="J292" t="n">
        <v>272</v>
      </c>
      <c r="K292">
        <f>J292*PI()/(2*$B$6)</f>
        <v/>
      </c>
      <c r="L292">
        <f>IF(OR(J292=0,J292=$B$6),1,IF(MOD(J292,2)=1,4,2))</f>
        <v/>
      </c>
      <c r="M292">
        <f>1/SQRT(1-($E$5^2)*(SIN(K292)^2))</f>
        <v/>
      </c>
      <c r="N292">
        <f>SQRT(1-($E$5^2)*(SIN(K292)^2))</f>
        <v/>
      </c>
    </row>
    <row r="293" ht="20" customHeight="1">
      <c r="J293" t="n">
        <v>273</v>
      </c>
      <c r="K293">
        <f>J293*PI()/(2*$B$6)</f>
        <v/>
      </c>
      <c r="L293">
        <f>IF(OR(J293=0,J293=$B$6),1,IF(MOD(J293,2)=1,4,2))</f>
        <v/>
      </c>
      <c r="M293">
        <f>1/SQRT(1-($E$5^2)*(SIN(K293)^2))</f>
        <v/>
      </c>
      <c r="N293">
        <f>SQRT(1-($E$5^2)*(SIN(K293)^2))</f>
        <v/>
      </c>
    </row>
    <row r="294" ht="20" customHeight="1">
      <c r="J294" t="n">
        <v>274</v>
      </c>
      <c r="K294">
        <f>J294*PI()/(2*$B$6)</f>
        <v/>
      </c>
      <c r="L294">
        <f>IF(OR(J294=0,J294=$B$6),1,IF(MOD(J294,2)=1,4,2))</f>
        <v/>
      </c>
      <c r="M294">
        <f>1/SQRT(1-($E$5^2)*(SIN(K294)^2))</f>
        <v/>
      </c>
      <c r="N294">
        <f>SQRT(1-($E$5^2)*(SIN(K294)^2))</f>
        <v/>
      </c>
    </row>
    <row r="295" ht="20" customHeight="1">
      <c r="J295" t="n">
        <v>275</v>
      </c>
      <c r="K295">
        <f>J295*PI()/(2*$B$6)</f>
        <v/>
      </c>
      <c r="L295">
        <f>IF(OR(J295=0,J295=$B$6),1,IF(MOD(J295,2)=1,4,2))</f>
        <v/>
      </c>
      <c r="M295">
        <f>1/SQRT(1-($E$5^2)*(SIN(K295)^2))</f>
        <v/>
      </c>
      <c r="N295">
        <f>SQRT(1-($E$5^2)*(SIN(K295)^2))</f>
        <v/>
      </c>
    </row>
    <row r="296" ht="20" customHeight="1">
      <c r="J296" t="n">
        <v>276</v>
      </c>
      <c r="K296">
        <f>J296*PI()/(2*$B$6)</f>
        <v/>
      </c>
      <c r="L296">
        <f>IF(OR(J296=0,J296=$B$6),1,IF(MOD(J296,2)=1,4,2))</f>
        <v/>
      </c>
      <c r="M296">
        <f>1/SQRT(1-($E$5^2)*(SIN(K296)^2))</f>
        <v/>
      </c>
      <c r="N296">
        <f>SQRT(1-($E$5^2)*(SIN(K296)^2))</f>
        <v/>
      </c>
    </row>
    <row r="297" ht="20" customHeight="1">
      <c r="J297" t="n">
        <v>277</v>
      </c>
      <c r="K297">
        <f>J297*PI()/(2*$B$6)</f>
        <v/>
      </c>
      <c r="L297">
        <f>IF(OR(J297=0,J297=$B$6),1,IF(MOD(J297,2)=1,4,2))</f>
        <v/>
      </c>
      <c r="M297">
        <f>1/SQRT(1-($E$5^2)*(SIN(K297)^2))</f>
        <v/>
      </c>
      <c r="N297">
        <f>SQRT(1-($E$5^2)*(SIN(K297)^2))</f>
        <v/>
      </c>
    </row>
    <row r="298" ht="20" customHeight="1">
      <c r="J298" t="n">
        <v>278</v>
      </c>
      <c r="K298">
        <f>J298*PI()/(2*$B$6)</f>
        <v/>
      </c>
      <c r="L298">
        <f>IF(OR(J298=0,J298=$B$6),1,IF(MOD(J298,2)=1,4,2))</f>
        <v/>
      </c>
      <c r="M298">
        <f>1/SQRT(1-($E$5^2)*(SIN(K298)^2))</f>
        <v/>
      </c>
      <c r="N298">
        <f>SQRT(1-($E$5^2)*(SIN(K298)^2))</f>
        <v/>
      </c>
    </row>
    <row r="299" ht="20" customHeight="1">
      <c r="J299" t="n">
        <v>279</v>
      </c>
      <c r="K299">
        <f>J299*PI()/(2*$B$6)</f>
        <v/>
      </c>
      <c r="L299">
        <f>IF(OR(J299=0,J299=$B$6),1,IF(MOD(J299,2)=1,4,2))</f>
        <v/>
      </c>
      <c r="M299">
        <f>1/SQRT(1-($E$5^2)*(SIN(K299)^2))</f>
        <v/>
      </c>
      <c r="N299">
        <f>SQRT(1-($E$5^2)*(SIN(K299)^2))</f>
        <v/>
      </c>
    </row>
    <row r="300" ht="20" customHeight="1">
      <c r="J300" t="n">
        <v>280</v>
      </c>
      <c r="K300">
        <f>J300*PI()/(2*$B$6)</f>
        <v/>
      </c>
      <c r="L300">
        <f>IF(OR(J300=0,J300=$B$6),1,IF(MOD(J300,2)=1,4,2))</f>
        <v/>
      </c>
      <c r="M300">
        <f>1/SQRT(1-($E$5^2)*(SIN(K300)^2))</f>
        <v/>
      </c>
      <c r="N300">
        <f>SQRT(1-($E$5^2)*(SIN(K300)^2))</f>
        <v/>
      </c>
    </row>
    <row r="301" ht="20" customHeight="1">
      <c r="J301" t="n">
        <v>281</v>
      </c>
      <c r="K301">
        <f>J301*PI()/(2*$B$6)</f>
        <v/>
      </c>
      <c r="L301">
        <f>IF(OR(J301=0,J301=$B$6),1,IF(MOD(J301,2)=1,4,2))</f>
        <v/>
      </c>
      <c r="M301">
        <f>1/SQRT(1-($E$5^2)*(SIN(K301)^2))</f>
        <v/>
      </c>
      <c r="N301">
        <f>SQRT(1-($E$5^2)*(SIN(K301)^2))</f>
        <v/>
      </c>
    </row>
    <row r="302" ht="20" customHeight="1">
      <c r="J302" t="n">
        <v>282</v>
      </c>
      <c r="K302">
        <f>J302*PI()/(2*$B$6)</f>
        <v/>
      </c>
      <c r="L302">
        <f>IF(OR(J302=0,J302=$B$6),1,IF(MOD(J302,2)=1,4,2))</f>
        <v/>
      </c>
      <c r="M302">
        <f>1/SQRT(1-($E$5^2)*(SIN(K302)^2))</f>
        <v/>
      </c>
      <c r="N302">
        <f>SQRT(1-($E$5^2)*(SIN(K302)^2))</f>
        <v/>
      </c>
    </row>
    <row r="303" ht="20" customHeight="1">
      <c r="J303" t="n">
        <v>283</v>
      </c>
      <c r="K303">
        <f>J303*PI()/(2*$B$6)</f>
        <v/>
      </c>
      <c r="L303">
        <f>IF(OR(J303=0,J303=$B$6),1,IF(MOD(J303,2)=1,4,2))</f>
        <v/>
      </c>
      <c r="M303">
        <f>1/SQRT(1-($E$5^2)*(SIN(K303)^2))</f>
        <v/>
      </c>
      <c r="N303">
        <f>SQRT(1-($E$5^2)*(SIN(K303)^2))</f>
        <v/>
      </c>
    </row>
    <row r="304" ht="20" customHeight="1">
      <c r="J304" t="n">
        <v>284</v>
      </c>
      <c r="K304">
        <f>J304*PI()/(2*$B$6)</f>
        <v/>
      </c>
      <c r="L304">
        <f>IF(OR(J304=0,J304=$B$6),1,IF(MOD(J304,2)=1,4,2))</f>
        <v/>
      </c>
      <c r="M304">
        <f>1/SQRT(1-($E$5^2)*(SIN(K304)^2))</f>
        <v/>
      </c>
      <c r="N304">
        <f>SQRT(1-($E$5^2)*(SIN(K304)^2))</f>
        <v/>
      </c>
    </row>
    <row r="305" ht="20" customHeight="1">
      <c r="J305" t="n">
        <v>285</v>
      </c>
      <c r="K305">
        <f>J305*PI()/(2*$B$6)</f>
        <v/>
      </c>
      <c r="L305">
        <f>IF(OR(J305=0,J305=$B$6),1,IF(MOD(J305,2)=1,4,2))</f>
        <v/>
      </c>
      <c r="M305">
        <f>1/SQRT(1-($E$5^2)*(SIN(K305)^2))</f>
        <v/>
      </c>
      <c r="N305">
        <f>SQRT(1-($E$5^2)*(SIN(K305)^2))</f>
        <v/>
      </c>
    </row>
    <row r="306" ht="20" customHeight="1">
      <c r="J306" t="n">
        <v>286</v>
      </c>
      <c r="K306">
        <f>J306*PI()/(2*$B$6)</f>
        <v/>
      </c>
      <c r="L306">
        <f>IF(OR(J306=0,J306=$B$6),1,IF(MOD(J306,2)=1,4,2))</f>
        <v/>
      </c>
      <c r="M306">
        <f>1/SQRT(1-($E$5^2)*(SIN(K306)^2))</f>
        <v/>
      </c>
      <c r="N306">
        <f>SQRT(1-($E$5^2)*(SIN(K306)^2))</f>
        <v/>
      </c>
    </row>
    <row r="307" ht="20" customHeight="1">
      <c r="J307" t="n">
        <v>287</v>
      </c>
      <c r="K307">
        <f>J307*PI()/(2*$B$6)</f>
        <v/>
      </c>
      <c r="L307">
        <f>IF(OR(J307=0,J307=$B$6),1,IF(MOD(J307,2)=1,4,2))</f>
        <v/>
      </c>
      <c r="M307">
        <f>1/SQRT(1-($E$5^2)*(SIN(K307)^2))</f>
        <v/>
      </c>
      <c r="N307">
        <f>SQRT(1-($E$5^2)*(SIN(K307)^2))</f>
        <v/>
      </c>
    </row>
    <row r="308" ht="20" customHeight="1">
      <c r="J308" t="n">
        <v>288</v>
      </c>
      <c r="K308">
        <f>J308*PI()/(2*$B$6)</f>
        <v/>
      </c>
      <c r="L308">
        <f>IF(OR(J308=0,J308=$B$6),1,IF(MOD(J308,2)=1,4,2))</f>
        <v/>
      </c>
      <c r="M308">
        <f>1/SQRT(1-($E$5^2)*(SIN(K308)^2))</f>
        <v/>
      </c>
      <c r="N308">
        <f>SQRT(1-($E$5^2)*(SIN(K308)^2))</f>
        <v/>
      </c>
    </row>
    <row r="309" ht="20" customHeight="1">
      <c r="J309" t="n">
        <v>289</v>
      </c>
      <c r="K309">
        <f>J309*PI()/(2*$B$6)</f>
        <v/>
      </c>
      <c r="L309">
        <f>IF(OR(J309=0,J309=$B$6),1,IF(MOD(J309,2)=1,4,2))</f>
        <v/>
      </c>
      <c r="M309">
        <f>1/SQRT(1-($E$5^2)*(SIN(K309)^2))</f>
        <v/>
      </c>
      <c r="N309">
        <f>SQRT(1-($E$5^2)*(SIN(K309)^2))</f>
        <v/>
      </c>
    </row>
    <row r="310" ht="20" customHeight="1">
      <c r="J310" t="n">
        <v>290</v>
      </c>
      <c r="K310">
        <f>J310*PI()/(2*$B$6)</f>
        <v/>
      </c>
      <c r="L310">
        <f>IF(OR(J310=0,J310=$B$6),1,IF(MOD(J310,2)=1,4,2))</f>
        <v/>
      </c>
      <c r="M310">
        <f>1/SQRT(1-($E$5^2)*(SIN(K310)^2))</f>
        <v/>
      </c>
      <c r="N310">
        <f>SQRT(1-($E$5^2)*(SIN(K310)^2))</f>
        <v/>
      </c>
    </row>
    <row r="311" ht="20" customHeight="1">
      <c r="J311" t="n">
        <v>291</v>
      </c>
      <c r="K311">
        <f>J311*PI()/(2*$B$6)</f>
        <v/>
      </c>
      <c r="L311">
        <f>IF(OR(J311=0,J311=$B$6),1,IF(MOD(J311,2)=1,4,2))</f>
        <v/>
      </c>
      <c r="M311">
        <f>1/SQRT(1-($E$5^2)*(SIN(K311)^2))</f>
        <v/>
      </c>
      <c r="N311">
        <f>SQRT(1-($E$5^2)*(SIN(K311)^2))</f>
        <v/>
      </c>
    </row>
    <row r="312" ht="20" customHeight="1">
      <c r="J312" t="n">
        <v>292</v>
      </c>
      <c r="K312">
        <f>J312*PI()/(2*$B$6)</f>
        <v/>
      </c>
      <c r="L312">
        <f>IF(OR(J312=0,J312=$B$6),1,IF(MOD(J312,2)=1,4,2))</f>
        <v/>
      </c>
      <c r="M312">
        <f>1/SQRT(1-($E$5^2)*(SIN(K312)^2))</f>
        <v/>
      </c>
      <c r="N312">
        <f>SQRT(1-($E$5^2)*(SIN(K312)^2))</f>
        <v/>
      </c>
    </row>
    <row r="313" ht="20" customHeight="1">
      <c r="J313" t="n">
        <v>293</v>
      </c>
      <c r="K313">
        <f>J313*PI()/(2*$B$6)</f>
        <v/>
      </c>
      <c r="L313">
        <f>IF(OR(J313=0,J313=$B$6),1,IF(MOD(J313,2)=1,4,2))</f>
        <v/>
      </c>
      <c r="M313">
        <f>1/SQRT(1-($E$5^2)*(SIN(K313)^2))</f>
        <v/>
      </c>
      <c r="N313">
        <f>SQRT(1-($E$5^2)*(SIN(K313)^2))</f>
        <v/>
      </c>
    </row>
    <row r="314" ht="20" customHeight="1">
      <c r="J314" t="n">
        <v>294</v>
      </c>
      <c r="K314">
        <f>J314*PI()/(2*$B$6)</f>
        <v/>
      </c>
      <c r="L314">
        <f>IF(OR(J314=0,J314=$B$6),1,IF(MOD(J314,2)=1,4,2))</f>
        <v/>
      </c>
      <c r="M314">
        <f>1/SQRT(1-($E$5^2)*(SIN(K314)^2))</f>
        <v/>
      </c>
      <c r="N314">
        <f>SQRT(1-($E$5^2)*(SIN(K314)^2))</f>
        <v/>
      </c>
    </row>
    <row r="315" ht="20" customHeight="1">
      <c r="J315" t="n">
        <v>295</v>
      </c>
      <c r="K315">
        <f>J315*PI()/(2*$B$6)</f>
        <v/>
      </c>
      <c r="L315">
        <f>IF(OR(J315=0,J315=$B$6),1,IF(MOD(J315,2)=1,4,2))</f>
        <v/>
      </c>
      <c r="M315">
        <f>1/SQRT(1-($E$5^2)*(SIN(K315)^2))</f>
        <v/>
      </c>
      <c r="N315">
        <f>SQRT(1-($E$5^2)*(SIN(K315)^2))</f>
        <v/>
      </c>
    </row>
    <row r="316" ht="20" customHeight="1">
      <c r="J316" t="n">
        <v>296</v>
      </c>
      <c r="K316">
        <f>J316*PI()/(2*$B$6)</f>
        <v/>
      </c>
      <c r="L316">
        <f>IF(OR(J316=0,J316=$B$6),1,IF(MOD(J316,2)=1,4,2))</f>
        <v/>
      </c>
      <c r="M316">
        <f>1/SQRT(1-($E$5^2)*(SIN(K316)^2))</f>
        <v/>
      </c>
      <c r="N316">
        <f>SQRT(1-($E$5^2)*(SIN(K316)^2))</f>
        <v/>
      </c>
    </row>
    <row r="317" ht="20" customHeight="1">
      <c r="J317" t="n">
        <v>297</v>
      </c>
      <c r="K317">
        <f>J317*PI()/(2*$B$6)</f>
        <v/>
      </c>
      <c r="L317">
        <f>IF(OR(J317=0,J317=$B$6),1,IF(MOD(J317,2)=1,4,2))</f>
        <v/>
      </c>
      <c r="M317">
        <f>1/SQRT(1-($E$5^2)*(SIN(K317)^2))</f>
        <v/>
      </c>
      <c r="N317">
        <f>SQRT(1-($E$5^2)*(SIN(K317)^2))</f>
        <v/>
      </c>
    </row>
    <row r="318" ht="20" customHeight="1">
      <c r="J318" t="n">
        <v>298</v>
      </c>
      <c r="K318">
        <f>J318*PI()/(2*$B$6)</f>
        <v/>
      </c>
      <c r="L318">
        <f>IF(OR(J318=0,J318=$B$6),1,IF(MOD(J318,2)=1,4,2))</f>
        <v/>
      </c>
      <c r="M318">
        <f>1/SQRT(1-($E$5^2)*(SIN(K318)^2))</f>
        <v/>
      </c>
      <c r="N318">
        <f>SQRT(1-($E$5^2)*(SIN(K318)^2))</f>
        <v/>
      </c>
    </row>
    <row r="319" ht="20" customHeight="1">
      <c r="J319" t="n">
        <v>299</v>
      </c>
      <c r="K319">
        <f>J319*PI()/(2*$B$6)</f>
        <v/>
      </c>
      <c r="L319">
        <f>IF(OR(J319=0,J319=$B$6),1,IF(MOD(J319,2)=1,4,2))</f>
        <v/>
      </c>
      <c r="M319">
        <f>1/SQRT(1-($E$5^2)*(SIN(K319)^2))</f>
        <v/>
      </c>
      <c r="N319">
        <f>SQRT(1-($E$5^2)*(SIN(K319)^2))</f>
        <v/>
      </c>
    </row>
    <row r="320" ht="20" customHeight="1">
      <c r="J320" t="n">
        <v>300</v>
      </c>
      <c r="K320">
        <f>J320*PI()/(2*$B$6)</f>
        <v/>
      </c>
      <c r="L320">
        <f>IF(OR(J320=0,J320=$B$6),1,IF(MOD(J320,2)=1,4,2))</f>
        <v/>
      </c>
      <c r="M320">
        <f>1/SQRT(1-($E$5^2)*(SIN(K320)^2))</f>
        <v/>
      </c>
      <c r="N320">
        <f>SQRT(1-($E$5^2)*(SIN(K320)^2))</f>
        <v/>
      </c>
    </row>
    <row r="321" ht="20" customHeight="1">
      <c r="J321" t="n">
        <v>301</v>
      </c>
      <c r="K321">
        <f>J321*PI()/(2*$B$6)</f>
        <v/>
      </c>
      <c r="L321">
        <f>IF(OR(J321=0,J321=$B$6),1,IF(MOD(J321,2)=1,4,2))</f>
        <v/>
      </c>
      <c r="M321">
        <f>1/SQRT(1-($E$5^2)*(SIN(K321)^2))</f>
        <v/>
      </c>
      <c r="N321">
        <f>SQRT(1-($E$5^2)*(SIN(K321)^2))</f>
        <v/>
      </c>
    </row>
    <row r="322" ht="20" customHeight="1">
      <c r="J322" t="n">
        <v>302</v>
      </c>
      <c r="K322">
        <f>J322*PI()/(2*$B$6)</f>
        <v/>
      </c>
      <c r="L322">
        <f>IF(OR(J322=0,J322=$B$6),1,IF(MOD(J322,2)=1,4,2))</f>
        <v/>
      </c>
      <c r="M322">
        <f>1/SQRT(1-($E$5^2)*(SIN(K322)^2))</f>
        <v/>
      </c>
      <c r="N322">
        <f>SQRT(1-($E$5^2)*(SIN(K322)^2))</f>
        <v/>
      </c>
    </row>
    <row r="323" ht="20" customHeight="1">
      <c r="J323" t="n">
        <v>303</v>
      </c>
      <c r="K323">
        <f>J323*PI()/(2*$B$6)</f>
        <v/>
      </c>
      <c r="L323">
        <f>IF(OR(J323=0,J323=$B$6),1,IF(MOD(J323,2)=1,4,2))</f>
        <v/>
      </c>
      <c r="M323">
        <f>1/SQRT(1-($E$5^2)*(SIN(K323)^2))</f>
        <v/>
      </c>
      <c r="N323">
        <f>SQRT(1-($E$5^2)*(SIN(K323)^2))</f>
        <v/>
      </c>
    </row>
    <row r="324" ht="20" customHeight="1">
      <c r="J324" t="n">
        <v>304</v>
      </c>
      <c r="K324">
        <f>J324*PI()/(2*$B$6)</f>
        <v/>
      </c>
      <c r="L324">
        <f>IF(OR(J324=0,J324=$B$6),1,IF(MOD(J324,2)=1,4,2))</f>
        <v/>
      </c>
      <c r="M324">
        <f>1/SQRT(1-($E$5^2)*(SIN(K324)^2))</f>
        <v/>
      </c>
      <c r="N324">
        <f>SQRT(1-($E$5^2)*(SIN(K324)^2))</f>
        <v/>
      </c>
    </row>
    <row r="325" ht="20" customHeight="1">
      <c r="J325" t="n">
        <v>305</v>
      </c>
      <c r="K325">
        <f>J325*PI()/(2*$B$6)</f>
        <v/>
      </c>
      <c r="L325">
        <f>IF(OR(J325=0,J325=$B$6),1,IF(MOD(J325,2)=1,4,2))</f>
        <v/>
      </c>
      <c r="M325">
        <f>1/SQRT(1-($E$5^2)*(SIN(K325)^2))</f>
        <v/>
      </c>
      <c r="N325">
        <f>SQRT(1-($E$5^2)*(SIN(K325)^2))</f>
        <v/>
      </c>
    </row>
    <row r="326" ht="20" customHeight="1">
      <c r="J326" t="n">
        <v>306</v>
      </c>
      <c r="K326">
        <f>J326*PI()/(2*$B$6)</f>
        <v/>
      </c>
      <c r="L326">
        <f>IF(OR(J326=0,J326=$B$6),1,IF(MOD(J326,2)=1,4,2))</f>
        <v/>
      </c>
      <c r="M326">
        <f>1/SQRT(1-($E$5^2)*(SIN(K326)^2))</f>
        <v/>
      </c>
      <c r="N326">
        <f>SQRT(1-($E$5^2)*(SIN(K326)^2))</f>
        <v/>
      </c>
    </row>
    <row r="327" ht="20" customHeight="1">
      <c r="J327" t="n">
        <v>307</v>
      </c>
      <c r="K327">
        <f>J327*PI()/(2*$B$6)</f>
        <v/>
      </c>
      <c r="L327">
        <f>IF(OR(J327=0,J327=$B$6),1,IF(MOD(J327,2)=1,4,2))</f>
        <v/>
      </c>
      <c r="M327">
        <f>1/SQRT(1-($E$5^2)*(SIN(K327)^2))</f>
        <v/>
      </c>
      <c r="N327">
        <f>SQRT(1-($E$5^2)*(SIN(K327)^2))</f>
        <v/>
      </c>
    </row>
    <row r="328" ht="20" customHeight="1">
      <c r="J328" t="n">
        <v>308</v>
      </c>
      <c r="K328">
        <f>J328*PI()/(2*$B$6)</f>
        <v/>
      </c>
      <c r="L328">
        <f>IF(OR(J328=0,J328=$B$6),1,IF(MOD(J328,2)=1,4,2))</f>
        <v/>
      </c>
      <c r="M328">
        <f>1/SQRT(1-($E$5^2)*(SIN(K328)^2))</f>
        <v/>
      </c>
      <c r="N328">
        <f>SQRT(1-($E$5^2)*(SIN(K328)^2))</f>
        <v/>
      </c>
    </row>
    <row r="329" ht="20" customHeight="1">
      <c r="J329" t="n">
        <v>309</v>
      </c>
      <c r="K329">
        <f>J329*PI()/(2*$B$6)</f>
        <v/>
      </c>
      <c r="L329">
        <f>IF(OR(J329=0,J329=$B$6),1,IF(MOD(J329,2)=1,4,2))</f>
        <v/>
      </c>
      <c r="M329">
        <f>1/SQRT(1-($E$5^2)*(SIN(K329)^2))</f>
        <v/>
      </c>
      <c r="N329">
        <f>SQRT(1-($E$5^2)*(SIN(K329)^2))</f>
        <v/>
      </c>
    </row>
    <row r="330" ht="20" customHeight="1">
      <c r="J330" t="n">
        <v>310</v>
      </c>
      <c r="K330">
        <f>J330*PI()/(2*$B$6)</f>
        <v/>
      </c>
      <c r="L330">
        <f>IF(OR(J330=0,J330=$B$6),1,IF(MOD(J330,2)=1,4,2))</f>
        <v/>
      </c>
      <c r="M330">
        <f>1/SQRT(1-($E$5^2)*(SIN(K330)^2))</f>
        <v/>
      </c>
      <c r="N330">
        <f>SQRT(1-($E$5^2)*(SIN(K330)^2))</f>
        <v/>
      </c>
    </row>
    <row r="331" ht="20" customHeight="1">
      <c r="J331" t="n">
        <v>311</v>
      </c>
      <c r="K331">
        <f>J331*PI()/(2*$B$6)</f>
        <v/>
      </c>
      <c r="L331">
        <f>IF(OR(J331=0,J331=$B$6),1,IF(MOD(J331,2)=1,4,2))</f>
        <v/>
      </c>
      <c r="M331">
        <f>1/SQRT(1-($E$5^2)*(SIN(K331)^2))</f>
        <v/>
      </c>
      <c r="N331">
        <f>SQRT(1-($E$5^2)*(SIN(K331)^2))</f>
        <v/>
      </c>
    </row>
    <row r="332" ht="20" customHeight="1">
      <c r="J332" t="n">
        <v>312</v>
      </c>
      <c r="K332">
        <f>J332*PI()/(2*$B$6)</f>
        <v/>
      </c>
      <c r="L332">
        <f>IF(OR(J332=0,J332=$B$6),1,IF(MOD(J332,2)=1,4,2))</f>
        <v/>
      </c>
      <c r="M332">
        <f>1/SQRT(1-($E$5^2)*(SIN(K332)^2))</f>
        <v/>
      </c>
      <c r="N332">
        <f>SQRT(1-($E$5^2)*(SIN(K332)^2))</f>
        <v/>
      </c>
    </row>
    <row r="333" ht="20" customHeight="1">
      <c r="J333" t="n">
        <v>313</v>
      </c>
      <c r="K333">
        <f>J333*PI()/(2*$B$6)</f>
        <v/>
      </c>
      <c r="L333">
        <f>IF(OR(J333=0,J333=$B$6),1,IF(MOD(J333,2)=1,4,2))</f>
        <v/>
      </c>
      <c r="M333">
        <f>1/SQRT(1-($E$5^2)*(SIN(K333)^2))</f>
        <v/>
      </c>
      <c r="N333">
        <f>SQRT(1-($E$5^2)*(SIN(K333)^2))</f>
        <v/>
      </c>
    </row>
    <row r="334" ht="20" customHeight="1">
      <c r="J334" t="n">
        <v>314</v>
      </c>
      <c r="K334">
        <f>J334*PI()/(2*$B$6)</f>
        <v/>
      </c>
      <c r="L334">
        <f>IF(OR(J334=0,J334=$B$6),1,IF(MOD(J334,2)=1,4,2))</f>
        <v/>
      </c>
      <c r="M334">
        <f>1/SQRT(1-($E$5^2)*(SIN(K334)^2))</f>
        <v/>
      </c>
      <c r="N334">
        <f>SQRT(1-($E$5^2)*(SIN(K334)^2))</f>
        <v/>
      </c>
    </row>
    <row r="335" ht="20" customHeight="1">
      <c r="J335" t="n">
        <v>315</v>
      </c>
      <c r="K335">
        <f>J335*PI()/(2*$B$6)</f>
        <v/>
      </c>
      <c r="L335">
        <f>IF(OR(J335=0,J335=$B$6),1,IF(MOD(J335,2)=1,4,2))</f>
        <v/>
      </c>
      <c r="M335">
        <f>1/SQRT(1-($E$5^2)*(SIN(K335)^2))</f>
        <v/>
      </c>
      <c r="N335">
        <f>SQRT(1-($E$5^2)*(SIN(K335)^2))</f>
        <v/>
      </c>
    </row>
    <row r="336" ht="20" customHeight="1">
      <c r="J336" t="n">
        <v>316</v>
      </c>
      <c r="K336">
        <f>J336*PI()/(2*$B$6)</f>
        <v/>
      </c>
      <c r="L336">
        <f>IF(OR(J336=0,J336=$B$6),1,IF(MOD(J336,2)=1,4,2))</f>
        <v/>
      </c>
      <c r="M336">
        <f>1/SQRT(1-($E$5^2)*(SIN(K336)^2))</f>
        <v/>
      </c>
      <c r="N336">
        <f>SQRT(1-($E$5^2)*(SIN(K336)^2))</f>
        <v/>
      </c>
    </row>
    <row r="337" ht="20" customHeight="1">
      <c r="J337" t="n">
        <v>317</v>
      </c>
      <c r="K337">
        <f>J337*PI()/(2*$B$6)</f>
        <v/>
      </c>
      <c r="L337">
        <f>IF(OR(J337=0,J337=$B$6),1,IF(MOD(J337,2)=1,4,2))</f>
        <v/>
      </c>
      <c r="M337">
        <f>1/SQRT(1-($E$5^2)*(SIN(K337)^2))</f>
        <v/>
      </c>
      <c r="N337">
        <f>SQRT(1-($E$5^2)*(SIN(K337)^2))</f>
        <v/>
      </c>
    </row>
    <row r="338" ht="20" customHeight="1">
      <c r="J338" t="n">
        <v>318</v>
      </c>
      <c r="K338">
        <f>J338*PI()/(2*$B$6)</f>
        <v/>
      </c>
      <c r="L338">
        <f>IF(OR(J338=0,J338=$B$6),1,IF(MOD(J338,2)=1,4,2))</f>
        <v/>
      </c>
      <c r="M338">
        <f>1/SQRT(1-($E$5^2)*(SIN(K338)^2))</f>
        <v/>
      </c>
      <c r="N338">
        <f>SQRT(1-($E$5^2)*(SIN(K338)^2))</f>
        <v/>
      </c>
    </row>
    <row r="339" ht="20" customHeight="1">
      <c r="J339" t="n">
        <v>319</v>
      </c>
      <c r="K339">
        <f>J339*PI()/(2*$B$6)</f>
        <v/>
      </c>
      <c r="L339">
        <f>IF(OR(J339=0,J339=$B$6),1,IF(MOD(J339,2)=1,4,2))</f>
        <v/>
      </c>
      <c r="M339">
        <f>1/SQRT(1-($E$5^2)*(SIN(K339)^2))</f>
        <v/>
      </c>
      <c r="N339">
        <f>SQRT(1-($E$5^2)*(SIN(K339)^2))</f>
        <v/>
      </c>
    </row>
    <row r="340" ht="20" customHeight="1">
      <c r="J340" t="n">
        <v>320</v>
      </c>
      <c r="K340">
        <f>J340*PI()/(2*$B$6)</f>
        <v/>
      </c>
      <c r="L340">
        <f>IF(OR(J340=0,J340=$B$6),1,IF(MOD(J340,2)=1,4,2))</f>
        <v/>
      </c>
      <c r="M340">
        <f>1/SQRT(1-($E$5^2)*(SIN(K340)^2))</f>
        <v/>
      </c>
      <c r="N340">
        <f>SQRT(1-($E$5^2)*(SIN(K340)^2))</f>
        <v/>
      </c>
    </row>
    <row r="341" ht="20" customHeight="1">
      <c r="J341" t="n">
        <v>321</v>
      </c>
      <c r="K341">
        <f>J341*PI()/(2*$B$6)</f>
        <v/>
      </c>
      <c r="L341">
        <f>IF(OR(J341=0,J341=$B$6),1,IF(MOD(J341,2)=1,4,2))</f>
        <v/>
      </c>
      <c r="M341">
        <f>1/SQRT(1-($E$5^2)*(SIN(K341)^2))</f>
        <v/>
      </c>
      <c r="N341">
        <f>SQRT(1-($E$5^2)*(SIN(K341)^2))</f>
        <v/>
      </c>
    </row>
    <row r="342" ht="20" customHeight="1">
      <c r="J342" t="n">
        <v>322</v>
      </c>
      <c r="K342">
        <f>J342*PI()/(2*$B$6)</f>
        <v/>
      </c>
      <c r="L342">
        <f>IF(OR(J342=0,J342=$B$6),1,IF(MOD(J342,2)=1,4,2))</f>
        <v/>
      </c>
      <c r="M342">
        <f>1/SQRT(1-($E$5^2)*(SIN(K342)^2))</f>
        <v/>
      </c>
      <c r="N342">
        <f>SQRT(1-($E$5^2)*(SIN(K342)^2))</f>
        <v/>
      </c>
    </row>
    <row r="343" ht="20" customHeight="1">
      <c r="J343" t="n">
        <v>323</v>
      </c>
      <c r="K343">
        <f>J343*PI()/(2*$B$6)</f>
        <v/>
      </c>
      <c r="L343">
        <f>IF(OR(J343=0,J343=$B$6),1,IF(MOD(J343,2)=1,4,2))</f>
        <v/>
      </c>
      <c r="M343">
        <f>1/SQRT(1-($E$5^2)*(SIN(K343)^2))</f>
        <v/>
      </c>
      <c r="N343">
        <f>SQRT(1-($E$5^2)*(SIN(K343)^2))</f>
        <v/>
      </c>
    </row>
    <row r="344" ht="20" customHeight="1">
      <c r="J344" t="n">
        <v>324</v>
      </c>
      <c r="K344">
        <f>J344*PI()/(2*$B$6)</f>
        <v/>
      </c>
      <c r="L344">
        <f>IF(OR(J344=0,J344=$B$6),1,IF(MOD(J344,2)=1,4,2))</f>
        <v/>
      </c>
      <c r="M344">
        <f>1/SQRT(1-($E$5^2)*(SIN(K344)^2))</f>
        <v/>
      </c>
      <c r="N344">
        <f>SQRT(1-($E$5^2)*(SIN(K344)^2))</f>
        <v/>
      </c>
    </row>
    <row r="345" ht="20" customHeight="1">
      <c r="J345" t="n">
        <v>325</v>
      </c>
      <c r="K345">
        <f>J345*PI()/(2*$B$6)</f>
        <v/>
      </c>
      <c r="L345">
        <f>IF(OR(J345=0,J345=$B$6),1,IF(MOD(J345,2)=1,4,2))</f>
        <v/>
      </c>
      <c r="M345">
        <f>1/SQRT(1-($E$5^2)*(SIN(K345)^2))</f>
        <v/>
      </c>
      <c r="N345">
        <f>SQRT(1-($E$5^2)*(SIN(K345)^2))</f>
        <v/>
      </c>
    </row>
    <row r="346" ht="20" customHeight="1">
      <c r="J346" t="n">
        <v>326</v>
      </c>
      <c r="K346">
        <f>J346*PI()/(2*$B$6)</f>
        <v/>
      </c>
      <c r="L346">
        <f>IF(OR(J346=0,J346=$B$6),1,IF(MOD(J346,2)=1,4,2))</f>
        <v/>
      </c>
      <c r="M346">
        <f>1/SQRT(1-($E$5^2)*(SIN(K346)^2))</f>
        <v/>
      </c>
      <c r="N346">
        <f>SQRT(1-($E$5^2)*(SIN(K346)^2))</f>
        <v/>
      </c>
    </row>
    <row r="347" ht="20" customHeight="1">
      <c r="J347" t="n">
        <v>327</v>
      </c>
      <c r="K347">
        <f>J347*PI()/(2*$B$6)</f>
        <v/>
      </c>
      <c r="L347">
        <f>IF(OR(J347=0,J347=$B$6),1,IF(MOD(J347,2)=1,4,2))</f>
        <v/>
      </c>
      <c r="M347">
        <f>1/SQRT(1-($E$5^2)*(SIN(K347)^2))</f>
        <v/>
      </c>
      <c r="N347">
        <f>SQRT(1-($E$5^2)*(SIN(K347)^2))</f>
        <v/>
      </c>
    </row>
    <row r="348" ht="20" customHeight="1">
      <c r="J348" t="n">
        <v>328</v>
      </c>
      <c r="K348">
        <f>J348*PI()/(2*$B$6)</f>
        <v/>
      </c>
      <c r="L348">
        <f>IF(OR(J348=0,J348=$B$6),1,IF(MOD(J348,2)=1,4,2))</f>
        <v/>
      </c>
      <c r="M348">
        <f>1/SQRT(1-($E$5^2)*(SIN(K348)^2))</f>
        <v/>
      </c>
      <c r="N348">
        <f>SQRT(1-($E$5^2)*(SIN(K348)^2))</f>
        <v/>
      </c>
    </row>
    <row r="349" ht="20" customHeight="1">
      <c r="J349" t="n">
        <v>329</v>
      </c>
      <c r="K349">
        <f>J349*PI()/(2*$B$6)</f>
        <v/>
      </c>
      <c r="L349">
        <f>IF(OR(J349=0,J349=$B$6),1,IF(MOD(J349,2)=1,4,2))</f>
        <v/>
      </c>
      <c r="M349">
        <f>1/SQRT(1-($E$5^2)*(SIN(K349)^2))</f>
        <v/>
      </c>
      <c r="N349">
        <f>SQRT(1-($E$5^2)*(SIN(K349)^2))</f>
        <v/>
      </c>
    </row>
    <row r="350" ht="20" customHeight="1">
      <c r="J350" t="n">
        <v>330</v>
      </c>
      <c r="K350">
        <f>J350*PI()/(2*$B$6)</f>
        <v/>
      </c>
      <c r="L350">
        <f>IF(OR(J350=0,J350=$B$6),1,IF(MOD(J350,2)=1,4,2))</f>
        <v/>
      </c>
      <c r="M350">
        <f>1/SQRT(1-($E$5^2)*(SIN(K350)^2))</f>
        <v/>
      </c>
      <c r="N350">
        <f>SQRT(1-($E$5^2)*(SIN(K350)^2))</f>
        <v/>
      </c>
    </row>
    <row r="351" ht="20" customHeight="1">
      <c r="J351" t="n">
        <v>331</v>
      </c>
      <c r="K351">
        <f>J351*PI()/(2*$B$6)</f>
        <v/>
      </c>
      <c r="L351">
        <f>IF(OR(J351=0,J351=$B$6),1,IF(MOD(J351,2)=1,4,2))</f>
        <v/>
      </c>
      <c r="M351">
        <f>1/SQRT(1-($E$5^2)*(SIN(K351)^2))</f>
        <v/>
      </c>
      <c r="N351">
        <f>SQRT(1-($E$5^2)*(SIN(K351)^2))</f>
        <v/>
      </c>
    </row>
    <row r="352" ht="20" customHeight="1">
      <c r="J352" t="n">
        <v>332</v>
      </c>
      <c r="K352">
        <f>J352*PI()/(2*$B$6)</f>
        <v/>
      </c>
      <c r="L352">
        <f>IF(OR(J352=0,J352=$B$6),1,IF(MOD(J352,2)=1,4,2))</f>
        <v/>
      </c>
      <c r="M352">
        <f>1/SQRT(1-($E$5^2)*(SIN(K352)^2))</f>
        <v/>
      </c>
      <c r="N352">
        <f>SQRT(1-($E$5^2)*(SIN(K352)^2))</f>
        <v/>
      </c>
    </row>
    <row r="353" ht="20" customHeight="1">
      <c r="J353" t="n">
        <v>333</v>
      </c>
      <c r="K353">
        <f>J353*PI()/(2*$B$6)</f>
        <v/>
      </c>
      <c r="L353">
        <f>IF(OR(J353=0,J353=$B$6),1,IF(MOD(J353,2)=1,4,2))</f>
        <v/>
      </c>
      <c r="M353">
        <f>1/SQRT(1-($E$5^2)*(SIN(K353)^2))</f>
        <v/>
      </c>
      <c r="N353">
        <f>SQRT(1-($E$5^2)*(SIN(K353)^2))</f>
        <v/>
      </c>
    </row>
    <row r="354" ht="20" customHeight="1">
      <c r="J354" t="n">
        <v>334</v>
      </c>
      <c r="K354">
        <f>J354*PI()/(2*$B$6)</f>
        <v/>
      </c>
      <c r="L354">
        <f>IF(OR(J354=0,J354=$B$6),1,IF(MOD(J354,2)=1,4,2))</f>
        <v/>
      </c>
      <c r="M354">
        <f>1/SQRT(1-($E$5^2)*(SIN(K354)^2))</f>
        <v/>
      </c>
      <c r="N354">
        <f>SQRT(1-($E$5^2)*(SIN(K354)^2))</f>
        <v/>
      </c>
    </row>
    <row r="355" ht="20" customHeight="1">
      <c r="J355" t="n">
        <v>335</v>
      </c>
      <c r="K355">
        <f>J355*PI()/(2*$B$6)</f>
        <v/>
      </c>
      <c r="L355">
        <f>IF(OR(J355=0,J355=$B$6),1,IF(MOD(J355,2)=1,4,2))</f>
        <v/>
      </c>
      <c r="M355">
        <f>1/SQRT(1-($E$5^2)*(SIN(K355)^2))</f>
        <v/>
      </c>
      <c r="N355">
        <f>SQRT(1-($E$5^2)*(SIN(K355)^2))</f>
        <v/>
      </c>
    </row>
    <row r="356" ht="20" customHeight="1">
      <c r="J356" t="n">
        <v>336</v>
      </c>
      <c r="K356">
        <f>J356*PI()/(2*$B$6)</f>
        <v/>
      </c>
      <c r="L356">
        <f>IF(OR(J356=0,J356=$B$6),1,IF(MOD(J356,2)=1,4,2))</f>
        <v/>
      </c>
      <c r="M356">
        <f>1/SQRT(1-($E$5^2)*(SIN(K356)^2))</f>
        <v/>
      </c>
      <c r="N356">
        <f>SQRT(1-($E$5^2)*(SIN(K356)^2))</f>
        <v/>
      </c>
    </row>
    <row r="357" ht="20" customHeight="1">
      <c r="J357" t="n">
        <v>337</v>
      </c>
      <c r="K357">
        <f>J357*PI()/(2*$B$6)</f>
        <v/>
      </c>
      <c r="L357">
        <f>IF(OR(J357=0,J357=$B$6),1,IF(MOD(J357,2)=1,4,2))</f>
        <v/>
      </c>
      <c r="M357">
        <f>1/SQRT(1-($E$5^2)*(SIN(K357)^2))</f>
        <v/>
      </c>
      <c r="N357">
        <f>SQRT(1-($E$5^2)*(SIN(K357)^2))</f>
        <v/>
      </c>
    </row>
    <row r="358" ht="20" customHeight="1">
      <c r="J358" t="n">
        <v>338</v>
      </c>
      <c r="K358">
        <f>J358*PI()/(2*$B$6)</f>
        <v/>
      </c>
      <c r="L358">
        <f>IF(OR(J358=0,J358=$B$6),1,IF(MOD(J358,2)=1,4,2))</f>
        <v/>
      </c>
      <c r="M358">
        <f>1/SQRT(1-($E$5^2)*(SIN(K358)^2))</f>
        <v/>
      </c>
      <c r="N358">
        <f>SQRT(1-($E$5^2)*(SIN(K358)^2))</f>
        <v/>
      </c>
    </row>
    <row r="359" ht="20" customHeight="1">
      <c r="J359" t="n">
        <v>339</v>
      </c>
      <c r="K359">
        <f>J359*PI()/(2*$B$6)</f>
        <v/>
      </c>
      <c r="L359">
        <f>IF(OR(J359=0,J359=$B$6),1,IF(MOD(J359,2)=1,4,2))</f>
        <v/>
      </c>
      <c r="M359">
        <f>1/SQRT(1-($E$5^2)*(SIN(K359)^2))</f>
        <v/>
      </c>
      <c r="N359">
        <f>SQRT(1-($E$5^2)*(SIN(K359)^2))</f>
        <v/>
      </c>
    </row>
    <row r="360" ht="20" customHeight="1">
      <c r="J360" t="n">
        <v>340</v>
      </c>
      <c r="K360">
        <f>J360*PI()/(2*$B$6)</f>
        <v/>
      </c>
      <c r="L360">
        <f>IF(OR(J360=0,J360=$B$6),1,IF(MOD(J360,2)=1,4,2))</f>
        <v/>
      </c>
      <c r="M360">
        <f>1/SQRT(1-($E$5^2)*(SIN(K360)^2))</f>
        <v/>
      </c>
      <c r="N360">
        <f>SQRT(1-($E$5^2)*(SIN(K360)^2))</f>
        <v/>
      </c>
    </row>
    <row r="361" ht="20" customHeight="1">
      <c r="J361" t="n">
        <v>341</v>
      </c>
      <c r="K361">
        <f>J361*PI()/(2*$B$6)</f>
        <v/>
      </c>
      <c r="L361">
        <f>IF(OR(J361=0,J361=$B$6),1,IF(MOD(J361,2)=1,4,2))</f>
        <v/>
      </c>
      <c r="M361">
        <f>1/SQRT(1-($E$5^2)*(SIN(K361)^2))</f>
        <v/>
      </c>
      <c r="N361">
        <f>SQRT(1-($E$5^2)*(SIN(K361)^2))</f>
        <v/>
      </c>
    </row>
    <row r="362" ht="20" customHeight="1">
      <c r="J362" t="n">
        <v>342</v>
      </c>
      <c r="K362">
        <f>J362*PI()/(2*$B$6)</f>
        <v/>
      </c>
      <c r="L362">
        <f>IF(OR(J362=0,J362=$B$6),1,IF(MOD(J362,2)=1,4,2))</f>
        <v/>
      </c>
      <c r="M362">
        <f>1/SQRT(1-($E$5^2)*(SIN(K362)^2))</f>
        <v/>
      </c>
      <c r="N362">
        <f>SQRT(1-($E$5^2)*(SIN(K362)^2))</f>
        <v/>
      </c>
    </row>
    <row r="363" ht="20" customHeight="1">
      <c r="J363" t="n">
        <v>343</v>
      </c>
      <c r="K363">
        <f>J363*PI()/(2*$B$6)</f>
        <v/>
      </c>
      <c r="L363">
        <f>IF(OR(J363=0,J363=$B$6),1,IF(MOD(J363,2)=1,4,2))</f>
        <v/>
      </c>
      <c r="M363">
        <f>1/SQRT(1-($E$5^2)*(SIN(K363)^2))</f>
        <v/>
      </c>
      <c r="N363">
        <f>SQRT(1-($E$5^2)*(SIN(K363)^2))</f>
        <v/>
      </c>
    </row>
    <row r="364" ht="20" customHeight="1">
      <c r="J364" t="n">
        <v>344</v>
      </c>
      <c r="K364">
        <f>J364*PI()/(2*$B$6)</f>
        <v/>
      </c>
      <c r="L364">
        <f>IF(OR(J364=0,J364=$B$6),1,IF(MOD(J364,2)=1,4,2))</f>
        <v/>
      </c>
      <c r="M364">
        <f>1/SQRT(1-($E$5^2)*(SIN(K364)^2))</f>
        <v/>
      </c>
      <c r="N364">
        <f>SQRT(1-($E$5^2)*(SIN(K364)^2))</f>
        <v/>
      </c>
    </row>
    <row r="365" ht="20" customHeight="1">
      <c r="J365" t="n">
        <v>345</v>
      </c>
      <c r="K365">
        <f>J365*PI()/(2*$B$6)</f>
        <v/>
      </c>
      <c r="L365">
        <f>IF(OR(J365=0,J365=$B$6),1,IF(MOD(J365,2)=1,4,2))</f>
        <v/>
      </c>
      <c r="M365">
        <f>1/SQRT(1-($E$5^2)*(SIN(K365)^2))</f>
        <v/>
      </c>
      <c r="N365">
        <f>SQRT(1-($E$5^2)*(SIN(K365)^2))</f>
        <v/>
      </c>
    </row>
    <row r="366" ht="20" customHeight="1">
      <c r="J366" t="n">
        <v>346</v>
      </c>
      <c r="K366">
        <f>J366*PI()/(2*$B$6)</f>
        <v/>
      </c>
      <c r="L366">
        <f>IF(OR(J366=0,J366=$B$6),1,IF(MOD(J366,2)=1,4,2))</f>
        <v/>
      </c>
      <c r="M366">
        <f>1/SQRT(1-($E$5^2)*(SIN(K366)^2))</f>
        <v/>
      </c>
      <c r="N366">
        <f>SQRT(1-($E$5^2)*(SIN(K366)^2))</f>
        <v/>
      </c>
    </row>
    <row r="367" ht="20" customHeight="1">
      <c r="J367" t="n">
        <v>347</v>
      </c>
      <c r="K367">
        <f>J367*PI()/(2*$B$6)</f>
        <v/>
      </c>
      <c r="L367">
        <f>IF(OR(J367=0,J367=$B$6),1,IF(MOD(J367,2)=1,4,2))</f>
        <v/>
      </c>
      <c r="M367">
        <f>1/SQRT(1-($E$5^2)*(SIN(K367)^2))</f>
        <v/>
      </c>
      <c r="N367">
        <f>SQRT(1-($E$5^2)*(SIN(K367)^2))</f>
        <v/>
      </c>
    </row>
    <row r="368" ht="20" customHeight="1">
      <c r="J368" t="n">
        <v>348</v>
      </c>
      <c r="K368">
        <f>J368*PI()/(2*$B$6)</f>
        <v/>
      </c>
      <c r="L368">
        <f>IF(OR(J368=0,J368=$B$6),1,IF(MOD(J368,2)=1,4,2))</f>
        <v/>
      </c>
      <c r="M368">
        <f>1/SQRT(1-($E$5^2)*(SIN(K368)^2))</f>
        <v/>
      </c>
      <c r="N368">
        <f>SQRT(1-($E$5^2)*(SIN(K368)^2))</f>
        <v/>
      </c>
    </row>
    <row r="369" ht="20" customHeight="1">
      <c r="J369" t="n">
        <v>349</v>
      </c>
      <c r="K369">
        <f>J369*PI()/(2*$B$6)</f>
        <v/>
      </c>
      <c r="L369">
        <f>IF(OR(J369=0,J369=$B$6),1,IF(MOD(J369,2)=1,4,2))</f>
        <v/>
      </c>
      <c r="M369">
        <f>1/SQRT(1-($E$5^2)*(SIN(K369)^2))</f>
        <v/>
      </c>
      <c r="N369">
        <f>SQRT(1-($E$5^2)*(SIN(K369)^2))</f>
        <v/>
      </c>
    </row>
    <row r="370" ht="20" customHeight="1">
      <c r="J370" t="n">
        <v>350</v>
      </c>
      <c r="K370">
        <f>J370*PI()/(2*$B$6)</f>
        <v/>
      </c>
      <c r="L370">
        <f>IF(OR(J370=0,J370=$B$6),1,IF(MOD(J370,2)=1,4,2))</f>
        <v/>
      </c>
      <c r="M370">
        <f>1/SQRT(1-($E$5^2)*(SIN(K370)^2))</f>
        <v/>
      </c>
      <c r="N370">
        <f>SQRT(1-($E$5^2)*(SIN(K370)^2))</f>
        <v/>
      </c>
    </row>
    <row r="371" ht="20" customHeight="1">
      <c r="J371" t="n">
        <v>351</v>
      </c>
      <c r="K371">
        <f>J371*PI()/(2*$B$6)</f>
        <v/>
      </c>
      <c r="L371">
        <f>IF(OR(J371=0,J371=$B$6),1,IF(MOD(J371,2)=1,4,2))</f>
        <v/>
      </c>
      <c r="M371">
        <f>1/SQRT(1-($E$5^2)*(SIN(K371)^2))</f>
        <v/>
      </c>
      <c r="N371">
        <f>SQRT(1-($E$5^2)*(SIN(K371)^2))</f>
        <v/>
      </c>
    </row>
    <row r="372" ht="20" customHeight="1">
      <c r="J372" t="n">
        <v>352</v>
      </c>
      <c r="K372">
        <f>J372*PI()/(2*$B$6)</f>
        <v/>
      </c>
      <c r="L372">
        <f>IF(OR(J372=0,J372=$B$6),1,IF(MOD(J372,2)=1,4,2))</f>
        <v/>
      </c>
      <c r="M372">
        <f>1/SQRT(1-($E$5^2)*(SIN(K372)^2))</f>
        <v/>
      </c>
      <c r="N372">
        <f>SQRT(1-($E$5^2)*(SIN(K372)^2))</f>
        <v/>
      </c>
    </row>
    <row r="373" ht="20" customHeight="1">
      <c r="J373" t="n">
        <v>353</v>
      </c>
      <c r="K373">
        <f>J373*PI()/(2*$B$6)</f>
        <v/>
      </c>
      <c r="L373">
        <f>IF(OR(J373=0,J373=$B$6),1,IF(MOD(J373,2)=1,4,2))</f>
        <v/>
      </c>
      <c r="M373">
        <f>1/SQRT(1-($E$5^2)*(SIN(K373)^2))</f>
        <v/>
      </c>
      <c r="N373">
        <f>SQRT(1-($E$5^2)*(SIN(K373)^2))</f>
        <v/>
      </c>
    </row>
    <row r="374" ht="20" customHeight="1">
      <c r="J374" t="n">
        <v>354</v>
      </c>
      <c r="K374">
        <f>J374*PI()/(2*$B$6)</f>
        <v/>
      </c>
      <c r="L374">
        <f>IF(OR(J374=0,J374=$B$6),1,IF(MOD(J374,2)=1,4,2))</f>
        <v/>
      </c>
      <c r="M374">
        <f>1/SQRT(1-($E$5^2)*(SIN(K374)^2))</f>
        <v/>
      </c>
      <c r="N374">
        <f>SQRT(1-($E$5^2)*(SIN(K374)^2))</f>
        <v/>
      </c>
    </row>
    <row r="375" ht="20" customHeight="1">
      <c r="J375" t="n">
        <v>355</v>
      </c>
      <c r="K375">
        <f>J375*PI()/(2*$B$6)</f>
        <v/>
      </c>
      <c r="L375">
        <f>IF(OR(J375=0,J375=$B$6),1,IF(MOD(J375,2)=1,4,2))</f>
        <v/>
      </c>
      <c r="M375">
        <f>1/SQRT(1-($E$5^2)*(SIN(K375)^2))</f>
        <v/>
      </c>
      <c r="N375">
        <f>SQRT(1-($E$5^2)*(SIN(K375)^2))</f>
        <v/>
      </c>
    </row>
    <row r="376" ht="20" customHeight="1">
      <c r="J376" t="n">
        <v>356</v>
      </c>
      <c r="K376">
        <f>J376*PI()/(2*$B$6)</f>
        <v/>
      </c>
      <c r="L376">
        <f>IF(OR(J376=0,J376=$B$6),1,IF(MOD(J376,2)=1,4,2))</f>
        <v/>
      </c>
      <c r="M376">
        <f>1/SQRT(1-($E$5^2)*(SIN(K376)^2))</f>
        <v/>
      </c>
      <c r="N376">
        <f>SQRT(1-($E$5^2)*(SIN(K376)^2))</f>
        <v/>
      </c>
    </row>
    <row r="377" ht="20" customHeight="1">
      <c r="J377" t="n">
        <v>357</v>
      </c>
      <c r="K377">
        <f>J377*PI()/(2*$B$6)</f>
        <v/>
      </c>
      <c r="L377">
        <f>IF(OR(J377=0,J377=$B$6),1,IF(MOD(J377,2)=1,4,2))</f>
        <v/>
      </c>
      <c r="M377">
        <f>1/SQRT(1-($E$5^2)*(SIN(K377)^2))</f>
        <v/>
      </c>
      <c r="N377">
        <f>SQRT(1-($E$5^2)*(SIN(K377)^2))</f>
        <v/>
      </c>
    </row>
    <row r="378" ht="20" customHeight="1">
      <c r="J378" t="n">
        <v>358</v>
      </c>
      <c r="K378">
        <f>J378*PI()/(2*$B$6)</f>
        <v/>
      </c>
      <c r="L378">
        <f>IF(OR(J378=0,J378=$B$6),1,IF(MOD(J378,2)=1,4,2))</f>
        <v/>
      </c>
      <c r="M378">
        <f>1/SQRT(1-($E$5^2)*(SIN(K378)^2))</f>
        <v/>
      </c>
      <c r="N378">
        <f>SQRT(1-($E$5^2)*(SIN(K378)^2))</f>
        <v/>
      </c>
    </row>
    <row r="379" ht="20" customHeight="1">
      <c r="J379" t="n">
        <v>359</v>
      </c>
      <c r="K379">
        <f>J379*PI()/(2*$B$6)</f>
        <v/>
      </c>
      <c r="L379">
        <f>IF(OR(J379=0,J379=$B$6),1,IF(MOD(J379,2)=1,4,2))</f>
        <v/>
      </c>
      <c r="M379">
        <f>1/SQRT(1-($E$5^2)*(SIN(K379)^2))</f>
        <v/>
      </c>
      <c r="N379">
        <f>SQRT(1-($E$5^2)*(SIN(K379)^2))</f>
        <v/>
      </c>
    </row>
    <row r="380" ht="20" customHeight="1">
      <c r="J380" t="n">
        <v>360</v>
      </c>
      <c r="K380">
        <f>J380*PI()/(2*$B$6)</f>
        <v/>
      </c>
      <c r="L380">
        <f>IF(OR(J380=0,J380=$B$6),1,IF(MOD(J380,2)=1,4,2))</f>
        <v/>
      </c>
      <c r="M380">
        <f>1/SQRT(1-($E$5^2)*(SIN(K380)^2))</f>
        <v/>
      </c>
      <c r="N380">
        <f>SQRT(1-($E$5^2)*(SIN(K380)^2))</f>
        <v/>
      </c>
    </row>
    <row r="381" ht="20" customHeight="1">
      <c r="J381" t="n">
        <v>361</v>
      </c>
      <c r="K381">
        <f>J381*PI()/(2*$B$6)</f>
        <v/>
      </c>
      <c r="L381">
        <f>IF(OR(J381=0,J381=$B$6),1,IF(MOD(J381,2)=1,4,2))</f>
        <v/>
      </c>
      <c r="M381">
        <f>1/SQRT(1-($E$5^2)*(SIN(K381)^2))</f>
        <v/>
      </c>
      <c r="N381">
        <f>SQRT(1-($E$5^2)*(SIN(K381)^2))</f>
        <v/>
      </c>
    </row>
    <row r="382" ht="20" customHeight="1">
      <c r="J382" t="n">
        <v>362</v>
      </c>
      <c r="K382">
        <f>J382*PI()/(2*$B$6)</f>
        <v/>
      </c>
      <c r="L382">
        <f>IF(OR(J382=0,J382=$B$6),1,IF(MOD(J382,2)=1,4,2))</f>
        <v/>
      </c>
      <c r="M382">
        <f>1/SQRT(1-($E$5^2)*(SIN(K382)^2))</f>
        <v/>
      </c>
      <c r="N382">
        <f>SQRT(1-($E$5^2)*(SIN(K382)^2))</f>
        <v/>
      </c>
    </row>
    <row r="383" ht="20" customHeight="1">
      <c r="J383" t="n">
        <v>363</v>
      </c>
      <c r="K383">
        <f>J383*PI()/(2*$B$6)</f>
        <v/>
      </c>
      <c r="L383">
        <f>IF(OR(J383=0,J383=$B$6),1,IF(MOD(J383,2)=1,4,2))</f>
        <v/>
      </c>
      <c r="M383">
        <f>1/SQRT(1-($E$5^2)*(SIN(K383)^2))</f>
        <v/>
      </c>
      <c r="N383">
        <f>SQRT(1-($E$5^2)*(SIN(K383)^2))</f>
        <v/>
      </c>
    </row>
    <row r="384" ht="20" customHeight="1">
      <c r="J384" t="n">
        <v>364</v>
      </c>
      <c r="K384">
        <f>J384*PI()/(2*$B$6)</f>
        <v/>
      </c>
      <c r="L384">
        <f>IF(OR(J384=0,J384=$B$6),1,IF(MOD(J384,2)=1,4,2))</f>
        <v/>
      </c>
      <c r="M384">
        <f>1/SQRT(1-($E$5^2)*(SIN(K384)^2))</f>
        <v/>
      </c>
      <c r="N384">
        <f>SQRT(1-($E$5^2)*(SIN(K384)^2))</f>
        <v/>
      </c>
    </row>
    <row r="385" ht="20" customHeight="1">
      <c r="J385" t="n">
        <v>365</v>
      </c>
      <c r="K385">
        <f>J385*PI()/(2*$B$6)</f>
        <v/>
      </c>
      <c r="L385">
        <f>IF(OR(J385=0,J385=$B$6),1,IF(MOD(J385,2)=1,4,2))</f>
        <v/>
      </c>
      <c r="M385">
        <f>1/SQRT(1-($E$5^2)*(SIN(K385)^2))</f>
        <v/>
      </c>
      <c r="N385">
        <f>SQRT(1-($E$5^2)*(SIN(K385)^2))</f>
        <v/>
      </c>
    </row>
    <row r="386" ht="20" customHeight="1">
      <c r="J386" t="n">
        <v>366</v>
      </c>
      <c r="K386">
        <f>J386*PI()/(2*$B$6)</f>
        <v/>
      </c>
      <c r="L386">
        <f>IF(OR(J386=0,J386=$B$6),1,IF(MOD(J386,2)=1,4,2))</f>
        <v/>
      </c>
      <c r="M386">
        <f>1/SQRT(1-($E$5^2)*(SIN(K386)^2))</f>
        <v/>
      </c>
      <c r="N386">
        <f>SQRT(1-($E$5^2)*(SIN(K386)^2))</f>
        <v/>
      </c>
    </row>
    <row r="387" ht="20" customHeight="1">
      <c r="J387" t="n">
        <v>367</v>
      </c>
      <c r="K387">
        <f>J387*PI()/(2*$B$6)</f>
        <v/>
      </c>
      <c r="L387">
        <f>IF(OR(J387=0,J387=$B$6),1,IF(MOD(J387,2)=1,4,2))</f>
        <v/>
      </c>
      <c r="M387">
        <f>1/SQRT(1-($E$5^2)*(SIN(K387)^2))</f>
        <v/>
      </c>
      <c r="N387">
        <f>SQRT(1-($E$5^2)*(SIN(K387)^2))</f>
        <v/>
      </c>
    </row>
    <row r="388" ht="20" customHeight="1">
      <c r="J388" t="n">
        <v>368</v>
      </c>
      <c r="K388">
        <f>J388*PI()/(2*$B$6)</f>
        <v/>
      </c>
      <c r="L388">
        <f>IF(OR(J388=0,J388=$B$6),1,IF(MOD(J388,2)=1,4,2))</f>
        <v/>
      </c>
      <c r="M388">
        <f>1/SQRT(1-($E$5^2)*(SIN(K388)^2))</f>
        <v/>
      </c>
      <c r="N388">
        <f>SQRT(1-($E$5^2)*(SIN(K388)^2))</f>
        <v/>
      </c>
    </row>
    <row r="389" ht="20" customHeight="1">
      <c r="J389" t="n">
        <v>369</v>
      </c>
      <c r="K389">
        <f>J389*PI()/(2*$B$6)</f>
        <v/>
      </c>
      <c r="L389">
        <f>IF(OR(J389=0,J389=$B$6),1,IF(MOD(J389,2)=1,4,2))</f>
        <v/>
      </c>
      <c r="M389">
        <f>1/SQRT(1-($E$5^2)*(SIN(K389)^2))</f>
        <v/>
      </c>
      <c r="N389">
        <f>SQRT(1-($E$5^2)*(SIN(K389)^2))</f>
        <v/>
      </c>
    </row>
    <row r="390" ht="20" customHeight="1">
      <c r="J390" t="n">
        <v>370</v>
      </c>
      <c r="K390">
        <f>J390*PI()/(2*$B$6)</f>
        <v/>
      </c>
      <c r="L390">
        <f>IF(OR(J390=0,J390=$B$6),1,IF(MOD(J390,2)=1,4,2))</f>
        <v/>
      </c>
      <c r="M390">
        <f>1/SQRT(1-($E$5^2)*(SIN(K390)^2))</f>
        <v/>
      </c>
      <c r="N390">
        <f>SQRT(1-($E$5^2)*(SIN(K390)^2))</f>
        <v/>
      </c>
    </row>
    <row r="391" ht="20" customHeight="1">
      <c r="J391" t="n">
        <v>371</v>
      </c>
      <c r="K391">
        <f>J391*PI()/(2*$B$6)</f>
        <v/>
      </c>
      <c r="L391">
        <f>IF(OR(J391=0,J391=$B$6),1,IF(MOD(J391,2)=1,4,2))</f>
        <v/>
      </c>
      <c r="M391">
        <f>1/SQRT(1-($E$5^2)*(SIN(K391)^2))</f>
        <v/>
      </c>
      <c r="N391">
        <f>SQRT(1-($E$5^2)*(SIN(K391)^2))</f>
        <v/>
      </c>
    </row>
    <row r="392" ht="20" customHeight="1">
      <c r="J392" t="n">
        <v>372</v>
      </c>
      <c r="K392">
        <f>J392*PI()/(2*$B$6)</f>
        <v/>
      </c>
      <c r="L392">
        <f>IF(OR(J392=0,J392=$B$6),1,IF(MOD(J392,2)=1,4,2))</f>
        <v/>
      </c>
      <c r="M392">
        <f>1/SQRT(1-($E$5^2)*(SIN(K392)^2))</f>
        <v/>
      </c>
      <c r="N392">
        <f>SQRT(1-($E$5^2)*(SIN(K392)^2))</f>
        <v/>
      </c>
    </row>
    <row r="393" ht="20" customHeight="1">
      <c r="J393" t="n">
        <v>373</v>
      </c>
      <c r="K393">
        <f>J393*PI()/(2*$B$6)</f>
        <v/>
      </c>
      <c r="L393">
        <f>IF(OR(J393=0,J393=$B$6),1,IF(MOD(J393,2)=1,4,2))</f>
        <v/>
      </c>
      <c r="M393">
        <f>1/SQRT(1-($E$5^2)*(SIN(K393)^2))</f>
        <v/>
      </c>
      <c r="N393">
        <f>SQRT(1-($E$5^2)*(SIN(K393)^2))</f>
        <v/>
      </c>
    </row>
    <row r="394" ht="20" customHeight="1">
      <c r="J394" t="n">
        <v>374</v>
      </c>
      <c r="K394">
        <f>J394*PI()/(2*$B$6)</f>
        <v/>
      </c>
      <c r="L394">
        <f>IF(OR(J394=0,J394=$B$6),1,IF(MOD(J394,2)=1,4,2))</f>
        <v/>
      </c>
      <c r="M394">
        <f>1/SQRT(1-($E$5^2)*(SIN(K394)^2))</f>
        <v/>
      </c>
      <c r="N394">
        <f>SQRT(1-($E$5^2)*(SIN(K394)^2))</f>
        <v/>
      </c>
    </row>
    <row r="395" ht="20" customHeight="1">
      <c r="J395" t="n">
        <v>375</v>
      </c>
      <c r="K395">
        <f>J395*PI()/(2*$B$6)</f>
        <v/>
      </c>
      <c r="L395">
        <f>IF(OR(J395=0,J395=$B$6),1,IF(MOD(J395,2)=1,4,2))</f>
        <v/>
      </c>
      <c r="M395">
        <f>1/SQRT(1-($E$5^2)*(SIN(K395)^2))</f>
        <v/>
      </c>
      <c r="N395">
        <f>SQRT(1-($E$5^2)*(SIN(K395)^2))</f>
        <v/>
      </c>
    </row>
    <row r="396" ht="20" customHeight="1">
      <c r="J396" t="n">
        <v>376</v>
      </c>
      <c r="K396">
        <f>J396*PI()/(2*$B$6)</f>
        <v/>
      </c>
      <c r="L396">
        <f>IF(OR(J396=0,J396=$B$6),1,IF(MOD(J396,2)=1,4,2))</f>
        <v/>
      </c>
      <c r="M396">
        <f>1/SQRT(1-($E$5^2)*(SIN(K396)^2))</f>
        <v/>
      </c>
      <c r="N396">
        <f>SQRT(1-($E$5^2)*(SIN(K396)^2))</f>
        <v/>
      </c>
    </row>
    <row r="397" ht="20" customHeight="1">
      <c r="J397" t="n">
        <v>377</v>
      </c>
      <c r="K397">
        <f>J397*PI()/(2*$B$6)</f>
        <v/>
      </c>
      <c r="L397">
        <f>IF(OR(J397=0,J397=$B$6),1,IF(MOD(J397,2)=1,4,2))</f>
        <v/>
      </c>
      <c r="M397">
        <f>1/SQRT(1-($E$5^2)*(SIN(K397)^2))</f>
        <v/>
      </c>
      <c r="N397">
        <f>SQRT(1-($E$5^2)*(SIN(K397)^2))</f>
        <v/>
      </c>
    </row>
    <row r="398" ht="20" customHeight="1">
      <c r="J398" t="n">
        <v>378</v>
      </c>
      <c r="K398">
        <f>J398*PI()/(2*$B$6)</f>
        <v/>
      </c>
      <c r="L398">
        <f>IF(OR(J398=0,J398=$B$6),1,IF(MOD(J398,2)=1,4,2))</f>
        <v/>
      </c>
      <c r="M398">
        <f>1/SQRT(1-($E$5^2)*(SIN(K398)^2))</f>
        <v/>
      </c>
      <c r="N398">
        <f>SQRT(1-($E$5^2)*(SIN(K398)^2))</f>
        <v/>
      </c>
    </row>
    <row r="399" ht="20" customHeight="1">
      <c r="J399" t="n">
        <v>379</v>
      </c>
      <c r="K399">
        <f>J399*PI()/(2*$B$6)</f>
        <v/>
      </c>
      <c r="L399">
        <f>IF(OR(J399=0,J399=$B$6),1,IF(MOD(J399,2)=1,4,2))</f>
        <v/>
      </c>
      <c r="M399">
        <f>1/SQRT(1-($E$5^2)*(SIN(K399)^2))</f>
        <v/>
      </c>
      <c r="N399">
        <f>SQRT(1-($E$5^2)*(SIN(K399)^2))</f>
        <v/>
      </c>
    </row>
    <row r="400" ht="20" customHeight="1">
      <c r="J400" t="n">
        <v>380</v>
      </c>
      <c r="K400">
        <f>J400*PI()/(2*$B$6)</f>
        <v/>
      </c>
      <c r="L400">
        <f>IF(OR(J400=0,J400=$B$6),1,IF(MOD(J400,2)=1,4,2))</f>
        <v/>
      </c>
      <c r="M400">
        <f>1/SQRT(1-($E$5^2)*(SIN(K400)^2))</f>
        <v/>
      </c>
      <c r="N400">
        <f>SQRT(1-($E$5^2)*(SIN(K400)^2))</f>
        <v/>
      </c>
    </row>
    <row r="401" ht="20" customHeight="1">
      <c r="J401" t="n">
        <v>381</v>
      </c>
      <c r="K401">
        <f>J401*PI()/(2*$B$6)</f>
        <v/>
      </c>
      <c r="L401">
        <f>IF(OR(J401=0,J401=$B$6),1,IF(MOD(J401,2)=1,4,2))</f>
        <v/>
      </c>
      <c r="M401">
        <f>1/SQRT(1-($E$5^2)*(SIN(K401)^2))</f>
        <v/>
      </c>
      <c r="N401">
        <f>SQRT(1-($E$5^2)*(SIN(K401)^2))</f>
        <v/>
      </c>
    </row>
    <row r="402" ht="20" customHeight="1">
      <c r="J402" t="n">
        <v>382</v>
      </c>
      <c r="K402">
        <f>J402*PI()/(2*$B$6)</f>
        <v/>
      </c>
      <c r="L402">
        <f>IF(OR(J402=0,J402=$B$6),1,IF(MOD(J402,2)=1,4,2))</f>
        <v/>
      </c>
      <c r="M402">
        <f>1/SQRT(1-($E$5^2)*(SIN(K402)^2))</f>
        <v/>
      </c>
      <c r="N402">
        <f>SQRT(1-($E$5^2)*(SIN(K402)^2))</f>
        <v/>
      </c>
    </row>
    <row r="403" ht="20" customHeight="1">
      <c r="J403" t="n">
        <v>383</v>
      </c>
      <c r="K403">
        <f>J403*PI()/(2*$B$6)</f>
        <v/>
      </c>
      <c r="L403">
        <f>IF(OR(J403=0,J403=$B$6),1,IF(MOD(J403,2)=1,4,2))</f>
        <v/>
      </c>
      <c r="M403">
        <f>1/SQRT(1-($E$5^2)*(SIN(K403)^2))</f>
        <v/>
      </c>
      <c r="N403">
        <f>SQRT(1-($E$5^2)*(SIN(K403)^2))</f>
        <v/>
      </c>
    </row>
    <row r="404" ht="20" customHeight="1">
      <c r="J404" t="n">
        <v>384</v>
      </c>
      <c r="K404">
        <f>J404*PI()/(2*$B$6)</f>
        <v/>
      </c>
      <c r="L404">
        <f>IF(OR(J404=0,J404=$B$6),1,IF(MOD(J404,2)=1,4,2))</f>
        <v/>
      </c>
      <c r="M404">
        <f>1/SQRT(1-($E$5^2)*(SIN(K404)^2))</f>
        <v/>
      </c>
      <c r="N404">
        <f>SQRT(1-($E$5^2)*(SIN(K404)^2))</f>
        <v/>
      </c>
    </row>
    <row r="405" ht="20" customHeight="1">
      <c r="J405" t="n">
        <v>385</v>
      </c>
      <c r="K405">
        <f>J405*PI()/(2*$B$6)</f>
        <v/>
      </c>
      <c r="L405">
        <f>IF(OR(J405=0,J405=$B$6),1,IF(MOD(J405,2)=1,4,2))</f>
        <v/>
      </c>
      <c r="M405">
        <f>1/SQRT(1-($E$5^2)*(SIN(K405)^2))</f>
        <v/>
      </c>
      <c r="N405">
        <f>SQRT(1-($E$5^2)*(SIN(K405)^2))</f>
        <v/>
      </c>
    </row>
    <row r="406" ht="20" customHeight="1">
      <c r="J406" t="n">
        <v>386</v>
      </c>
      <c r="K406">
        <f>J406*PI()/(2*$B$6)</f>
        <v/>
      </c>
      <c r="L406">
        <f>IF(OR(J406=0,J406=$B$6),1,IF(MOD(J406,2)=1,4,2))</f>
        <v/>
      </c>
      <c r="M406">
        <f>1/SQRT(1-($E$5^2)*(SIN(K406)^2))</f>
        <v/>
      </c>
      <c r="N406">
        <f>SQRT(1-($E$5^2)*(SIN(K406)^2))</f>
        <v/>
      </c>
    </row>
    <row r="407" ht="20" customHeight="1">
      <c r="J407" t="n">
        <v>387</v>
      </c>
      <c r="K407">
        <f>J407*PI()/(2*$B$6)</f>
        <v/>
      </c>
      <c r="L407">
        <f>IF(OR(J407=0,J407=$B$6),1,IF(MOD(J407,2)=1,4,2))</f>
        <v/>
      </c>
      <c r="M407">
        <f>1/SQRT(1-($E$5^2)*(SIN(K407)^2))</f>
        <v/>
      </c>
      <c r="N407">
        <f>SQRT(1-($E$5^2)*(SIN(K407)^2))</f>
        <v/>
      </c>
    </row>
    <row r="408" ht="20" customHeight="1">
      <c r="J408" t="n">
        <v>388</v>
      </c>
      <c r="K408">
        <f>J408*PI()/(2*$B$6)</f>
        <v/>
      </c>
      <c r="L408">
        <f>IF(OR(J408=0,J408=$B$6),1,IF(MOD(J408,2)=1,4,2))</f>
        <v/>
      </c>
      <c r="M408">
        <f>1/SQRT(1-($E$5^2)*(SIN(K408)^2))</f>
        <v/>
      </c>
      <c r="N408">
        <f>SQRT(1-($E$5^2)*(SIN(K408)^2))</f>
        <v/>
      </c>
    </row>
    <row r="409" ht="20" customHeight="1">
      <c r="J409" t="n">
        <v>389</v>
      </c>
      <c r="K409">
        <f>J409*PI()/(2*$B$6)</f>
        <v/>
      </c>
      <c r="L409">
        <f>IF(OR(J409=0,J409=$B$6),1,IF(MOD(J409,2)=1,4,2))</f>
        <v/>
      </c>
      <c r="M409">
        <f>1/SQRT(1-($E$5^2)*(SIN(K409)^2))</f>
        <v/>
      </c>
      <c r="N409">
        <f>SQRT(1-($E$5^2)*(SIN(K409)^2))</f>
        <v/>
      </c>
    </row>
    <row r="410" ht="20" customHeight="1">
      <c r="J410" t="n">
        <v>390</v>
      </c>
      <c r="K410">
        <f>J410*PI()/(2*$B$6)</f>
        <v/>
      </c>
      <c r="L410">
        <f>IF(OR(J410=0,J410=$B$6),1,IF(MOD(J410,2)=1,4,2))</f>
        <v/>
      </c>
      <c r="M410">
        <f>1/SQRT(1-($E$5^2)*(SIN(K410)^2))</f>
        <v/>
      </c>
      <c r="N410">
        <f>SQRT(1-($E$5^2)*(SIN(K410)^2))</f>
        <v/>
      </c>
    </row>
    <row r="411" ht="20" customHeight="1">
      <c r="J411" t="n">
        <v>391</v>
      </c>
      <c r="K411">
        <f>J411*PI()/(2*$B$6)</f>
        <v/>
      </c>
      <c r="L411">
        <f>IF(OR(J411=0,J411=$B$6),1,IF(MOD(J411,2)=1,4,2))</f>
        <v/>
      </c>
      <c r="M411">
        <f>1/SQRT(1-($E$5^2)*(SIN(K411)^2))</f>
        <v/>
      </c>
      <c r="N411">
        <f>SQRT(1-($E$5^2)*(SIN(K411)^2))</f>
        <v/>
      </c>
    </row>
    <row r="412" ht="20" customHeight="1">
      <c r="J412" t="n">
        <v>392</v>
      </c>
      <c r="K412">
        <f>J412*PI()/(2*$B$6)</f>
        <v/>
      </c>
      <c r="L412">
        <f>IF(OR(J412=0,J412=$B$6),1,IF(MOD(J412,2)=1,4,2))</f>
        <v/>
      </c>
      <c r="M412">
        <f>1/SQRT(1-($E$5^2)*(SIN(K412)^2))</f>
        <v/>
      </c>
      <c r="N412">
        <f>SQRT(1-($E$5^2)*(SIN(K412)^2))</f>
        <v/>
      </c>
    </row>
    <row r="413" ht="20" customHeight="1">
      <c r="J413" t="n">
        <v>393</v>
      </c>
      <c r="K413">
        <f>J413*PI()/(2*$B$6)</f>
        <v/>
      </c>
      <c r="L413">
        <f>IF(OR(J413=0,J413=$B$6),1,IF(MOD(J413,2)=1,4,2))</f>
        <v/>
      </c>
      <c r="M413">
        <f>1/SQRT(1-($E$5^2)*(SIN(K413)^2))</f>
        <v/>
      </c>
      <c r="N413">
        <f>SQRT(1-($E$5^2)*(SIN(K413)^2))</f>
        <v/>
      </c>
    </row>
    <row r="414" ht="20" customHeight="1">
      <c r="J414" t="n">
        <v>394</v>
      </c>
      <c r="K414">
        <f>J414*PI()/(2*$B$6)</f>
        <v/>
      </c>
      <c r="L414">
        <f>IF(OR(J414=0,J414=$B$6),1,IF(MOD(J414,2)=1,4,2))</f>
        <v/>
      </c>
      <c r="M414">
        <f>1/SQRT(1-($E$5^2)*(SIN(K414)^2))</f>
        <v/>
      </c>
      <c r="N414">
        <f>SQRT(1-($E$5^2)*(SIN(K414)^2))</f>
        <v/>
      </c>
    </row>
    <row r="415" ht="20" customHeight="1">
      <c r="J415" t="n">
        <v>395</v>
      </c>
      <c r="K415">
        <f>J415*PI()/(2*$B$6)</f>
        <v/>
      </c>
      <c r="L415">
        <f>IF(OR(J415=0,J415=$B$6),1,IF(MOD(J415,2)=1,4,2))</f>
        <v/>
      </c>
      <c r="M415">
        <f>1/SQRT(1-($E$5^2)*(SIN(K415)^2))</f>
        <v/>
      </c>
      <c r="N415">
        <f>SQRT(1-($E$5^2)*(SIN(K415)^2))</f>
        <v/>
      </c>
    </row>
    <row r="416" ht="20" customHeight="1">
      <c r="J416" t="n">
        <v>396</v>
      </c>
      <c r="K416">
        <f>J416*PI()/(2*$B$6)</f>
        <v/>
      </c>
      <c r="L416">
        <f>IF(OR(J416=0,J416=$B$6),1,IF(MOD(J416,2)=1,4,2))</f>
        <v/>
      </c>
      <c r="M416">
        <f>1/SQRT(1-($E$5^2)*(SIN(K416)^2))</f>
        <v/>
      </c>
      <c r="N416">
        <f>SQRT(1-($E$5^2)*(SIN(K416)^2))</f>
        <v/>
      </c>
    </row>
    <row r="417" ht="20" customHeight="1">
      <c r="J417" t="n">
        <v>397</v>
      </c>
      <c r="K417">
        <f>J417*PI()/(2*$B$6)</f>
        <v/>
      </c>
      <c r="L417">
        <f>IF(OR(J417=0,J417=$B$6),1,IF(MOD(J417,2)=1,4,2))</f>
        <v/>
      </c>
      <c r="M417">
        <f>1/SQRT(1-($E$5^2)*(SIN(K417)^2))</f>
        <v/>
      </c>
      <c r="N417">
        <f>SQRT(1-($E$5^2)*(SIN(K417)^2))</f>
        <v/>
      </c>
    </row>
    <row r="418" ht="20" customHeight="1">
      <c r="J418" t="n">
        <v>398</v>
      </c>
      <c r="K418">
        <f>J418*PI()/(2*$B$6)</f>
        <v/>
      </c>
      <c r="L418">
        <f>IF(OR(J418=0,J418=$B$6),1,IF(MOD(J418,2)=1,4,2))</f>
        <v/>
      </c>
      <c r="M418">
        <f>1/SQRT(1-($E$5^2)*(SIN(K418)^2))</f>
        <v/>
      </c>
      <c r="N418">
        <f>SQRT(1-($E$5^2)*(SIN(K418)^2))</f>
        <v/>
      </c>
    </row>
    <row r="419" ht="20" customHeight="1">
      <c r="J419" t="n">
        <v>399</v>
      </c>
      <c r="K419">
        <f>J419*PI()/(2*$B$6)</f>
        <v/>
      </c>
      <c r="L419">
        <f>IF(OR(J419=0,J419=$B$6),1,IF(MOD(J419,2)=1,4,2))</f>
        <v/>
      </c>
      <c r="M419">
        <f>1/SQRT(1-($E$5^2)*(SIN(K419)^2))</f>
        <v/>
      </c>
      <c r="N419">
        <f>SQRT(1-($E$5^2)*(SIN(K419)^2))</f>
        <v/>
      </c>
    </row>
    <row r="420" ht="20" customHeight="1">
      <c r="J420" t="n">
        <v>400</v>
      </c>
      <c r="K420">
        <f>J420*PI()/(2*$B$6)</f>
        <v/>
      </c>
      <c r="L420">
        <f>IF(OR(J420=0,J420=$B$6),1,IF(MOD(J420,2)=1,4,2))</f>
        <v/>
      </c>
      <c r="M420">
        <f>1/SQRT(1-($E$5^2)*(SIN(K420)^2))</f>
        <v/>
      </c>
      <c r="N420">
        <f>SQRT(1-($E$5^2)*(SIN(K420)^2))</f>
        <v/>
      </c>
    </row>
    <row r="421" ht="20" customHeight="1">
      <c r="J421" t="n">
        <v>401</v>
      </c>
      <c r="K421">
        <f>J421*PI()/(2*$B$6)</f>
        <v/>
      </c>
      <c r="L421">
        <f>IF(OR(J421=0,J421=$B$6),1,IF(MOD(J421,2)=1,4,2))</f>
        <v/>
      </c>
      <c r="M421">
        <f>1/SQRT(1-($E$5^2)*(SIN(K421)^2))</f>
        <v/>
      </c>
      <c r="N421">
        <f>SQRT(1-($E$5^2)*(SIN(K421)^2))</f>
        <v/>
      </c>
    </row>
    <row r="422" ht="20" customHeight="1">
      <c r="J422" t="n">
        <v>402</v>
      </c>
      <c r="K422">
        <f>J422*PI()/(2*$B$6)</f>
        <v/>
      </c>
      <c r="L422">
        <f>IF(OR(J422=0,J422=$B$6),1,IF(MOD(J422,2)=1,4,2))</f>
        <v/>
      </c>
      <c r="M422">
        <f>1/SQRT(1-($E$5^2)*(SIN(K422)^2))</f>
        <v/>
      </c>
      <c r="N422">
        <f>SQRT(1-($E$5^2)*(SIN(K422)^2))</f>
        <v/>
      </c>
    </row>
    <row r="423" ht="20" customHeight="1">
      <c r="J423" t="n">
        <v>403</v>
      </c>
      <c r="K423">
        <f>J423*PI()/(2*$B$6)</f>
        <v/>
      </c>
      <c r="L423">
        <f>IF(OR(J423=0,J423=$B$6),1,IF(MOD(J423,2)=1,4,2))</f>
        <v/>
      </c>
      <c r="M423">
        <f>1/SQRT(1-($E$5^2)*(SIN(K423)^2))</f>
        <v/>
      </c>
      <c r="N423">
        <f>SQRT(1-($E$5^2)*(SIN(K423)^2))</f>
        <v/>
      </c>
    </row>
    <row r="424" ht="20" customHeight="1">
      <c r="J424" t="n">
        <v>404</v>
      </c>
      <c r="K424">
        <f>J424*PI()/(2*$B$6)</f>
        <v/>
      </c>
      <c r="L424">
        <f>IF(OR(J424=0,J424=$B$6),1,IF(MOD(J424,2)=1,4,2))</f>
        <v/>
      </c>
      <c r="M424">
        <f>1/SQRT(1-($E$5^2)*(SIN(K424)^2))</f>
        <v/>
      </c>
      <c r="N424">
        <f>SQRT(1-($E$5^2)*(SIN(K424)^2))</f>
        <v/>
      </c>
    </row>
    <row r="425" ht="20" customHeight="1">
      <c r="J425" t="n">
        <v>405</v>
      </c>
      <c r="K425">
        <f>J425*PI()/(2*$B$6)</f>
        <v/>
      </c>
      <c r="L425">
        <f>IF(OR(J425=0,J425=$B$6),1,IF(MOD(J425,2)=1,4,2))</f>
        <v/>
      </c>
      <c r="M425">
        <f>1/SQRT(1-($E$5^2)*(SIN(K425)^2))</f>
        <v/>
      </c>
      <c r="N425">
        <f>SQRT(1-($E$5^2)*(SIN(K425)^2))</f>
        <v/>
      </c>
    </row>
    <row r="426" ht="20" customHeight="1">
      <c r="J426" t="n">
        <v>406</v>
      </c>
      <c r="K426">
        <f>J426*PI()/(2*$B$6)</f>
        <v/>
      </c>
      <c r="L426">
        <f>IF(OR(J426=0,J426=$B$6),1,IF(MOD(J426,2)=1,4,2))</f>
        <v/>
      </c>
      <c r="M426">
        <f>1/SQRT(1-($E$5^2)*(SIN(K426)^2))</f>
        <v/>
      </c>
      <c r="N426">
        <f>SQRT(1-($E$5^2)*(SIN(K426)^2))</f>
        <v/>
      </c>
    </row>
    <row r="427" ht="20" customHeight="1">
      <c r="J427" t="n">
        <v>407</v>
      </c>
      <c r="K427">
        <f>J427*PI()/(2*$B$6)</f>
        <v/>
      </c>
      <c r="L427">
        <f>IF(OR(J427=0,J427=$B$6),1,IF(MOD(J427,2)=1,4,2))</f>
        <v/>
      </c>
      <c r="M427">
        <f>1/SQRT(1-($E$5^2)*(SIN(K427)^2))</f>
        <v/>
      </c>
      <c r="N427">
        <f>SQRT(1-($E$5^2)*(SIN(K427)^2))</f>
        <v/>
      </c>
    </row>
    <row r="428" ht="20" customHeight="1">
      <c r="J428" t="n">
        <v>408</v>
      </c>
      <c r="K428">
        <f>J428*PI()/(2*$B$6)</f>
        <v/>
      </c>
      <c r="L428">
        <f>IF(OR(J428=0,J428=$B$6),1,IF(MOD(J428,2)=1,4,2))</f>
        <v/>
      </c>
      <c r="M428">
        <f>1/SQRT(1-($E$5^2)*(SIN(K428)^2))</f>
        <v/>
      </c>
      <c r="N428">
        <f>SQRT(1-($E$5^2)*(SIN(K428)^2))</f>
        <v/>
      </c>
    </row>
    <row r="429" ht="20" customHeight="1">
      <c r="J429" t="n">
        <v>409</v>
      </c>
      <c r="K429">
        <f>J429*PI()/(2*$B$6)</f>
        <v/>
      </c>
      <c r="L429">
        <f>IF(OR(J429=0,J429=$B$6),1,IF(MOD(J429,2)=1,4,2))</f>
        <v/>
      </c>
      <c r="M429">
        <f>1/SQRT(1-($E$5^2)*(SIN(K429)^2))</f>
        <v/>
      </c>
      <c r="N429">
        <f>SQRT(1-($E$5^2)*(SIN(K429)^2))</f>
        <v/>
      </c>
    </row>
    <row r="430" ht="20" customHeight="1">
      <c r="J430" t="n">
        <v>410</v>
      </c>
      <c r="K430">
        <f>J430*PI()/(2*$B$6)</f>
        <v/>
      </c>
      <c r="L430">
        <f>IF(OR(J430=0,J430=$B$6),1,IF(MOD(J430,2)=1,4,2))</f>
        <v/>
      </c>
      <c r="M430">
        <f>1/SQRT(1-($E$5^2)*(SIN(K430)^2))</f>
        <v/>
      </c>
      <c r="N430">
        <f>SQRT(1-($E$5^2)*(SIN(K430)^2))</f>
        <v/>
      </c>
    </row>
    <row r="431" ht="20" customHeight="1">
      <c r="J431" t="n">
        <v>411</v>
      </c>
      <c r="K431">
        <f>J431*PI()/(2*$B$6)</f>
        <v/>
      </c>
      <c r="L431">
        <f>IF(OR(J431=0,J431=$B$6),1,IF(MOD(J431,2)=1,4,2))</f>
        <v/>
      </c>
      <c r="M431">
        <f>1/SQRT(1-($E$5^2)*(SIN(K431)^2))</f>
        <v/>
      </c>
      <c r="N431">
        <f>SQRT(1-($E$5^2)*(SIN(K431)^2))</f>
        <v/>
      </c>
    </row>
    <row r="432" ht="20" customHeight="1">
      <c r="J432" t="n">
        <v>412</v>
      </c>
      <c r="K432">
        <f>J432*PI()/(2*$B$6)</f>
        <v/>
      </c>
      <c r="L432">
        <f>IF(OR(J432=0,J432=$B$6),1,IF(MOD(J432,2)=1,4,2))</f>
        <v/>
      </c>
      <c r="M432">
        <f>1/SQRT(1-($E$5^2)*(SIN(K432)^2))</f>
        <v/>
      </c>
      <c r="N432">
        <f>SQRT(1-($E$5^2)*(SIN(K432)^2))</f>
        <v/>
      </c>
    </row>
    <row r="433" ht="20" customHeight="1">
      <c r="J433" t="n">
        <v>413</v>
      </c>
      <c r="K433">
        <f>J433*PI()/(2*$B$6)</f>
        <v/>
      </c>
      <c r="L433">
        <f>IF(OR(J433=0,J433=$B$6),1,IF(MOD(J433,2)=1,4,2))</f>
        <v/>
      </c>
      <c r="M433">
        <f>1/SQRT(1-($E$5^2)*(SIN(K433)^2))</f>
        <v/>
      </c>
      <c r="N433">
        <f>SQRT(1-($E$5^2)*(SIN(K433)^2))</f>
        <v/>
      </c>
    </row>
    <row r="434" ht="20" customHeight="1">
      <c r="J434" t="n">
        <v>414</v>
      </c>
      <c r="K434">
        <f>J434*PI()/(2*$B$6)</f>
        <v/>
      </c>
      <c r="L434">
        <f>IF(OR(J434=0,J434=$B$6),1,IF(MOD(J434,2)=1,4,2))</f>
        <v/>
      </c>
      <c r="M434">
        <f>1/SQRT(1-($E$5^2)*(SIN(K434)^2))</f>
        <v/>
      </c>
      <c r="N434">
        <f>SQRT(1-($E$5^2)*(SIN(K434)^2))</f>
        <v/>
      </c>
    </row>
    <row r="435" ht="20" customHeight="1">
      <c r="J435" t="n">
        <v>415</v>
      </c>
      <c r="K435">
        <f>J435*PI()/(2*$B$6)</f>
        <v/>
      </c>
      <c r="L435">
        <f>IF(OR(J435=0,J435=$B$6),1,IF(MOD(J435,2)=1,4,2))</f>
        <v/>
      </c>
      <c r="M435">
        <f>1/SQRT(1-($E$5^2)*(SIN(K435)^2))</f>
        <v/>
      </c>
      <c r="N435">
        <f>SQRT(1-($E$5^2)*(SIN(K435)^2))</f>
        <v/>
      </c>
    </row>
    <row r="436" ht="20" customHeight="1">
      <c r="J436" t="n">
        <v>416</v>
      </c>
      <c r="K436">
        <f>J436*PI()/(2*$B$6)</f>
        <v/>
      </c>
      <c r="L436">
        <f>IF(OR(J436=0,J436=$B$6),1,IF(MOD(J436,2)=1,4,2))</f>
        <v/>
      </c>
      <c r="M436">
        <f>1/SQRT(1-($E$5^2)*(SIN(K436)^2))</f>
        <v/>
      </c>
      <c r="N436">
        <f>SQRT(1-($E$5^2)*(SIN(K436)^2))</f>
        <v/>
      </c>
    </row>
    <row r="437" ht="20" customHeight="1">
      <c r="J437" t="n">
        <v>417</v>
      </c>
      <c r="K437">
        <f>J437*PI()/(2*$B$6)</f>
        <v/>
      </c>
      <c r="L437">
        <f>IF(OR(J437=0,J437=$B$6),1,IF(MOD(J437,2)=1,4,2))</f>
        <v/>
      </c>
      <c r="M437">
        <f>1/SQRT(1-($E$5^2)*(SIN(K437)^2))</f>
        <v/>
      </c>
      <c r="N437">
        <f>SQRT(1-($E$5^2)*(SIN(K437)^2))</f>
        <v/>
      </c>
    </row>
    <row r="438" ht="20" customHeight="1">
      <c r="J438" t="n">
        <v>418</v>
      </c>
      <c r="K438">
        <f>J438*PI()/(2*$B$6)</f>
        <v/>
      </c>
      <c r="L438">
        <f>IF(OR(J438=0,J438=$B$6),1,IF(MOD(J438,2)=1,4,2))</f>
        <v/>
      </c>
      <c r="M438">
        <f>1/SQRT(1-($E$5^2)*(SIN(K438)^2))</f>
        <v/>
      </c>
      <c r="N438">
        <f>SQRT(1-($E$5^2)*(SIN(K438)^2))</f>
        <v/>
      </c>
    </row>
    <row r="439" ht="20" customHeight="1">
      <c r="J439" t="n">
        <v>419</v>
      </c>
      <c r="K439">
        <f>J439*PI()/(2*$B$6)</f>
        <v/>
      </c>
      <c r="L439">
        <f>IF(OR(J439=0,J439=$B$6),1,IF(MOD(J439,2)=1,4,2))</f>
        <v/>
      </c>
      <c r="M439">
        <f>1/SQRT(1-($E$5^2)*(SIN(K439)^2))</f>
        <v/>
      </c>
      <c r="N439">
        <f>SQRT(1-($E$5^2)*(SIN(K439)^2))</f>
        <v/>
      </c>
    </row>
    <row r="440" ht="20" customHeight="1">
      <c r="J440" t="n">
        <v>420</v>
      </c>
      <c r="K440">
        <f>J440*PI()/(2*$B$6)</f>
        <v/>
      </c>
      <c r="L440">
        <f>IF(OR(J440=0,J440=$B$6),1,IF(MOD(J440,2)=1,4,2))</f>
        <v/>
      </c>
      <c r="M440">
        <f>1/SQRT(1-($E$5^2)*(SIN(K440)^2))</f>
        <v/>
      </c>
      <c r="N440">
        <f>SQRT(1-($E$5^2)*(SIN(K440)^2))</f>
        <v/>
      </c>
    </row>
    <row r="441" ht="20" customHeight="1">
      <c r="J441" t="n">
        <v>421</v>
      </c>
      <c r="K441">
        <f>J441*PI()/(2*$B$6)</f>
        <v/>
      </c>
      <c r="L441">
        <f>IF(OR(J441=0,J441=$B$6),1,IF(MOD(J441,2)=1,4,2))</f>
        <v/>
      </c>
      <c r="M441">
        <f>1/SQRT(1-($E$5^2)*(SIN(K441)^2))</f>
        <v/>
      </c>
      <c r="N441">
        <f>SQRT(1-($E$5^2)*(SIN(K441)^2))</f>
        <v/>
      </c>
    </row>
    <row r="442" ht="20" customHeight="1">
      <c r="J442" t="n">
        <v>422</v>
      </c>
      <c r="K442">
        <f>J442*PI()/(2*$B$6)</f>
        <v/>
      </c>
      <c r="L442">
        <f>IF(OR(J442=0,J442=$B$6),1,IF(MOD(J442,2)=1,4,2))</f>
        <v/>
      </c>
      <c r="M442">
        <f>1/SQRT(1-($E$5^2)*(SIN(K442)^2))</f>
        <v/>
      </c>
      <c r="N442">
        <f>SQRT(1-($E$5^2)*(SIN(K442)^2))</f>
        <v/>
      </c>
    </row>
    <row r="443" ht="20" customHeight="1">
      <c r="J443" t="n">
        <v>423</v>
      </c>
      <c r="K443">
        <f>J443*PI()/(2*$B$6)</f>
        <v/>
      </c>
      <c r="L443">
        <f>IF(OR(J443=0,J443=$B$6),1,IF(MOD(J443,2)=1,4,2))</f>
        <v/>
      </c>
      <c r="M443">
        <f>1/SQRT(1-($E$5^2)*(SIN(K443)^2))</f>
        <v/>
      </c>
      <c r="N443">
        <f>SQRT(1-($E$5^2)*(SIN(K443)^2))</f>
        <v/>
      </c>
    </row>
    <row r="444" ht="20" customHeight="1">
      <c r="J444" t="n">
        <v>424</v>
      </c>
      <c r="K444">
        <f>J444*PI()/(2*$B$6)</f>
        <v/>
      </c>
      <c r="L444">
        <f>IF(OR(J444=0,J444=$B$6),1,IF(MOD(J444,2)=1,4,2))</f>
        <v/>
      </c>
      <c r="M444">
        <f>1/SQRT(1-($E$5^2)*(SIN(K444)^2))</f>
        <v/>
      </c>
      <c r="N444">
        <f>SQRT(1-($E$5^2)*(SIN(K444)^2))</f>
        <v/>
      </c>
    </row>
    <row r="445" ht="20" customHeight="1">
      <c r="J445" t="n">
        <v>425</v>
      </c>
      <c r="K445">
        <f>J445*PI()/(2*$B$6)</f>
        <v/>
      </c>
      <c r="L445">
        <f>IF(OR(J445=0,J445=$B$6),1,IF(MOD(J445,2)=1,4,2))</f>
        <v/>
      </c>
      <c r="M445">
        <f>1/SQRT(1-($E$5^2)*(SIN(K445)^2))</f>
        <v/>
      </c>
      <c r="N445">
        <f>SQRT(1-($E$5^2)*(SIN(K445)^2))</f>
        <v/>
      </c>
    </row>
    <row r="446" ht="20" customHeight="1">
      <c r="J446" t="n">
        <v>426</v>
      </c>
      <c r="K446">
        <f>J446*PI()/(2*$B$6)</f>
        <v/>
      </c>
      <c r="L446">
        <f>IF(OR(J446=0,J446=$B$6),1,IF(MOD(J446,2)=1,4,2))</f>
        <v/>
      </c>
      <c r="M446">
        <f>1/SQRT(1-($E$5^2)*(SIN(K446)^2))</f>
        <v/>
      </c>
      <c r="N446">
        <f>SQRT(1-($E$5^2)*(SIN(K446)^2))</f>
        <v/>
      </c>
    </row>
    <row r="447" ht="20" customHeight="1">
      <c r="J447" t="n">
        <v>427</v>
      </c>
      <c r="K447">
        <f>J447*PI()/(2*$B$6)</f>
        <v/>
      </c>
      <c r="L447">
        <f>IF(OR(J447=0,J447=$B$6),1,IF(MOD(J447,2)=1,4,2))</f>
        <v/>
      </c>
      <c r="M447">
        <f>1/SQRT(1-($E$5^2)*(SIN(K447)^2))</f>
        <v/>
      </c>
      <c r="N447">
        <f>SQRT(1-($E$5^2)*(SIN(K447)^2))</f>
        <v/>
      </c>
    </row>
    <row r="448" ht="20" customHeight="1">
      <c r="J448" t="n">
        <v>428</v>
      </c>
      <c r="K448">
        <f>J448*PI()/(2*$B$6)</f>
        <v/>
      </c>
      <c r="L448">
        <f>IF(OR(J448=0,J448=$B$6),1,IF(MOD(J448,2)=1,4,2))</f>
        <v/>
      </c>
      <c r="M448">
        <f>1/SQRT(1-($E$5^2)*(SIN(K448)^2))</f>
        <v/>
      </c>
      <c r="N448">
        <f>SQRT(1-($E$5^2)*(SIN(K448)^2))</f>
        <v/>
      </c>
    </row>
    <row r="449" ht="20" customHeight="1">
      <c r="J449" t="n">
        <v>429</v>
      </c>
      <c r="K449">
        <f>J449*PI()/(2*$B$6)</f>
        <v/>
      </c>
      <c r="L449">
        <f>IF(OR(J449=0,J449=$B$6),1,IF(MOD(J449,2)=1,4,2))</f>
        <v/>
      </c>
      <c r="M449">
        <f>1/SQRT(1-($E$5^2)*(SIN(K449)^2))</f>
        <v/>
      </c>
      <c r="N449">
        <f>SQRT(1-($E$5^2)*(SIN(K449)^2))</f>
        <v/>
      </c>
    </row>
    <row r="450" ht="20" customHeight="1">
      <c r="J450" t="n">
        <v>430</v>
      </c>
      <c r="K450">
        <f>J450*PI()/(2*$B$6)</f>
        <v/>
      </c>
      <c r="L450">
        <f>IF(OR(J450=0,J450=$B$6),1,IF(MOD(J450,2)=1,4,2))</f>
        <v/>
      </c>
      <c r="M450">
        <f>1/SQRT(1-($E$5^2)*(SIN(K450)^2))</f>
        <v/>
      </c>
      <c r="N450">
        <f>SQRT(1-($E$5^2)*(SIN(K450)^2))</f>
        <v/>
      </c>
    </row>
    <row r="451" ht="20" customHeight="1">
      <c r="J451" t="n">
        <v>431</v>
      </c>
      <c r="K451">
        <f>J451*PI()/(2*$B$6)</f>
        <v/>
      </c>
      <c r="L451">
        <f>IF(OR(J451=0,J451=$B$6),1,IF(MOD(J451,2)=1,4,2))</f>
        <v/>
      </c>
      <c r="M451">
        <f>1/SQRT(1-($E$5^2)*(SIN(K451)^2))</f>
        <v/>
      </c>
      <c r="N451">
        <f>SQRT(1-($E$5^2)*(SIN(K451)^2))</f>
        <v/>
      </c>
    </row>
    <row r="452" ht="20" customHeight="1">
      <c r="J452" t="n">
        <v>432</v>
      </c>
      <c r="K452">
        <f>J452*PI()/(2*$B$6)</f>
        <v/>
      </c>
      <c r="L452">
        <f>IF(OR(J452=0,J452=$B$6),1,IF(MOD(J452,2)=1,4,2))</f>
        <v/>
      </c>
      <c r="M452">
        <f>1/SQRT(1-($E$5^2)*(SIN(K452)^2))</f>
        <v/>
      </c>
      <c r="N452">
        <f>SQRT(1-($E$5^2)*(SIN(K452)^2))</f>
        <v/>
      </c>
    </row>
    <row r="453" ht="20" customHeight="1">
      <c r="J453" t="n">
        <v>433</v>
      </c>
      <c r="K453">
        <f>J453*PI()/(2*$B$6)</f>
        <v/>
      </c>
      <c r="L453">
        <f>IF(OR(J453=0,J453=$B$6),1,IF(MOD(J453,2)=1,4,2))</f>
        <v/>
      </c>
      <c r="M453">
        <f>1/SQRT(1-($E$5^2)*(SIN(K453)^2))</f>
        <v/>
      </c>
      <c r="N453">
        <f>SQRT(1-($E$5^2)*(SIN(K453)^2))</f>
        <v/>
      </c>
    </row>
    <row r="454" ht="20" customHeight="1">
      <c r="J454" t="n">
        <v>434</v>
      </c>
      <c r="K454">
        <f>J454*PI()/(2*$B$6)</f>
        <v/>
      </c>
      <c r="L454">
        <f>IF(OR(J454=0,J454=$B$6),1,IF(MOD(J454,2)=1,4,2))</f>
        <v/>
      </c>
      <c r="M454">
        <f>1/SQRT(1-($E$5^2)*(SIN(K454)^2))</f>
        <v/>
      </c>
      <c r="N454">
        <f>SQRT(1-($E$5^2)*(SIN(K454)^2))</f>
        <v/>
      </c>
    </row>
    <row r="455" ht="20" customHeight="1">
      <c r="J455" t="n">
        <v>435</v>
      </c>
      <c r="K455">
        <f>J455*PI()/(2*$B$6)</f>
        <v/>
      </c>
      <c r="L455">
        <f>IF(OR(J455=0,J455=$B$6),1,IF(MOD(J455,2)=1,4,2))</f>
        <v/>
      </c>
      <c r="M455">
        <f>1/SQRT(1-($E$5^2)*(SIN(K455)^2))</f>
        <v/>
      </c>
      <c r="N455">
        <f>SQRT(1-($E$5^2)*(SIN(K455)^2))</f>
        <v/>
      </c>
    </row>
    <row r="456" ht="20" customHeight="1">
      <c r="J456" t="n">
        <v>436</v>
      </c>
      <c r="K456">
        <f>J456*PI()/(2*$B$6)</f>
        <v/>
      </c>
      <c r="L456">
        <f>IF(OR(J456=0,J456=$B$6),1,IF(MOD(J456,2)=1,4,2))</f>
        <v/>
      </c>
      <c r="M456">
        <f>1/SQRT(1-($E$5^2)*(SIN(K456)^2))</f>
        <v/>
      </c>
      <c r="N456">
        <f>SQRT(1-($E$5^2)*(SIN(K456)^2))</f>
        <v/>
      </c>
    </row>
    <row r="457" ht="20" customHeight="1">
      <c r="J457" t="n">
        <v>437</v>
      </c>
      <c r="K457">
        <f>J457*PI()/(2*$B$6)</f>
        <v/>
      </c>
      <c r="L457">
        <f>IF(OR(J457=0,J457=$B$6),1,IF(MOD(J457,2)=1,4,2))</f>
        <v/>
      </c>
      <c r="M457">
        <f>1/SQRT(1-($E$5^2)*(SIN(K457)^2))</f>
        <v/>
      </c>
      <c r="N457">
        <f>SQRT(1-($E$5^2)*(SIN(K457)^2))</f>
        <v/>
      </c>
    </row>
    <row r="458" ht="20" customHeight="1">
      <c r="J458" t="n">
        <v>438</v>
      </c>
      <c r="K458">
        <f>J458*PI()/(2*$B$6)</f>
        <v/>
      </c>
      <c r="L458">
        <f>IF(OR(J458=0,J458=$B$6),1,IF(MOD(J458,2)=1,4,2))</f>
        <v/>
      </c>
      <c r="M458">
        <f>1/SQRT(1-($E$5^2)*(SIN(K458)^2))</f>
        <v/>
      </c>
      <c r="N458">
        <f>SQRT(1-($E$5^2)*(SIN(K458)^2))</f>
        <v/>
      </c>
    </row>
    <row r="459" ht="20" customHeight="1">
      <c r="J459" t="n">
        <v>439</v>
      </c>
      <c r="K459">
        <f>J459*PI()/(2*$B$6)</f>
        <v/>
      </c>
      <c r="L459">
        <f>IF(OR(J459=0,J459=$B$6),1,IF(MOD(J459,2)=1,4,2))</f>
        <v/>
      </c>
      <c r="M459">
        <f>1/SQRT(1-($E$5^2)*(SIN(K459)^2))</f>
        <v/>
      </c>
      <c r="N459">
        <f>SQRT(1-($E$5^2)*(SIN(K459)^2))</f>
        <v/>
      </c>
    </row>
    <row r="460" ht="20" customHeight="1">
      <c r="J460" t="n">
        <v>440</v>
      </c>
      <c r="K460">
        <f>J460*PI()/(2*$B$6)</f>
        <v/>
      </c>
      <c r="L460">
        <f>IF(OR(J460=0,J460=$B$6),1,IF(MOD(J460,2)=1,4,2))</f>
        <v/>
      </c>
      <c r="M460">
        <f>1/SQRT(1-($E$5^2)*(SIN(K460)^2))</f>
        <v/>
      </c>
      <c r="N460">
        <f>SQRT(1-($E$5^2)*(SIN(K460)^2))</f>
        <v/>
      </c>
    </row>
    <row r="461" ht="20" customHeight="1">
      <c r="J461" t="n">
        <v>441</v>
      </c>
      <c r="K461">
        <f>J461*PI()/(2*$B$6)</f>
        <v/>
      </c>
      <c r="L461">
        <f>IF(OR(J461=0,J461=$B$6),1,IF(MOD(J461,2)=1,4,2))</f>
        <v/>
      </c>
      <c r="M461">
        <f>1/SQRT(1-($E$5^2)*(SIN(K461)^2))</f>
        <v/>
      </c>
      <c r="N461">
        <f>SQRT(1-($E$5^2)*(SIN(K461)^2))</f>
        <v/>
      </c>
    </row>
    <row r="462" ht="20" customHeight="1">
      <c r="J462" t="n">
        <v>442</v>
      </c>
      <c r="K462">
        <f>J462*PI()/(2*$B$6)</f>
        <v/>
      </c>
      <c r="L462">
        <f>IF(OR(J462=0,J462=$B$6),1,IF(MOD(J462,2)=1,4,2))</f>
        <v/>
      </c>
      <c r="M462">
        <f>1/SQRT(1-($E$5^2)*(SIN(K462)^2))</f>
        <v/>
      </c>
      <c r="N462">
        <f>SQRT(1-($E$5^2)*(SIN(K462)^2))</f>
        <v/>
      </c>
    </row>
    <row r="463" ht="20" customHeight="1">
      <c r="J463" t="n">
        <v>443</v>
      </c>
      <c r="K463">
        <f>J463*PI()/(2*$B$6)</f>
        <v/>
      </c>
      <c r="L463">
        <f>IF(OR(J463=0,J463=$B$6),1,IF(MOD(J463,2)=1,4,2))</f>
        <v/>
      </c>
      <c r="M463">
        <f>1/SQRT(1-($E$5^2)*(SIN(K463)^2))</f>
        <v/>
      </c>
      <c r="N463">
        <f>SQRT(1-($E$5^2)*(SIN(K463)^2))</f>
        <v/>
      </c>
    </row>
    <row r="464" ht="20" customHeight="1">
      <c r="J464" t="n">
        <v>444</v>
      </c>
      <c r="K464">
        <f>J464*PI()/(2*$B$6)</f>
        <v/>
      </c>
      <c r="L464">
        <f>IF(OR(J464=0,J464=$B$6),1,IF(MOD(J464,2)=1,4,2))</f>
        <v/>
      </c>
      <c r="M464">
        <f>1/SQRT(1-($E$5^2)*(SIN(K464)^2))</f>
        <v/>
      </c>
      <c r="N464">
        <f>SQRT(1-($E$5^2)*(SIN(K464)^2))</f>
        <v/>
      </c>
    </row>
    <row r="465" ht="20" customHeight="1">
      <c r="J465" t="n">
        <v>445</v>
      </c>
      <c r="K465">
        <f>J465*PI()/(2*$B$6)</f>
        <v/>
      </c>
      <c r="L465">
        <f>IF(OR(J465=0,J465=$B$6),1,IF(MOD(J465,2)=1,4,2))</f>
        <v/>
      </c>
      <c r="M465">
        <f>1/SQRT(1-($E$5^2)*(SIN(K465)^2))</f>
        <v/>
      </c>
      <c r="N465">
        <f>SQRT(1-($E$5^2)*(SIN(K465)^2))</f>
        <v/>
      </c>
    </row>
    <row r="466" ht="20" customHeight="1">
      <c r="J466" t="n">
        <v>446</v>
      </c>
      <c r="K466">
        <f>J466*PI()/(2*$B$6)</f>
        <v/>
      </c>
      <c r="L466">
        <f>IF(OR(J466=0,J466=$B$6),1,IF(MOD(J466,2)=1,4,2))</f>
        <v/>
      </c>
      <c r="M466">
        <f>1/SQRT(1-($E$5^2)*(SIN(K466)^2))</f>
        <v/>
      </c>
      <c r="N466">
        <f>SQRT(1-($E$5^2)*(SIN(K466)^2))</f>
        <v/>
      </c>
    </row>
    <row r="467" ht="20" customHeight="1">
      <c r="J467" t="n">
        <v>447</v>
      </c>
      <c r="K467">
        <f>J467*PI()/(2*$B$6)</f>
        <v/>
      </c>
      <c r="L467">
        <f>IF(OR(J467=0,J467=$B$6),1,IF(MOD(J467,2)=1,4,2))</f>
        <v/>
      </c>
      <c r="M467">
        <f>1/SQRT(1-($E$5^2)*(SIN(K467)^2))</f>
        <v/>
      </c>
      <c r="N467">
        <f>SQRT(1-($E$5^2)*(SIN(K467)^2))</f>
        <v/>
      </c>
    </row>
    <row r="468" ht="20" customHeight="1">
      <c r="J468" t="n">
        <v>448</v>
      </c>
      <c r="K468">
        <f>J468*PI()/(2*$B$6)</f>
        <v/>
      </c>
      <c r="L468">
        <f>IF(OR(J468=0,J468=$B$6),1,IF(MOD(J468,2)=1,4,2))</f>
        <v/>
      </c>
      <c r="M468">
        <f>1/SQRT(1-($E$5^2)*(SIN(K468)^2))</f>
        <v/>
      </c>
      <c r="N468">
        <f>SQRT(1-($E$5^2)*(SIN(K468)^2))</f>
        <v/>
      </c>
    </row>
    <row r="469" ht="20" customHeight="1">
      <c r="J469" t="n">
        <v>449</v>
      </c>
      <c r="K469">
        <f>J469*PI()/(2*$B$6)</f>
        <v/>
      </c>
      <c r="L469">
        <f>IF(OR(J469=0,J469=$B$6),1,IF(MOD(J469,2)=1,4,2))</f>
        <v/>
      </c>
      <c r="M469">
        <f>1/SQRT(1-($E$5^2)*(SIN(K469)^2))</f>
        <v/>
      </c>
      <c r="N469">
        <f>SQRT(1-($E$5^2)*(SIN(K469)^2))</f>
        <v/>
      </c>
    </row>
    <row r="470" ht="20" customHeight="1">
      <c r="J470" t="n">
        <v>450</v>
      </c>
      <c r="K470">
        <f>J470*PI()/(2*$B$6)</f>
        <v/>
      </c>
      <c r="L470">
        <f>IF(OR(J470=0,J470=$B$6),1,IF(MOD(J470,2)=1,4,2))</f>
        <v/>
      </c>
      <c r="M470">
        <f>1/SQRT(1-($E$5^2)*(SIN(K470)^2))</f>
        <v/>
      </c>
      <c r="N470">
        <f>SQRT(1-($E$5^2)*(SIN(K470)^2))</f>
        <v/>
      </c>
    </row>
    <row r="471" ht="20" customHeight="1">
      <c r="J471" t="n">
        <v>451</v>
      </c>
      <c r="K471">
        <f>J471*PI()/(2*$B$6)</f>
        <v/>
      </c>
      <c r="L471">
        <f>IF(OR(J471=0,J471=$B$6),1,IF(MOD(J471,2)=1,4,2))</f>
        <v/>
      </c>
      <c r="M471">
        <f>1/SQRT(1-($E$5^2)*(SIN(K471)^2))</f>
        <v/>
      </c>
      <c r="N471">
        <f>SQRT(1-($E$5^2)*(SIN(K471)^2))</f>
        <v/>
      </c>
    </row>
    <row r="472" ht="20" customHeight="1">
      <c r="J472" t="n">
        <v>452</v>
      </c>
      <c r="K472">
        <f>J472*PI()/(2*$B$6)</f>
        <v/>
      </c>
      <c r="L472">
        <f>IF(OR(J472=0,J472=$B$6),1,IF(MOD(J472,2)=1,4,2))</f>
        <v/>
      </c>
      <c r="M472">
        <f>1/SQRT(1-($E$5^2)*(SIN(K472)^2))</f>
        <v/>
      </c>
      <c r="N472">
        <f>SQRT(1-($E$5^2)*(SIN(K472)^2))</f>
        <v/>
      </c>
    </row>
    <row r="473" ht="20" customHeight="1">
      <c r="J473" t="n">
        <v>453</v>
      </c>
      <c r="K473">
        <f>J473*PI()/(2*$B$6)</f>
        <v/>
      </c>
      <c r="L473">
        <f>IF(OR(J473=0,J473=$B$6),1,IF(MOD(J473,2)=1,4,2))</f>
        <v/>
      </c>
      <c r="M473">
        <f>1/SQRT(1-($E$5^2)*(SIN(K473)^2))</f>
        <v/>
      </c>
      <c r="N473">
        <f>SQRT(1-($E$5^2)*(SIN(K473)^2))</f>
        <v/>
      </c>
    </row>
    <row r="474" ht="20" customHeight="1">
      <c r="J474" t="n">
        <v>454</v>
      </c>
      <c r="K474">
        <f>J474*PI()/(2*$B$6)</f>
        <v/>
      </c>
      <c r="L474">
        <f>IF(OR(J474=0,J474=$B$6),1,IF(MOD(J474,2)=1,4,2))</f>
        <v/>
      </c>
      <c r="M474">
        <f>1/SQRT(1-($E$5^2)*(SIN(K474)^2))</f>
        <v/>
      </c>
      <c r="N474">
        <f>SQRT(1-($E$5^2)*(SIN(K474)^2))</f>
        <v/>
      </c>
    </row>
    <row r="475" ht="20" customHeight="1">
      <c r="J475" t="n">
        <v>455</v>
      </c>
      <c r="K475">
        <f>J475*PI()/(2*$B$6)</f>
        <v/>
      </c>
      <c r="L475">
        <f>IF(OR(J475=0,J475=$B$6),1,IF(MOD(J475,2)=1,4,2))</f>
        <v/>
      </c>
      <c r="M475">
        <f>1/SQRT(1-($E$5^2)*(SIN(K475)^2))</f>
        <v/>
      </c>
      <c r="N475">
        <f>SQRT(1-($E$5^2)*(SIN(K475)^2))</f>
        <v/>
      </c>
    </row>
    <row r="476" ht="20" customHeight="1">
      <c r="J476" t="n">
        <v>456</v>
      </c>
      <c r="K476">
        <f>J476*PI()/(2*$B$6)</f>
        <v/>
      </c>
      <c r="L476">
        <f>IF(OR(J476=0,J476=$B$6),1,IF(MOD(J476,2)=1,4,2))</f>
        <v/>
      </c>
      <c r="M476">
        <f>1/SQRT(1-($E$5^2)*(SIN(K476)^2))</f>
        <v/>
      </c>
      <c r="N476">
        <f>SQRT(1-($E$5^2)*(SIN(K476)^2))</f>
        <v/>
      </c>
    </row>
    <row r="477" ht="20" customHeight="1">
      <c r="J477" t="n">
        <v>457</v>
      </c>
      <c r="K477">
        <f>J477*PI()/(2*$B$6)</f>
        <v/>
      </c>
      <c r="L477">
        <f>IF(OR(J477=0,J477=$B$6),1,IF(MOD(J477,2)=1,4,2))</f>
        <v/>
      </c>
      <c r="M477">
        <f>1/SQRT(1-($E$5^2)*(SIN(K477)^2))</f>
        <v/>
      </c>
      <c r="N477">
        <f>SQRT(1-($E$5^2)*(SIN(K477)^2))</f>
        <v/>
      </c>
    </row>
    <row r="478" ht="20" customHeight="1">
      <c r="J478" t="n">
        <v>458</v>
      </c>
      <c r="K478">
        <f>J478*PI()/(2*$B$6)</f>
        <v/>
      </c>
      <c r="L478">
        <f>IF(OR(J478=0,J478=$B$6),1,IF(MOD(J478,2)=1,4,2))</f>
        <v/>
      </c>
      <c r="M478">
        <f>1/SQRT(1-($E$5^2)*(SIN(K478)^2))</f>
        <v/>
      </c>
      <c r="N478">
        <f>SQRT(1-($E$5^2)*(SIN(K478)^2))</f>
        <v/>
      </c>
    </row>
    <row r="479" ht="20" customHeight="1">
      <c r="J479" t="n">
        <v>459</v>
      </c>
      <c r="K479">
        <f>J479*PI()/(2*$B$6)</f>
        <v/>
      </c>
      <c r="L479">
        <f>IF(OR(J479=0,J479=$B$6),1,IF(MOD(J479,2)=1,4,2))</f>
        <v/>
      </c>
      <c r="M479">
        <f>1/SQRT(1-($E$5^2)*(SIN(K479)^2))</f>
        <v/>
      </c>
      <c r="N479">
        <f>SQRT(1-($E$5^2)*(SIN(K479)^2))</f>
        <v/>
      </c>
    </row>
    <row r="480" ht="20" customHeight="1">
      <c r="J480" t="n">
        <v>460</v>
      </c>
      <c r="K480">
        <f>J480*PI()/(2*$B$6)</f>
        <v/>
      </c>
      <c r="L480">
        <f>IF(OR(J480=0,J480=$B$6),1,IF(MOD(J480,2)=1,4,2))</f>
        <v/>
      </c>
      <c r="M480">
        <f>1/SQRT(1-($E$5^2)*(SIN(K480)^2))</f>
        <v/>
      </c>
      <c r="N480">
        <f>SQRT(1-($E$5^2)*(SIN(K480)^2))</f>
        <v/>
      </c>
    </row>
    <row r="481" ht="20" customHeight="1">
      <c r="J481" t="n">
        <v>461</v>
      </c>
      <c r="K481">
        <f>J481*PI()/(2*$B$6)</f>
        <v/>
      </c>
      <c r="L481">
        <f>IF(OR(J481=0,J481=$B$6),1,IF(MOD(J481,2)=1,4,2))</f>
        <v/>
      </c>
      <c r="M481">
        <f>1/SQRT(1-($E$5^2)*(SIN(K481)^2))</f>
        <v/>
      </c>
      <c r="N481">
        <f>SQRT(1-($E$5^2)*(SIN(K481)^2))</f>
        <v/>
      </c>
    </row>
    <row r="482" ht="20" customHeight="1">
      <c r="J482" t="n">
        <v>462</v>
      </c>
      <c r="K482">
        <f>J482*PI()/(2*$B$6)</f>
        <v/>
      </c>
      <c r="L482">
        <f>IF(OR(J482=0,J482=$B$6),1,IF(MOD(J482,2)=1,4,2))</f>
        <v/>
      </c>
      <c r="M482">
        <f>1/SQRT(1-($E$5^2)*(SIN(K482)^2))</f>
        <v/>
      </c>
      <c r="N482">
        <f>SQRT(1-($E$5^2)*(SIN(K482)^2))</f>
        <v/>
      </c>
    </row>
    <row r="483" ht="20" customHeight="1">
      <c r="J483" t="n">
        <v>463</v>
      </c>
      <c r="K483">
        <f>J483*PI()/(2*$B$6)</f>
        <v/>
      </c>
      <c r="L483">
        <f>IF(OR(J483=0,J483=$B$6),1,IF(MOD(J483,2)=1,4,2))</f>
        <v/>
      </c>
      <c r="M483">
        <f>1/SQRT(1-($E$5^2)*(SIN(K483)^2))</f>
        <v/>
      </c>
      <c r="N483">
        <f>SQRT(1-($E$5^2)*(SIN(K483)^2))</f>
        <v/>
      </c>
    </row>
    <row r="484" ht="20" customHeight="1">
      <c r="J484" t="n">
        <v>464</v>
      </c>
      <c r="K484">
        <f>J484*PI()/(2*$B$6)</f>
        <v/>
      </c>
      <c r="L484">
        <f>IF(OR(J484=0,J484=$B$6),1,IF(MOD(J484,2)=1,4,2))</f>
        <v/>
      </c>
      <c r="M484">
        <f>1/SQRT(1-($E$5^2)*(SIN(K484)^2))</f>
        <v/>
      </c>
      <c r="N484">
        <f>SQRT(1-($E$5^2)*(SIN(K484)^2))</f>
        <v/>
      </c>
    </row>
    <row r="485" ht="20" customHeight="1">
      <c r="J485" t="n">
        <v>465</v>
      </c>
      <c r="K485">
        <f>J485*PI()/(2*$B$6)</f>
        <v/>
      </c>
      <c r="L485">
        <f>IF(OR(J485=0,J485=$B$6),1,IF(MOD(J485,2)=1,4,2))</f>
        <v/>
      </c>
      <c r="M485">
        <f>1/SQRT(1-($E$5^2)*(SIN(K485)^2))</f>
        <v/>
      </c>
      <c r="N485">
        <f>SQRT(1-($E$5^2)*(SIN(K485)^2))</f>
        <v/>
      </c>
    </row>
    <row r="486" ht="20" customHeight="1">
      <c r="J486" t="n">
        <v>466</v>
      </c>
      <c r="K486">
        <f>J486*PI()/(2*$B$6)</f>
        <v/>
      </c>
      <c r="L486">
        <f>IF(OR(J486=0,J486=$B$6),1,IF(MOD(J486,2)=1,4,2))</f>
        <v/>
      </c>
      <c r="M486">
        <f>1/SQRT(1-($E$5^2)*(SIN(K486)^2))</f>
        <v/>
      </c>
      <c r="N486">
        <f>SQRT(1-($E$5^2)*(SIN(K486)^2))</f>
        <v/>
      </c>
    </row>
    <row r="487" ht="20" customHeight="1">
      <c r="J487" t="n">
        <v>467</v>
      </c>
      <c r="K487">
        <f>J487*PI()/(2*$B$6)</f>
        <v/>
      </c>
      <c r="L487">
        <f>IF(OR(J487=0,J487=$B$6),1,IF(MOD(J487,2)=1,4,2))</f>
        <v/>
      </c>
      <c r="M487">
        <f>1/SQRT(1-($E$5^2)*(SIN(K487)^2))</f>
        <v/>
      </c>
      <c r="N487">
        <f>SQRT(1-($E$5^2)*(SIN(K487)^2))</f>
        <v/>
      </c>
    </row>
    <row r="488" ht="20" customHeight="1">
      <c r="J488" t="n">
        <v>468</v>
      </c>
      <c r="K488">
        <f>J488*PI()/(2*$B$6)</f>
        <v/>
      </c>
      <c r="L488">
        <f>IF(OR(J488=0,J488=$B$6),1,IF(MOD(J488,2)=1,4,2))</f>
        <v/>
      </c>
      <c r="M488">
        <f>1/SQRT(1-($E$5^2)*(SIN(K488)^2))</f>
        <v/>
      </c>
      <c r="N488">
        <f>SQRT(1-($E$5^2)*(SIN(K488)^2))</f>
        <v/>
      </c>
    </row>
    <row r="489" ht="20" customHeight="1">
      <c r="J489" t="n">
        <v>469</v>
      </c>
      <c r="K489">
        <f>J489*PI()/(2*$B$6)</f>
        <v/>
      </c>
      <c r="L489">
        <f>IF(OR(J489=0,J489=$B$6),1,IF(MOD(J489,2)=1,4,2))</f>
        <v/>
      </c>
      <c r="M489">
        <f>1/SQRT(1-($E$5^2)*(SIN(K489)^2))</f>
        <v/>
      </c>
      <c r="N489">
        <f>SQRT(1-($E$5^2)*(SIN(K489)^2))</f>
        <v/>
      </c>
    </row>
    <row r="490" ht="20" customHeight="1">
      <c r="J490" t="n">
        <v>470</v>
      </c>
      <c r="K490">
        <f>J490*PI()/(2*$B$6)</f>
        <v/>
      </c>
      <c r="L490">
        <f>IF(OR(J490=0,J490=$B$6),1,IF(MOD(J490,2)=1,4,2))</f>
        <v/>
      </c>
      <c r="M490">
        <f>1/SQRT(1-($E$5^2)*(SIN(K490)^2))</f>
        <v/>
      </c>
      <c r="N490">
        <f>SQRT(1-($E$5^2)*(SIN(K490)^2))</f>
        <v/>
      </c>
    </row>
    <row r="491" ht="20" customHeight="1">
      <c r="J491" t="n">
        <v>471</v>
      </c>
      <c r="K491">
        <f>J491*PI()/(2*$B$6)</f>
        <v/>
      </c>
      <c r="L491">
        <f>IF(OR(J491=0,J491=$B$6),1,IF(MOD(J491,2)=1,4,2))</f>
        <v/>
      </c>
      <c r="M491">
        <f>1/SQRT(1-($E$5^2)*(SIN(K491)^2))</f>
        <v/>
      </c>
      <c r="N491">
        <f>SQRT(1-($E$5^2)*(SIN(K491)^2))</f>
        <v/>
      </c>
    </row>
    <row r="492" ht="20" customHeight="1">
      <c r="J492" t="n">
        <v>472</v>
      </c>
      <c r="K492">
        <f>J492*PI()/(2*$B$6)</f>
        <v/>
      </c>
      <c r="L492">
        <f>IF(OR(J492=0,J492=$B$6),1,IF(MOD(J492,2)=1,4,2))</f>
        <v/>
      </c>
      <c r="M492">
        <f>1/SQRT(1-($E$5^2)*(SIN(K492)^2))</f>
        <v/>
      </c>
      <c r="N492">
        <f>SQRT(1-($E$5^2)*(SIN(K492)^2))</f>
        <v/>
      </c>
    </row>
    <row r="493" ht="20" customHeight="1">
      <c r="J493" t="n">
        <v>473</v>
      </c>
      <c r="K493">
        <f>J493*PI()/(2*$B$6)</f>
        <v/>
      </c>
      <c r="L493">
        <f>IF(OR(J493=0,J493=$B$6),1,IF(MOD(J493,2)=1,4,2))</f>
        <v/>
      </c>
      <c r="M493">
        <f>1/SQRT(1-($E$5^2)*(SIN(K493)^2))</f>
        <v/>
      </c>
      <c r="N493">
        <f>SQRT(1-($E$5^2)*(SIN(K493)^2))</f>
        <v/>
      </c>
    </row>
    <row r="494" ht="20" customHeight="1">
      <c r="J494" t="n">
        <v>474</v>
      </c>
      <c r="K494">
        <f>J494*PI()/(2*$B$6)</f>
        <v/>
      </c>
      <c r="L494">
        <f>IF(OR(J494=0,J494=$B$6),1,IF(MOD(J494,2)=1,4,2))</f>
        <v/>
      </c>
      <c r="M494">
        <f>1/SQRT(1-($E$5^2)*(SIN(K494)^2))</f>
        <v/>
      </c>
      <c r="N494">
        <f>SQRT(1-($E$5^2)*(SIN(K494)^2))</f>
        <v/>
      </c>
    </row>
    <row r="495" ht="20" customHeight="1">
      <c r="J495" t="n">
        <v>475</v>
      </c>
      <c r="K495">
        <f>J495*PI()/(2*$B$6)</f>
        <v/>
      </c>
      <c r="L495">
        <f>IF(OR(J495=0,J495=$B$6),1,IF(MOD(J495,2)=1,4,2))</f>
        <v/>
      </c>
      <c r="M495">
        <f>1/SQRT(1-($E$5^2)*(SIN(K495)^2))</f>
        <v/>
      </c>
      <c r="N495">
        <f>SQRT(1-($E$5^2)*(SIN(K495)^2))</f>
        <v/>
      </c>
    </row>
    <row r="496" ht="20" customHeight="1">
      <c r="J496" t="n">
        <v>476</v>
      </c>
      <c r="K496">
        <f>J496*PI()/(2*$B$6)</f>
        <v/>
      </c>
      <c r="L496">
        <f>IF(OR(J496=0,J496=$B$6),1,IF(MOD(J496,2)=1,4,2))</f>
        <v/>
      </c>
      <c r="M496">
        <f>1/SQRT(1-($E$5^2)*(SIN(K496)^2))</f>
        <v/>
      </c>
      <c r="N496">
        <f>SQRT(1-($E$5^2)*(SIN(K496)^2))</f>
        <v/>
      </c>
    </row>
    <row r="497" ht="20" customHeight="1">
      <c r="J497" t="n">
        <v>477</v>
      </c>
      <c r="K497">
        <f>J497*PI()/(2*$B$6)</f>
        <v/>
      </c>
      <c r="L497">
        <f>IF(OR(J497=0,J497=$B$6),1,IF(MOD(J497,2)=1,4,2))</f>
        <v/>
      </c>
      <c r="M497">
        <f>1/SQRT(1-($E$5^2)*(SIN(K497)^2))</f>
        <v/>
      </c>
      <c r="N497">
        <f>SQRT(1-($E$5^2)*(SIN(K497)^2))</f>
        <v/>
      </c>
    </row>
    <row r="498" ht="20" customHeight="1">
      <c r="J498" t="n">
        <v>478</v>
      </c>
      <c r="K498">
        <f>J498*PI()/(2*$B$6)</f>
        <v/>
      </c>
      <c r="L498">
        <f>IF(OR(J498=0,J498=$B$6),1,IF(MOD(J498,2)=1,4,2))</f>
        <v/>
      </c>
      <c r="M498">
        <f>1/SQRT(1-($E$5^2)*(SIN(K498)^2))</f>
        <v/>
      </c>
      <c r="N498">
        <f>SQRT(1-($E$5^2)*(SIN(K498)^2))</f>
        <v/>
      </c>
    </row>
    <row r="499" ht="20" customHeight="1">
      <c r="J499" t="n">
        <v>479</v>
      </c>
      <c r="K499">
        <f>J499*PI()/(2*$B$6)</f>
        <v/>
      </c>
      <c r="L499">
        <f>IF(OR(J499=0,J499=$B$6),1,IF(MOD(J499,2)=1,4,2))</f>
        <v/>
      </c>
      <c r="M499">
        <f>1/SQRT(1-($E$5^2)*(SIN(K499)^2))</f>
        <v/>
      </c>
      <c r="N499">
        <f>SQRT(1-($E$5^2)*(SIN(K499)^2))</f>
        <v/>
      </c>
    </row>
    <row r="500" ht="20" customHeight="1">
      <c r="J500" t="n">
        <v>480</v>
      </c>
      <c r="K500">
        <f>J500*PI()/(2*$B$6)</f>
        <v/>
      </c>
      <c r="L500">
        <f>IF(OR(J500=0,J500=$B$6),1,IF(MOD(J500,2)=1,4,2))</f>
        <v/>
      </c>
      <c r="M500">
        <f>1/SQRT(1-($E$5^2)*(SIN(K500)^2))</f>
        <v/>
      </c>
      <c r="N500">
        <f>SQRT(1-($E$5^2)*(SIN(K500)^2))</f>
        <v/>
      </c>
    </row>
    <row r="501" ht="20" customHeight="1">
      <c r="J501" t="n">
        <v>481</v>
      </c>
      <c r="K501">
        <f>J501*PI()/(2*$B$6)</f>
        <v/>
      </c>
      <c r="L501">
        <f>IF(OR(J501=0,J501=$B$6),1,IF(MOD(J501,2)=1,4,2))</f>
        <v/>
      </c>
      <c r="M501">
        <f>1/SQRT(1-($E$5^2)*(SIN(K501)^2))</f>
        <v/>
      </c>
      <c r="N501">
        <f>SQRT(1-($E$5^2)*(SIN(K501)^2))</f>
        <v/>
      </c>
    </row>
    <row r="502" ht="20" customHeight="1">
      <c r="J502" t="n">
        <v>482</v>
      </c>
      <c r="K502">
        <f>J502*PI()/(2*$B$6)</f>
        <v/>
      </c>
      <c r="L502">
        <f>IF(OR(J502=0,J502=$B$6),1,IF(MOD(J502,2)=1,4,2))</f>
        <v/>
      </c>
      <c r="M502">
        <f>1/SQRT(1-($E$5^2)*(SIN(K502)^2))</f>
        <v/>
      </c>
      <c r="N502">
        <f>SQRT(1-($E$5^2)*(SIN(K502)^2))</f>
        <v/>
      </c>
    </row>
    <row r="503" ht="20" customHeight="1">
      <c r="J503" t="n">
        <v>483</v>
      </c>
      <c r="K503">
        <f>J503*PI()/(2*$B$6)</f>
        <v/>
      </c>
      <c r="L503">
        <f>IF(OR(J503=0,J503=$B$6),1,IF(MOD(J503,2)=1,4,2))</f>
        <v/>
      </c>
      <c r="M503">
        <f>1/SQRT(1-($E$5^2)*(SIN(K503)^2))</f>
        <v/>
      </c>
      <c r="N503">
        <f>SQRT(1-($E$5^2)*(SIN(K503)^2))</f>
        <v/>
      </c>
    </row>
    <row r="504" ht="20" customHeight="1">
      <c r="J504" t="n">
        <v>484</v>
      </c>
      <c r="K504">
        <f>J504*PI()/(2*$B$6)</f>
        <v/>
      </c>
      <c r="L504">
        <f>IF(OR(J504=0,J504=$B$6),1,IF(MOD(J504,2)=1,4,2))</f>
        <v/>
      </c>
      <c r="M504">
        <f>1/SQRT(1-($E$5^2)*(SIN(K504)^2))</f>
        <v/>
      </c>
      <c r="N504">
        <f>SQRT(1-($E$5^2)*(SIN(K504)^2))</f>
        <v/>
      </c>
    </row>
    <row r="505" ht="20" customHeight="1">
      <c r="J505" t="n">
        <v>485</v>
      </c>
      <c r="K505">
        <f>J505*PI()/(2*$B$6)</f>
        <v/>
      </c>
      <c r="L505">
        <f>IF(OR(J505=0,J505=$B$6),1,IF(MOD(J505,2)=1,4,2))</f>
        <v/>
      </c>
      <c r="M505">
        <f>1/SQRT(1-($E$5^2)*(SIN(K505)^2))</f>
        <v/>
      </c>
      <c r="N505">
        <f>SQRT(1-($E$5^2)*(SIN(K505)^2))</f>
        <v/>
      </c>
    </row>
    <row r="506" ht="20" customHeight="1">
      <c r="J506" t="n">
        <v>486</v>
      </c>
      <c r="K506">
        <f>J506*PI()/(2*$B$6)</f>
        <v/>
      </c>
      <c r="L506">
        <f>IF(OR(J506=0,J506=$B$6),1,IF(MOD(J506,2)=1,4,2))</f>
        <v/>
      </c>
      <c r="M506">
        <f>1/SQRT(1-($E$5^2)*(SIN(K506)^2))</f>
        <v/>
      </c>
      <c r="N506">
        <f>SQRT(1-($E$5^2)*(SIN(K506)^2))</f>
        <v/>
      </c>
    </row>
    <row r="507" ht="20" customHeight="1">
      <c r="J507" t="n">
        <v>487</v>
      </c>
      <c r="K507">
        <f>J507*PI()/(2*$B$6)</f>
        <v/>
      </c>
      <c r="L507">
        <f>IF(OR(J507=0,J507=$B$6),1,IF(MOD(J507,2)=1,4,2))</f>
        <v/>
      </c>
      <c r="M507">
        <f>1/SQRT(1-($E$5^2)*(SIN(K507)^2))</f>
        <v/>
      </c>
      <c r="N507">
        <f>SQRT(1-($E$5^2)*(SIN(K507)^2))</f>
        <v/>
      </c>
    </row>
    <row r="508" ht="20" customHeight="1">
      <c r="J508" t="n">
        <v>488</v>
      </c>
      <c r="K508">
        <f>J508*PI()/(2*$B$6)</f>
        <v/>
      </c>
      <c r="L508">
        <f>IF(OR(J508=0,J508=$B$6),1,IF(MOD(J508,2)=1,4,2))</f>
        <v/>
      </c>
      <c r="M508">
        <f>1/SQRT(1-($E$5^2)*(SIN(K508)^2))</f>
        <v/>
      </c>
      <c r="N508">
        <f>SQRT(1-($E$5^2)*(SIN(K508)^2))</f>
        <v/>
      </c>
    </row>
    <row r="509" ht="20" customHeight="1">
      <c r="J509" t="n">
        <v>489</v>
      </c>
      <c r="K509">
        <f>J509*PI()/(2*$B$6)</f>
        <v/>
      </c>
      <c r="L509">
        <f>IF(OR(J509=0,J509=$B$6),1,IF(MOD(J509,2)=1,4,2))</f>
        <v/>
      </c>
      <c r="M509">
        <f>1/SQRT(1-($E$5^2)*(SIN(K509)^2))</f>
        <v/>
      </c>
      <c r="N509">
        <f>SQRT(1-($E$5^2)*(SIN(K509)^2))</f>
        <v/>
      </c>
    </row>
    <row r="510" ht="20" customHeight="1">
      <c r="J510" t="n">
        <v>490</v>
      </c>
      <c r="K510">
        <f>J510*PI()/(2*$B$6)</f>
        <v/>
      </c>
      <c r="L510">
        <f>IF(OR(J510=0,J510=$B$6),1,IF(MOD(J510,2)=1,4,2))</f>
        <v/>
      </c>
      <c r="M510">
        <f>1/SQRT(1-($E$5^2)*(SIN(K510)^2))</f>
        <v/>
      </c>
      <c r="N510">
        <f>SQRT(1-($E$5^2)*(SIN(K510)^2))</f>
        <v/>
      </c>
    </row>
    <row r="511" ht="20" customHeight="1">
      <c r="J511" t="n">
        <v>491</v>
      </c>
      <c r="K511">
        <f>J511*PI()/(2*$B$6)</f>
        <v/>
      </c>
      <c r="L511">
        <f>IF(OR(J511=0,J511=$B$6),1,IF(MOD(J511,2)=1,4,2))</f>
        <v/>
      </c>
      <c r="M511">
        <f>1/SQRT(1-($E$5^2)*(SIN(K511)^2))</f>
        <v/>
      </c>
      <c r="N511">
        <f>SQRT(1-($E$5^2)*(SIN(K511)^2))</f>
        <v/>
      </c>
    </row>
    <row r="512" ht="20" customHeight="1">
      <c r="J512" t="n">
        <v>492</v>
      </c>
      <c r="K512">
        <f>J512*PI()/(2*$B$6)</f>
        <v/>
      </c>
      <c r="L512">
        <f>IF(OR(J512=0,J512=$B$6),1,IF(MOD(J512,2)=1,4,2))</f>
        <v/>
      </c>
      <c r="M512">
        <f>1/SQRT(1-($E$5^2)*(SIN(K512)^2))</f>
        <v/>
      </c>
      <c r="N512">
        <f>SQRT(1-($E$5^2)*(SIN(K512)^2))</f>
        <v/>
      </c>
    </row>
    <row r="513" ht="20" customHeight="1">
      <c r="J513" t="n">
        <v>493</v>
      </c>
      <c r="K513">
        <f>J513*PI()/(2*$B$6)</f>
        <v/>
      </c>
      <c r="L513">
        <f>IF(OR(J513=0,J513=$B$6),1,IF(MOD(J513,2)=1,4,2))</f>
        <v/>
      </c>
      <c r="M513">
        <f>1/SQRT(1-($E$5^2)*(SIN(K513)^2))</f>
        <v/>
      </c>
      <c r="N513">
        <f>SQRT(1-($E$5^2)*(SIN(K513)^2))</f>
        <v/>
      </c>
    </row>
    <row r="514" ht="20" customHeight="1">
      <c r="J514" t="n">
        <v>494</v>
      </c>
      <c r="K514">
        <f>J514*PI()/(2*$B$6)</f>
        <v/>
      </c>
      <c r="L514">
        <f>IF(OR(J514=0,J514=$B$6),1,IF(MOD(J514,2)=1,4,2))</f>
        <v/>
      </c>
      <c r="M514">
        <f>1/SQRT(1-($E$5^2)*(SIN(K514)^2))</f>
        <v/>
      </c>
      <c r="N514">
        <f>SQRT(1-($E$5^2)*(SIN(K514)^2))</f>
        <v/>
      </c>
    </row>
    <row r="515" ht="20" customHeight="1">
      <c r="J515" t="n">
        <v>495</v>
      </c>
      <c r="K515">
        <f>J515*PI()/(2*$B$6)</f>
        <v/>
      </c>
      <c r="L515">
        <f>IF(OR(J515=0,J515=$B$6),1,IF(MOD(J515,2)=1,4,2))</f>
        <v/>
      </c>
      <c r="M515">
        <f>1/SQRT(1-($E$5^2)*(SIN(K515)^2))</f>
        <v/>
      </c>
      <c r="N515">
        <f>SQRT(1-($E$5^2)*(SIN(K515)^2))</f>
        <v/>
      </c>
    </row>
    <row r="516" ht="20" customHeight="1">
      <c r="J516" t="n">
        <v>496</v>
      </c>
      <c r="K516">
        <f>J516*PI()/(2*$B$6)</f>
        <v/>
      </c>
      <c r="L516">
        <f>IF(OR(J516=0,J516=$B$6),1,IF(MOD(J516,2)=1,4,2))</f>
        <v/>
      </c>
      <c r="M516">
        <f>1/SQRT(1-($E$5^2)*(SIN(K516)^2))</f>
        <v/>
      </c>
      <c r="N516">
        <f>SQRT(1-($E$5^2)*(SIN(K516)^2))</f>
        <v/>
      </c>
    </row>
    <row r="517" ht="20" customHeight="1">
      <c r="J517" t="n">
        <v>497</v>
      </c>
      <c r="K517">
        <f>J517*PI()/(2*$B$6)</f>
        <v/>
      </c>
      <c r="L517">
        <f>IF(OR(J517=0,J517=$B$6),1,IF(MOD(J517,2)=1,4,2))</f>
        <v/>
      </c>
      <c r="M517">
        <f>1/SQRT(1-($E$5^2)*(SIN(K517)^2))</f>
        <v/>
      </c>
      <c r="N517">
        <f>SQRT(1-($E$5^2)*(SIN(K517)^2))</f>
        <v/>
      </c>
    </row>
    <row r="518" ht="20" customHeight="1">
      <c r="J518" t="n">
        <v>498</v>
      </c>
      <c r="K518">
        <f>J518*PI()/(2*$B$6)</f>
        <v/>
      </c>
      <c r="L518">
        <f>IF(OR(J518=0,J518=$B$6),1,IF(MOD(J518,2)=1,4,2))</f>
        <v/>
      </c>
      <c r="M518">
        <f>1/SQRT(1-($E$5^2)*(SIN(K518)^2))</f>
        <v/>
      </c>
      <c r="N518">
        <f>SQRT(1-($E$5^2)*(SIN(K518)^2))</f>
        <v/>
      </c>
    </row>
    <row r="519" ht="20" customHeight="1">
      <c r="J519" t="n">
        <v>499</v>
      </c>
      <c r="K519">
        <f>J519*PI()/(2*$B$6)</f>
        <v/>
      </c>
      <c r="L519">
        <f>IF(OR(J519=0,J519=$B$6),1,IF(MOD(J519,2)=1,4,2))</f>
        <v/>
      </c>
      <c r="M519">
        <f>1/SQRT(1-($E$5^2)*(SIN(K519)^2))</f>
        <v/>
      </c>
      <c r="N519">
        <f>SQRT(1-($E$5^2)*(SIN(K519)^2))</f>
        <v/>
      </c>
    </row>
    <row r="520" ht="20" customHeight="1">
      <c r="J520" t="n">
        <v>500</v>
      </c>
      <c r="K520">
        <f>J520*PI()/(2*$B$6)</f>
        <v/>
      </c>
      <c r="L520">
        <f>IF(OR(J520=0,J520=$B$6),1,IF(MOD(J520,2)=1,4,2))</f>
        <v/>
      </c>
      <c r="M520">
        <f>1/SQRT(1-($E$5^2)*(SIN(K520)^2))</f>
        <v/>
      </c>
      <c r="N520">
        <f>SQRT(1-($E$5^2)*(SIN(K520)^2))</f>
        <v/>
      </c>
    </row>
    <row r="521" ht="20" customHeight="1">
      <c r="J521" t="n">
        <v>501</v>
      </c>
      <c r="K521">
        <f>J521*PI()/(2*$B$6)</f>
        <v/>
      </c>
      <c r="L521">
        <f>IF(OR(J521=0,J521=$B$6),1,IF(MOD(J521,2)=1,4,2))</f>
        <v/>
      </c>
      <c r="M521">
        <f>1/SQRT(1-($E$5^2)*(SIN(K521)^2))</f>
        <v/>
      </c>
      <c r="N521">
        <f>SQRT(1-($E$5^2)*(SIN(K521)^2))</f>
        <v/>
      </c>
    </row>
    <row r="522" ht="20" customHeight="1">
      <c r="J522" t="n">
        <v>502</v>
      </c>
      <c r="K522">
        <f>J522*PI()/(2*$B$6)</f>
        <v/>
      </c>
      <c r="L522">
        <f>IF(OR(J522=0,J522=$B$6),1,IF(MOD(J522,2)=1,4,2))</f>
        <v/>
      </c>
      <c r="M522">
        <f>1/SQRT(1-($E$5^2)*(SIN(K522)^2))</f>
        <v/>
      </c>
      <c r="N522">
        <f>SQRT(1-($E$5^2)*(SIN(K522)^2))</f>
        <v/>
      </c>
    </row>
    <row r="523" ht="20" customHeight="1">
      <c r="J523" t="n">
        <v>503</v>
      </c>
      <c r="K523">
        <f>J523*PI()/(2*$B$6)</f>
        <v/>
      </c>
      <c r="L523">
        <f>IF(OR(J523=0,J523=$B$6),1,IF(MOD(J523,2)=1,4,2))</f>
        <v/>
      </c>
      <c r="M523">
        <f>1/SQRT(1-($E$5^2)*(SIN(K523)^2))</f>
        <v/>
      </c>
      <c r="N523">
        <f>SQRT(1-($E$5^2)*(SIN(K523)^2))</f>
        <v/>
      </c>
    </row>
    <row r="524" ht="20" customHeight="1">
      <c r="J524" t="n">
        <v>504</v>
      </c>
      <c r="K524">
        <f>J524*PI()/(2*$B$6)</f>
        <v/>
      </c>
      <c r="L524">
        <f>IF(OR(J524=0,J524=$B$6),1,IF(MOD(J524,2)=1,4,2))</f>
        <v/>
      </c>
      <c r="M524">
        <f>1/SQRT(1-($E$5^2)*(SIN(K524)^2))</f>
        <v/>
      </c>
      <c r="N524">
        <f>SQRT(1-($E$5^2)*(SIN(K524)^2))</f>
        <v/>
      </c>
    </row>
    <row r="525" ht="20" customHeight="1">
      <c r="J525" t="n">
        <v>505</v>
      </c>
      <c r="K525">
        <f>J525*PI()/(2*$B$6)</f>
        <v/>
      </c>
      <c r="L525">
        <f>IF(OR(J525=0,J525=$B$6),1,IF(MOD(J525,2)=1,4,2))</f>
        <v/>
      </c>
      <c r="M525">
        <f>1/SQRT(1-($E$5^2)*(SIN(K525)^2))</f>
        <v/>
      </c>
      <c r="N525">
        <f>SQRT(1-($E$5^2)*(SIN(K525)^2))</f>
        <v/>
      </c>
    </row>
    <row r="526" ht="20" customHeight="1">
      <c r="J526" t="n">
        <v>506</v>
      </c>
      <c r="K526">
        <f>J526*PI()/(2*$B$6)</f>
        <v/>
      </c>
      <c r="L526">
        <f>IF(OR(J526=0,J526=$B$6),1,IF(MOD(J526,2)=1,4,2))</f>
        <v/>
      </c>
      <c r="M526">
        <f>1/SQRT(1-($E$5^2)*(SIN(K526)^2))</f>
        <v/>
      </c>
      <c r="N526">
        <f>SQRT(1-($E$5^2)*(SIN(K526)^2))</f>
        <v/>
      </c>
    </row>
    <row r="527" ht="20" customHeight="1">
      <c r="J527" t="n">
        <v>507</v>
      </c>
      <c r="K527">
        <f>J527*PI()/(2*$B$6)</f>
        <v/>
      </c>
      <c r="L527">
        <f>IF(OR(J527=0,J527=$B$6),1,IF(MOD(J527,2)=1,4,2))</f>
        <v/>
      </c>
      <c r="M527">
        <f>1/SQRT(1-($E$5^2)*(SIN(K527)^2))</f>
        <v/>
      </c>
      <c r="N527">
        <f>SQRT(1-($E$5^2)*(SIN(K527)^2))</f>
        <v/>
      </c>
    </row>
    <row r="528" ht="20" customHeight="1">
      <c r="J528" t="n">
        <v>508</v>
      </c>
      <c r="K528">
        <f>J528*PI()/(2*$B$6)</f>
        <v/>
      </c>
      <c r="L528">
        <f>IF(OR(J528=0,J528=$B$6),1,IF(MOD(J528,2)=1,4,2))</f>
        <v/>
      </c>
      <c r="M528">
        <f>1/SQRT(1-($E$5^2)*(SIN(K528)^2))</f>
        <v/>
      </c>
      <c r="N528">
        <f>SQRT(1-($E$5^2)*(SIN(K528)^2))</f>
        <v/>
      </c>
    </row>
    <row r="529" ht="20" customHeight="1">
      <c r="J529" t="n">
        <v>509</v>
      </c>
      <c r="K529">
        <f>J529*PI()/(2*$B$6)</f>
        <v/>
      </c>
      <c r="L529">
        <f>IF(OR(J529=0,J529=$B$6),1,IF(MOD(J529,2)=1,4,2))</f>
        <v/>
      </c>
      <c r="M529">
        <f>1/SQRT(1-($E$5^2)*(SIN(K529)^2))</f>
        <v/>
      </c>
      <c r="N529">
        <f>SQRT(1-($E$5^2)*(SIN(K529)^2))</f>
        <v/>
      </c>
    </row>
    <row r="530" ht="20" customHeight="1">
      <c r="J530" t="n">
        <v>510</v>
      </c>
      <c r="K530">
        <f>J530*PI()/(2*$B$6)</f>
        <v/>
      </c>
      <c r="L530">
        <f>IF(OR(J530=0,J530=$B$6),1,IF(MOD(J530,2)=1,4,2))</f>
        <v/>
      </c>
      <c r="M530">
        <f>1/SQRT(1-($E$5^2)*(SIN(K530)^2))</f>
        <v/>
      </c>
      <c r="N530">
        <f>SQRT(1-($E$5^2)*(SIN(K530)^2))</f>
        <v/>
      </c>
    </row>
    <row r="531" ht="20" customHeight="1">
      <c r="J531" t="n">
        <v>511</v>
      </c>
      <c r="K531">
        <f>J531*PI()/(2*$B$6)</f>
        <v/>
      </c>
      <c r="L531">
        <f>IF(OR(J531=0,J531=$B$6),1,IF(MOD(J531,2)=1,4,2))</f>
        <v/>
      </c>
      <c r="M531">
        <f>1/SQRT(1-($E$5^2)*(SIN(K531)^2))</f>
        <v/>
      </c>
      <c r="N531">
        <f>SQRT(1-($E$5^2)*(SIN(K531)^2))</f>
        <v/>
      </c>
    </row>
    <row r="532" ht="20" customHeight="1">
      <c r="J532" t="n">
        <v>512</v>
      </c>
      <c r="K532">
        <f>J532*PI()/(2*$B$6)</f>
        <v/>
      </c>
      <c r="L532">
        <f>IF(OR(J532=0,J532=$B$6),1,IF(MOD(J532,2)=1,4,2))</f>
        <v/>
      </c>
      <c r="M532">
        <f>1/SQRT(1-($E$5^2)*(SIN(K532)^2))</f>
        <v/>
      </c>
      <c r="N532">
        <f>SQRT(1-($E$5^2)*(SIN(K532)^2))</f>
        <v/>
      </c>
    </row>
    <row r="533" ht="20" customHeight="1">
      <c r="J533" t="n">
        <v>513</v>
      </c>
      <c r="K533">
        <f>J533*PI()/(2*$B$6)</f>
        <v/>
      </c>
      <c r="L533">
        <f>IF(OR(J533=0,J533=$B$6),1,IF(MOD(J533,2)=1,4,2))</f>
        <v/>
      </c>
      <c r="M533">
        <f>1/SQRT(1-($E$5^2)*(SIN(K533)^2))</f>
        <v/>
      </c>
      <c r="N533">
        <f>SQRT(1-($E$5^2)*(SIN(K533)^2))</f>
        <v/>
      </c>
    </row>
    <row r="534" ht="20" customHeight="1">
      <c r="J534" t="n">
        <v>514</v>
      </c>
      <c r="K534">
        <f>J534*PI()/(2*$B$6)</f>
        <v/>
      </c>
      <c r="L534">
        <f>IF(OR(J534=0,J534=$B$6),1,IF(MOD(J534,2)=1,4,2))</f>
        <v/>
      </c>
      <c r="M534">
        <f>1/SQRT(1-($E$5^2)*(SIN(K534)^2))</f>
        <v/>
      </c>
      <c r="N534">
        <f>SQRT(1-($E$5^2)*(SIN(K534)^2))</f>
        <v/>
      </c>
    </row>
    <row r="535" ht="20" customHeight="1">
      <c r="J535" t="n">
        <v>515</v>
      </c>
      <c r="K535">
        <f>J535*PI()/(2*$B$6)</f>
        <v/>
      </c>
      <c r="L535">
        <f>IF(OR(J535=0,J535=$B$6),1,IF(MOD(J535,2)=1,4,2))</f>
        <v/>
      </c>
      <c r="M535">
        <f>1/SQRT(1-($E$5^2)*(SIN(K535)^2))</f>
        <v/>
      </c>
      <c r="N535">
        <f>SQRT(1-($E$5^2)*(SIN(K535)^2))</f>
        <v/>
      </c>
    </row>
    <row r="536" ht="20" customHeight="1">
      <c r="J536" t="n">
        <v>516</v>
      </c>
      <c r="K536">
        <f>J536*PI()/(2*$B$6)</f>
        <v/>
      </c>
      <c r="L536">
        <f>IF(OR(J536=0,J536=$B$6),1,IF(MOD(J536,2)=1,4,2))</f>
        <v/>
      </c>
      <c r="M536">
        <f>1/SQRT(1-($E$5^2)*(SIN(K536)^2))</f>
        <v/>
      </c>
      <c r="N536">
        <f>SQRT(1-($E$5^2)*(SIN(K536)^2))</f>
        <v/>
      </c>
    </row>
    <row r="537" ht="20" customHeight="1">
      <c r="J537" t="n">
        <v>517</v>
      </c>
      <c r="K537">
        <f>J537*PI()/(2*$B$6)</f>
        <v/>
      </c>
      <c r="L537">
        <f>IF(OR(J537=0,J537=$B$6),1,IF(MOD(J537,2)=1,4,2))</f>
        <v/>
      </c>
      <c r="M537">
        <f>1/SQRT(1-($E$5^2)*(SIN(K537)^2))</f>
        <v/>
      </c>
      <c r="N537">
        <f>SQRT(1-($E$5^2)*(SIN(K537)^2))</f>
        <v/>
      </c>
    </row>
    <row r="538" ht="20" customHeight="1">
      <c r="J538" t="n">
        <v>518</v>
      </c>
      <c r="K538">
        <f>J538*PI()/(2*$B$6)</f>
        <v/>
      </c>
      <c r="L538">
        <f>IF(OR(J538=0,J538=$B$6),1,IF(MOD(J538,2)=1,4,2))</f>
        <v/>
      </c>
      <c r="M538">
        <f>1/SQRT(1-($E$5^2)*(SIN(K538)^2))</f>
        <v/>
      </c>
      <c r="N538">
        <f>SQRT(1-($E$5^2)*(SIN(K538)^2))</f>
        <v/>
      </c>
    </row>
    <row r="539" ht="20" customHeight="1">
      <c r="J539" t="n">
        <v>519</v>
      </c>
      <c r="K539">
        <f>J539*PI()/(2*$B$6)</f>
        <v/>
      </c>
      <c r="L539">
        <f>IF(OR(J539=0,J539=$B$6),1,IF(MOD(J539,2)=1,4,2))</f>
        <v/>
      </c>
      <c r="M539">
        <f>1/SQRT(1-($E$5^2)*(SIN(K539)^2))</f>
        <v/>
      </c>
      <c r="N539">
        <f>SQRT(1-($E$5^2)*(SIN(K539)^2))</f>
        <v/>
      </c>
    </row>
    <row r="540" ht="20" customHeight="1">
      <c r="J540" t="n">
        <v>520</v>
      </c>
      <c r="K540">
        <f>J540*PI()/(2*$B$6)</f>
        <v/>
      </c>
      <c r="L540">
        <f>IF(OR(J540=0,J540=$B$6),1,IF(MOD(J540,2)=1,4,2))</f>
        <v/>
      </c>
      <c r="M540">
        <f>1/SQRT(1-($E$5^2)*(SIN(K540)^2))</f>
        <v/>
      </c>
      <c r="N540">
        <f>SQRT(1-($E$5^2)*(SIN(K540)^2))</f>
        <v/>
      </c>
    </row>
    <row r="541" ht="20" customHeight="1">
      <c r="J541" t="n">
        <v>521</v>
      </c>
      <c r="K541">
        <f>J541*PI()/(2*$B$6)</f>
        <v/>
      </c>
      <c r="L541">
        <f>IF(OR(J541=0,J541=$B$6),1,IF(MOD(J541,2)=1,4,2))</f>
        <v/>
      </c>
      <c r="M541">
        <f>1/SQRT(1-($E$5^2)*(SIN(K541)^2))</f>
        <v/>
      </c>
      <c r="N541">
        <f>SQRT(1-($E$5^2)*(SIN(K541)^2))</f>
        <v/>
      </c>
    </row>
    <row r="542" ht="20" customHeight="1">
      <c r="J542" t="n">
        <v>522</v>
      </c>
      <c r="K542">
        <f>J542*PI()/(2*$B$6)</f>
        <v/>
      </c>
      <c r="L542">
        <f>IF(OR(J542=0,J542=$B$6),1,IF(MOD(J542,2)=1,4,2))</f>
        <v/>
      </c>
      <c r="M542">
        <f>1/SQRT(1-($E$5^2)*(SIN(K542)^2))</f>
        <v/>
      </c>
      <c r="N542">
        <f>SQRT(1-($E$5^2)*(SIN(K542)^2))</f>
        <v/>
      </c>
    </row>
    <row r="543" ht="20" customHeight="1">
      <c r="J543" t="n">
        <v>523</v>
      </c>
      <c r="K543">
        <f>J543*PI()/(2*$B$6)</f>
        <v/>
      </c>
      <c r="L543">
        <f>IF(OR(J543=0,J543=$B$6),1,IF(MOD(J543,2)=1,4,2))</f>
        <v/>
      </c>
      <c r="M543">
        <f>1/SQRT(1-($E$5^2)*(SIN(K543)^2))</f>
        <v/>
      </c>
      <c r="N543">
        <f>SQRT(1-($E$5^2)*(SIN(K543)^2))</f>
        <v/>
      </c>
    </row>
    <row r="544" ht="20" customHeight="1">
      <c r="J544" t="n">
        <v>524</v>
      </c>
      <c r="K544">
        <f>J544*PI()/(2*$B$6)</f>
        <v/>
      </c>
      <c r="L544">
        <f>IF(OR(J544=0,J544=$B$6),1,IF(MOD(J544,2)=1,4,2))</f>
        <v/>
      </c>
      <c r="M544">
        <f>1/SQRT(1-($E$5^2)*(SIN(K544)^2))</f>
        <v/>
      </c>
      <c r="N544">
        <f>SQRT(1-($E$5^2)*(SIN(K544)^2))</f>
        <v/>
      </c>
    </row>
    <row r="545" ht="20" customHeight="1">
      <c r="J545" t="n">
        <v>525</v>
      </c>
      <c r="K545">
        <f>J545*PI()/(2*$B$6)</f>
        <v/>
      </c>
      <c r="L545">
        <f>IF(OR(J545=0,J545=$B$6),1,IF(MOD(J545,2)=1,4,2))</f>
        <v/>
      </c>
      <c r="M545">
        <f>1/SQRT(1-($E$5^2)*(SIN(K545)^2))</f>
        <v/>
      </c>
      <c r="N545">
        <f>SQRT(1-($E$5^2)*(SIN(K545)^2))</f>
        <v/>
      </c>
    </row>
    <row r="546" ht="20" customHeight="1">
      <c r="J546" t="n">
        <v>526</v>
      </c>
      <c r="K546">
        <f>J546*PI()/(2*$B$6)</f>
        <v/>
      </c>
      <c r="L546">
        <f>IF(OR(J546=0,J546=$B$6),1,IF(MOD(J546,2)=1,4,2))</f>
        <v/>
      </c>
      <c r="M546">
        <f>1/SQRT(1-($E$5^2)*(SIN(K546)^2))</f>
        <v/>
      </c>
      <c r="N546">
        <f>SQRT(1-($E$5^2)*(SIN(K546)^2))</f>
        <v/>
      </c>
    </row>
    <row r="547" ht="20" customHeight="1">
      <c r="J547" t="n">
        <v>527</v>
      </c>
      <c r="K547">
        <f>J547*PI()/(2*$B$6)</f>
        <v/>
      </c>
      <c r="L547">
        <f>IF(OR(J547=0,J547=$B$6),1,IF(MOD(J547,2)=1,4,2))</f>
        <v/>
      </c>
      <c r="M547">
        <f>1/SQRT(1-($E$5^2)*(SIN(K547)^2))</f>
        <v/>
      </c>
      <c r="N547">
        <f>SQRT(1-($E$5^2)*(SIN(K547)^2))</f>
        <v/>
      </c>
    </row>
    <row r="548" ht="20" customHeight="1">
      <c r="J548" t="n">
        <v>528</v>
      </c>
      <c r="K548">
        <f>J548*PI()/(2*$B$6)</f>
        <v/>
      </c>
      <c r="L548">
        <f>IF(OR(J548=0,J548=$B$6),1,IF(MOD(J548,2)=1,4,2))</f>
        <v/>
      </c>
      <c r="M548">
        <f>1/SQRT(1-($E$5^2)*(SIN(K548)^2))</f>
        <v/>
      </c>
      <c r="N548">
        <f>SQRT(1-($E$5^2)*(SIN(K548)^2))</f>
        <v/>
      </c>
    </row>
    <row r="549" ht="20" customHeight="1">
      <c r="J549" t="n">
        <v>529</v>
      </c>
      <c r="K549">
        <f>J549*PI()/(2*$B$6)</f>
        <v/>
      </c>
      <c r="L549">
        <f>IF(OR(J549=0,J549=$B$6),1,IF(MOD(J549,2)=1,4,2))</f>
        <v/>
      </c>
      <c r="M549">
        <f>1/SQRT(1-($E$5^2)*(SIN(K549)^2))</f>
        <v/>
      </c>
      <c r="N549">
        <f>SQRT(1-($E$5^2)*(SIN(K549)^2))</f>
        <v/>
      </c>
    </row>
    <row r="550" ht="20" customHeight="1">
      <c r="J550" t="n">
        <v>530</v>
      </c>
      <c r="K550">
        <f>J550*PI()/(2*$B$6)</f>
        <v/>
      </c>
      <c r="L550">
        <f>IF(OR(J550=0,J550=$B$6),1,IF(MOD(J550,2)=1,4,2))</f>
        <v/>
      </c>
      <c r="M550">
        <f>1/SQRT(1-($E$5^2)*(SIN(K550)^2))</f>
        <v/>
      </c>
      <c r="N550">
        <f>SQRT(1-($E$5^2)*(SIN(K550)^2))</f>
        <v/>
      </c>
    </row>
    <row r="551" ht="20" customHeight="1">
      <c r="J551" t="n">
        <v>531</v>
      </c>
      <c r="K551">
        <f>J551*PI()/(2*$B$6)</f>
        <v/>
      </c>
      <c r="L551">
        <f>IF(OR(J551=0,J551=$B$6),1,IF(MOD(J551,2)=1,4,2))</f>
        <v/>
      </c>
      <c r="M551">
        <f>1/SQRT(1-($E$5^2)*(SIN(K551)^2))</f>
        <v/>
      </c>
      <c r="N551">
        <f>SQRT(1-($E$5^2)*(SIN(K551)^2))</f>
        <v/>
      </c>
    </row>
    <row r="552" ht="20" customHeight="1">
      <c r="J552" t="n">
        <v>532</v>
      </c>
      <c r="K552">
        <f>J552*PI()/(2*$B$6)</f>
        <v/>
      </c>
      <c r="L552">
        <f>IF(OR(J552=0,J552=$B$6),1,IF(MOD(J552,2)=1,4,2))</f>
        <v/>
      </c>
      <c r="M552">
        <f>1/SQRT(1-($E$5^2)*(SIN(K552)^2))</f>
        <v/>
      </c>
      <c r="N552">
        <f>SQRT(1-($E$5^2)*(SIN(K552)^2))</f>
        <v/>
      </c>
    </row>
    <row r="553" ht="20" customHeight="1">
      <c r="J553" t="n">
        <v>533</v>
      </c>
      <c r="K553">
        <f>J553*PI()/(2*$B$6)</f>
        <v/>
      </c>
      <c r="L553">
        <f>IF(OR(J553=0,J553=$B$6),1,IF(MOD(J553,2)=1,4,2))</f>
        <v/>
      </c>
      <c r="M553">
        <f>1/SQRT(1-($E$5^2)*(SIN(K553)^2))</f>
        <v/>
      </c>
      <c r="N553">
        <f>SQRT(1-($E$5^2)*(SIN(K553)^2))</f>
        <v/>
      </c>
    </row>
    <row r="554" ht="20" customHeight="1">
      <c r="J554" t="n">
        <v>534</v>
      </c>
      <c r="K554">
        <f>J554*PI()/(2*$B$6)</f>
        <v/>
      </c>
      <c r="L554">
        <f>IF(OR(J554=0,J554=$B$6),1,IF(MOD(J554,2)=1,4,2))</f>
        <v/>
      </c>
      <c r="M554">
        <f>1/SQRT(1-($E$5^2)*(SIN(K554)^2))</f>
        <v/>
      </c>
      <c r="N554">
        <f>SQRT(1-($E$5^2)*(SIN(K554)^2))</f>
        <v/>
      </c>
    </row>
    <row r="555" ht="20" customHeight="1">
      <c r="J555" t="n">
        <v>535</v>
      </c>
      <c r="K555">
        <f>J555*PI()/(2*$B$6)</f>
        <v/>
      </c>
      <c r="L555">
        <f>IF(OR(J555=0,J555=$B$6),1,IF(MOD(J555,2)=1,4,2))</f>
        <v/>
      </c>
      <c r="M555">
        <f>1/SQRT(1-($E$5^2)*(SIN(K555)^2))</f>
        <v/>
      </c>
      <c r="N555">
        <f>SQRT(1-($E$5^2)*(SIN(K555)^2))</f>
        <v/>
      </c>
    </row>
    <row r="556" ht="20" customHeight="1">
      <c r="J556" t="n">
        <v>536</v>
      </c>
      <c r="K556">
        <f>J556*PI()/(2*$B$6)</f>
        <v/>
      </c>
      <c r="L556">
        <f>IF(OR(J556=0,J556=$B$6),1,IF(MOD(J556,2)=1,4,2))</f>
        <v/>
      </c>
      <c r="M556">
        <f>1/SQRT(1-($E$5^2)*(SIN(K556)^2))</f>
        <v/>
      </c>
      <c r="N556">
        <f>SQRT(1-($E$5^2)*(SIN(K556)^2))</f>
        <v/>
      </c>
    </row>
    <row r="557" ht="20" customHeight="1">
      <c r="J557" t="n">
        <v>537</v>
      </c>
      <c r="K557">
        <f>J557*PI()/(2*$B$6)</f>
        <v/>
      </c>
      <c r="L557">
        <f>IF(OR(J557=0,J557=$B$6),1,IF(MOD(J557,2)=1,4,2))</f>
        <v/>
      </c>
      <c r="M557">
        <f>1/SQRT(1-($E$5^2)*(SIN(K557)^2))</f>
        <v/>
      </c>
      <c r="N557">
        <f>SQRT(1-($E$5^2)*(SIN(K557)^2))</f>
        <v/>
      </c>
    </row>
    <row r="558" ht="20" customHeight="1">
      <c r="J558" t="n">
        <v>538</v>
      </c>
      <c r="K558">
        <f>J558*PI()/(2*$B$6)</f>
        <v/>
      </c>
      <c r="L558">
        <f>IF(OR(J558=0,J558=$B$6),1,IF(MOD(J558,2)=1,4,2))</f>
        <v/>
      </c>
      <c r="M558">
        <f>1/SQRT(1-($E$5^2)*(SIN(K558)^2))</f>
        <v/>
      </c>
      <c r="N558">
        <f>SQRT(1-($E$5^2)*(SIN(K558)^2))</f>
        <v/>
      </c>
    </row>
    <row r="559" ht="20" customHeight="1">
      <c r="J559" t="n">
        <v>539</v>
      </c>
      <c r="K559">
        <f>J559*PI()/(2*$B$6)</f>
        <v/>
      </c>
      <c r="L559">
        <f>IF(OR(J559=0,J559=$B$6),1,IF(MOD(J559,2)=1,4,2))</f>
        <v/>
      </c>
      <c r="M559">
        <f>1/SQRT(1-($E$5^2)*(SIN(K559)^2))</f>
        <v/>
      </c>
      <c r="N559">
        <f>SQRT(1-($E$5^2)*(SIN(K559)^2))</f>
        <v/>
      </c>
    </row>
    <row r="560" ht="20" customHeight="1">
      <c r="J560" t="n">
        <v>540</v>
      </c>
      <c r="K560">
        <f>J560*PI()/(2*$B$6)</f>
        <v/>
      </c>
      <c r="L560">
        <f>IF(OR(J560=0,J560=$B$6),1,IF(MOD(J560,2)=1,4,2))</f>
        <v/>
      </c>
      <c r="M560">
        <f>1/SQRT(1-($E$5^2)*(SIN(K560)^2))</f>
        <v/>
      </c>
      <c r="N560">
        <f>SQRT(1-($E$5^2)*(SIN(K560)^2))</f>
        <v/>
      </c>
    </row>
    <row r="561" ht="20" customHeight="1">
      <c r="J561" t="n">
        <v>541</v>
      </c>
      <c r="K561">
        <f>J561*PI()/(2*$B$6)</f>
        <v/>
      </c>
      <c r="L561">
        <f>IF(OR(J561=0,J561=$B$6),1,IF(MOD(J561,2)=1,4,2))</f>
        <v/>
      </c>
      <c r="M561">
        <f>1/SQRT(1-($E$5^2)*(SIN(K561)^2))</f>
        <v/>
      </c>
      <c r="N561">
        <f>SQRT(1-($E$5^2)*(SIN(K561)^2))</f>
        <v/>
      </c>
    </row>
    <row r="562" ht="20" customHeight="1">
      <c r="J562" t="n">
        <v>542</v>
      </c>
      <c r="K562">
        <f>J562*PI()/(2*$B$6)</f>
        <v/>
      </c>
      <c r="L562">
        <f>IF(OR(J562=0,J562=$B$6),1,IF(MOD(J562,2)=1,4,2))</f>
        <v/>
      </c>
      <c r="M562">
        <f>1/SQRT(1-($E$5^2)*(SIN(K562)^2))</f>
        <v/>
      </c>
      <c r="N562">
        <f>SQRT(1-($E$5^2)*(SIN(K562)^2))</f>
        <v/>
      </c>
    </row>
    <row r="563" ht="20" customHeight="1">
      <c r="J563" t="n">
        <v>543</v>
      </c>
      <c r="K563">
        <f>J563*PI()/(2*$B$6)</f>
        <v/>
      </c>
      <c r="L563">
        <f>IF(OR(J563=0,J563=$B$6),1,IF(MOD(J563,2)=1,4,2))</f>
        <v/>
      </c>
      <c r="M563">
        <f>1/SQRT(1-($E$5^2)*(SIN(K563)^2))</f>
        <v/>
      </c>
      <c r="N563">
        <f>SQRT(1-($E$5^2)*(SIN(K563)^2))</f>
        <v/>
      </c>
    </row>
    <row r="564" ht="20" customHeight="1">
      <c r="J564" t="n">
        <v>544</v>
      </c>
      <c r="K564">
        <f>J564*PI()/(2*$B$6)</f>
        <v/>
      </c>
      <c r="L564">
        <f>IF(OR(J564=0,J564=$B$6),1,IF(MOD(J564,2)=1,4,2))</f>
        <v/>
      </c>
      <c r="M564">
        <f>1/SQRT(1-($E$5^2)*(SIN(K564)^2))</f>
        <v/>
      </c>
      <c r="N564">
        <f>SQRT(1-($E$5^2)*(SIN(K564)^2))</f>
        <v/>
      </c>
    </row>
    <row r="565" ht="20" customHeight="1">
      <c r="J565" t="n">
        <v>545</v>
      </c>
      <c r="K565">
        <f>J565*PI()/(2*$B$6)</f>
        <v/>
      </c>
      <c r="L565">
        <f>IF(OR(J565=0,J565=$B$6),1,IF(MOD(J565,2)=1,4,2))</f>
        <v/>
      </c>
      <c r="M565">
        <f>1/SQRT(1-($E$5^2)*(SIN(K565)^2))</f>
        <v/>
      </c>
      <c r="N565">
        <f>SQRT(1-($E$5^2)*(SIN(K565)^2))</f>
        <v/>
      </c>
    </row>
    <row r="566" ht="20" customHeight="1">
      <c r="J566" t="n">
        <v>546</v>
      </c>
      <c r="K566">
        <f>J566*PI()/(2*$B$6)</f>
        <v/>
      </c>
      <c r="L566">
        <f>IF(OR(J566=0,J566=$B$6),1,IF(MOD(J566,2)=1,4,2))</f>
        <v/>
      </c>
      <c r="M566">
        <f>1/SQRT(1-($E$5^2)*(SIN(K566)^2))</f>
        <v/>
      </c>
      <c r="N566">
        <f>SQRT(1-($E$5^2)*(SIN(K566)^2))</f>
        <v/>
      </c>
    </row>
    <row r="567" ht="20" customHeight="1">
      <c r="J567" t="n">
        <v>547</v>
      </c>
      <c r="K567">
        <f>J567*PI()/(2*$B$6)</f>
        <v/>
      </c>
      <c r="L567">
        <f>IF(OR(J567=0,J567=$B$6),1,IF(MOD(J567,2)=1,4,2))</f>
        <v/>
      </c>
      <c r="M567">
        <f>1/SQRT(1-($E$5^2)*(SIN(K567)^2))</f>
        <v/>
      </c>
      <c r="N567">
        <f>SQRT(1-($E$5^2)*(SIN(K567)^2))</f>
        <v/>
      </c>
    </row>
    <row r="568" ht="20" customHeight="1">
      <c r="J568" t="n">
        <v>548</v>
      </c>
      <c r="K568">
        <f>J568*PI()/(2*$B$6)</f>
        <v/>
      </c>
      <c r="L568">
        <f>IF(OR(J568=0,J568=$B$6),1,IF(MOD(J568,2)=1,4,2))</f>
        <v/>
      </c>
      <c r="M568">
        <f>1/SQRT(1-($E$5^2)*(SIN(K568)^2))</f>
        <v/>
      </c>
      <c r="N568">
        <f>SQRT(1-($E$5^2)*(SIN(K568)^2))</f>
        <v/>
      </c>
    </row>
    <row r="569" ht="20" customHeight="1">
      <c r="J569" t="n">
        <v>549</v>
      </c>
      <c r="K569">
        <f>J569*PI()/(2*$B$6)</f>
        <v/>
      </c>
      <c r="L569">
        <f>IF(OR(J569=0,J569=$B$6),1,IF(MOD(J569,2)=1,4,2))</f>
        <v/>
      </c>
      <c r="M569">
        <f>1/SQRT(1-($E$5^2)*(SIN(K569)^2))</f>
        <v/>
      </c>
      <c r="N569">
        <f>SQRT(1-($E$5^2)*(SIN(K569)^2))</f>
        <v/>
      </c>
    </row>
    <row r="570" ht="20" customHeight="1">
      <c r="J570" t="n">
        <v>550</v>
      </c>
      <c r="K570">
        <f>J570*PI()/(2*$B$6)</f>
        <v/>
      </c>
      <c r="L570">
        <f>IF(OR(J570=0,J570=$B$6),1,IF(MOD(J570,2)=1,4,2))</f>
        <v/>
      </c>
      <c r="M570">
        <f>1/SQRT(1-($E$5^2)*(SIN(K570)^2))</f>
        <v/>
      </c>
      <c r="N570">
        <f>SQRT(1-($E$5^2)*(SIN(K570)^2))</f>
        <v/>
      </c>
    </row>
    <row r="571" ht="20" customHeight="1">
      <c r="J571" t="n">
        <v>551</v>
      </c>
      <c r="K571">
        <f>J571*PI()/(2*$B$6)</f>
        <v/>
      </c>
      <c r="L571">
        <f>IF(OR(J571=0,J571=$B$6),1,IF(MOD(J571,2)=1,4,2))</f>
        <v/>
      </c>
      <c r="M571">
        <f>1/SQRT(1-($E$5^2)*(SIN(K571)^2))</f>
        <v/>
      </c>
      <c r="N571">
        <f>SQRT(1-($E$5^2)*(SIN(K571)^2))</f>
        <v/>
      </c>
    </row>
    <row r="572" ht="20" customHeight="1">
      <c r="J572" t="n">
        <v>552</v>
      </c>
      <c r="K572">
        <f>J572*PI()/(2*$B$6)</f>
        <v/>
      </c>
      <c r="L572">
        <f>IF(OR(J572=0,J572=$B$6),1,IF(MOD(J572,2)=1,4,2))</f>
        <v/>
      </c>
      <c r="M572">
        <f>1/SQRT(1-($E$5^2)*(SIN(K572)^2))</f>
        <v/>
      </c>
      <c r="N572">
        <f>SQRT(1-($E$5^2)*(SIN(K572)^2))</f>
        <v/>
      </c>
    </row>
    <row r="573" ht="20" customHeight="1">
      <c r="J573" t="n">
        <v>553</v>
      </c>
      <c r="K573">
        <f>J573*PI()/(2*$B$6)</f>
        <v/>
      </c>
      <c r="L573">
        <f>IF(OR(J573=0,J573=$B$6),1,IF(MOD(J573,2)=1,4,2))</f>
        <v/>
      </c>
      <c r="M573">
        <f>1/SQRT(1-($E$5^2)*(SIN(K573)^2))</f>
        <v/>
      </c>
      <c r="N573">
        <f>SQRT(1-($E$5^2)*(SIN(K573)^2))</f>
        <v/>
      </c>
    </row>
    <row r="574" ht="20" customHeight="1">
      <c r="J574" t="n">
        <v>554</v>
      </c>
      <c r="K574">
        <f>J574*PI()/(2*$B$6)</f>
        <v/>
      </c>
      <c r="L574">
        <f>IF(OR(J574=0,J574=$B$6),1,IF(MOD(J574,2)=1,4,2))</f>
        <v/>
      </c>
      <c r="M574">
        <f>1/SQRT(1-($E$5^2)*(SIN(K574)^2))</f>
        <v/>
      </c>
      <c r="N574">
        <f>SQRT(1-($E$5^2)*(SIN(K574)^2))</f>
        <v/>
      </c>
    </row>
    <row r="575" ht="20" customHeight="1">
      <c r="J575" t="n">
        <v>555</v>
      </c>
      <c r="K575">
        <f>J575*PI()/(2*$B$6)</f>
        <v/>
      </c>
      <c r="L575">
        <f>IF(OR(J575=0,J575=$B$6),1,IF(MOD(J575,2)=1,4,2))</f>
        <v/>
      </c>
      <c r="M575">
        <f>1/SQRT(1-($E$5^2)*(SIN(K575)^2))</f>
        <v/>
      </c>
      <c r="N575">
        <f>SQRT(1-($E$5^2)*(SIN(K575)^2))</f>
        <v/>
      </c>
    </row>
    <row r="576" ht="20" customHeight="1">
      <c r="J576" t="n">
        <v>556</v>
      </c>
      <c r="K576">
        <f>J576*PI()/(2*$B$6)</f>
        <v/>
      </c>
      <c r="L576">
        <f>IF(OR(J576=0,J576=$B$6),1,IF(MOD(J576,2)=1,4,2))</f>
        <v/>
      </c>
      <c r="M576">
        <f>1/SQRT(1-($E$5^2)*(SIN(K576)^2))</f>
        <v/>
      </c>
      <c r="N576">
        <f>SQRT(1-($E$5^2)*(SIN(K576)^2))</f>
        <v/>
      </c>
    </row>
    <row r="577" ht="20" customHeight="1">
      <c r="J577" t="n">
        <v>557</v>
      </c>
      <c r="K577">
        <f>J577*PI()/(2*$B$6)</f>
        <v/>
      </c>
      <c r="L577">
        <f>IF(OR(J577=0,J577=$B$6),1,IF(MOD(J577,2)=1,4,2))</f>
        <v/>
      </c>
      <c r="M577">
        <f>1/SQRT(1-($E$5^2)*(SIN(K577)^2))</f>
        <v/>
      </c>
      <c r="N577">
        <f>SQRT(1-($E$5^2)*(SIN(K577)^2))</f>
        <v/>
      </c>
    </row>
    <row r="578" ht="20" customHeight="1">
      <c r="J578" t="n">
        <v>558</v>
      </c>
      <c r="K578">
        <f>J578*PI()/(2*$B$6)</f>
        <v/>
      </c>
      <c r="L578">
        <f>IF(OR(J578=0,J578=$B$6),1,IF(MOD(J578,2)=1,4,2))</f>
        <v/>
      </c>
      <c r="M578">
        <f>1/SQRT(1-($E$5^2)*(SIN(K578)^2))</f>
        <v/>
      </c>
      <c r="N578">
        <f>SQRT(1-($E$5^2)*(SIN(K578)^2))</f>
        <v/>
      </c>
    </row>
    <row r="579" ht="20" customHeight="1">
      <c r="J579" t="n">
        <v>559</v>
      </c>
      <c r="K579">
        <f>J579*PI()/(2*$B$6)</f>
        <v/>
      </c>
      <c r="L579">
        <f>IF(OR(J579=0,J579=$B$6),1,IF(MOD(J579,2)=1,4,2))</f>
        <v/>
      </c>
      <c r="M579">
        <f>1/SQRT(1-($E$5^2)*(SIN(K579)^2))</f>
        <v/>
      </c>
      <c r="N579">
        <f>SQRT(1-($E$5^2)*(SIN(K579)^2))</f>
        <v/>
      </c>
    </row>
    <row r="580" ht="20" customHeight="1">
      <c r="J580" t="n">
        <v>560</v>
      </c>
      <c r="K580">
        <f>J580*PI()/(2*$B$6)</f>
        <v/>
      </c>
      <c r="L580">
        <f>IF(OR(J580=0,J580=$B$6),1,IF(MOD(J580,2)=1,4,2))</f>
        <v/>
      </c>
      <c r="M580">
        <f>1/SQRT(1-($E$5^2)*(SIN(K580)^2))</f>
        <v/>
      </c>
      <c r="N580">
        <f>SQRT(1-($E$5^2)*(SIN(K580)^2))</f>
        <v/>
      </c>
    </row>
    <row r="581" ht="20" customHeight="1">
      <c r="J581" t="n">
        <v>561</v>
      </c>
      <c r="K581">
        <f>J581*PI()/(2*$B$6)</f>
        <v/>
      </c>
      <c r="L581">
        <f>IF(OR(J581=0,J581=$B$6),1,IF(MOD(J581,2)=1,4,2))</f>
        <v/>
      </c>
      <c r="M581">
        <f>1/SQRT(1-($E$5^2)*(SIN(K581)^2))</f>
        <v/>
      </c>
      <c r="N581">
        <f>SQRT(1-($E$5^2)*(SIN(K581)^2))</f>
        <v/>
      </c>
    </row>
    <row r="582" ht="20" customHeight="1">
      <c r="J582" t="n">
        <v>562</v>
      </c>
      <c r="K582">
        <f>J582*PI()/(2*$B$6)</f>
        <v/>
      </c>
      <c r="L582">
        <f>IF(OR(J582=0,J582=$B$6),1,IF(MOD(J582,2)=1,4,2))</f>
        <v/>
      </c>
      <c r="M582">
        <f>1/SQRT(1-($E$5^2)*(SIN(K582)^2))</f>
        <v/>
      </c>
      <c r="N582">
        <f>SQRT(1-($E$5^2)*(SIN(K582)^2))</f>
        <v/>
      </c>
    </row>
    <row r="583" ht="20" customHeight="1">
      <c r="J583" t="n">
        <v>563</v>
      </c>
      <c r="K583">
        <f>J583*PI()/(2*$B$6)</f>
        <v/>
      </c>
      <c r="L583">
        <f>IF(OR(J583=0,J583=$B$6),1,IF(MOD(J583,2)=1,4,2))</f>
        <v/>
      </c>
      <c r="M583">
        <f>1/SQRT(1-($E$5^2)*(SIN(K583)^2))</f>
        <v/>
      </c>
      <c r="N583">
        <f>SQRT(1-($E$5^2)*(SIN(K583)^2))</f>
        <v/>
      </c>
    </row>
    <row r="584" ht="20" customHeight="1">
      <c r="J584" t="n">
        <v>564</v>
      </c>
      <c r="K584">
        <f>J584*PI()/(2*$B$6)</f>
        <v/>
      </c>
      <c r="L584">
        <f>IF(OR(J584=0,J584=$B$6),1,IF(MOD(J584,2)=1,4,2))</f>
        <v/>
      </c>
      <c r="M584">
        <f>1/SQRT(1-($E$5^2)*(SIN(K584)^2))</f>
        <v/>
      </c>
      <c r="N584">
        <f>SQRT(1-($E$5^2)*(SIN(K584)^2))</f>
        <v/>
      </c>
    </row>
    <row r="585" ht="20" customHeight="1">
      <c r="J585" t="n">
        <v>565</v>
      </c>
      <c r="K585">
        <f>J585*PI()/(2*$B$6)</f>
        <v/>
      </c>
      <c r="L585">
        <f>IF(OR(J585=0,J585=$B$6),1,IF(MOD(J585,2)=1,4,2))</f>
        <v/>
      </c>
      <c r="M585">
        <f>1/SQRT(1-($E$5^2)*(SIN(K585)^2))</f>
        <v/>
      </c>
      <c r="N585">
        <f>SQRT(1-($E$5^2)*(SIN(K585)^2))</f>
        <v/>
      </c>
    </row>
    <row r="586" ht="20" customHeight="1">
      <c r="J586" t="n">
        <v>566</v>
      </c>
      <c r="K586">
        <f>J586*PI()/(2*$B$6)</f>
        <v/>
      </c>
      <c r="L586">
        <f>IF(OR(J586=0,J586=$B$6),1,IF(MOD(J586,2)=1,4,2))</f>
        <v/>
      </c>
      <c r="M586">
        <f>1/SQRT(1-($E$5^2)*(SIN(K586)^2))</f>
        <v/>
      </c>
      <c r="N586">
        <f>SQRT(1-($E$5^2)*(SIN(K586)^2))</f>
        <v/>
      </c>
    </row>
    <row r="587" ht="20" customHeight="1">
      <c r="J587" t="n">
        <v>567</v>
      </c>
      <c r="K587">
        <f>J587*PI()/(2*$B$6)</f>
        <v/>
      </c>
      <c r="L587">
        <f>IF(OR(J587=0,J587=$B$6),1,IF(MOD(J587,2)=1,4,2))</f>
        <v/>
      </c>
      <c r="M587">
        <f>1/SQRT(1-($E$5^2)*(SIN(K587)^2))</f>
        <v/>
      </c>
      <c r="N587">
        <f>SQRT(1-($E$5^2)*(SIN(K587)^2))</f>
        <v/>
      </c>
    </row>
    <row r="588" ht="20" customHeight="1">
      <c r="J588" t="n">
        <v>568</v>
      </c>
      <c r="K588">
        <f>J588*PI()/(2*$B$6)</f>
        <v/>
      </c>
      <c r="L588">
        <f>IF(OR(J588=0,J588=$B$6),1,IF(MOD(J588,2)=1,4,2))</f>
        <v/>
      </c>
      <c r="M588">
        <f>1/SQRT(1-($E$5^2)*(SIN(K588)^2))</f>
        <v/>
      </c>
      <c r="N588">
        <f>SQRT(1-($E$5^2)*(SIN(K588)^2))</f>
        <v/>
      </c>
    </row>
    <row r="589" ht="20" customHeight="1">
      <c r="J589" t="n">
        <v>569</v>
      </c>
      <c r="K589">
        <f>J589*PI()/(2*$B$6)</f>
        <v/>
      </c>
      <c r="L589">
        <f>IF(OR(J589=0,J589=$B$6),1,IF(MOD(J589,2)=1,4,2))</f>
        <v/>
      </c>
      <c r="M589">
        <f>1/SQRT(1-($E$5^2)*(SIN(K589)^2))</f>
        <v/>
      </c>
      <c r="N589">
        <f>SQRT(1-($E$5^2)*(SIN(K589)^2))</f>
        <v/>
      </c>
    </row>
    <row r="590" ht="20" customHeight="1">
      <c r="J590" t="n">
        <v>570</v>
      </c>
      <c r="K590">
        <f>J590*PI()/(2*$B$6)</f>
        <v/>
      </c>
      <c r="L590">
        <f>IF(OR(J590=0,J590=$B$6),1,IF(MOD(J590,2)=1,4,2))</f>
        <v/>
      </c>
      <c r="M590">
        <f>1/SQRT(1-($E$5^2)*(SIN(K590)^2))</f>
        <v/>
      </c>
      <c r="N590">
        <f>SQRT(1-($E$5^2)*(SIN(K590)^2))</f>
        <v/>
      </c>
    </row>
    <row r="591" ht="20" customHeight="1">
      <c r="J591" t="n">
        <v>571</v>
      </c>
      <c r="K591">
        <f>J591*PI()/(2*$B$6)</f>
        <v/>
      </c>
      <c r="L591">
        <f>IF(OR(J591=0,J591=$B$6),1,IF(MOD(J591,2)=1,4,2))</f>
        <v/>
      </c>
      <c r="M591">
        <f>1/SQRT(1-($E$5^2)*(SIN(K591)^2))</f>
        <v/>
      </c>
      <c r="N591">
        <f>SQRT(1-($E$5^2)*(SIN(K591)^2))</f>
        <v/>
      </c>
    </row>
    <row r="592" ht="20" customHeight="1">
      <c r="J592" t="n">
        <v>572</v>
      </c>
      <c r="K592">
        <f>J592*PI()/(2*$B$6)</f>
        <v/>
      </c>
      <c r="L592">
        <f>IF(OR(J592=0,J592=$B$6),1,IF(MOD(J592,2)=1,4,2))</f>
        <v/>
      </c>
      <c r="M592">
        <f>1/SQRT(1-($E$5^2)*(SIN(K592)^2))</f>
        <v/>
      </c>
      <c r="N592">
        <f>SQRT(1-($E$5^2)*(SIN(K592)^2))</f>
        <v/>
      </c>
    </row>
    <row r="593" ht="20" customHeight="1">
      <c r="J593" t="n">
        <v>573</v>
      </c>
      <c r="K593">
        <f>J593*PI()/(2*$B$6)</f>
        <v/>
      </c>
      <c r="L593">
        <f>IF(OR(J593=0,J593=$B$6),1,IF(MOD(J593,2)=1,4,2))</f>
        <v/>
      </c>
      <c r="M593">
        <f>1/SQRT(1-($E$5^2)*(SIN(K593)^2))</f>
        <v/>
      </c>
      <c r="N593">
        <f>SQRT(1-($E$5^2)*(SIN(K593)^2))</f>
        <v/>
      </c>
    </row>
    <row r="594" ht="20" customHeight="1">
      <c r="J594" t="n">
        <v>574</v>
      </c>
      <c r="K594">
        <f>J594*PI()/(2*$B$6)</f>
        <v/>
      </c>
      <c r="L594">
        <f>IF(OR(J594=0,J594=$B$6),1,IF(MOD(J594,2)=1,4,2))</f>
        <v/>
      </c>
      <c r="M594">
        <f>1/SQRT(1-($E$5^2)*(SIN(K594)^2))</f>
        <v/>
      </c>
      <c r="N594">
        <f>SQRT(1-($E$5^2)*(SIN(K594)^2))</f>
        <v/>
      </c>
    </row>
    <row r="595" ht="20" customHeight="1">
      <c r="J595" t="n">
        <v>575</v>
      </c>
      <c r="K595">
        <f>J595*PI()/(2*$B$6)</f>
        <v/>
      </c>
      <c r="L595">
        <f>IF(OR(J595=0,J595=$B$6),1,IF(MOD(J595,2)=1,4,2))</f>
        <v/>
      </c>
      <c r="M595">
        <f>1/SQRT(1-($E$5^2)*(SIN(K595)^2))</f>
        <v/>
      </c>
      <c r="N595">
        <f>SQRT(1-($E$5^2)*(SIN(K595)^2))</f>
        <v/>
      </c>
    </row>
    <row r="596" ht="20" customHeight="1">
      <c r="J596" t="n">
        <v>576</v>
      </c>
      <c r="K596">
        <f>J596*PI()/(2*$B$6)</f>
        <v/>
      </c>
      <c r="L596">
        <f>IF(OR(J596=0,J596=$B$6),1,IF(MOD(J596,2)=1,4,2))</f>
        <v/>
      </c>
      <c r="M596">
        <f>1/SQRT(1-($E$5^2)*(SIN(K596)^2))</f>
        <v/>
      </c>
      <c r="N596">
        <f>SQRT(1-($E$5^2)*(SIN(K596)^2))</f>
        <v/>
      </c>
    </row>
    <row r="597" ht="20" customHeight="1">
      <c r="J597" t="n">
        <v>577</v>
      </c>
      <c r="K597">
        <f>J597*PI()/(2*$B$6)</f>
        <v/>
      </c>
      <c r="L597">
        <f>IF(OR(J597=0,J597=$B$6),1,IF(MOD(J597,2)=1,4,2))</f>
        <v/>
      </c>
      <c r="M597">
        <f>1/SQRT(1-($E$5^2)*(SIN(K597)^2))</f>
        <v/>
      </c>
      <c r="N597">
        <f>SQRT(1-($E$5^2)*(SIN(K597)^2))</f>
        <v/>
      </c>
    </row>
    <row r="598" ht="20" customHeight="1">
      <c r="J598" t="n">
        <v>578</v>
      </c>
      <c r="K598">
        <f>J598*PI()/(2*$B$6)</f>
        <v/>
      </c>
      <c r="L598">
        <f>IF(OR(J598=0,J598=$B$6),1,IF(MOD(J598,2)=1,4,2))</f>
        <v/>
      </c>
      <c r="M598">
        <f>1/SQRT(1-($E$5^2)*(SIN(K598)^2))</f>
        <v/>
      </c>
      <c r="N598">
        <f>SQRT(1-($E$5^2)*(SIN(K598)^2))</f>
        <v/>
      </c>
    </row>
    <row r="599" ht="20" customHeight="1">
      <c r="J599" t="n">
        <v>579</v>
      </c>
      <c r="K599">
        <f>J599*PI()/(2*$B$6)</f>
        <v/>
      </c>
      <c r="L599">
        <f>IF(OR(J599=0,J599=$B$6),1,IF(MOD(J599,2)=1,4,2))</f>
        <v/>
      </c>
      <c r="M599">
        <f>1/SQRT(1-($E$5^2)*(SIN(K599)^2))</f>
        <v/>
      </c>
      <c r="N599">
        <f>SQRT(1-($E$5^2)*(SIN(K599)^2))</f>
        <v/>
      </c>
    </row>
    <row r="600" ht="20" customHeight="1">
      <c r="J600" t="n">
        <v>580</v>
      </c>
      <c r="K600">
        <f>J600*PI()/(2*$B$6)</f>
        <v/>
      </c>
      <c r="L600">
        <f>IF(OR(J600=0,J600=$B$6),1,IF(MOD(J600,2)=1,4,2))</f>
        <v/>
      </c>
      <c r="M600">
        <f>1/SQRT(1-($E$5^2)*(SIN(K600)^2))</f>
        <v/>
      </c>
      <c r="N600">
        <f>SQRT(1-($E$5^2)*(SIN(K600)^2))</f>
        <v/>
      </c>
    </row>
    <row r="601" ht="20" customHeight="1">
      <c r="J601" t="n">
        <v>581</v>
      </c>
      <c r="K601">
        <f>J601*PI()/(2*$B$6)</f>
        <v/>
      </c>
      <c r="L601">
        <f>IF(OR(J601=0,J601=$B$6),1,IF(MOD(J601,2)=1,4,2))</f>
        <v/>
      </c>
      <c r="M601">
        <f>1/SQRT(1-($E$5^2)*(SIN(K601)^2))</f>
        <v/>
      </c>
      <c r="N601">
        <f>SQRT(1-($E$5^2)*(SIN(K601)^2))</f>
        <v/>
      </c>
    </row>
    <row r="602" ht="20" customHeight="1">
      <c r="J602" t="n">
        <v>582</v>
      </c>
      <c r="K602">
        <f>J602*PI()/(2*$B$6)</f>
        <v/>
      </c>
      <c r="L602">
        <f>IF(OR(J602=0,J602=$B$6),1,IF(MOD(J602,2)=1,4,2))</f>
        <v/>
      </c>
      <c r="M602">
        <f>1/SQRT(1-($E$5^2)*(SIN(K602)^2))</f>
        <v/>
      </c>
      <c r="N602">
        <f>SQRT(1-($E$5^2)*(SIN(K602)^2))</f>
        <v/>
      </c>
    </row>
    <row r="603" ht="20" customHeight="1">
      <c r="J603" t="n">
        <v>583</v>
      </c>
      <c r="K603">
        <f>J603*PI()/(2*$B$6)</f>
        <v/>
      </c>
      <c r="L603">
        <f>IF(OR(J603=0,J603=$B$6),1,IF(MOD(J603,2)=1,4,2))</f>
        <v/>
      </c>
      <c r="M603">
        <f>1/SQRT(1-($E$5^2)*(SIN(K603)^2))</f>
        <v/>
      </c>
      <c r="N603">
        <f>SQRT(1-($E$5^2)*(SIN(K603)^2))</f>
        <v/>
      </c>
    </row>
    <row r="604" ht="20" customHeight="1">
      <c r="J604" t="n">
        <v>584</v>
      </c>
      <c r="K604">
        <f>J604*PI()/(2*$B$6)</f>
        <v/>
      </c>
      <c r="L604">
        <f>IF(OR(J604=0,J604=$B$6),1,IF(MOD(J604,2)=1,4,2))</f>
        <v/>
      </c>
      <c r="M604">
        <f>1/SQRT(1-($E$5^2)*(SIN(K604)^2))</f>
        <v/>
      </c>
      <c r="N604">
        <f>SQRT(1-($E$5^2)*(SIN(K604)^2))</f>
        <v/>
      </c>
    </row>
    <row r="605" ht="20" customHeight="1">
      <c r="J605" t="n">
        <v>585</v>
      </c>
      <c r="K605">
        <f>J605*PI()/(2*$B$6)</f>
        <v/>
      </c>
      <c r="L605">
        <f>IF(OR(J605=0,J605=$B$6),1,IF(MOD(J605,2)=1,4,2))</f>
        <v/>
      </c>
      <c r="M605">
        <f>1/SQRT(1-($E$5^2)*(SIN(K605)^2))</f>
        <v/>
      </c>
      <c r="N605">
        <f>SQRT(1-($E$5^2)*(SIN(K605)^2))</f>
        <v/>
      </c>
    </row>
    <row r="606" ht="20" customHeight="1">
      <c r="J606" t="n">
        <v>586</v>
      </c>
      <c r="K606">
        <f>J606*PI()/(2*$B$6)</f>
        <v/>
      </c>
      <c r="L606">
        <f>IF(OR(J606=0,J606=$B$6),1,IF(MOD(J606,2)=1,4,2))</f>
        <v/>
      </c>
      <c r="M606">
        <f>1/SQRT(1-($E$5^2)*(SIN(K606)^2))</f>
        <v/>
      </c>
      <c r="N606">
        <f>SQRT(1-($E$5^2)*(SIN(K606)^2))</f>
        <v/>
      </c>
    </row>
    <row r="607" ht="20" customHeight="1">
      <c r="J607" t="n">
        <v>587</v>
      </c>
      <c r="K607">
        <f>J607*PI()/(2*$B$6)</f>
        <v/>
      </c>
      <c r="L607">
        <f>IF(OR(J607=0,J607=$B$6),1,IF(MOD(J607,2)=1,4,2))</f>
        <v/>
      </c>
      <c r="M607">
        <f>1/SQRT(1-($E$5^2)*(SIN(K607)^2))</f>
        <v/>
      </c>
      <c r="N607">
        <f>SQRT(1-($E$5^2)*(SIN(K607)^2))</f>
        <v/>
      </c>
    </row>
    <row r="608" ht="20" customHeight="1">
      <c r="J608" t="n">
        <v>588</v>
      </c>
      <c r="K608">
        <f>J608*PI()/(2*$B$6)</f>
        <v/>
      </c>
      <c r="L608">
        <f>IF(OR(J608=0,J608=$B$6),1,IF(MOD(J608,2)=1,4,2))</f>
        <v/>
      </c>
      <c r="M608">
        <f>1/SQRT(1-($E$5^2)*(SIN(K608)^2))</f>
        <v/>
      </c>
      <c r="N608">
        <f>SQRT(1-($E$5^2)*(SIN(K608)^2))</f>
        <v/>
      </c>
    </row>
    <row r="609" ht="20" customHeight="1">
      <c r="J609" t="n">
        <v>589</v>
      </c>
      <c r="K609">
        <f>J609*PI()/(2*$B$6)</f>
        <v/>
      </c>
      <c r="L609">
        <f>IF(OR(J609=0,J609=$B$6),1,IF(MOD(J609,2)=1,4,2))</f>
        <v/>
      </c>
      <c r="M609">
        <f>1/SQRT(1-($E$5^2)*(SIN(K609)^2))</f>
        <v/>
      </c>
      <c r="N609">
        <f>SQRT(1-($E$5^2)*(SIN(K609)^2))</f>
        <v/>
      </c>
    </row>
    <row r="610" ht="20" customHeight="1">
      <c r="J610" t="n">
        <v>590</v>
      </c>
      <c r="K610">
        <f>J610*PI()/(2*$B$6)</f>
        <v/>
      </c>
      <c r="L610">
        <f>IF(OR(J610=0,J610=$B$6),1,IF(MOD(J610,2)=1,4,2))</f>
        <v/>
      </c>
      <c r="M610">
        <f>1/SQRT(1-($E$5^2)*(SIN(K610)^2))</f>
        <v/>
      </c>
      <c r="N610">
        <f>SQRT(1-($E$5^2)*(SIN(K610)^2))</f>
        <v/>
      </c>
    </row>
    <row r="611" ht="20" customHeight="1">
      <c r="J611" t="n">
        <v>591</v>
      </c>
      <c r="K611">
        <f>J611*PI()/(2*$B$6)</f>
        <v/>
      </c>
      <c r="L611">
        <f>IF(OR(J611=0,J611=$B$6),1,IF(MOD(J611,2)=1,4,2))</f>
        <v/>
      </c>
      <c r="M611">
        <f>1/SQRT(1-($E$5^2)*(SIN(K611)^2))</f>
        <v/>
      </c>
      <c r="N611">
        <f>SQRT(1-($E$5^2)*(SIN(K611)^2))</f>
        <v/>
      </c>
    </row>
    <row r="612" ht="20" customHeight="1">
      <c r="J612" t="n">
        <v>592</v>
      </c>
      <c r="K612">
        <f>J612*PI()/(2*$B$6)</f>
        <v/>
      </c>
      <c r="L612">
        <f>IF(OR(J612=0,J612=$B$6),1,IF(MOD(J612,2)=1,4,2))</f>
        <v/>
      </c>
      <c r="M612">
        <f>1/SQRT(1-($E$5^2)*(SIN(K612)^2))</f>
        <v/>
      </c>
      <c r="N612">
        <f>SQRT(1-($E$5^2)*(SIN(K612)^2))</f>
        <v/>
      </c>
    </row>
    <row r="613" ht="20" customHeight="1">
      <c r="J613" t="n">
        <v>593</v>
      </c>
      <c r="K613">
        <f>J613*PI()/(2*$B$6)</f>
        <v/>
      </c>
      <c r="L613">
        <f>IF(OR(J613=0,J613=$B$6),1,IF(MOD(J613,2)=1,4,2))</f>
        <v/>
      </c>
      <c r="M613">
        <f>1/SQRT(1-($E$5^2)*(SIN(K613)^2))</f>
        <v/>
      </c>
      <c r="N613">
        <f>SQRT(1-($E$5^2)*(SIN(K613)^2))</f>
        <v/>
      </c>
    </row>
    <row r="614" ht="20" customHeight="1">
      <c r="J614" t="n">
        <v>594</v>
      </c>
      <c r="K614">
        <f>J614*PI()/(2*$B$6)</f>
        <v/>
      </c>
      <c r="L614">
        <f>IF(OR(J614=0,J614=$B$6),1,IF(MOD(J614,2)=1,4,2))</f>
        <v/>
      </c>
      <c r="M614">
        <f>1/SQRT(1-($E$5^2)*(SIN(K614)^2))</f>
        <v/>
      </c>
      <c r="N614">
        <f>SQRT(1-($E$5^2)*(SIN(K614)^2))</f>
        <v/>
      </c>
    </row>
    <row r="615" ht="20" customHeight="1">
      <c r="J615" t="n">
        <v>595</v>
      </c>
      <c r="K615">
        <f>J615*PI()/(2*$B$6)</f>
        <v/>
      </c>
      <c r="L615">
        <f>IF(OR(J615=0,J615=$B$6),1,IF(MOD(J615,2)=1,4,2))</f>
        <v/>
      </c>
      <c r="M615">
        <f>1/SQRT(1-($E$5^2)*(SIN(K615)^2))</f>
        <v/>
      </c>
      <c r="N615">
        <f>SQRT(1-($E$5^2)*(SIN(K615)^2))</f>
        <v/>
      </c>
    </row>
    <row r="616" ht="20" customHeight="1">
      <c r="J616" t="n">
        <v>596</v>
      </c>
      <c r="K616">
        <f>J616*PI()/(2*$B$6)</f>
        <v/>
      </c>
      <c r="L616">
        <f>IF(OR(J616=0,J616=$B$6),1,IF(MOD(J616,2)=1,4,2))</f>
        <v/>
      </c>
      <c r="M616">
        <f>1/SQRT(1-($E$5^2)*(SIN(K616)^2))</f>
        <v/>
      </c>
      <c r="N616">
        <f>SQRT(1-($E$5^2)*(SIN(K616)^2))</f>
        <v/>
      </c>
    </row>
    <row r="617" ht="20" customHeight="1">
      <c r="J617" t="n">
        <v>597</v>
      </c>
      <c r="K617">
        <f>J617*PI()/(2*$B$6)</f>
        <v/>
      </c>
      <c r="L617">
        <f>IF(OR(J617=0,J617=$B$6),1,IF(MOD(J617,2)=1,4,2))</f>
        <v/>
      </c>
      <c r="M617">
        <f>1/SQRT(1-($E$5^2)*(SIN(K617)^2))</f>
        <v/>
      </c>
      <c r="N617">
        <f>SQRT(1-($E$5^2)*(SIN(K617)^2))</f>
        <v/>
      </c>
    </row>
    <row r="618" ht="20" customHeight="1">
      <c r="J618" t="n">
        <v>598</v>
      </c>
      <c r="K618">
        <f>J618*PI()/(2*$B$6)</f>
        <v/>
      </c>
      <c r="L618">
        <f>IF(OR(J618=0,J618=$B$6),1,IF(MOD(J618,2)=1,4,2))</f>
        <v/>
      </c>
      <c r="M618">
        <f>1/SQRT(1-($E$5^2)*(SIN(K618)^2))</f>
        <v/>
      </c>
      <c r="N618">
        <f>SQRT(1-($E$5^2)*(SIN(K618)^2))</f>
        <v/>
      </c>
    </row>
    <row r="619" ht="20" customHeight="1">
      <c r="J619" t="n">
        <v>599</v>
      </c>
      <c r="K619">
        <f>J619*PI()/(2*$B$6)</f>
        <v/>
      </c>
      <c r="L619">
        <f>IF(OR(J619=0,J619=$B$6),1,IF(MOD(J619,2)=1,4,2))</f>
        <v/>
      </c>
      <c r="M619">
        <f>1/SQRT(1-($E$5^2)*(SIN(K619)^2))</f>
        <v/>
      </c>
      <c r="N619">
        <f>SQRT(1-($E$5^2)*(SIN(K619)^2))</f>
        <v/>
      </c>
    </row>
    <row r="620" ht="20" customHeight="1">
      <c r="J620" t="n">
        <v>600</v>
      </c>
      <c r="K620">
        <f>J620*PI()/(2*$B$6)</f>
        <v/>
      </c>
      <c r="L620">
        <f>IF(OR(J620=0,J620=$B$6),1,IF(MOD(J620,2)=1,4,2))</f>
        <v/>
      </c>
      <c r="M620">
        <f>1/SQRT(1-($E$5^2)*(SIN(K620)^2))</f>
        <v/>
      </c>
      <c r="N620">
        <f>SQRT(1-($E$5^2)*(SIN(K620)^2))</f>
        <v/>
      </c>
    </row>
    <row r="621" ht="20" customHeight="1">
      <c r="J621" t="n">
        <v>601</v>
      </c>
      <c r="K621">
        <f>J621*PI()/(2*$B$6)</f>
        <v/>
      </c>
      <c r="L621">
        <f>IF(OR(J621=0,J621=$B$6),1,IF(MOD(J621,2)=1,4,2))</f>
        <v/>
      </c>
      <c r="M621">
        <f>1/SQRT(1-($E$5^2)*(SIN(K621)^2))</f>
        <v/>
      </c>
      <c r="N621">
        <f>SQRT(1-($E$5^2)*(SIN(K621)^2))</f>
        <v/>
      </c>
    </row>
    <row r="622" ht="20" customHeight="1">
      <c r="J622" t="n">
        <v>602</v>
      </c>
      <c r="K622">
        <f>J622*PI()/(2*$B$6)</f>
        <v/>
      </c>
      <c r="L622">
        <f>IF(OR(J622=0,J622=$B$6),1,IF(MOD(J622,2)=1,4,2))</f>
        <v/>
      </c>
      <c r="M622">
        <f>1/SQRT(1-($E$5^2)*(SIN(K622)^2))</f>
        <v/>
      </c>
      <c r="N622">
        <f>SQRT(1-($E$5^2)*(SIN(K622)^2))</f>
        <v/>
      </c>
    </row>
    <row r="623" ht="20" customHeight="1">
      <c r="J623" t="n">
        <v>603</v>
      </c>
      <c r="K623">
        <f>J623*PI()/(2*$B$6)</f>
        <v/>
      </c>
      <c r="L623">
        <f>IF(OR(J623=0,J623=$B$6),1,IF(MOD(J623,2)=1,4,2))</f>
        <v/>
      </c>
      <c r="M623">
        <f>1/SQRT(1-($E$5^2)*(SIN(K623)^2))</f>
        <v/>
      </c>
      <c r="N623">
        <f>SQRT(1-($E$5^2)*(SIN(K623)^2))</f>
        <v/>
      </c>
    </row>
    <row r="624" ht="20" customHeight="1">
      <c r="J624" t="n">
        <v>604</v>
      </c>
      <c r="K624">
        <f>J624*PI()/(2*$B$6)</f>
        <v/>
      </c>
      <c r="L624">
        <f>IF(OR(J624=0,J624=$B$6),1,IF(MOD(J624,2)=1,4,2))</f>
        <v/>
      </c>
      <c r="M624">
        <f>1/SQRT(1-($E$5^2)*(SIN(K624)^2))</f>
        <v/>
      </c>
      <c r="N624">
        <f>SQRT(1-($E$5^2)*(SIN(K624)^2))</f>
        <v/>
      </c>
    </row>
    <row r="625" ht="20" customHeight="1">
      <c r="J625" t="n">
        <v>605</v>
      </c>
      <c r="K625">
        <f>J625*PI()/(2*$B$6)</f>
        <v/>
      </c>
      <c r="L625">
        <f>IF(OR(J625=0,J625=$B$6),1,IF(MOD(J625,2)=1,4,2))</f>
        <v/>
      </c>
      <c r="M625">
        <f>1/SQRT(1-($E$5^2)*(SIN(K625)^2))</f>
        <v/>
      </c>
      <c r="N625">
        <f>SQRT(1-($E$5^2)*(SIN(K625)^2))</f>
        <v/>
      </c>
    </row>
    <row r="626" ht="20" customHeight="1">
      <c r="J626" t="n">
        <v>606</v>
      </c>
      <c r="K626">
        <f>J626*PI()/(2*$B$6)</f>
        <v/>
      </c>
      <c r="L626">
        <f>IF(OR(J626=0,J626=$B$6),1,IF(MOD(J626,2)=1,4,2))</f>
        <v/>
      </c>
      <c r="M626">
        <f>1/SQRT(1-($E$5^2)*(SIN(K626)^2))</f>
        <v/>
      </c>
      <c r="N626">
        <f>SQRT(1-($E$5^2)*(SIN(K626)^2))</f>
        <v/>
      </c>
    </row>
    <row r="627" ht="20" customHeight="1">
      <c r="J627" t="n">
        <v>607</v>
      </c>
      <c r="K627">
        <f>J627*PI()/(2*$B$6)</f>
        <v/>
      </c>
      <c r="L627">
        <f>IF(OR(J627=0,J627=$B$6),1,IF(MOD(J627,2)=1,4,2))</f>
        <v/>
      </c>
      <c r="M627">
        <f>1/SQRT(1-($E$5^2)*(SIN(K627)^2))</f>
        <v/>
      </c>
      <c r="N627">
        <f>SQRT(1-($E$5^2)*(SIN(K627)^2))</f>
        <v/>
      </c>
    </row>
    <row r="628" ht="20" customHeight="1">
      <c r="J628" t="n">
        <v>608</v>
      </c>
      <c r="K628">
        <f>J628*PI()/(2*$B$6)</f>
        <v/>
      </c>
      <c r="L628">
        <f>IF(OR(J628=0,J628=$B$6),1,IF(MOD(J628,2)=1,4,2))</f>
        <v/>
      </c>
      <c r="M628">
        <f>1/SQRT(1-($E$5^2)*(SIN(K628)^2))</f>
        <v/>
      </c>
      <c r="N628">
        <f>SQRT(1-($E$5^2)*(SIN(K628)^2))</f>
        <v/>
      </c>
    </row>
    <row r="629" ht="20" customHeight="1">
      <c r="J629" t="n">
        <v>609</v>
      </c>
      <c r="K629">
        <f>J629*PI()/(2*$B$6)</f>
        <v/>
      </c>
      <c r="L629">
        <f>IF(OR(J629=0,J629=$B$6),1,IF(MOD(J629,2)=1,4,2))</f>
        <v/>
      </c>
      <c r="M629">
        <f>1/SQRT(1-($E$5^2)*(SIN(K629)^2))</f>
        <v/>
      </c>
      <c r="N629">
        <f>SQRT(1-($E$5^2)*(SIN(K629)^2))</f>
        <v/>
      </c>
    </row>
    <row r="630" ht="20" customHeight="1">
      <c r="J630" t="n">
        <v>610</v>
      </c>
      <c r="K630">
        <f>J630*PI()/(2*$B$6)</f>
        <v/>
      </c>
      <c r="L630">
        <f>IF(OR(J630=0,J630=$B$6),1,IF(MOD(J630,2)=1,4,2))</f>
        <v/>
      </c>
      <c r="M630">
        <f>1/SQRT(1-($E$5^2)*(SIN(K630)^2))</f>
        <v/>
      </c>
      <c r="N630">
        <f>SQRT(1-($E$5^2)*(SIN(K630)^2))</f>
        <v/>
      </c>
    </row>
    <row r="631" ht="20" customHeight="1">
      <c r="J631" t="n">
        <v>611</v>
      </c>
      <c r="K631">
        <f>J631*PI()/(2*$B$6)</f>
        <v/>
      </c>
      <c r="L631">
        <f>IF(OR(J631=0,J631=$B$6),1,IF(MOD(J631,2)=1,4,2))</f>
        <v/>
      </c>
      <c r="M631">
        <f>1/SQRT(1-($E$5^2)*(SIN(K631)^2))</f>
        <v/>
      </c>
      <c r="N631">
        <f>SQRT(1-($E$5^2)*(SIN(K631)^2))</f>
        <v/>
      </c>
    </row>
    <row r="632" ht="20" customHeight="1">
      <c r="J632" t="n">
        <v>612</v>
      </c>
      <c r="K632">
        <f>J632*PI()/(2*$B$6)</f>
        <v/>
      </c>
      <c r="L632">
        <f>IF(OR(J632=0,J632=$B$6),1,IF(MOD(J632,2)=1,4,2))</f>
        <v/>
      </c>
      <c r="M632">
        <f>1/SQRT(1-($E$5^2)*(SIN(K632)^2))</f>
        <v/>
      </c>
      <c r="N632">
        <f>SQRT(1-($E$5^2)*(SIN(K632)^2))</f>
        <v/>
      </c>
    </row>
    <row r="633" ht="20" customHeight="1">
      <c r="J633" t="n">
        <v>613</v>
      </c>
      <c r="K633">
        <f>J633*PI()/(2*$B$6)</f>
        <v/>
      </c>
      <c r="L633">
        <f>IF(OR(J633=0,J633=$B$6),1,IF(MOD(J633,2)=1,4,2))</f>
        <v/>
      </c>
      <c r="M633">
        <f>1/SQRT(1-($E$5^2)*(SIN(K633)^2))</f>
        <v/>
      </c>
      <c r="N633">
        <f>SQRT(1-($E$5^2)*(SIN(K633)^2))</f>
        <v/>
      </c>
    </row>
    <row r="634" ht="20" customHeight="1">
      <c r="J634" t="n">
        <v>614</v>
      </c>
      <c r="K634">
        <f>J634*PI()/(2*$B$6)</f>
        <v/>
      </c>
      <c r="L634">
        <f>IF(OR(J634=0,J634=$B$6),1,IF(MOD(J634,2)=1,4,2))</f>
        <v/>
      </c>
      <c r="M634">
        <f>1/SQRT(1-($E$5^2)*(SIN(K634)^2))</f>
        <v/>
      </c>
      <c r="N634">
        <f>SQRT(1-($E$5^2)*(SIN(K634)^2))</f>
        <v/>
      </c>
    </row>
    <row r="635" ht="20" customHeight="1">
      <c r="J635" t="n">
        <v>615</v>
      </c>
      <c r="K635">
        <f>J635*PI()/(2*$B$6)</f>
        <v/>
      </c>
      <c r="L635">
        <f>IF(OR(J635=0,J635=$B$6),1,IF(MOD(J635,2)=1,4,2))</f>
        <v/>
      </c>
      <c r="M635">
        <f>1/SQRT(1-($E$5^2)*(SIN(K635)^2))</f>
        <v/>
      </c>
      <c r="N635">
        <f>SQRT(1-($E$5^2)*(SIN(K635)^2))</f>
        <v/>
      </c>
    </row>
    <row r="636" ht="20" customHeight="1">
      <c r="J636" t="n">
        <v>616</v>
      </c>
      <c r="K636">
        <f>J636*PI()/(2*$B$6)</f>
        <v/>
      </c>
      <c r="L636">
        <f>IF(OR(J636=0,J636=$B$6),1,IF(MOD(J636,2)=1,4,2))</f>
        <v/>
      </c>
      <c r="M636">
        <f>1/SQRT(1-($E$5^2)*(SIN(K636)^2))</f>
        <v/>
      </c>
      <c r="N636">
        <f>SQRT(1-($E$5^2)*(SIN(K636)^2))</f>
        <v/>
      </c>
    </row>
    <row r="637" ht="20" customHeight="1">
      <c r="J637" t="n">
        <v>617</v>
      </c>
      <c r="K637">
        <f>J637*PI()/(2*$B$6)</f>
        <v/>
      </c>
      <c r="L637">
        <f>IF(OR(J637=0,J637=$B$6),1,IF(MOD(J637,2)=1,4,2))</f>
        <v/>
      </c>
      <c r="M637">
        <f>1/SQRT(1-($E$5^2)*(SIN(K637)^2))</f>
        <v/>
      </c>
      <c r="N637">
        <f>SQRT(1-($E$5^2)*(SIN(K637)^2))</f>
        <v/>
      </c>
    </row>
    <row r="638" ht="20" customHeight="1">
      <c r="J638" t="n">
        <v>618</v>
      </c>
      <c r="K638">
        <f>J638*PI()/(2*$B$6)</f>
        <v/>
      </c>
      <c r="L638">
        <f>IF(OR(J638=0,J638=$B$6),1,IF(MOD(J638,2)=1,4,2))</f>
        <v/>
      </c>
      <c r="M638">
        <f>1/SQRT(1-($E$5^2)*(SIN(K638)^2))</f>
        <v/>
      </c>
      <c r="N638">
        <f>SQRT(1-($E$5^2)*(SIN(K638)^2))</f>
        <v/>
      </c>
    </row>
    <row r="639" ht="20" customHeight="1">
      <c r="J639" t="n">
        <v>619</v>
      </c>
      <c r="K639">
        <f>J639*PI()/(2*$B$6)</f>
        <v/>
      </c>
      <c r="L639">
        <f>IF(OR(J639=0,J639=$B$6),1,IF(MOD(J639,2)=1,4,2))</f>
        <v/>
      </c>
      <c r="M639">
        <f>1/SQRT(1-($E$5^2)*(SIN(K639)^2))</f>
        <v/>
      </c>
      <c r="N639">
        <f>SQRT(1-($E$5^2)*(SIN(K639)^2))</f>
        <v/>
      </c>
    </row>
    <row r="640" ht="20" customHeight="1">
      <c r="J640" t="n">
        <v>620</v>
      </c>
      <c r="K640">
        <f>J640*PI()/(2*$B$6)</f>
        <v/>
      </c>
      <c r="L640">
        <f>IF(OR(J640=0,J640=$B$6),1,IF(MOD(J640,2)=1,4,2))</f>
        <v/>
      </c>
      <c r="M640">
        <f>1/SQRT(1-($E$5^2)*(SIN(K640)^2))</f>
        <v/>
      </c>
      <c r="N640">
        <f>SQRT(1-($E$5^2)*(SIN(K640)^2))</f>
        <v/>
      </c>
    </row>
    <row r="641" ht="20" customHeight="1">
      <c r="J641" t="n">
        <v>621</v>
      </c>
      <c r="K641">
        <f>J641*PI()/(2*$B$6)</f>
        <v/>
      </c>
      <c r="L641">
        <f>IF(OR(J641=0,J641=$B$6),1,IF(MOD(J641,2)=1,4,2))</f>
        <v/>
      </c>
      <c r="M641">
        <f>1/SQRT(1-($E$5^2)*(SIN(K641)^2))</f>
        <v/>
      </c>
      <c r="N641">
        <f>SQRT(1-($E$5^2)*(SIN(K641)^2))</f>
        <v/>
      </c>
    </row>
    <row r="642" ht="20" customHeight="1">
      <c r="J642" t="n">
        <v>622</v>
      </c>
      <c r="K642">
        <f>J642*PI()/(2*$B$6)</f>
        <v/>
      </c>
      <c r="L642">
        <f>IF(OR(J642=0,J642=$B$6),1,IF(MOD(J642,2)=1,4,2))</f>
        <v/>
      </c>
      <c r="M642">
        <f>1/SQRT(1-($E$5^2)*(SIN(K642)^2))</f>
        <v/>
      </c>
      <c r="N642">
        <f>SQRT(1-($E$5^2)*(SIN(K642)^2))</f>
        <v/>
      </c>
    </row>
    <row r="643" ht="20" customHeight="1">
      <c r="J643" t="n">
        <v>623</v>
      </c>
      <c r="K643">
        <f>J643*PI()/(2*$B$6)</f>
        <v/>
      </c>
      <c r="L643">
        <f>IF(OR(J643=0,J643=$B$6),1,IF(MOD(J643,2)=1,4,2))</f>
        <v/>
      </c>
      <c r="M643">
        <f>1/SQRT(1-($E$5^2)*(SIN(K643)^2))</f>
        <v/>
      </c>
      <c r="N643">
        <f>SQRT(1-($E$5^2)*(SIN(K643)^2))</f>
        <v/>
      </c>
    </row>
    <row r="644" ht="20" customHeight="1">
      <c r="J644" t="n">
        <v>624</v>
      </c>
      <c r="K644">
        <f>J644*PI()/(2*$B$6)</f>
        <v/>
      </c>
      <c r="L644">
        <f>IF(OR(J644=0,J644=$B$6),1,IF(MOD(J644,2)=1,4,2))</f>
        <v/>
      </c>
      <c r="M644">
        <f>1/SQRT(1-($E$5^2)*(SIN(K644)^2))</f>
        <v/>
      </c>
      <c r="N644">
        <f>SQRT(1-($E$5^2)*(SIN(K644)^2))</f>
        <v/>
      </c>
    </row>
    <row r="645" ht="20" customHeight="1">
      <c r="J645" t="n">
        <v>625</v>
      </c>
      <c r="K645">
        <f>J645*PI()/(2*$B$6)</f>
        <v/>
      </c>
      <c r="L645">
        <f>IF(OR(J645=0,J645=$B$6),1,IF(MOD(J645,2)=1,4,2))</f>
        <v/>
      </c>
      <c r="M645">
        <f>1/SQRT(1-($E$5^2)*(SIN(K645)^2))</f>
        <v/>
      </c>
      <c r="N645">
        <f>SQRT(1-($E$5^2)*(SIN(K645)^2))</f>
        <v/>
      </c>
    </row>
    <row r="646" ht="20" customHeight="1">
      <c r="J646" t="n">
        <v>626</v>
      </c>
      <c r="K646">
        <f>J646*PI()/(2*$B$6)</f>
        <v/>
      </c>
      <c r="L646">
        <f>IF(OR(J646=0,J646=$B$6),1,IF(MOD(J646,2)=1,4,2))</f>
        <v/>
      </c>
      <c r="M646">
        <f>1/SQRT(1-($E$5^2)*(SIN(K646)^2))</f>
        <v/>
      </c>
      <c r="N646">
        <f>SQRT(1-($E$5^2)*(SIN(K646)^2))</f>
        <v/>
      </c>
    </row>
    <row r="647" ht="20" customHeight="1">
      <c r="J647" t="n">
        <v>627</v>
      </c>
      <c r="K647">
        <f>J647*PI()/(2*$B$6)</f>
        <v/>
      </c>
      <c r="L647">
        <f>IF(OR(J647=0,J647=$B$6),1,IF(MOD(J647,2)=1,4,2))</f>
        <v/>
      </c>
      <c r="M647">
        <f>1/SQRT(1-($E$5^2)*(SIN(K647)^2))</f>
        <v/>
      </c>
      <c r="N647">
        <f>SQRT(1-($E$5^2)*(SIN(K647)^2))</f>
        <v/>
      </c>
    </row>
    <row r="648" ht="20" customHeight="1">
      <c r="J648" t="n">
        <v>628</v>
      </c>
      <c r="K648">
        <f>J648*PI()/(2*$B$6)</f>
        <v/>
      </c>
      <c r="L648">
        <f>IF(OR(J648=0,J648=$B$6),1,IF(MOD(J648,2)=1,4,2))</f>
        <v/>
      </c>
      <c r="M648">
        <f>1/SQRT(1-($E$5^2)*(SIN(K648)^2))</f>
        <v/>
      </c>
      <c r="N648">
        <f>SQRT(1-($E$5^2)*(SIN(K648)^2))</f>
        <v/>
      </c>
    </row>
    <row r="649" ht="20" customHeight="1">
      <c r="J649" t="n">
        <v>629</v>
      </c>
      <c r="K649">
        <f>J649*PI()/(2*$B$6)</f>
        <v/>
      </c>
      <c r="L649">
        <f>IF(OR(J649=0,J649=$B$6),1,IF(MOD(J649,2)=1,4,2))</f>
        <v/>
      </c>
      <c r="M649">
        <f>1/SQRT(1-($E$5^2)*(SIN(K649)^2))</f>
        <v/>
      </c>
      <c r="N649">
        <f>SQRT(1-($E$5^2)*(SIN(K649)^2))</f>
        <v/>
      </c>
    </row>
    <row r="650" ht="20" customHeight="1">
      <c r="J650" t="n">
        <v>630</v>
      </c>
      <c r="K650">
        <f>J650*PI()/(2*$B$6)</f>
        <v/>
      </c>
      <c r="L650">
        <f>IF(OR(J650=0,J650=$B$6),1,IF(MOD(J650,2)=1,4,2))</f>
        <v/>
      </c>
      <c r="M650">
        <f>1/SQRT(1-($E$5^2)*(SIN(K650)^2))</f>
        <v/>
      </c>
      <c r="N650">
        <f>SQRT(1-($E$5^2)*(SIN(K650)^2))</f>
        <v/>
      </c>
    </row>
    <row r="651" ht="20" customHeight="1">
      <c r="J651" t="n">
        <v>631</v>
      </c>
      <c r="K651">
        <f>J651*PI()/(2*$B$6)</f>
        <v/>
      </c>
      <c r="L651">
        <f>IF(OR(J651=0,J651=$B$6),1,IF(MOD(J651,2)=1,4,2))</f>
        <v/>
      </c>
      <c r="M651">
        <f>1/SQRT(1-($E$5^2)*(SIN(K651)^2))</f>
        <v/>
      </c>
      <c r="N651">
        <f>SQRT(1-($E$5^2)*(SIN(K651)^2))</f>
        <v/>
      </c>
    </row>
    <row r="652" ht="20" customHeight="1">
      <c r="J652" t="n">
        <v>632</v>
      </c>
      <c r="K652">
        <f>J652*PI()/(2*$B$6)</f>
        <v/>
      </c>
      <c r="L652">
        <f>IF(OR(J652=0,J652=$B$6),1,IF(MOD(J652,2)=1,4,2))</f>
        <v/>
      </c>
      <c r="M652">
        <f>1/SQRT(1-($E$5^2)*(SIN(K652)^2))</f>
        <v/>
      </c>
      <c r="N652">
        <f>SQRT(1-($E$5^2)*(SIN(K652)^2))</f>
        <v/>
      </c>
    </row>
    <row r="653" ht="20" customHeight="1">
      <c r="J653" t="n">
        <v>633</v>
      </c>
      <c r="K653">
        <f>J653*PI()/(2*$B$6)</f>
        <v/>
      </c>
      <c r="L653">
        <f>IF(OR(J653=0,J653=$B$6),1,IF(MOD(J653,2)=1,4,2))</f>
        <v/>
      </c>
      <c r="M653">
        <f>1/SQRT(1-($E$5^2)*(SIN(K653)^2))</f>
        <v/>
      </c>
      <c r="N653">
        <f>SQRT(1-($E$5^2)*(SIN(K653)^2))</f>
        <v/>
      </c>
    </row>
    <row r="654" ht="20" customHeight="1">
      <c r="J654" t="n">
        <v>634</v>
      </c>
      <c r="K654">
        <f>J654*PI()/(2*$B$6)</f>
        <v/>
      </c>
      <c r="L654">
        <f>IF(OR(J654=0,J654=$B$6),1,IF(MOD(J654,2)=1,4,2))</f>
        <v/>
      </c>
      <c r="M654">
        <f>1/SQRT(1-($E$5^2)*(SIN(K654)^2))</f>
        <v/>
      </c>
      <c r="N654">
        <f>SQRT(1-($E$5^2)*(SIN(K654)^2))</f>
        <v/>
      </c>
    </row>
    <row r="655" ht="20" customHeight="1">
      <c r="J655" t="n">
        <v>635</v>
      </c>
      <c r="K655">
        <f>J655*PI()/(2*$B$6)</f>
        <v/>
      </c>
      <c r="L655">
        <f>IF(OR(J655=0,J655=$B$6),1,IF(MOD(J655,2)=1,4,2))</f>
        <v/>
      </c>
      <c r="M655">
        <f>1/SQRT(1-($E$5^2)*(SIN(K655)^2))</f>
        <v/>
      </c>
      <c r="N655">
        <f>SQRT(1-($E$5^2)*(SIN(K655)^2))</f>
        <v/>
      </c>
    </row>
    <row r="656" ht="20" customHeight="1">
      <c r="J656" t="n">
        <v>636</v>
      </c>
      <c r="K656">
        <f>J656*PI()/(2*$B$6)</f>
        <v/>
      </c>
      <c r="L656">
        <f>IF(OR(J656=0,J656=$B$6),1,IF(MOD(J656,2)=1,4,2))</f>
        <v/>
      </c>
      <c r="M656">
        <f>1/SQRT(1-($E$5^2)*(SIN(K656)^2))</f>
        <v/>
      </c>
      <c r="N656">
        <f>SQRT(1-($E$5^2)*(SIN(K656)^2))</f>
        <v/>
      </c>
    </row>
    <row r="657" ht="20" customHeight="1">
      <c r="J657" t="n">
        <v>637</v>
      </c>
      <c r="K657">
        <f>J657*PI()/(2*$B$6)</f>
        <v/>
      </c>
      <c r="L657">
        <f>IF(OR(J657=0,J657=$B$6),1,IF(MOD(J657,2)=1,4,2))</f>
        <v/>
      </c>
      <c r="M657">
        <f>1/SQRT(1-($E$5^2)*(SIN(K657)^2))</f>
        <v/>
      </c>
      <c r="N657">
        <f>SQRT(1-($E$5^2)*(SIN(K657)^2))</f>
        <v/>
      </c>
    </row>
    <row r="658" ht="20" customHeight="1">
      <c r="J658" t="n">
        <v>638</v>
      </c>
      <c r="K658">
        <f>J658*PI()/(2*$B$6)</f>
        <v/>
      </c>
      <c r="L658">
        <f>IF(OR(J658=0,J658=$B$6),1,IF(MOD(J658,2)=1,4,2))</f>
        <v/>
      </c>
      <c r="M658">
        <f>1/SQRT(1-($E$5^2)*(SIN(K658)^2))</f>
        <v/>
      </c>
      <c r="N658">
        <f>SQRT(1-($E$5^2)*(SIN(K658)^2))</f>
        <v/>
      </c>
    </row>
    <row r="659" ht="20" customHeight="1">
      <c r="J659" t="n">
        <v>639</v>
      </c>
      <c r="K659">
        <f>J659*PI()/(2*$B$6)</f>
        <v/>
      </c>
      <c r="L659">
        <f>IF(OR(J659=0,J659=$B$6),1,IF(MOD(J659,2)=1,4,2))</f>
        <v/>
      </c>
      <c r="M659">
        <f>1/SQRT(1-($E$5^2)*(SIN(K659)^2))</f>
        <v/>
      </c>
      <c r="N659">
        <f>SQRT(1-($E$5^2)*(SIN(K659)^2))</f>
        <v/>
      </c>
    </row>
    <row r="660" ht="20" customHeight="1">
      <c r="J660" t="n">
        <v>640</v>
      </c>
      <c r="K660">
        <f>J660*PI()/(2*$B$6)</f>
        <v/>
      </c>
      <c r="L660">
        <f>IF(OR(J660=0,J660=$B$6),1,IF(MOD(J660,2)=1,4,2))</f>
        <v/>
      </c>
      <c r="M660">
        <f>1/SQRT(1-($E$5^2)*(SIN(K660)^2))</f>
        <v/>
      </c>
      <c r="N660">
        <f>SQRT(1-($E$5^2)*(SIN(K660)^2))</f>
        <v/>
      </c>
    </row>
    <row r="661" ht="20" customHeight="1">
      <c r="J661" t="n">
        <v>641</v>
      </c>
      <c r="K661">
        <f>J661*PI()/(2*$B$6)</f>
        <v/>
      </c>
      <c r="L661">
        <f>IF(OR(J661=0,J661=$B$6),1,IF(MOD(J661,2)=1,4,2))</f>
        <v/>
      </c>
      <c r="M661">
        <f>1/SQRT(1-($E$5^2)*(SIN(K661)^2))</f>
        <v/>
      </c>
      <c r="N661">
        <f>SQRT(1-($E$5^2)*(SIN(K661)^2))</f>
        <v/>
      </c>
    </row>
    <row r="662" ht="20" customHeight="1">
      <c r="J662" t="n">
        <v>642</v>
      </c>
      <c r="K662">
        <f>J662*PI()/(2*$B$6)</f>
        <v/>
      </c>
      <c r="L662">
        <f>IF(OR(J662=0,J662=$B$6),1,IF(MOD(J662,2)=1,4,2))</f>
        <v/>
      </c>
      <c r="M662">
        <f>1/SQRT(1-($E$5^2)*(SIN(K662)^2))</f>
        <v/>
      </c>
      <c r="N662">
        <f>SQRT(1-($E$5^2)*(SIN(K662)^2))</f>
        <v/>
      </c>
    </row>
    <row r="663" ht="20" customHeight="1">
      <c r="J663" t="n">
        <v>643</v>
      </c>
      <c r="K663">
        <f>J663*PI()/(2*$B$6)</f>
        <v/>
      </c>
      <c r="L663">
        <f>IF(OR(J663=0,J663=$B$6),1,IF(MOD(J663,2)=1,4,2))</f>
        <v/>
      </c>
      <c r="M663">
        <f>1/SQRT(1-($E$5^2)*(SIN(K663)^2))</f>
        <v/>
      </c>
      <c r="N663">
        <f>SQRT(1-($E$5^2)*(SIN(K663)^2))</f>
        <v/>
      </c>
    </row>
    <row r="664" ht="20" customHeight="1">
      <c r="J664" t="n">
        <v>644</v>
      </c>
      <c r="K664">
        <f>J664*PI()/(2*$B$6)</f>
        <v/>
      </c>
      <c r="L664">
        <f>IF(OR(J664=0,J664=$B$6),1,IF(MOD(J664,2)=1,4,2))</f>
        <v/>
      </c>
      <c r="M664">
        <f>1/SQRT(1-($E$5^2)*(SIN(K664)^2))</f>
        <v/>
      </c>
      <c r="N664">
        <f>SQRT(1-($E$5^2)*(SIN(K664)^2))</f>
        <v/>
      </c>
    </row>
    <row r="665" ht="20" customHeight="1">
      <c r="J665" t="n">
        <v>645</v>
      </c>
      <c r="K665">
        <f>J665*PI()/(2*$B$6)</f>
        <v/>
      </c>
      <c r="L665">
        <f>IF(OR(J665=0,J665=$B$6),1,IF(MOD(J665,2)=1,4,2))</f>
        <v/>
      </c>
      <c r="M665">
        <f>1/SQRT(1-($E$5^2)*(SIN(K665)^2))</f>
        <v/>
      </c>
      <c r="N665">
        <f>SQRT(1-($E$5^2)*(SIN(K665)^2))</f>
        <v/>
      </c>
    </row>
    <row r="666" ht="20" customHeight="1">
      <c r="J666" t="n">
        <v>646</v>
      </c>
      <c r="K666">
        <f>J666*PI()/(2*$B$6)</f>
        <v/>
      </c>
      <c r="L666">
        <f>IF(OR(J666=0,J666=$B$6),1,IF(MOD(J666,2)=1,4,2))</f>
        <v/>
      </c>
      <c r="M666">
        <f>1/SQRT(1-($E$5^2)*(SIN(K666)^2))</f>
        <v/>
      </c>
      <c r="N666">
        <f>SQRT(1-($E$5^2)*(SIN(K666)^2))</f>
        <v/>
      </c>
    </row>
    <row r="667" ht="20" customHeight="1">
      <c r="J667" t="n">
        <v>647</v>
      </c>
      <c r="K667">
        <f>J667*PI()/(2*$B$6)</f>
        <v/>
      </c>
      <c r="L667">
        <f>IF(OR(J667=0,J667=$B$6),1,IF(MOD(J667,2)=1,4,2))</f>
        <v/>
      </c>
      <c r="M667">
        <f>1/SQRT(1-($E$5^2)*(SIN(K667)^2))</f>
        <v/>
      </c>
      <c r="N667">
        <f>SQRT(1-($E$5^2)*(SIN(K667)^2))</f>
        <v/>
      </c>
    </row>
    <row r="668" ht="20" customHeight="1">
      <c r="J668" t="n">
        <v>648</v>
      </c>
      <c r="K668">
        <f>J668*PI()/(2*$B$6)</f>
        <v/>
      </c>
      <c r="L668">
        <f>IF(OR(J668=0,J668=$B$6),1,IF(MOD(J668,2)=1,4,2))</f>
        <v/>
      </c>
      <c r="M668">
        <f>1/SQRT(1-($E$5^2)*(SIN(K668)^2))</f>
        <v/>
      </c>
      <c r="N668">
        <f>SQRT(1-($E$5^2)*(SIN(K668)^2))</f>
        <v/>
      </c>
    </row>
    <row r="669" ht="20" customHeight="1">
      <c r="J669" t="n">
        <v>649</v>
      </c>
      <c r="K669">
        <f>J669*PI()/(2*$B$6)</f>
        <v/>
      </c>
      <c r="L669">
        <f>IF(OR(J669=0,J669=$B$6),1,IF(MOD(J669,2)=1,4,2))</f>
        <v/>
      </c>
      <c r="M669">
        <f>1/SQRT(1-($E$5^2)*(SIN(K669)^2))</f>
        <v/>
      </c>
      <c r="N669">
        <f>SQRT(1-($E$5^2)*(SIN(K669)^2))</f>
        <v/>
      </c>
    </row>
    <row r="670" ht="20" customHeight="1">
      <c r="J670" t="n">
        <v>650</v>
      </c>
      <c r="K670">
        <f>J670*PI()/(2*$B$6)</f>
        <v/>
      </c>
      <c r="L670">
        <f>IF(OR(J670=0,J670=$B$6),1,IF(MOD(J670,2)=1,4,2))</f>
        <v/>
      </c>
      <c r="M670">
        <f>1/SQRT(1-($E$5^2)*(SIN(K670)^2))</f>
        <v/>
      </c>
      <c r="N670">
        <f>SQRT(1-($E$5^2)*(SIN(K670)^2))</f>
        <v/>
      </c>
    </row>
    <row r="671" ht="20" customHeight="1">
      <c r="J671" t="n">
        <v>651</v>
      </c>
      <c r="K671">
        <f>J671*PI()/(2*$B$6)</f>
        <v/>
      </c>
      <c r="L671">
        <f>IF(OR(J671=0,J671=$B$6),1,IF(MOD(J671,2)=1,4,2))</f>
        <v/>
      </c>
      <c r="M671">
        <f>1/SQRT(1-($E$5^2)*(SIN(K671)^2))</f>
        <v/>
      </c>
      <c r="N671">
        <f>SQRT(1-($E$5^2)*(SIN(K671)^2))</f>
        <v/>
      </c>
    </row>
    <row r="672" ht="20" customHeight="1">
      <c r="J672" t="n">
        <v>652</v>
      </c>
      <c r="K672">
        <f>J672*PI()/(2*$B$6)</f>
        <v/>
      </c>
      <c r="L672">
        <f>IF(OR(J672=0,J672=$B$6),1,IF(MOD(J672,2)=1,4,2))</f>
        <v/>
      </c>
      <c r="M672">
        <f>1/SQRT(1-($E$5^2)*(SIN(K672)^2))</f>
        <v/>
      </c>
      <c r="N672">
        <f>SQRT(1-($E$5^2)*(SIN(K672)^2))</f>
        <v/>
      </c>
    </row>
    <row r="673" ht="20" customHeight="1">
      <c r="J673" t="n">
        <v>653</v>
      </c>
      <c r="K673">
        <f>J673*PI()/(2*$B$6)</f>
        <v/>
      </c>
      <c r="L673">
        <f>IF(OR(J673=0,J673=$B$6),1,IF(MOD(J673,2)=1,4,2))</f>
        <v/>
      </c>
      <c r="M673">
        <f>1/SQRT(1-($E$5^2)*(SIN(K673)^2))</f>
        <v/>
      </c>
      <c r="N673">
        <f>SQRT(1-($E$5^2)*(SIN(K673)^2))</f>
        <v/>
      </c>
    </row>
    <row r="674" ht="20" customHeight="1">
      <c r="J674" t="n">
        <v>654</v>
      </c>
      <c r="K674">
        <f>J674*PI()/(2*$B$6)</f>
        <v/>
      </c>
      <c r="L674">
        <f>IF(OR(J674=0,J674=$B$6),1,IF(MOD(J674,2)=1,4,2))</f>
        <v/>
      </c>
      <c r="M674">
        <f>1/SQRT(1-($E$5^2)*(SIN(K674)^2))</f>
        <v/>
      </c>
      <c r="N674">
        <f>SQRT(1-($E$5^2)*(SIN(K674)^2))</f>
        <v/>
      </c>
    </row>
    <row r="675" ht="20" customHeight="1">
      <c r="J675" t="n">
        <v>655</v>
      </c>
      <c r="K675">
        <f>J675*PI()/(2*$B$6)</f>
        <v/>
      </c>
      <c r="L675">
        <f>IF(OR(J675=0,J675=$B$6),1,IF(MOD(J675,2)=1,4,2))</f>
        <v/>
      </c>
      <c r="M675">
        <f>1/SQRT(1-($E$5^2)*(SIN(K675)^2))</f>
        <v/>
      </c>
      <c r="N675">
        <f>SQRT(1-($E$5^2)*(SIN(K675)^2))</f>
        <v/>
      </c>
    </row>
    <row r="676" ht="20" customHeight="1">
      <c r="J676" t="n">
        <v>656</v>
      </c>
      <c r="K676">
        <f>J676*PI()/(2*$B$6)</f>
        <v/>
      </c>
      <c r="L676">
        <f>IF(OR(J676=0,J676=$B$6),1,IF(MOD(J676,2)=1,4,2))</f>
        <v/>
      </c>
      <c r="M676">
        <f>1/SQRT(1-($E$5^2)*(SIN(K676)^2))</f>
        <v/>
      </c>
      <c r="N676">
        <f>SQRT(1-($E$5^2)*(SIN(K676)^2))</f>
        <v/>
      </c>
    </row>
    <row r="677" ht="20" customHeight="1">
      <c r="J677" t="n">
        <v>657</v>
      </c>
      <c r="K677">
        <f>J677*PI()/(2*$B$6)</f>
        <v/>
      </c>
      <c r="L677">
        <f>IF(OR(J677=0,J677=$B$6),1,IF(MOD(J677,2)=1,4,2))</f>
        <v/>
      </c>
      <c r="M677">
        <f>1/SQRT(1-($E$5^2)*(SIN(K677)^2))</f>
        <v/>
      </c>
      <c r="N677">
        <f>SQRT(1-($E$5^2)*(SIN(K677)^2))</f>
        <v/>
      </c>
    </row>
    <row r="678" ht="20" customHeight="1">
      <c r="J678" t="n">
        <v>658</v>
      </c>
      <c r="K678">
        <f>J678*PI()/(2*$B$6)</f>
        <v/>
      </c>
      <c r="L678">
        <f>IF(OR(J678=0,J678=$B$6),1,IF(MOD(J678,2)=1,4,2))</f>
        <v/>
      </c>
      <c r="M678">
        <f>1/SQRT(1-($E$5^2)*(SIN(K678)^2))</f>
        <v/>
      </c>
      <c r="N678">
        <f>SQRT(1-($E$5^2)*(SIN(K678)^2))</f>
        <v/>
      </c>
    </row>
    <row r="679" ht="20" customHeight="1">
      <c r="J679" t="n">
        <v>659</v>
      </c>
      <c r="K679">
        <f>J679*PI()/(2*$B$6)</f>
        <v/>
      </c>
      <c r="L679">
        <f>IF(OR(J679=0,J679=$B$6),1,IF(MOD(J679,2)=1,4,2))</f>
        <v/>
      </c>
      <c r="M679">
        <f>1/SQRT(1-($E$5^2)*(SIN(K679)^2))</f>
        <v/>
      </c>
      <c r="N679">
        <f>SQRT(1-($E$5^2)*(SIN(K679)^2))</f>
        <v/>
      </c>
    </row>
    <row r="680" ht="20" customHeight="1">
      <c r="J680" t="n">
        <v>660</v>
      </c>
      <c r="K680">
        <f>J680*PI()/(2*$B$6)</f>
        <v/>
      </c>
      <c r="L680">
        <f>IF(OR(J680=0,J680=$B$6),1,IF(MOD(J680,2)=1,4,2))</f>
        <v/>
      </c>
      <c r="M680">
        <f>1/SQRT(1-($E$5^2)*(SIN(K680)^2))</f>
        <v/>
      </c>
      <c r="N680">
        <f>SQRT(1-($E$5^2)*(SIN(K680)^2))</f>
        <v/>
      </c>
    </row>
    <row r="681" ht="20" customHeight="1">
      <c r="J681" t="n">
        <v>661</v>
      </c>
      <c r="K681">
        <f>J681*PI()/(2*$B$6)</f>
        <v/>
      </c>
      <c r="L681">
        <f>IF(OR(J681=0,J681=$B$6),1,IF(MOD(J681,2)=1,4,2))</f>
        <v/>
      </c>
      <c r="M681">
        <f>1/SQRT(1-($E$5^2)*(SIN(K681)^2))</f>
        <v/>
      </c>
      <c r="N681">
        <f>SQRT(1-($E$5^2)*(SIN(K681)^2))</f>
        <v/>
      </c>
    </row>
    <row r="682" ht="20" customHeight="1">
      <c r="J682" t="n">
        <v>662</v>
      </c>
      <c r="K682">
        <f>J682*PI()/(2*$B$6)</f>
        <v/>
      </c>
      <c r="L682">
        <f>IF(OR(J682=0,J682=$B$6),1,IF(MOD(J682,2)=1,4,2))</f>
        <v/>
      </c>
      <c r="M682">
        <f>1/SQRT(1-($E$5^2)*(SIN(K682)^2))</f>
        <v/>
      </c>
      <c r="N682">
        <f>SQRT(1-($E$5^2)*(SIN(K682)^2))</f>
        <v/>
      </c>
    </row>
    <row r="683" ht="20" customHeight="1">
      <c r="J683" t="n">
        <v>663</v>
      </c>
      <c r="K683">
        <f>J683*PI()/(2*$B$6)</f>
        <v/>
      </c>
      <c r="L683">
        <f>IF(OR(J683=0,J683=$B$6),1,IF(MOD(J683,2)=1,4,2))</f>
        <v/>
      </c>
      <c r="M683">
        <f>1/SQRT(1-($E$5^2)*(SIN(K683)^2))</f>
        <v/>
      </c>
      <c r="N683">
        <f>SQRT(1-($E$5^2)*(SIN(K683)^2))</f>
        <v/>
      </c>
    </row>
    <row r="684" ht="20" customHeight="1">
      <c r="J684" t="n">
        <v>664</v>
      </c>
      <c r="K684">
        <f>J684*PI()/(2*$B$6)</f>
        <v/>
      </c>
      <c r="L684">
        <f>IF(OR(J684=0,J684=$B$6),1,IF(MOD(J684,2)=1,4,2))</f>
        <v/>
      </c>
      <c r="M684">
        <f>1/SQRT(1-($E$5^2)*(SIN(K684)^2))</f>
        <v/>
      </c>
      <c r="N684">
        <f>SQRT(1-($E$5^2)*(SIN(K684)^2))</f>
        <v/>
      </c>
    </row>
    <row r="685" ht="20" customHeight="1">
      <c r="J685" t="n">
        <v>665</v>
      </c>
      <c r="K685">
        <f>J685*PI()/(2*$B$6)</f>
        <v/>
      </c>
      <c r="L685">
        <f>IF(OR(J685=0,J685=$B$6),1,IF(MOD(J685,2)=1,4,2))</f>
        <v/>
      </c>
      <c r="M685">
        <f>1/SQRT(1-($E$5^2)*(SIN(K685)^2))</f>
        <v/>
      </c>
      <c r="N685">
        <f>SQRT(1-($E$5^2)*(SIN(K685)^2))</f>
        <v/>
      </c>
    </row>
    <row r="686" ht="20" customHeight="1">
      <c r="J686" t="n">
        <v>666</v>
      </c>
      <c r="K686">
        <f>J686*PI()/(2*$B$6)</f>
        <v/>
      </c>
      <c r="L686">
        <f>IF(OR(J686=0,J686=$B$6),1,IF(MOD(J686,2)=1,4,2))</f>
        <v/>
      </c>
      <c r="M686">
        <f>1/SQRT(1-($E$5^2)*(SIN(K686)^2))</f>
        <v/>
      </c>
      <c r="N686">
        <f>SQRT(1-($E$5^2)*(SIN(K686)^2))</f>
        <v/>
      </c>
    </row>
    <row r="687" ht="20" customHeight="1">
      <c r="J687" t="n">
        <v>667</v>
      </c>
      <c r="K687">
        <f>J687*PI()/(2*$B$6)</f>
        <v/>
      </c>
      <c r="L687">
        <f>IF(OR(J687=0,J687=$B$6),1,IF(MOD(J687,2)=1,4,2))</f>
        <v/>
      </c>
      <c r="M687">
        <f>1/SQRT(1-($E$5^2)*(SIN(K687)^2))</f>
        <v/>
      </c>
      <c r="N687">
        <f>SQRT(1-($E$5^2)*(SIN(K687)^2))</f>
        <v/>
      </c>
    </row>
    <row r="688" ht="20" customHeight="1">
      <c r="J688" t="n">
        <v>668</v>
      </c>
      <c r="K688">
        <f>J688*PI()/(2*$B$6)</f>
        <v/>
      </c>
      <c r="L688">
        <f>IF(OR(J688=0,J688=$B$6),1,IF(MOD(J688,2)=1,4,2))</f>
        <v/>
      </c>
      <c r="M688">
        <f>1/SQRT(1-($E$5^2)*(SIN(K688)^2))</f>
        <v/>
      </c>
      <c r="N688">
        <f>SQRT(1-($E$5^2)*(SIN(K688)^2))</f>
        <v/>
      </c>
    </row>
    <row r="689" ht="20" customHeight="1">
      <c r="J689" t="n">
        <v>669</v>
      </c>
      <c r="K689">
        <f>J689*PI()/(2*$B$6)</f>
        <v/>
      </c>
      <c r="L689">
        <f>IF(OR(J689=0,J689=$B$6),1,IF(MOD(J689,2)=1,4,2))</f>
        <v/>
      </c>
      <c r="M689">
        <f>1/SQRT(1-($E$5^2)*(SIN(K689)^2))</f>
        <v/>
      </c>
      <c r="N689">
        <f>SQRT(1-($E$5^2)*(SIN(K689)^2))</f>
        <v/>
      </c>
    </row>
    <row r="690" ht="20" customHeight="1">
      <c r="J690" t="n">
        <v>670</v>
      </c>
      <c r="K690">
        <f>J690*PI()/(2*$B$6)</f>
        <v/>
      </c>
      <c r="L690">
        <f>IF(OR(J690=0,J690=$B$6),1,IF(MOD(J690,2)=1,4,2))</f>
        <v/>
      </c>
      <c r="M690">
        <f>1/SQRT(1-($E$5^2)*(SIN(K690)^2))</f>
        <v/>
      </c>
      <c r="N690">
        <f>SQRT(1-($E$5^2)*(SIN(K690)^2))</f>
        <v/>
      </c>
    </row>
    <row r="691" ht="20" customHeight="1">
      <c r="J691" t="n">
        <v>671</v>
      </c>
      <c r="K691">
        <f>J691*PI()/(2*$B$6)</f>
        <v/>
      </c>
      <c r="L691">
        <f>IF(OR(J691=0,J691=$B$6),1,IF(MOD(J691,2)=1,4,2))</f>
        <v/>
      </c>
      <c r="M691">
        <f>1/SQRT(1-($E$5^2)*(SIN(K691)^2))</f>
        <v/>
      </c>
      <c r="N691">
        <f>SQRT(1-($E$5^2)*(SIN(K691)^2))</f>
        <v/>
      </c>
    </row>
    <row r="692" ht="20" customHeight="1">
      <c r="J692" t="n">
        <v>672</v>
      </c>
      <c r="K692">
        <f>J692*PI()/(2*$B$6)</f>
        <v/>
      </c>
      <c r="L692">
        <f>IF(OR(J692=0,J692=$B$6),1,IF(MOD(J692,2)=1,4,2))</f>
        <v/>
      </c>
      <c r="M692">
        <f>1/SQRT(1-($E$5^2)*(SIN(K692)^2))</f>
        <v/>
      </c>
      <c r="N692">
        <f>SQRT(1-($E$5^2)*(SIN(K692)^2))</f>
        <v/>
      </c>
    </row>
    <row r="693" ht="20" customHeight="1">
      <c r="J693" t="n">
        <v>673</v>
      </c>
      <c r="K693">
        <f>J693*PI()/(2*$B$6)</f>
        <v/>
      </c>
      <c r="L693">
        <f>IF(OR(J693=0,J693=$B$6),1,IF(MOD(J693,2)=1,4,2))</f>
        <v/>
      </c>
      <c r="M693">
        <f>1/SQRT(1-($E$5^2)*(SIN(K693)^2))</f>
        <v/>
      </c>
      <c r="N693">
        <f>SQRT(1-($E$5^2)*(SIN(K693)^2))</f>
        <v/>
      </c>
    </row>
    <row r="694" ht="20" customHeight="1">
      <c r="J694" t="n">
        <v>674</v>
      </c>
      <c r="K694">
        <f>J694*PI()/(2*$B$6)</f>
        <v/>
      </c>
      <c r="L694">
        <f>IF(OR(J694=0,J694=$B$6),1,IF(MOD(J694,2)=1,4,2))</f>
        <v/>
      </c>
      <c r="M694">
        <f>1/SQRT(1-($E$5^2)*(SIN(K694)^2))</f>
        <v/>
      </c>
      <c r="N694">
        <f>SQRT(1-($E$5^2)*(SIN(K694)^2))</f>
        <v/>
      </c>
    </row>
    <row r="695" ht="20" customHeight="1">
      <c r="J695" t="n">
        <v>675</v>
      </c>
      <c r="K695">
        <f>J695*PI()/(2*$B$6)</f>
        <v/>
      </c>
      <c r="L695">
        <f>IF(OR(J695=0,J695=$B$6),1,IF(MOD(J695,2)=1,4,2))</f>
        <v/>
      </c>
      <c r="M695">
        <f>1/SQRT(1-($E$5^2)*(SIN(K695)^2))</f>
        <v/>
      </c>
      <c r="N695">
        <f>SQRT(1-($E$5^2)*(SIN(K695)^2))</f>
        <v/>
      </c>
    </row>
    <row r="696" ht="20" customHeight="1">
      <c r="J696" t="n">
        <v>676</v>
      </c>
      <c r="K696">
        <f>J696*PI()/(2*$B$6)</f>
        <v/>
      </c>
      <c r="L696">
        <f>IF(OR(J696=0,J696=$B$6),1,IF(MOD(J696,2)=1,4,2))</f>
        <v/>
      </c>
      <c r="M696">
        <f>1/SQRT(1-($E$5^2)*(SIN(K696)^2))</f>
        <v/>
      </c>
      <c r="N696">
        <f>SQRT(1-($E$5^2)*(SIN(K696)^2))</f>
        <v/>
      </c>
    </row>
    <row r="697" ht="20" customHeight="1">
      <c r="J697" t="n">
        <v>677</v>
      </c>
      <c r="K697">
        <f>J697*PI()/(2*$B$6)</f>
        <v/>
      </c>
      <c r="L697">
        <f>IF(OR(J697=0,J697=$B$6),1,IF(MOD(J697,2)=1,4,2))</f>
        <v/>
      </c>
      <c r="M697">
        <f>1/SQRT(1-($E$5^2)*(SIN(K697)^2))</f>
        <v/>
      </c>
      <c r="N697">
        <f>SQRT(1-($E$5^2)*(SIN(K697)^2))</f>
        <v/>
      </c>
    </row>
    <row r="698" ht="20" customHeight="1">
      <c r="J698" t="n">
        <v>678</v>
      </c>
      <c r="K698">
        <f>J698*PI()/(2*$B$6)</f>
        <v/>
      </c>
      <c r="L698">
        <f>IF(OR(J698=0,J698=$B$6),1,IF(MOD(J698,2)=1,4,2))</f>
        <v/>
      </c>
      <c r="M698">
        <f>1/SQRT(1-($E$5^2)*(SIN(K698)^2))</f>
        <v/>
      </c>
      <c r="N698">
        <f>SQRT(1-($E$5^2)*(SIN(K698)^2))</f>
        <v/>
      </c>
    </row>
    <row r="699" ht="20" customHeight="1">
      <c r="J699" t="n">
        <v>679</v>
      </c>
      <c r="K699">
        <f>J699*PI()/(2*$B$6)</f>
        <v/>
      </c>
      <c r="L699">
        <f>IF(OR(J699=0,J699=$B$6),1,IF(MOD(J699,2)=1,4,2))</f>
        <v/>
      </c>
      <c r="M699">
        <f>1/SQRT(1-($E$5^2)*(SIN(K699)^2))</f>
        <v/>
      </c>
      <c r="N699">
        <f>SQRT(1-($E$5^2)*(SIN(K699)^2))</f>
        <v/>
      </c>
    </row>
    <row r="700" ht="20" customHeight="1">
      <c r="J700" t="n">
        <v>680</v>
      </c>
      <c r="K700">
        <f>J700*PI()/(2*$B$6)</f>
        <v/>
      </c>
      <c r="L700">
        <f>IF(OR(J700=0,J700=$B$6),1,IF(MOD(J700,2)=1,4,2))</f>
        <v/>
      </c>
      <c r="M700">
        <f>1/SQRT(1-($E$5^2)*(SIN(K700)^2))</f>
        <v/>
      </c>
      <c r="N700">
        <f>SQRT(1-($E$5^2)*(SIN(K700)^2))</f>
        <v/>
      </c>
    </row>
    <row r="701" ht="20" customHeight="1">
      <c r="J701" t="n">
        <v>681</v>
      </c>
      <c r="K701">
        <f>J701*PI()/(2*$B$6)</f>
        <v/>
      </c>
      <c r="L701">
        <f>IF(OR(J701=0,J701=$B$6),1,IF(MOD(J701,2)=1,4,2))</f>
        <v/>
      </c>
      <c r="M701">
        <f>1/SQRT(1-($E$5^2)*(SIN(K701)^2))</f>
        <v/>
      </c>
      <c r="N701">
        <f>SQRT(1-($E$5^2)*(SIN(K701)^2))</f>
        <v/>
      </c>
    </row>
    <row r="702" ht="20" customHeight="1">
      <c r="J702" t="n">
        <v>682</v>
      </c>
      <c r="K702">
        <f>J702*PI()/(2*$B$6)</f>
        <v/>
      </c>
      <c r="L702">
        <f>IF(OR(J702=0,J702=$B$6),1,IF(MOD(J702,2)=1,4,2))</f>
        <v/>
      </c>
      <c r="M702">
        <f>1/SQRT(1-($E$5^2)*(SIN(K702)^2))</f>
        <v/>
      </c>
      <c r="N702">
        <f>SQRT(1-($E$5^2)*(SIN(K702)^2))</f>
        <v/>
      </c>
    </row>
    <row r="703" ht="20" customHeight="1">
      <c r="J703" t="n">
        <v>683</v>
      </c>
      <c r="K703">
        <f>J703*PI()/(2*$B$6)</f>
        <v/>
      </c>
      <c r="L703">
        <f>IF(OR(J703=0,J703=$B$6),1,IF(MOD(J703,2)=1,4,2))</f>
        <v/>
      </c>
      <c r="M703">
        <f>1/SQRT(1-($E$5^2)*(SIN(K703)^2))</f>
        <v/>
      </c>
      <c r="N703">
        <f>SQRT(1-($E$5^2)*(SIN(K703)^2))</f>
        <v/>
      </c>
    </row>
    <row r="704" ht="20" customHeight="1">
      <c r="J704" t="n">
        <v>684</v>
      </c>
      <c r="K704">
        <f>J704*PI()/(2*$B$6)</f>
        <v/>
      </c>
      <c r="L704">
        <f>IF(OR(J704=0,J704=$B$6),1,IF(MOD(J704,2)=1,4,2))</f>
        <v/>
      </c>
      <c r="M704">
        <f>1/SQRT(1-($E$5^2)*(SIN(K704)^2))</f>
        <v/>
      </c>
      <c r="N704">
        <f>SQRT(1-($E$5^2)*(SIN(K704)^2))</f>
        <v/>
      </c>
    </row>
    <row r="705" ht="20" customHeight="1">
      <c r="J705" t="n">
        <v>685</v>
      </c>
      <c r="K705">
        <f>J705*PI()/(2*$B$6)</f>
        <v/>
      </c>
      <c r="L705">
        <f>IF(OR(J705=0,J705=$B$6),1,IF(MOD(J705,2)=1,4,2))</f>
        <v/>
      </c>
      <c r="M705">
        <f>1/SQRT(1-($E$5^2)*(SIN(K705)^2))</f>
        <v/>
      </c>
      <c r="N705">
        <f>SQRT(1-($E$5^2)*(SIN(K705)^2))</f>
        <v/>
      </c>
    </row>
    <row r="706" ht="20" customHeight="1">
      <c r="J706" t="n">
        <v>686</v>
      </c>
      <c r="K706">
        <f>J706*PI()/(2*$B$6)</f>
        <v/>
      </c>
      <c r="L706">
        <f>IF(OR(J706=0,J706=$B$6),1,IF(MOD(J706,2)=1,4,2))</f>
        <v/>
      </c>
      <c r="M706">
        <f>1/SQRT(1-($E$5^2)*(SIN(K706)^2))</f>
        <v/>
      </c>
      <c r="N706">
        <f>SQRT(1-($E$5^2)*(SIN(K706)^2))</f>
        <v/>
      </c>
    </row>
    <row r="707" ht="20" customHeight="1">
      <c r="J707" t="n">
        <v>687</v>
      </c>
      <c r="K707">
        <f>J707*PI()/(2*$B$6)</f>
        <v/>
      </c>
      <c r="L707">
        <f>IF(OR(J707=0,J707=$B$6),1,IF(MOD(J707,2)=1,4,2))</f>
        <v/>
      </c>
      <c r="M707">
        <f>1/SQRT(1-($E$5^2)*(SIN(K707)^2))</f>
        <v/>
      </c>
      <c r="N707">
        <f>SQRT(1-($E$5^2)*(SIN(K707)^2))</f>
        <v/>
      </c>
    </row>
    <row r="708" ht="20" customHeight="1">
      <c r="J708" t="n">
        <v>688</v>
      </c>
      <c r="K708">
        <f>J708*PI()/(2*$B$6)</f>
        <v/>
      </c>
      <c r="L708">
        <f>IF(OR(J708=0,J708=$B$6),1,IF(MOD(J708,2)=1,4,2))</f>
        <v/>
      </c>
      <c r="M708">
        <f>1/SQRT(1-($E$5^2)*(SIN(K708)^2))</f>
        <v/>
      </c>
      <c r="N708">
        <f>SQRT(1-($E$5^2)*(SIN(K708)^2))</f>
        <v/>
      </c>
    </row>
    <row r="709" ht="20" customHeight="1">
      <c r="J709" t="n">
        <v>689</v>
      </c>
      <c r="K709">
        <f>J709*PI()/(2*$B$6)</f>
        <v/>
      </c>
      <c r="L709">
        <f>IF(OR(J709=0,J709=$B$6),1,IF(MOD(J709,2)=1,4,2))</f>
        <v/>
      </c>
      <c r="M709">
        <f>1/SQRT(1-($E$5^2)*(SIN(K709)^2))</f>
        <v/>
      </c>
      <c r="N709">
        <f>SQRT(1-($E$5^2)*(SIN(K709)^2))</f>
        <v/>
      </c>
    </row>
    <row r="710" ht="20" customHeight="1">
      <c r="J710" t="n">
        <v>690</v>
      </c>
      <c r="K710">
        <f>J710*PI()/(2*$B$6)</f>
        <v/>
      </c>
      <c r="L710">
        <f>IF(OR(J710=0,J710=$B$6),1,IF(MOD(J710,2)=1,4,2))</f>
        <v/>
      </c>
      <c r="M710">
        <f>1/SQRT(1-($E$5^2)*(SIN(K710)^2))</f>
        <v/>
      </c>
      <c r="N710">
        <f>SQRT(1-($E$5^2)*(SIN(K710)^2))</f>
        <v/>
      </c>
    </row>
    <row r="711" ht="20" customHeight="1">
      <c r="J711" t="n">
        <v>691</v>
      </c>
      <c r="K711">
        <f>J711*PI()/(2*$B$6)</f>
        <v/>
      </c>
      <c r="L711">
        <f>IF(OR(J711=0,J711=$B$6),1,IF(MOD(J711,2)=1,4,2))</f>
        <v/>
      </c>
      <c r="M711">
        <f>1/SQRT(1-($E$5^2)*(SIN(K711)^2))</f>
        <v/>
      </c>
      <c r="N711">
        <f>SQRT(1-($E$5^2)*(SIN(K711)^2))</f>
        <v/>
      </c>
    </row>
    <row r="712" ht="20" customHeight="1">
      <c r="J712" t="n">
        <v>692</v>
      </c>
      <c r="K712">
        <f>J712*PI()/(2*$B$6)</f>
        <v/>
      </c>
      <c r="L712">
        <f>IF(OR(J712=0,J712=$B$6),1,IF(MOD(J712,2)=1,4,2))</f>
        <v/>
      </c>
      <c r="M712">
        <f>1/SQRT(1-($E$5^2)*(SIN(K712)^2))</f>
        <v/>
      </c>
      <c r="N712">
        <f>SQRT(1-($E$5^2)*(SIN(K712)^2))</f>
        <v/>
      </c>
    </row>
    <row r="713" ht="20" customHeight="1">
      <c r="J713" t="n">
        <v>693</v>
      </c>
      <c r="K713">
        <f>J713*PI()/(2*$B$6)</f>
        <v/>
      </c>
      <c r="L713">
        <f>IF(OR(J713=0,J713=$B$6),1,IF(MOD(J713,2)=1,4,2))</f>
        <v/>
      </c>
      <c r="M713">
        <f>1/SQRT(1-($E$5^2)*(SIN(K713)^2))</f>
        <v/>
      </c>
      <c r="N713">
        <f>SQRT(1-($E$5^2)*(SIN(K713)^2))</f>
        <v/>
      </c>
    </row>
    <row r="714" ht="20" customHeight="1">
      <c r="J714" t="n">
        <v>694</v>
      </c>
      <c r="K714">
        <f>J714*PI()/(2*$B$6)</f>
        <v/>
      </c>
      <c r="L714">
        <f>IF(OR(J714=0,J714=$B$6),1,IF(MOD(J714,2)=1,4,2))</f>
        <v/>
      </c>
      <c r="M714">
        <f>1/SQRT(1-($E$5^2)*(SIN(K714)^2))</f>
        <v/>
      </c>
      <c r="N714">
        <f>SQRT(1-($E$5^2)*(SIN(K714)^2))</f>
        <v/>
      </c>
    </row>
    <row r="715" ht="20" customHeight="1">
      <c r="J715" t="n">
        <v>695</v>
      </c>
      <c r="K715">
        <f>J715*PI()/(2*$B$6)</f>
        <v/>
      </c>
      <c r="L715">
        <f>IF(OR(J715=0,J715=$B$6),1,IF(MOD(J715,2)=1,4,2))</f>
        <v/>
      </c>
      <c r="M715">
        <f>1/SQRT(1-($E$5^2)*(SIN(K715)^2))</f>
        <v/>
      </c>
      <c r="N715">
        <f>SQRT(1-($E$5^2)*(SIN(K715)^2))</f>
        <v/>
      </c>
    </row>
    <row r="716" ht="20" customHeight="1">
      <c r="J716" t="n">
        <v>696</v>
      </c>
      <c r="K716">
        <f>J716*PI()/(2*$B$6)</f>
        <v/>
      </c>
      <c r="L716">
        <f>IF(OR(J716=0,J716=$B$6),1,IF(MOD(J716,2)=1,4,2))</f>
        <v/>
      </c>
      <c r="M716">
        <f>1/SQRT(1-($E$5^2)*(SIN(K716)^2))</f>
        <v/>
      </c>
      <c r="N716">
        <f>SQRT(1-($E$5^2)*(SIN(K716)^2))</f>
        <v/>
      </c>
    </row>
    <row r="717" ht="20" customHeight="1">
      <c r="J717" t="n">
        <v>697</v>
      </c>
      <c r="K717">
        <f>J717*PI()/(2*$B$6)</f>
        <v/>
      </c>
      <c r="L717">
        <f>IF(OR(J717=0,J717=$B$6),1,IF(MOD(J717,2)=1,4,2))</f>
        <v/>
      </c>
      <c r="M717">
        <f>1/SQRT(1-($E$5^2)*(SIN(K717)^2))</f>
        <v/>
      </c>
      <c r="N717">
        <f>SQRT(1-($E$5^2)*(SIN(K717)^2))</f>
        <v/>
      </c>
    </row>
    <row r="718" ht="20" customHeight="1">
      <c r="J718" t="n">
        <v>698</v>
      </c>
      <c r="K718">
        <f>J718*PI()/(2*$B$6)</f>
        <v/>
      </c>
      <c r="L718">
        <f>IF(OR(J718=0,J718=$B$6),1,IF(MOD(J718,2)=1,4,2))</f>
        <v/>
      </c>
      <c r="M718">
        <f>1/SQRT(1-($E$5^2)*(SIN(K718)^2))</f>
        <v/>
      </c>
      <c r="N718">
        <f>SQRT(1-($E$5^2)*(SIN(K718)^2))</f>
        <v/>
      </c>
    </row>
    <row r="719" ht="20" customHeight="1">
      <c r="J719" t="n">
        <v>699</v>
      </c>
      <c r="K719">
        <f>J719*PI()/(2*$B$6)</f>
        <v/>
      </c>
      <c r="L719">
        <f>IF(OR(J719=0,J719=$B$6),1,IF(MOD(J719,2)=1,4,2))</f>
        <v/>
      </c>
      <c r="M719">
        <f>1/SQRT(1-($E$5^2)*(SIN(K719)^2))</f>
        <v/>
      </c>
      <c r="N719">
        <f>SQRT(1-($E$5^2)*(SIN(K719)^2))</f>
        <v/>
      </c>
    </row>
    <row r="720" ht="20" customHeight="1">
      <c r="J720" t="n">
        <v>700</v>
      </c>
      <c r="K720">
        <f>J720*PI()/(2*$B$6)</f>
        <v/>
      </c>
      <c r="L720">
        <f>IF(OR(J720=0,J720=$B$6),1,IF(MOD(J720,2)=1,4,2))</f>
        <v/>
      </c>
      <c r="M720">
        <f>1/SQRT(1-($E$5^2)*(SIN(K720)^2))</f>
        <v/>
      </c>
      <c r="N720">
        <f>SQRT(1-($E$5^2)*(SIN(K720)^2))</f>
        <v/>
      </c>
    </row>
    <row r="721" ht="20" customHeight="1">
      <c r="J721" t="n">
        <v>701</v>
      </c>
      <c r="K721">
        <f>J721*PI()/(2*$B$6)</f>
        <v/>
      </c>
      <c r="L721">
        <f>IF(OR(J721=0,J721=$B$6),1,IF(MOD(J721,2)=1,4,2))</f>
        <v/>
      </c>
      <c r="M721">
        <f>1/SQRT(1-($E$5^2)*(SIN(K721)^2))</f>
        <v/>
      </c>
      <c r="N721">
        <f>SQRT(1-($E$5^2)*(SIN(K721)^2))</f>
        <v/>
      </c>
    </row>
    <row r="722" ht="20" customHeight="1">
      <c r="J722" t="n">
        <v>702</v>
      </c>
      <c r="K722">
        <f>J722*PI()/(2*$B$6)</f>
        <v/>
      </c>
      <c r="L722">
        <f>IF(OR(J722=0,J722=$B$6),1,IF(MOD(J722,2)=1,4,2))</f>
        <v/>
      </c>
      <c r="M722">
        <f>1/SQRT(1-($E$5^2)*(SIN(K722)^2))</f>
        <v/>
      </c>
      <c r="N722">
        <f>SQRT(1-($E$5^2)*(SIN(K722)^2))</f>
        <v/>
      </c>
    </row>
    <row r="723" ht="20" customHeight="1">
      <c r="J723" t="n">
        <v>703</v>
      </c>
      <c r="K723">
        <f>J723*PI()/(2*$B$6)</f>
        <v/>
      </c>
      <c r="L723">
        <f>IF(OR(J723=0,J723=$B$6),1,IF(MOD(J723,2)=1,4,2))</f>
        <v/>
      </c>
      <c r="M723">
        <f>1/SQRT(1-($E$5^2)*(SIN(K723)^2))</f>
        <v/>
      </c>
      <c r="N723">
        <f>SQRT(1-($E$5^2)*(SIN(K723)^2))</f>
        <v/>
      </c>
    </row>
    <row r="724" ht="20" customHeight="1">
      <c r="J724" t="n">
        <v>704</v>
      </c>
      <c r="K724">
        <f>J724*PI()/(2*$B$6)</f>
        <v/>
      </c>
      <c r="L724">
        <f>IF(OR(J724=0,J724=$B$6),1,IF(MOD(J724,2)=1,4,2))</f>
        <v/>
      </c>
      <c r="M724">
        <f>1/SQRT(1-($E$5^2)*(SIN(K724)^2))</f>
        <v/>
      </c>
      <c r="N724">
        <f>SQRT(1-($E$5^2)*(SIN(K724)^2))</f>
        <v/>
      </c>
    </row>
    <row r="725" ht="20" customHeight="1">
      <c r="J725" t="n">
        <v>705</v>
      </c>
      <c r="K725">
        <f>J725*PI()/(2*$B$6)</f>
        <v/>
      </c>
      <c r="L725">
        <f>IF(OR(J725=0,J725=$B$6),1,IF(MOD(J725,2)=1,4,2))</f>
        <v/>
      </c>
      <c r="M725">
        <f>1/SQRT(1-($E$5^2)*(SIN(K725)^2))</f>
        <v/>
      </c>
      <c r="N725">
        <f>SQRT(1-($E$5^2)*(SIN(K725)^2))</f>
        <v/>
      </c>
    </row>
    <row r="726" ht="20" customHeight="1">
      <c r="J726" t="n">
        <v>706</v>
      </c>
      <c r="K726">
        <f>J726*PI()/(2*$B$6)</f>
        <v/>
      </c>
      <c r="L726">
        <f>IF(OR(J726=0,J726=$B$6),1,IF(MOD(J726,2)=1,4,2))</f>
        <v/>
      </c>
      <c r="M726">
        <f>1/SQRT(1-($E$5^2)*(SIN(K726)^2))</f>
        <v/>
      </c>
      <c r="N726">
        <f>SQRT(1-($E$5^2)*(SIN(K726)^2))</f>
        <v/>
      </c>
    </row>
    <row r="727" ht="20" customHeight="1">
      <c r="J727" t="n">
        <v>707</v>
      </c>
      <c r="K727">
        <f>J727*PI()/(2*$B$6)</f>
        <v/>
      </c>
      <c r="L727">
        <f>IF(OR(J727=0,J727=$B$6),1,IF(MOD(J727,2)=1,4,2))</f>
        <v/>
      </c>
      <c r="M727">
        <f>1/SQRT(1-($E$5^2)*(SIN(K727)^2))</f>
        <v/>
      </c>
      <c r="N727">
        <f>SQRT(1-($E$5^2)*(SIN(K727)^2))</f>
        <v/>
      </c>
    </row>
    <row r="728" ht="20" customHeight="1">
      <c r="J728" t="n">
        <v>708</v>
      </c>
      <c r="K728">
        <f>J728*PI()/(2*$B$6)</f>
        <v/>
      </c>
      <c r="L728">
        <f>IF(OR(J728=0,J728=$B$6),1,IF(MOD(J728,2)=1,4,2))</f>
        <v/>
      </c>
      <c r="M728">
        <f>1/SQRT(1-($E$5^2)*(SIN(K728)^2))</f>
        <v/>
      </c>
      <c r="N728">
        <f>SQRT(1-($E$5^2)*(SIN(K728)^2))</f>
        <v/>
      </c>
    </row>
    <row r="729" ht="20" customHeight="1">
      <c r="J729" t="n">
        <v>709</v>
      </c>
      <c r="K729">
        <f>J729*PI()/(2*$B$6)</f>
        <v/>
      </c>
      <c r="L729">
        <f>IF(OR(J729=0,J729=$B$6),1,IF(MOD(J729,2)=1,4,2))</f>
        <v/>
      </c>
      <c r="M729">
        <f>1/SQRT(1-($E$5^2)*(SIN(K729)^2))</f>
        <v/>
      </c>
      <c r="N729">
        <f>SQRT(1-($E$5^2)*(SIN(K729)^2))</f>
        <v/>
      </c>
    </row>
    <row r="730" ht="20" customHeight="1">
      <c r="J730" t="n">
        <v>710</v>
      </c>
      <c r="K730">
        <f>J730*PI()/(2*$B$6)</f>
        <v/>
      </c>
      <c r="L730">
        <f>IF(OR(J730=0,J730=$B$6),1,IF(MOD(J730,2)=1,4,2))</f>
        <v/>
      </c>
      <c r="M730">
        <f>1/SQRT(1-($E$5^2)*(SIN(K730)^2))</f>
        <v/>
      </c>
      <c r="N730">
        <f>SQRT(1-($E$5^2)*(SIN(K730)^2))</f>
        <v/>
      </c>
    </row>
    <row r="731" ht="20" customHeight="1">
      <c r="J731" t="n">
        <v>711</v>
      </c>
      <c r="K731">
        <f>J731*PI()/(2*$B$6)</f>
        <v/>
      </c>
      <c r="L731">
        <f>IF(OR(J731=0,J731=$B$6),1,IF(MOD(J731,2)=1,4,2))</f>
        <v/>
      </c>
      <c r="M731">
        <f>1/SQRT(1-($E$5^2)*(SIN(K731)^2))</f>
        <v/>
      </c>
      <c r="N731">
        <f>SQRT(1-($E$5^2)*(SIN(K731)^2))</f>
        <v/>
      </c>
    </row>
    <row r="732" ht="20" customHeight="1">
      <c r="J732" t="n">
        <v>712</v>
      </c>
      <c r="K732">
        <f>J732*PI()/(2*$B$6)</f>
        <v/>
      </c>
      <c r="L732">
        <f>IF(OR(J732=0,J732=$B$6),1,IF(MOD(J732,2)=1,4,2))</f>
        <v/>
      </c>
      <c r="M732">
        <f>1/SQRT(1-($E$5^2)*(SIN(K732)^2))</f>
        <v/>
      </c>
      <c r="N732">
        <f>SQRT(1-($E$5^2)*(SIN(K732)^2))</f>
        <v/>
      </c>
    </row>
    <row r="733" ht="20" customHeight="1">
      <c r="J733" t="n">
        <v>713</v>
      </c>
      <c r="K733">
        <f>J733*PI()/(2*$B$6)</f>
        <v/>
      </c>
      <c r="L733">
        <f>IF(OR(J733=0,J733=$B$6),1,IF(MOD(J733,2)=1,4,2))</f>
        <v/>
      </c>
      <c r="M733">
        <f>1/SQRT(1-($E$5^2)*(SIN(K733)^2))</f>
        <v/>
      </c>
      <c r="N733">
        <f>SQRT(1-($E$5^2)*(SIN(K733)^2))</f>
        <v/>
      </c>
    </row>
    <row r="734" ht="20" customHeight="1">
      <c r="J734" t="n">
        <v>714</v>
      </c>
      <c r="K734">
        <f>J734*PI()/(2*$B$6)</f>
        <v/>
      </c>
      <c r="L734">
        <f>IF(OR(J734=0,J734=$B$6),1,IF(MOD(J734,2)=1,4,2))</f>
        <v/>
      </c>
      <c r="M734">
        <f>1/SQRT(1-($E$5^2)*(SIN(K734)^2))</f>
        <v/>
      </c>
      <c r="N734">
        <f>SQRT(1-($E$5^2)*(SIN(K734)^2))</f>
        <v/>
      </c>
    </row>
    <row r="735" ht="20" customHeight="1">
      <c r="J735" t="n">
        <v>715</v>
      </c>
      <c r="K735">
        <f>J735*PI()/(2*$B$6)</f>
        <v/>
      </c>
      <c r="L735">
        <f>IF(OR(J735=0,J735=$B$6),1,IF(MOD(J735,2)=1,4,2))</f>
        <v/>
      </c>
      <c r="M735">
        <f>1/SQRT(1-($E$5^2)*(SIN(K735)^2))</f>
        <v/>
      </c>
      <c r="N735">
        <f>SQRT(1-($E$5^2)*(SIN(K735)^2))</f>
        <v/>
      </c>
    </row>
    <row r="736" ht="20" customHeight="1">
      <c r="J736" t="n">
        <v>716</v>
      </c>
      <c r="K736">
        <f>J736*PI()/(2*$B$6)</f>
        <v/>
      </c>
      <c r="L736">
        <f>IF(OR(J736=0,J736=$B$6),1,IF(MOD(J736,2)=1,4,2))</f>
        <v/>
      </c>
      <c r="M736">
        <f>1/SQRT(1-($E$5^2)*(SIN(K736)^2))</f>
        <v/>
      </c>
      <c r="N736">
        <f>SQRT(1-($E$5^2)*(SIN(K736)^2))</f>
        <v/>
      </c>
    </row>
    <row r="737" ht="20" customHeight="1">
      <c r="J737" t="n">
        <v>717</v>
      </c>
      <c r="K737">
        <f>J737*PI()/(2*$B$6)</f>
        <v/>
      </c>
      <c r="L737">
        <f>IF(OR(J737=0,J737=$B$6),1,IF(MOD(J737,2)=1,4,2))</f>
        <v/>
      </c>
      <c r="M737">
        <f>1/SQRT(1-($E$5^2)*(SIN(K737)^2))</f>
        <v/>
      </c>
      <c r="N737">
        <f>SQRT(1-($E$5^2)*(SIN(K737)^2))</f>
        <v/>
      </c>
    </row>
    <row r="738" ht="20" customHeight="1">
      <c r="J738" t="n">
        <v>718</v>
      </c>
      <c r="K738">
        <f>J738*PI()/(2*$B$6)</f>
        <v/>
      </c>
      <c r="L738">
        <f>IF(OR(J738=0,J738=$B$6),1,IF(MOD(J738,2)=1,4,2))</f>
        <v/>
      </c>
      <c r="M738">
        <f>1/SQRT(1-($E$5^2)*(SIN(K738)^2))</f>
        <v/>
      </c>
      <c r="N738">
        <f>SQRT(1-($E$5^2)*(SIN(K738)^2))</f>
        <v/>
      </c>
    </row>
    <row r="739" ht="20" customHeight="1">
      <c r="J739" t="n">
        <v>719</v>
      </c>
      <c r="K739">
        <f>J739*PI()/(2*$B$6)</f>
        <v/>
      </c>
      <c r="L739">
        <f>IF(OR(J739=0,J739=$B$6),1,IF(MOD(J739,2)=1,4,2))</f>
        <v/>
      </c>
      <c r="M739">
        <f>1/SQRT(1-($E$5^2)*(SIN(K739)^2))</f>
        <v/>
      </c>
      <c r="N739">
        <f>SQRT(1-($E$5^2)*(SIN(K739)^2))</f>
        <v/>
      </c>
    </row>
    <row r="740" ht="20" customHeight="1">
      <c r="J740" t="n">
        <v>720</v>
      </c>
      <c r="K740">
        <f>J740*PI()/(2*$B$6)</f>
        <v/>
      </c>
      <c r="L740">
        <f>IF(OR(J740=0,J740=$B$6),1,IF(MOD(J740,2)=1,4,2))</f>
        <v/>
      </c>
      <c r="M740">
        <f>1/SQRT(1-($E$5^2)*(SIN(K740)^2))</f>
        <v/>
      </c>
      <c r="N740">
        <f>SQRT(1-($E$5^2)*(SIN(K740)^2))</f>
        <v/>
      </c>
    </row>
    <row r="741" ht="20" customHeight="1">
      <c r="J741" t="n">
        <v>721</v>
      </c>
      <c r="K741">
        <f>J741*PI()/(2*$B$6)</f>
        <v/>
      </c>
      <c r="L741">
        <f>IF(OR(J741=0,J741=$B$6),1,IF(MOD(J741,2)=1,4,2))</f>
        <v/>
      </c>
      <c r="M741">
        <f>1/SQRT(1-($E$5^2)*(SIN(K741)^2))</f>
        <v/>
      </c>
      <c r="N741">
        <f>SQRT(1-($E$5^2)*(SIN(K741)^2))</f>
        <v/>
      </c>
    </row>
    <row r="742" ht="20" customHeight="1">
      <c r="J742" t="n">
        <v>722</v>
      </c>
      <c r="K742">
        <f>J742*PI()/(2*$B$6)</f>
        <v/>
      </c>
      <c r="L742">
        <f>IF(OR(J742=0,J742=$B$6),1,IF(MOD(J742,2)=1,4,2))</f>
        <v/>
      </c>
      <c r="M742">
        <f>1/SQRT(1-($E$5^2)*(SIN(K742)^2))</f>
        <v/>
      </c>
      <c r="N742">
        <f>SQRT(1-($E$5^2)*(SIN(K742)^2))</f>
        <v/>
      </c>
    </row>
    <row r="743" ht="20" customHeight="1">
      <c r="J743" t="n">
        <v>723</v>
      </c>
      <c r="K743">
        <f>J743*PI()/(2*$B$6)</f>
        <v/>
      </c>
      <c r="L743">
        <f>IF(OR(J743=0,J743=$B$6),1,IF(MOD(J743,2)=1,4,2))</f>
        <v/>
      </c>
      <c r="M743">
        <f>1/SQRT(1-($E$5^2)*(SIN(K743)^2))</f>
        <v/>
      </c>
      <c r="N743">
        <f>SQRT(1-($E$5^2)*(SIN(K743)^2))</f>
        <v/>
      </c>
    </row>
    <row r="744" ht="20" customHeight="1">
      <c r="J744" t="n">
        <v>724</v>
      </c>
      <c r="K744">
        <f>J744*PI()/(2*$B$6)</f>
        <v/>
      </c>
      <c r="L744">
        <f>IF(OR(J744=0,J744=$B$6),1,IF(MOD(J744,2)=1,4,2))</f>
        <v/>
      </c>
      <c r="M744">
        <f>1/SQRT(1-($E$5^2)*(SIN(K744)^2))</f>
        <v/>
      </c>
      <c r="N744">
        <f>SQRT(1-($E$5^2)*(SIN(K744)^2))</f>
        <v/>
      </c>
    </row>
    <row r="745" ht="20" customHeight="1">
      <c r="J745" t="n">
        <v>725</v>
      </c>
      <c r="K745">
        <f>J745*PI()/(2*$B$6)</f>
        <v/>
      </c>
      <c r="L745">
        <f>IF(OR(J745=0,J745=$B$6),1,IF(MOD(J745,2)=1,4,2))</f>
        <v/>
      </c>
      <c r="M745">
        <f>1/SQRT(1-($E$5^2)*(SIN(K745)^2))</f>
        <v/>
      </c>
      <c r="N745">
        <f>SQRT(1-($E$5^2)*(SIN(K745)^2))</f>
        <v/>
      </c>
    </row>
    <row r="746" ht="20" customHeight="1">
      <c r="J746" t="n">
        <v>726</v>
      </c>
      <c r="K746">
        <f>J746*PI()/(2*$B$6)</f>
        <v/>
      </c>
      <c r="L746">
        <f>IF(OR(J746=0,J746=$B$6),1,IF(MOD(J746,2)=1,4,2))</f>
        <v/>
      </c>
      <c r="M746">
        <f>1/SQRT(1-($E$5^2)*(SIN(K746)^2))</f>
        <v/>
      </c>
      <c r="N746">
        <f>SQRT(1-($E$5^2)*(SIN(K746)^2))</f>
        <v/>
      </c>
    </row>
    <row r="747" ht="20" customHeight="1">
      <c r="J747" t="n">
        <v>727</v>
      </c>
      <c r="K747">
        <f>J747*PI()/(2*$B$6)</f>
        <v/>
      </c>
      <c r="L747">
        <f>IF(OR(J747=0,J747=$B$6),1,IF(MOD(J747,2)=1,4,2))</f>
        <v/>
      </c>
      <c r="M747">
        <f>1/SQRT(1-($E$5^2)*(SIN(K747)^2))</f>
        <v/>
      </c>
      <c r="N747">
        <f>SQRT(1-($E$5^2)*(SIN(K747)^2))</f>
        <v/>
      </c>
    </row>
    <row r="748" ht="20" customHeight="1">
      <c r="J748" t="n">
        <v>728</v>
      </c>
      <c r="K748">
        <f>J748*PI()/(2*$B$6)</f>
        <v/>
      </c>
      <c r="L748">
        <f>IF(OR(J748=0,J748=$B$6),1,IF(MOD(J748,2)=1,4,2))</f>
        <v/>
      </c>
      <c r="M748">
        <f>1/SQRT(1-($E$5^2)*(SIN(K748)^2))</f>
        <v/>
      </c>
      <c r="N748">
        <f>SQRT(1-($E$5^2)*(SIN(K748)^2))</f>
        <v/>
      </c>
    </row>
    <row r="749" ht="20" customHeight="1">
      <c r="J749" t="n">
        <v>729</v>
      </c>
      <c r="K749">
        <f>J749*PI()/(2*$B$6)</f>
        <v/>
      </c>
      <c r="L749">
        <f>IF(OR(J749=0,J749=$B$6),1,IF(MOD(J749,2)=1,4,2))</f>
        <v/>
      </c>
      <c r="M749">
        <f>1/SQRT(1-($E$5^2)*(SIN(K749)^2))</f>
        <v/>
      </c>
      <c r="N749">
        <f>SQRT(1-($E$5^2)*(SIN(K749)^2))</f>
        <v/>
      </c>
    </row>
    <row r="750" ht="20" customHeight="1">
      <c r="J750" t="n">
        <v>730</v>
      </c>
      <c r="K750">
        <f>J750*PI()/(2*$B$6)</f>
        <v/>
      </c>
      <c r="L750">
        <f>IF(OR(J750=0,J750=$B$6),1,IF(MOD(J750,2)=1,4,2))</f>
        <v/>
      </c>
      <c r="M750">
        <f>1/SQRT(1-($E$5^2)*(SIN(K750)^2))</f>
        <v/>
      </c>
      <c r="N750">
        <f>SQRT(1-($E$5^2)*(SIN(K750)^2))</f>
        <v/>
      </c>
    </row>
    <row r="751" ht="20" customHeight="1">
      <c r="J751" t="n">
        <v>731</v>
      </c>
      <c r="K751">
        <f>J751*PI()/(2*$B$6)</f>
        <v/>
      </c>
      <c r="L751">
        <f>IF(OR(J751=0,J751=$B$6),1,IF(MOD(J751,2)=1,4,2))</f>
        <v/>
      </c>
      <c r="M751">
        <f>1/SQRT(1-($E$5^2)*(SIN(K751)^2))</f>
        <v/>
      </c>
      <c r="N751">
        <f>SQRT(1-($E$5^2)*(SIN(K751)^2))</f>
        <v/>
      </c>
    </row>
    <row r="752" ht="20" customHeight="1">
      <c r="J752" t="n">
        <v>732</v>
      </c>
      <c r="K752">
        <f>J752*PI()/(2*$B$6)</f>
        <v/>
      </c>
      <c r="L752">
        <f>IF(OR(J752=0,J752=$B$6),1,IF(MOD(J752,2)=1,4,2))</f>
        <v/>
      </c>
      <c r="M752">
        <f>1/SQRT(1-($E$5^2)*(SIN(K752)^2))</f>
        <v/>
      </c>
      <c r="N752">
        <f>SQRT(1-($E$5^2)*(SIN(K752)^2))</f>
        <v/>
      </c>
    </row>
    <row r="753" ht="20" customHeight="1">
      <c r="J753" t="n">
        <v>733</v>
      </c>
      <c r="K753">
        <f>J753*PI()/(2*$B$6)</f>
        <v/>
      </c>
      <c r="L753">
        <f>IF(OR(J753=0,J753=$B$6),1,IF(MOD(J753,2)=1,4,2))</f>
        <v/>
      </c>
      <c r="M753">
        <f>1/SQRT(1-($E$5^2)*(SIN(K753)^2))</f>
        <v/>
      </c>
      <c r="N753">
        <f>SQRT(1-($E$5^2)*(SIN(K753)^2))</f>
        <v/>
      </c>
    </row>
    <row r="754" ht="20" customHeight="1">
      <c r="J754" t="n">
        <v>734</v>
      </c>
      <c r="K754">
        <f>J754*PI()/(2*$B$6)</f>
        <v/>
      </c>
      <c r="L754">
        <f>IF(OR(J754=0,J754=$B$6),1,IF(MOD(J754,2)=1,4,2))</f>
        <v/>
      </c>
      <c r="M754">
        <f>1/SQRT(1-($E$5^2)*(SIN(K754)^2))</f>
        <v/>
      </c>
      <c r="N754">
        <f>SQRT(1-($E$5^2)*(SIN(K754)^2))</f>
        <v/>
      </c>
    </row>
    <row r="755" ht="20" customHeight="1">
      <c r="J755" t="n">
        <v>735</v>
      </c>
      <c r="K755">
        <f>J755*PI()/(2*$B$6)</f>
        <v/>
      </c>
      <c r="L755">
        <f>IF(OR(J755=0,J755=$B$6),1,IF(MOD(J755,2)=1,4,2))</f>
        <v/>
      </c>
      <c r="M755">
        <f>1/SQRT(1-($E$5^2)*(SIN(K755)^2))</f>
        <v/>
      </c>
      <c r="N755">
        <f>SQRT(1-($E$5^2)*(SIN(K755)^2))</f>
        <v/>
      </c>
    </row>
    <row r="756" ht="20" customHeight="1">
      <c r="J756" t="n">
        <v>736</v>
      </c>
      <c r="K756">
        <f>J756*PI()/(2*$B$6)</f>
        <v/>
      </c>
      <c r="L756">
        <f>IF(OR(J756=0,J756=$B$6),1,IF(MOD(J756,2)=1,4,2))</f>
        <v/>
      </c>
      <c r="M756">
        <f>1/SQRT(1-($E$5^2)*(SIN(K756)^2))</f>
        <v/>
      </c>
      <c r="N756">
        <f>SQRT(1-($E$5^2)*(SIN(K756)^2))</f>
        <v/>
      </c>
    </row>
    <row r="757" ht="20" customHeight="1">
      <c r="J757" t="n">
        <v>737</v>
      </c>
      <c r="K757">
        <f>J757*PI()/(2*$B$6)</f>
        <v/>
      </c>
      <c r="L757">
        <f>IF(OR(J757=0,J757=$B$6),1,IF(MOD(J757,2)=1,4,2))</f>
        <v/>
      </c>
      <c r="M757">
        <f>1/SQRT(1-($E$5^2)*(SIN(K757)^2))</f>
        <v/>
      </c>
      <c r="N757">
        <f>SQRT(1-($E$5^2)*(SIN(K757)^2))</f>
        <v/>
      </c>
    </row>
    <row r="758" ht="20" customHeight="1">
      <c r="J758" t="n">
        <v>738</v>
      </c>
      <c r="K758">
        <f>J758*PI()/(2*$B$6)</f>
        <v/>
      </c>
      <c r="L758">
        <f>IF(OR(J758=0,J758=$B$6),1,IF(MOD(J758,2)=1,4,2))</f>
        <v/>
      </c>
      <c r="M758">
        <f>1/SQRT(1-($E$5^2)*(SIN(K758)^2))</f>
        <v/>
      </c>
      <c r="N758">
        <f>SQRT(1-($E$5^2)*(SIN(K758)^2))</f>
        <v/>
      </c>
    </row>
    <row r="759" ht="20" customHeight="1">
      <c r="J759" t="n">
        <v>739</v>
      </c>
      <c r="K759">
        <f>J759*PI()/(2*$B$6)</f>
        <v/>
      </c>
      <c r="L759">
        <f>IF(OR(J759=0,J759=$B$6),1,IF(MOD(J759,2)=1,4,2))</f>
        <v/>
      </c>
      <c r="M759">
        <f>1/SQRT(1-($E$5^2)*(SIN(K759)^2))</f>
        <v/>
      </c>
      <c r="N759">
        <f>SQRT(1-($E$5^2)*(SIN(K759)^2))</f>
        <v/>
      </c>
    </row>
    <row r="760" ht="20" customHeight="1">
      <c r="J760" t="n">
        <v>740</v>
      </c>
      <c r="K760">
        <f>J760*PI()/(2*$B$6)</f>
        <v/>
      </c>
      <c r="L760">
        <f>IF(OR(J760=0,J760=$B$6),1,IF(MOD(J760,2)=1,4,2))</f>
        <v/>
      </c>
      <c r="M760">
        <f>1/SQRT(1-($E$5^2)*(SIN(K760)^2))</f>
        <v/>
      </c>
      <c r="N760">
        <f>SQRT(1-($E$5^2)*(SIN(K760)^2))</f>
        <v/>
      </c>
    </row>
    <row r="761" ht="20" customHeight="1">
      <c r="J761" t="n">
        <v>741</v>
      </c>
      <c r="K761">
        <f>J761*PI()/(2*$B$6)</f>
        <v/>
      </c>
      <c r="L761">
        <f>IF(OR(J761=0,J761=$B$6),1,IF(MOD(J761,2)=1,4,2))</f>
        <v/>
      </c>
      <c r="M761">
        <f>1/SQRT(1-($E$5^2)*(SIN(K761)^2))</f>
        <v/>
      </c>
      <c r="N761">
        <f>SQRT(1-($E$5^2)*(SIN(K761)^2))</f>
        <v/>
      </c>
    </row>
    <row r="762" ht="20" customHeight="1">
      <c r="J762" t="n">
        <v>742</v>
      </c>
      <c r="K762">
        <f>J762*PI()/(2*$B$6)</f>
        <v/>
      </c>
      <c r="L762">
        <f>IF(OR(J762=0,J762=$B$6),1,IF(MOD(J762,2)=1,4,2))</f>
        <v/>
      </c>
      <c r="M762">
        <f>1/SQRT(1-($E$5^2)*(SIN(K762)^2))</f>
        <v/>
      </c>
      <c r="N762">
        <f>SQRT(1-($E$5^2)*(SIN(K762)^2))</f>
        <v/>
      </c>
    </row>
    <row r="763" ht="20" customHeight="1">
      <c r="J763" t="n">
        <v>743</v>
      </c>
      <c r="K763">
        <f>J763*PI()/(2*$B$6)</f>
        <v/>
      </c>
      <c r="L763">
        <f>IF(OR(J763=0,J763=$B$6),1,IF(MOD(J763,2)=1,4,2))</f>
        <v/>
      </c>
      <c r="M763">
        <f>1/SQRT(1-($E$5^2)*(SIN(K763)^2))</f>
        <v/>
      </c>
      <c r="N763">
        <f>SQRT(1-($E$5^2)*(SIN(K763)^2))</f>
        <v/>
      </c>
    </row>
    <row r="764" ht="20" customHeight="1">
      <c r="J764" t="n">
        <v>744</v>
      </c>
      <c r="K764">
        <f>J764*PI()/(2*$B$6)</f>
        <v/>
      </c>
      <c r="L764">
        <f>IF(OR(J764=0,J764=$B$6),1,IF(MOD(J764,2)=1,4,2))</f>
        <v/>
      </c>
      <c r="M764">
        <f>1/SQRT(1-($E$5^2)*(SIN(K764)^2))</f>
        <v/>
      </c>
      <c r="N764">
        <f>SQRT(1-($E$5^2)*(SIN(K764)^2))</f>
        <v/>
      </c>
    </row>
    <row r="765" ht="20" customHeight="1">
      <c r="J765" t="n">
        <v>745</v>
      </c>
      <c r="K765">
        <f>J765*PI()/(2*$B$6)</f>
        <v/>
      </c>
      <c r="L765">
        <f>IF(OR(J765=0,J765=$B$6),1,IF(MOD(J765,2)=1,4,2))</f>
        <v/>
      </c>
      <c r="M765">
        <f>1/SQRT(1-($E$5^2)*(SIN(K765)^2))</f>
        <v/>
      </c>
      <c r="N765">
        <f>SQRT(1-($E$5^2)*(SIN(K765)^2))</f>
        <v/>
      </c>
    </row>
    <row r="766" ht="20" customHeight="1">
      <c r="J766" t="n">
        <v>746</v>
      </c>
      <c r="K766">
        <f>J766*PI()/(2*$B$6)</f>
        <v/>
      </c>
      <c r="L766">
        <f>IF(OR(J766=0,J766=$B$6),1,IF(MOD(J766,2)=1,4,2))</f>
        <v/>
      </c>
      <c r="M766">
        <f>1/SQRT(1-($E$5^2)*(SIN(K766)^2))</f>
        <v/>
      </c>
      <c r="N766">
        <f>SQRT(1-($E$5^2)*(SIN(K766)^2))</f>
        <v/>
      </c>
    </row>
    <row r="767" ht="20" customHeight="1">
      <c r="J767" t="n">
        <v>747</v>
      </c>
      <c r="K767">
        <f>J767*PI()/(2*$B$6)</f>
        <v/>
      </c>
      <c r="L767">
        <f>IF(OR(J767=0,J767=$B$6),1,IF(MOD(J767,2)=1,4,2))</f>
        <v/>
      </c>
      <c r="M767">
        <f>1/SQRT(1-($E$5^2)*(SIN(K767)^2))</f>
        <v/>
      </c>
      <c r="N767">
        <f>SQRT(1-($E$5^2)*(SIN(K767)^2))</f>
        <v/>
      </c>
    </row>
    <row r="768" ht="20" customHeight="1">
      <c r="J768" t="n">
        <v>748</v>
      </c>
      <c r="K768">
        <f>J768*PI()/(2*$B$6)</f>
        <v/>
      </c>
      <c r="L768">
        <f>IF(OR(J768=0,J768=$B$6),1,IF(MOD(J768,2)=1,4,2))</f>
        <v/>
      </c>
      <c r="M768">
        <f>1/SQRT(1-($E$5^2)*(SIN(K768)^2))</f>
        <v/>
      </c>
      <c r="N768">
        <f>SQRT(1-($E$5^2)*(SIN(K768)^2))</f>
        <v/>
      </c>
    </row>
    <row r="769" ht="20" customHeight="1">
      <c r="J769" t="n">
        <v>749</v>
      </c>
      <c r="K769">
        <f>J769*PI()/(2*$B$6)</f>
        <v/>
      </c>
      <c r="L769">
        <f>IF(OR(J769=0,J769=$B$6),1,IF(MOD(J769,2)=1,4,2))</f>
        <v/>
      </c>
      <c r="M769">
        <f>1/SQRT(1-($E$5^2)*(SIN(K769)^2))</f>
        <v/>
      </c>
      <c r="N769">
        <f>SQRT(1-($E$5^2)*(SIN(K769)^2))</f>
        <v/>
      </c>
    </row>
    <row r="770" ht="20" customHeight="1">
      <c r="J770" t="n">
        <v>750</v>
      </c>
      <c r="K770">
        <f>J770*PI()/(2*$B$6)</f>
        <v/>
      </c>
      <c r="L770">
        <f>IF(OR(J770=0,J770=$B$6),1,IF(MOD(J770,2)=1,4,2))</f>
        <v/>
      </c>
      <c r="M770">
        <f>1/SQRT(1-($E$5^2)*(SIN(K770)^2))</f>
        <v/>
      </c>
      <c r="N770">
        <f>SQRT(1-($E$5^2)*(SIN(K770)^2))</f>
        <v/>
      </c>
    </row>
    <row r="771" ht="20" customHeight="1">
      <c r="J771" t="n">
        <v>751</v>
      </c>
      <c r="K771">
        <f>J771*PI()/(2*$B$6)</f>
        <v/>
      </c>
      <c r="L771">
        <f>IF(OR(J771=0,J771=$B$6),1,IF(MOD(J771,2)=1,4,2))</f>
        <v/>
      </c>
      <c r="M771">
        <f>1/SQRT(1-($E$5^2)*(SIN(K771)^2))</f>
        <v/>
      </c>
      <c r="N771">
        <f>SQRT(1-($E$5^2)*(SIN(K771)^2))</f>
        <v/>
      </c>
    </row>
    <row r="772" ht="20" customHeight="1">
      <c r="J772" t="n">
        <v>752</v>
      </c>
      <c r="K772">
        <f>J772*PI()/(2*$B$6)</f>
        <v/>
      </c>
      <c r="L772">
        <f>IF(OR(J772=0,J772=$B$6),1,IF(MOD(J772,2)=1,4,2))</f>
        <v/>
      </c>
      <c r="M772">
        <f>1/SQRT(1-($E$5^2)*(SIN(K772)^2))</f>
        <v/>
      </c>
      <c r="N772">
        <f>SQRT(1-($E$5^2)*(SIN(K772)^2))</f>
        <v/>
      </c>
    </row>
    <row r="773" ht="20" customHeight="1">
      <c r="J773" t="n">
        <v>753</v>
      </c>
      <c r="K773">
        <f>J773*PI()/(2*$B$6)</f>
        <v/>
      </c>
      <c r="L773">
        <f>IF(OR(J773=0,J773=$B$6),1,IF(MOD(J773,2)=1,4,2))</f>
        <v/>
      </c>
      <c r="M773">
        <f>1/SQRT(1-($E$5^2)*(SIN(K773)^2))</f>
        <v/>
      </c>
      <c r="N773">
        <f>SQRT(1-($E$5^2)*(SIN(K773)^2))</f>
        <v/>
      </c>
    </row>
    <row r="774" ht="20" customHeight="1">
      <c r="J774" t="n">
        <v>754</v>
      </c>
      <c r="K774">
        <f>J774*PI()/(2*$B$6)</f>
        <v/>
      </c>
      <c r="L774">
        <f>IF(OR(J774=0,J774=$B$6),1,IF(MOD(J774,2)=1,4,2))</f>
        <v/>
      </c>
      <c r="M774">
        <f>1/SQRT(1-($E$5^2)*(SIN(K774)^2))</f>
        <v/>
      </c>
      <c r="N774">
        <f>SQRT(1-($E$5^2)*(SIN(K774)^2))</f>
        <v/>
      </c>
    </row>
    <row r="775" ht="20" customHeight="1">
      <c r="J775" t="n">
        <v>755</v>
      </c>
      <c r="K775">
        <f>J775*PI()/(2*$B$6)</f>
        <v/>
      </c>
      <c r="L775">
        <f>IF(OR(J775=0,J775=$B$6),1,IF(MOD(J775,2)=1,4,2))</f>
        <v/>
      </c>
      <c r="M775">
        <f>1/SQRT(1-($E$5^2)*(SIN(K775)^2))</f>
        <v/>
      </c>
      <c r="N775">
        <f>SQRT(1-($E$5^2)*(SIN(K775)^2))</f>
        <v/>
      </c>
    </row>
    <row r="776" ht="20" customHeight="1">
      <c r="J776" t="n">
        <v>756</v>
      </c>
      <c r="K776">
        <f>J776*PI()/(2*$B$6)</f>
        <v/>
      </c>
      <c r="L776">
        <f>IF(OR(J776=0,J776=$B$6),1,IF(MOD(J776,2)=1,4,2))</f>
        <v/>
      </c>
      <c r="M776">
        <f>1/SQRT(1-($E$5^2)*(SIN(K776)^2))</f>
        <v/>
      </c>
      <c r="N776">
        <f>SQRT(1-($E$5^2)*(SIN(K776)^2))</f>
        <v/>
      </c>
    </row>
    <row r="777" ht="20" customHeight="1">
      <c r="J777" t="n">
        <v>757</v>
      </c>
      <c r="K777">
        <f>J777*PI()/(2*$B$6)</f>
        <v/>
      </c>
      <c r="L777">
        <f>IF(OR(J777=0,J777=$B$6),1,IF(MOD(J777,2)=1,4,2))</f>
        <v/>
      </c>
      <c r="M777">
        <f>1/SQRT(1-($E$5^2)*(SIN(K777)^2))</f>
        <v/>
      </c>
      <c r="N777">
        <f>SQRT(1-($E$5^2)*(SIN(K777)^2))</f>
        <v/>
      </c>
    </row>
    <row r="778" ht="20" customHeight="1">
      <c r="J778" t="n">
        <v>758</v>
      </c>
      <c r="K778">
        <f>J778*PI()/(2*$B$6)</f>
        <v/>
      </c>
      <c r="L778">
        <f>IF(OR(J778=0,J778=$B$6),1,IF(MOD(J778,2)=1,4,2))</f>
        <v/>
      </c>
      <c r="M778">
        <f>1/SQRT(1-($E$5^2)*(SIN(K778)^2))</f>
        <v/>
      </c>
      <c r="N778">
        <f>SQRT(1-($E$5^2)*(SIN(K778)^2))</f>
        <v/>
      </c>
    </row>
    <row r="779" ht="20" customHeight="1">
      <c r="J779" t="n">
        <v>759</v>
      </c>
      <c r="K779">
        <f>J779*PI()/(2*$B$6)</f>
        <v/>
      </c>
      <c r="L779">
        <f>IF(OR(J779=0,J779=$B$6),1,IF(MOD(J779,2)=1,4,2))</f>
        <v/>
      </c>
      <c r="M779">
        <f>1/SQRT(1-($E$5^2)*(SIN(K779)^2))</f>
        <v/>
      </c>
      <c r="N779">
        <f>SQRT(1-($E$5^2)*(SIN(K779)^2))</f>
        <v/>
      </c>
    </row>
    <row r="780" ht="20" customHeight="1">
      <c r="J780" t="n">
        <v>760</v>
      </c>
      <c r="K780">
        <f>J780*PI()/(2*$B$6)</f>
        <v/>
      </c>
      <c r="L780">
        <f>IF(OR(J780=0,J780=$B$6),1,IF(MOD(J780,2)=1,4,2))</f>
        <v/>
      </c>
      <c r="M780">
        <f>1/SQRT(1-($E$5^2)*(SIN(K780)^2))</f>
        <v/>
      </c>
      <c r="N780">
        <f>SQRT(1-($E$5^2)*(SIN(K780)^2))</f>
        <v/>
      </c>
    </row>
    <row r="781" ht="20" customHeight="1">
      <c r="J781" t="n">
        <v>761</v>
      </c>
      <c r="K781">
        <f>J781*PI()/(2*$B$6)</f>
        <v/>
      </c>
      <c r="L781">
        <f>IF(OR(J781=0,J781=$B$6),1,IF(MOD(J781,2)=1,4,2))</f>
        <v/>
      </c>
      <c r="M781">
        <f>1/SQRT(1-($E$5^2)*(SIN(K781)^2))</f>
        <v/>
      </c>
      <c r="N781">
        <f>SQRT(1-($E$5^2)*(SIN(K781)^2))</f>
        <v/>
      </c>
    </row>
    <row r="782" ht="20" customHeight="1">
      <c r="J782" t="n">
        <v>762</v>
      </c>
      <c r="K782">
        <f>J782*PI()/(2*$B$6)</f>
        <v/>
      </c>
      <c r="L782">
        <f>IF(OR(J782=0,J782=$B$6),1,IF(MOD(J782,2)=1,4,2))</f>
        <v/>
      </c>
      <c r="M782">
        <f>1/SQRT(1-($E$5^2)*(SIN(K782)^2))</f>
        <v/>
      </c>
      <c r="N782">
        <f>SQRT(1-($E$5^2)*(SIN(K782)^2))</f>
        <v/>
      </c>
    </row>
    <row r="783" ht="20" customHeight="1">
      <c r="J783" t="n">
        <v>763</v>
      </c>
      <c r="K783">
        <f>J783*PI()/(2*$B$6)</f>
        <v/>
      </c>
      <c r="L783">
        <f>IF(OR(J783=0,J783=$B$6),1,IF(MOD(J783,2)=1,4,2))</f>
        <v/>
      </c>
      <c r="M783">
        <f>1/SQRT(1-($E$5^2)*(SIN(K783)^2))</f>
        <v/>
      </c>
      <c r="N783">
        <f>SQRT(1-($E$5^2)*(SIN(K783)^2))</f>
        <v/>
      </c>
    </row>
    <row r="784" ht="20" customHeight="1">
      <c r="J784" t="n">
        <v>764</v>
      </c>
      <c r="K784">
        <f>J784*PI()/(2*$B$6)</f>
        <v/>
      </c>
      <c r="L784">
        <f>IF(OR(J784=0,J784=$B$6),1,IF(MOD(J784,2)=1,4,2))</f>
        <v/>
      </c>
      <c r="M784">
        <f>1/SQRT(1-($E$5^2)*(SIN(K784)^2))</f>
        <v/>
      </c>
      <c r="N784">
        <f>SQRT(1-($E$5^2)*(SIN(K784)^2))</f>
        <v/>
      </c>
    </row>
    <row r="785" ht="20" customHeight="1">
      <c r="J785" t="n">
        <v>765</v>
      </c>
      <c r="K785">
        <f>J785*PI()/(2*$B$6)</f>
        <v/>
      </c>
      <c r="L785">
        <f>IF(OR(J785=0,J785=$B$6),1,IF(MOD(J785,2)=1,4,2))</f>
        <v/>
      </c>
      <c r="M785">
        <f>1/SQRT(1-($E$5^2)*(SIN(K785)^2))</f>
        <v/>
      </c>
      <c r="N785">
        <f>SQRT(1-($E$5^2)*(SIN(K785)^2))</f>
        <v/>
      </c>
    </row>
    <row r="786" ht="20" customHeight="1">
      <c r="J786" t="n">
        <v>766</v>
      </c>
      <c r="K786">
        <f>J786*PI()/(2*$B$6)</f>
        <v/>
      </c>
      <c r="L786">
        <f>IF(OR(J786=0,J786=$B$6),1,IF(MOD(J786,2)=1,4,2))</f>
        <v/>
      </c>
      <c r="M786">
        <f>1/SQRT(1-($E$5^2)*(SIN(K786)^2))</f>
        <v/>
      </c>
      <c r="N786">
        <f>SQRT(1-($E$5^2)*(SIN(K786)^2))</f>
        <v/>
      </c>
    </row>
    <row r="787" ht="20" customHeight="1">
      <c r="J787" t="n">
        <v>767</v>
      </c>
      <c r="K787">
        <f>J787*PI()/(2*$B$6)</f>
        <v/>
      </c>
      <c r="L787">
        <f>IF(OR(J787=0,J787=$B$6),1,IF(MOD(J787,2)=1,4,2))</f>
        <v/>
      </c>
      <c r="M787">
        <f>1/SQRT(1-($E$5^2)*(SIN(K787)^2))</f>
        <v/>
      </c>
      <c r="N787">
        <f>SQRT(1-($E$5^2)*(SIN(K787)^2))</f>
        <v/>
      </c>
    </row>
    <row r="788" ht="20" customHeight="1">
      <c r="J788" t="n">
        <v>768</v>
      </c>
      <c r="K788">
        <f>J788*PI()/(2*$B$6)</f>
        <v/>
      </c>
      <c r="L788">
        <f>IF(OR(J788=0,J788=$B$6),1,IF(MOD(J788,2)=1,4,2))</f>
        <v/>
      </c>
      <c r="M788">
        <f>1/SQRT(1-($E$5^2)*(SIN(K788)^2))</f>
        <v/>
      </c>
      <c r="N788">
        <f>SQRT(1-($E$5^2)*(SIN(K788)^2))</f>
        <v/>
      </c>
    </row>
    <row r="789" ht="20" customHeight="1">
      <c r="J789" t="n">
        <v>769</v>
      </c>
      <c r="K789">
        <f>J789*PI()/(2*$B$6)</f>
        <v/>
      </c>
      <c r="L789">
        <f>IF(OR(J789=0,J789=$B$6),1,IF(MOD(J789,2)=1,4,2))</f>
        <v/>
      </c>
      <c r="M789">
        <f>1/SQRT(1-($E$5^2)*(SIN(K789)^2))</f>
        <v/>
      </c>
      <c r="N789">
        <f>SQRT(1-($E$5^2)*(SIN(K789)^2))</f>
        <v/>
      </c>
    </row>
    <row r="790" ht="20" customHeight="1">
      <c r="J790" t="n">
        <v>770</v>
      </c>
      <c r="K790">
        <f>J790*PI()/(2*$B$6)</f>
        <v/>
      </c>
      <c r="L790">
        <f>IF(OR(J790=0,J790=$B$6),1,IF(MOD(J790,2)=1,4,2))</f>
        <v/>
      </c>
      <c r="M790">
        <f>1/SQRT(1-($E$5^2)*(SIN(K790)^2))</f>
        <v/>
      </c>
      <c r="N790">
        <f>SQRT(1-($E$5^2)*(SIN(K790)^2))</f>
        <v/>
      </c>
    </row>
    <row r="791" ht="20" customHeight="1">
      <c r="J791" t="n">
        <v>771</v>
      </c>
      <c r="K791">
        <f>J791*PI()/(2*$B$6)</f>
        <v/>
      </c>
      <c r="L791">
        <f>IF(OR(J791=0,J791=$B$6),1,IF(MOD(J791,2)=1,4,2))</f>
        <v/>
      </c>
      <c r="M791">
        <f>1/SQRT(1-($E$5^2)*(SIN(K791)^2))</f>
        <v/>
      </c>
      <c r="N791">
        <f>SQRT(1-($E$5^2)*(SIN(K791)^2))</f>
        <v/>
      </c>
    </row>
    <row r="792" ht="20" customHeight="1">
      <c r="J792" t="n">
        <v>772</v>
      </c>
      <c r="K792">
        <f>J792*PI()/(2*$B$6)</f>
        <v/>
      </c>
      <c r="L792">
        <f>IF(OR(J792=0,J792=$B$6),1,IF(MOD(J792,2)=1,4,2))</f>
        <v/>
      </c>
      <c r="M792">
        <f>1/SQRT(1-($E$5^2)*(SIN(K792)^2))</f>
        <v/>
      </c>
      <c r="N792">
        <f>SQRT(1-($E$5^2)*(SIN(K792)^2))</f>
        <v/>
      </c>
    </row>
    <row r="793" ht="20" customHeight="1">
      <c r="J793" t="n">
        <v>773</v>
      </c>
      <c r="K793">
        <f>J793*PI()/(2*$B$6)</f>
        <v/>
      </c>
      <c r="L793">
        <f>IF(OR(J793=0,J793=$B$6),1,IF(MOD(J793,2)=1,4,2))</f>
        <v/>
      </c>
      <c r="M793">
        <f>1/SQRT(1-($E$5^2)*(SIN(K793)^2))</f>
        <v/>
      </c>
      <c r="N793">
        <f>SQRT(1-($E$5^2)*(SIN(K793)^2))</f>
        <v/>
      </c>
    </row>
    <row r="794" ht="20" customHeight="1">
      <c r="J794" t="n">
        <v>774</v>
      </c>
      <c r="K794">
        <f>J794*PI()/(2*$B$6)</f>
        <v/>
      </c>
      <c r="L794">
        <f>IF(OR(J794=0,J794=$B$6),1,IF(MOD(J794,2)=1,4,2))</f>
        <v/>
      </c>
      <c r="M794">
        <f>1/SQRT(1-($E$5^2)*(SIN(K794)^2))</f>
        <v/>
      </c>
      <c r="N794">
        <f>SQRT(1-($E$5^2)*(SIN(K794)^2))</f>
        <v/>
      </c>
    </row>
    <row r="795" ht="20" customHeight="1">
      <c r="J795" t="n">
        <v>775</v>
      </c>
      <c r="K795">
        <f>J795*PI()/(2*$B$6)</f>
        <v/>
      </c>
      <c r="L795">
        <f>IF(OR(J795=0,J795=$B$6),1,IF(MOD(J795,2)=1,4,2))</f>
        <v/>
      </c>
      <c r="M795">
        <f>1/SQRT(1-($E$5^2)*(SIN(K795)^2))</f>
        <v/>
      </c>
      <c r="N795">
        <f>SQRT(1-($E$5^2)*(SIN(K795)^2))</f>
        <v/>
      </c>
    </row>
    <row r="796" ht="20" customHeight="1">
      <c r="J796" t="n">
        <v>776</v>
      </c>
      <c r="K796">
        <f>J796*PI()/(2*$B$6)</f>
        <v/>
      </c>
      <c r="L796">
        <f>IF(OR(J796=0,J796=$B$6),1,IF(MOD(J796,2)=1,4,2))</f>
        <v/>
      </c>
      <c r="M796">
        <f>1/SQRT(1-($E$5^2)*(SIN(K796)^2))</f>
        <v/>
      </c>
      <c r="N796">
        <f>SQRT(1-($E$5^2)*(SIN(K796)^2))</f>
        <v/>
      </c>
    </row>
    <row r="797" ht="20" customHeight="1">
      <c r="J797" t="n">
        <v>777</v>
      </c>
      <c r="K797">
        <f>J797*PI()/(2*$B$6)</f>
        <v/>
      </c>
      <c r="L797">
        <f>IF(OR(J797=0,J797=$B$6),1,IF(MOD(J797,2)=1,4,2))</f>
        <v/>
      </c>
      <c r="M797">
        <f>1/SQRT(1-($E$5^2)*(SIN(K797)^2))</f>
        <v/>
      </c>
      <c r="N797">
        <f>SQRT(1-($E$5^2)*(SIN(K797)^2))</f>
        <v/>
      </c>
    </row>
    <row r="798" ht="20" customHeight="1">
      <c r="J798" t="n">
        <v>778</v>
      </c>
      <c r="K798">
        <f>J798*PI()/(2*$B$6)</f>
        <v/>
      </c>
      <c r="L798">
        <f>IF(OR(J798=0,J798=$B$6),1,IF(MOD(J798,2)=1,4,2))</f>
        <v/>
      </c>
      <c r="M798">
        <f>1/SQRT(1-($E$5^2)*(SIN(K798)^2))</f>
        <v/>
      </c>
      <c r="N798">
        <f>SQRT(1-($E$5^2)*(SIN(K798)^2))</f>
        <v/>
      </c>
    </row>
    <row r="799" ht="20" customHeight="1">
      <c r="J799" t="n">
        <v>779</v>
      </c>
      <c r="K799">
        <f>J799*PI()/(2*$B$6)</f>
        <v/>
      </c>
      <c r="L799">
        <f>IF(OR(J799=0,J799=$B$6),1,IF(MOD(J799,2)=1,4,2))</f>
        <v/>
      </c>
      <c r="M799">
        <f>1/SQRT(1-($E$5^2)*(SIN(K799)^2))</f>
        <v/>
      </c>
      <c r="N799">
        <f>SQRT(1-($E$5^2)*(SIN(K799)^2))</f>
        <v/>
      </c>
    </row>
    <row r="800" ht="20" customHeight="1">
      <c r="J800" t="n">
        <v>780</v>
      </c>
      <c r="K800">
        <f>J800*PI()/(2*$B$6)</f>
        <v/>
      </c>
      <c r="L800">
        <f>IF(OR(J800=0,J800=$B$6),1,IF(MOD(J800,2)=1,4,2))</f>
        <v/>
      </c>
      <c r="M800">
        <f>1/SQRT(1-($E$5^2)*(SIN(K800)^2))</f>
        <v/>
      </c>
      <c r="N800">
        <f>SQRT(1-($E$5^2)*(SIN(K800)^2))</f>
        <v/>
      </c>
    </row>
    <row r="801" ht="20" customHeight="1">
      <c r="J801" t="n">
        <v>781</v>
      </c>
      <c r="K801">
        <f>J801*PI()/(2*$B$6)</f>
        <v/>
      </c>
      <c r="L801">
        <f>IF(OR(J801=0,J801=$B$6),1,IF(MOD(J801,2)=1,4,2))</f>
        <v/>
      </c>
      <c r="M801">
        <f>1/SQRT(1-($E$5^2)*(SIN(K801)^2))</f>
        <v/>
      </c>
      <c r="N801">
        <f>SQRT(1-($E$5^2)*(SIN(K801)^2))</f>
        <v/>
      </c>
    </row>
    <row r="802" ht="20" customHeight="1">
      <c r="J802" t="n">
        <v>782</v>
      </c>
      <c r="K802">
        <f>J802*PI()/(2*$B$6)</f>
        <v/>
      </c>
      <c r="L802">
        <f>IF(OR(J802=0,J802=$B$6),1,IF(MOD(J802,2)=1,4,2))</f>
        <v/>
      </c>
      <c r="M802">
        <f>1/SQRT(1-($E$5^2)*(SIN(K802)^2))</f>
        <v/>
      </c>
      <c r="N802">
        <f>SQRT(1-($E$5^2)*(SIN(K802)^2))</f>
        <v/>
      </c>
    </row>
    <row r="803" ht="20" customHeight="1">
      <c r="J803" t="n">
        <v>783</v>
      </c>
      <c r="K803">
        <f>J803*PI()/(2*$B$6)</f>
        <v/>
      </c>
      <c r="L803">
        <f>IF(OR(J803=0,J803=$B$6),1,IF(MOD(J803,2)=1,4,2))</f>
        <v/>
      </c>
      <c r="M803">
        <f>1/SQRT(1-($E$5^2)*(SIN(K803)^2))</f>
        <v/>
      </c>
      <c r="N803">
        <f>SQRT(1-($E$5^2)*(SIN(K803)^2))</f>
        <v/>
      </c>
    </row>
    <row r="804" ht="20" customHeight="1">
      <c r="J804" t="n">
        <v>784</v>
      </c>
      <c r="K804">
        <f>J804*PI()/(2*$B$6)</f>
        <v/>
      </c>
      <c r="L804">
        <f>IF(OR(J804=0,J804=$B$6),1,IF(MOD(J804,2)=1,4,2))</f>
        <v/>
      </c>
      <c r="M804">
        <f>1/SQRT(1-($E$5^2)*(SIN(K804)^2))</f>
        <v/>
      </c>
      <c r="N804">
        <f>SQRT(1-($E$5^2)*(SIN(K804)^2))</f>
        <v/>
      </c>
    </row>
    <row r="805" ht="20" customHeight="1">
      <c r="J805" t="n">
        <v>785</v>
      </c>
      <c r="K805">
        <f>J805*PI()/(2*$B$6)</f>
        <v/>
      </c>
      <c r="L805">
        <f>IF(OR(J805=0,J805=$B$6),1,IF(MOD(J805,2)=1,4,2))</f>
        <v/>
      </c>
      <c r="M805">
        <f>1/SQRT(1-($E$5^2)*(SIN(K805)^2))</f>
        <v/>
      </c>
      <c r="N805">
        <f>SQRT(1-($E$5^2)*(SIN(K805)^2))</f>
        <v/>
      </c>
    </row>
    <row r="806" ht="20" customHeight="1">
      <c r="J806" t="n">
        <v>786</v>
      </c>
      <c r="K806">
        <f>J806*PI()/(2*$B$6)</f>
        <v/>
      </c>
      <c r="L806">
        <f>IF(OR(J806=0,J806=$B$6),1,IF(MOD(J806,2)=1,4,2))</f>
        <v/>
      </c>
      <c r="M806">
        <f>1/SQRT(1-($E$5^2)*(SIN(K806)^2))</f>
        <v/>
      </c>
      <c r="N806">
        <f>SQRT(1-($E$5^2)*(SIN(K806)^2))</f>
        <v/>
      </c>
    </row>
    <row r="807" ht="20" customHeight="1">
      <c r="J807" t="n">
        <v>787</v>
      </c>
      <c r="K807">
        <f>J807*PI()/(2*$B$6)</f>
        <v/>
      </c>
      <c r="L807">
        <f>IF(OR(J807=0,J807=$B$6),1,IF(MOD(J807,2)=1,4,2))</f>
        <v/>
      </c>
      <c r="M807">
        <f>1/SQRT(1-($E$5^2)*(SIN(K807)^2))</f>
        <v/>
      </c>
      <c r="N807">
        <f>SQRT(1-($E$5^2)*(SIN(K807)^2))</f>
        <v/>
      </c>
    </row>
    <row r="808" ht="20" customHeight="1">
      <c r="J808" t="n">
        <v>788</v>
      </c>
      <c r="K808">
        <f>J808*PI()/(2*$B$6)</f>
        <v/>
      </c>
      <c r="L808">
        <f>IF(OR(J808=0,J808=$B$6),1,IF(MOD(J808,2)=1,4,2))</f>
        <v/>
      </c>
      <c r="M808">
        <f>1/SQRT(1-($E$5^2)*(SIN(K808)^2))</f>
        <v/>
      </c>
      <c r="N808">
        <f>SQRT(1-($E$5^2)*(SIN(K808)^2))</f>
        <v/>
      </c>
    </row>
    <row r="809" ht="20" customHeight="1">
      <c r="J809" t="n">
        <v>789</v>
      </c>
      <c r="K809">
        <f>J809*PI()/(2*$B$6)</f>
        <v/>
      </c>
      <c r="L809">
        <f>IF(OR(J809=0,J809=$B$6),1,IF(MOD(J809,2)=1,4,2))</f>
        <v/>
      </c>
      <c r="M809">
        <f>1/SQRT(1-($E$5^2)*(SIN(K809)^2))</f>
        <v/>
      </c>
      <c r="N809">
        <f>SQRT(1-($E$5^2)*(SIN(K809)^2))</f>
        <v/>
      </c>
    </row>
    <row r="810" ht="20" customHeight="1">
      <c r="J810" t="n">
        <v>790</v>
      </c>
      <c r="K810">
        <f>J810*PI()/(2*$B$6)</f>
        <v/>
      </c>
      <c r="L810">
        <f>IF(OR(J810=0,J810=$B$6),1,IF(MOD(J810,2)=1,4,2))</f>
        <v/>
      </c>
      <c r="M810">
        <f>1/SQRT(1-($E$5^2)*(SIN(K810)^2))</f>
        <v/>
      </c>
      <c r="N810">
        <f>SQRT(1-($E$5^2)*(SIN(K810)^2))</f>
        <v/>
      </c>
    </row>
    <row r="811" ht="20" customHeight="1">
      <c r="J811" t="n">
        <v>791</v>
      </c>
      <c r="K811">
        <f>J811*PI()/(2*$B$6)</f>
        <v/>
      </c>
      <c r="L811">
        <f>IF(OR(J811=0,J811=$B$6),1,IF(MOD(J811,2)=1,4,2))</f>
        <v/>
      </c>
      <c r="M811">
        <f>1/SQRT(1-($E$5^2)*(SIN(K811)^2))</f>
        <v/>
      </c>
      <c r="N811">
        <f>SQRT(1-($E$5^2)*(SIN(K811)^2))</f>
        <v/>
      </c>
    </row>
    <row r="812" ht="20" customHeight="1">
      <c r="J812" t="n">
        <v>792</v>
      </c>
      <c r="K812">
        <f>J812*PI()/(2*$B$6)</f>
        <v/>
      </c>
      <c r="L812">
        <f>IF(OR(J812=0,J812=$B$6),1,IF(MOD(J812,2)=1,4,2))</f>
        <v/>
      </c>
      <c r="M812">
        <f>1/SQRT(1-($E$5^2)*(SIN(K812)^2))</f>
        <v/>
      </c>
      <c r="N812">
        <f>SQRT(1-($E$5^2)*(SIN(K812)^2))</f>
        <v/>
      </c>
    </row>
    <row r="813" ht="20" customHeight="1">
      <c r="J813" t="n">
        <v>793</v>
      </c>
      <c r="K813">
        <f>J813*PI()/(2*$B$6)</f>
        <v/>
      </c>
      <c r="L813">
        <f>IF(OR(J813=0,J813=$B$6),1,IF(MOD(J813,2)=1,4,2))</f>
        <v/>
      </c>
      <c r="M813">
        <f>1/SQRT(1-($E$5^2)*(SIN(K813)^2))</f>
        <v/>
      </c>
      <c r="N813">
        <f>SQRT(1-($E$5^2)*(SIN(K813)^2))</f>
        <v/>
      </c>
    </row>
    <row r="814" ht="20" customHeight="1">
      <c r="J814" t="n">
        <v>794</v>
      </c>
      <c r="K814">
        <f>J814*PI()/(2*$B$6)</f>
        <v/>
      </c>
      <c r="L814">
        <f>IF(OR(J814=0,J814=$B$6),1,IF(MOD(J814,2)=1,4,2))</f>
        <v/>
      </c>
      <c r="M814">
        <f>1/SQRT(1-($E$5^2)*(SIN(K814)^2))</f>
        <v/>
      </c>
      <c r="N814">
        <f>SQRT(1-($E$5^2)*(SIN(K814)^2))</f>
        <v/>
      </c>
    </row>
    <row r="815" ht="20" customHeight="1">
      <c r="J815" t="n">
        <v>795</v>
      </c>
      <c r="K815">
        <f>J815*PI()/(2*$B$6)</f>
        <v/>
      </c>
      <c r="L815">
        <f>IF(OR(J815=0,J815=$B$6),1,IF(MOD(J815,2)=1,4,2))</f>
        <v/>
      </c>
      <c r="M815">
        <f>1/SQRT(1-($E$5^2)*(SIN(K815)^2))</f>
        <v/>
      </c>
      <c r="N815">
        <f>SQRT(1-($E$5^2)*(SIN(K815)^2))</f>
        <v/>
      </c>
    </row>
    <row r="816" ht="20" customHeight="1">
      <c r="J816" t="n">
        <v>796</v>
      </c>
      <c r="K816">
        <f>J816*PI()/(2*$B$6)</f>
        <v/>
      </c>
      <c r="L816">
        <f>IF(OR(J816=0,J816=$B$6),1,IF(MOD(J816,2)=1,4,2))</f>
        <v/>
      </c>
      <c r="M816">
        <f>1/SQRT(1-($E$5^2)*(SIN(K816)^2))</f>
        <v/>
      </c>
      <c r="N816">
        <f>SQRT(1-($E$5^2)*(SIN(K816)^2))</f>
        <v/>
      </c>
    </row>
    <row r="817" ht="20" customHeight="1">
      <c r="J817" t="n">
        <v>797</v>
      </c>
      <c r="K817">
        <f>J817*PI()/(2*$B$6)</f>
        <v/>
      </c>
      <c r="L817">
        <f>IF(OR(J817=0,J817=$B$6),1,IF(MOD(J817,2)=1,4,2))</f>
        <v/>
      </c>
      <c r="M817">
        <f>1/SQRT(1-($E$5^2)*(SIN(K817)^2))</f>
        <v/>
      </c>
      <c r="N817">
        <f>SQRT(1-($E$5^2)*(SIN(K817)^2))</f>
        <v/>
      </c>
    </row>
    <row r="818" ht="20" customHeight="1">
      <c r="J818" t="n">
        <v>798</v>
      </c>
      <c r="K818">
        <f>J818*PI()/(2*$B$6)</f>
        <v/>
      </c>
      <c r="L818">
        <f>IF(OR(J818=0,J818=$B$6),1,IF(MOD(J818,2)=1,4,2))</f>
        <v/>
      </c>
      <c r="M818">
        <f>1/SQRT(1-($E$5^2)*(SIN(K818)^2))</f>
        <v/>
      </c>
      <c r="N818">
        <f>SQRT(1-($E$5^2)*(SIN(K818)^2))</f>
        <v/>
      </c>
    </row>
    <row r="819" ht="20" customHeight="1">
      <c r="J819" t="n">
        <v>799</v>
      </c>
      <c r="K819">
        <f>J819*PI()/(2*$B$6)</f>
        <v/>
      </c>
      <c r="L819">
        <f>IF(OR(J819=0,J819=$B$6),1,IF(MOD(J819,2)=1,4,2))</f>
        <v/>
      </c>
      <c r="M819">
        <f>1/SQRT(1-($E$5^2)*(SIN(K819)^2))</f>
        <v/>
      </c>
      <c r="N819">
        <f>SQRT(1-($E$5^2)*(SIN(K819)^2))</f>
        <v/>
      </c>
    </row>
    <row r="820" ht="20" customHeight="1">
      <c r="J820" t="n">
        <v>800</v>
      </c>
      <c r="K820">
        <f>J820*PI()/(2*$B$6)</f>
        <v/>
      </c>
      <c r="L820">
        <f>IF(OR(J820=0,J820=$B$6),1,IF(MOD(J820,2)=1,4,2))</f>
        <v/>
      </c>
      <c r="M820">
        <f>1/SQRT(1-($E$5^2)*(SIN(K820)^2))</f>
        <v/>
      </c>
      <c r="N820">
        <f>SQRT(1-($E$5^2)*(SIN(K820)^2))</f>
        <v/>
      </c>
    </row>
    <row r="821" ht="20" customHeight="1">
      <c r="J821" t="n">
        <v>801</v>
      </c>
      <c r="K821">
        <f>J821*PI()/(2*$B$6)</f>
        <v/>
      </c>
      <c r="L821">
        <f>IF(OR(J821=0,J821=$B$6),1,IF(MOD(J821,2)=1,4,2))</f>
        <v/>
      </c>
      <c r="M821">
        <f>1/SQRT(1-($E$5^2)*(SIN(K821)^2))</f>
        <v/>
      </c>
      <c r="N821">
        <f>SQRT(1-($E$5^2)*(SIN(K821)^2))</f>
        <v/>
      </c>
    </row>
    <row r="822" ht="20" customHeight="1">
      <c r="J822" t="n">
        <v>802</v>
      </c>
      <c r="K822">
        <f>J822*PI()/(2*$B$6)</f>
        <v/>
      </c>
      <c r="L822">
        <f>IF(OR(J822=0,J822=$B$6),1,IF(MOD(J822,2)=1,4,2))</f>
        <v/>
      </c>
      <c r="M822">
        <f>1/SQRT(1-($E$5^2)*(SIN(K822)^2))</f>
        <v/>
      </c>
      <c r="N822">
        <f>SQRT(1-($E$5^2)*(SIN(K822)^2))</f>
        <v/>
      </c>
    </row>
    <row r="823" ht="20" customHeight="1">
      <c r="J823" t="n">
        <v>803</v>
      </c>
      <c r="K823">
        <f>J823*PI()/(2*$B$6)</f>
        <v/>
      </c>
      <c r="L823">
        <f>IF(OR(J823=0,J823=$B$6),1,IF(MOD(J823,2)=1,4,2))</f>
        <v/>
      </c>
      <c r="M823">
        <f>1/SQRT(1-($E$5^2)*(SIN(K823)^2))</f>
        <v/>
      </c>
      <c r="N823">
        <f>SQRT(1-($E$5^2)*(SIN(K823)^2))</f>
        <v/>
      </c>
    </row>
    <row r="824" ht="20" customHeight="1">
      <c r="J824" t="n">
        <v>804</v>
      </c>
      <c r="K824">
        <f>J824*PI()/(2*$B$6)</f>
        <v/>
      </c>
      <c r="L824">
        <f>IF(OR(J824=0,J824=$B$6),1,IF(MOD(J824,2)=1,4,2))</f>
        <v/>
      </c>
      <c r="M824">
        <f>1/SQRT(1-($E$5^2)*(SIN(K824)^2))</f>
        <v/>
      </c>
      <c r="N824">
        <f>SQRT(1-($E$5^2)*(SIN(K824)^2))</f>
        <v/>
      </c>
    </row>
    <row r="825" ht="20" customHeight="1">
      <c r="J825" t="n">
        <v>805</v>
      </c>
      <c r="K825">
        <f>J825*PI()/(2*$B$6)</f>
        <v/>
      </c>
      <c r="L825">
        <f>IF(OR(J825=0,J825=$B$6),1,IF(MOD(J825,2)=1,4,2))</f>
        <v/>
      </c>
      <c r="M825">
        <f>1/SQRT(1-($E$5^2)*(SIN(K825)^2))</f>
        <v/>
      </c>
      <c r="N825">
        <f>SQRT(1-($E$5^2)*(SIN(K825)^2))</f>
        <v/>
      </c>
    </row>
    <row r="826" ht="20" customHeight="1">
      <c r="J826" t="n">
        <v>806</v>
      </c>
      <c r="K826">
        <f>J826*PI()/(2*$B$6)</f>
        <v/>
      </c>
      <c r="L826">
        <f>IF(OR(J826=0,J826=$B$6),1,IF(MOD(J826,2)=1,4,2))</f>
        <v/>
      </c>
      <c r="M826">
        <f>1/SQRT(1-($E$5^2)*(SIN(K826)^2))</f>
        <v/>
      </c>
      <c r="N826">
        <f>SQRT(1-($E$5^2)*(SIN(K826)^2))</f>
        <v/>
      </c>
    </row>
    <row r="827" ht="20" customHeight="1">
      <c r="J827" t="n">
        <v>807</v>
      </c>
      <c r="K827">
        <f>J827*PI()/(2*$B$6)</f>
        <v/>
      </c>
      <c r="L827">
        <f>IF(OR(J827=0,J827=$B$6),1,IF(MOD(J827,2)=1,4,2))</f>
        <v/>
      </c>
      <c r="M827">
        <f>1/SQRT(1-($E$5^2)*(SIN(K827)^2))</f>
        <v/>
      </c>
      <c r="N827">
        <f>SQRT(1-($E$5^2)*(SIN(K827)^2))</f>
        <v/>
      </c>
    </row>
    <row r="828" ht="20" customHeight="1">
      <c r="J828" t="n">
        <v>808</v>
      </c>
      <c r="K828">
        <f>J828*PI()/(2*$B$6)</f>
        <v/>
      </c>
      <c r="L828">
        <f>IF(OR(J828=0,J828=$B$6),1,IF(MOD(J828,2)=1,4,2))</f>
        <v/>
      </c>
      <c r="M828">
        <f>1/SQRT(1-($E$5^2)*(SIN(K828)^2))</f>
        <v/>
      </c>
      <c r="N828">
        <f>SQRT(1-($E$5^2)*(SIN(K828)^2))</f>
        <v/>
      </c>
    </row>
    <row r="829" ht="20" customHeight="1">
      <c r="J829" t="n">
        <v>809</v>
      </c>
      <c r="K829">
        <f>J829*PI()/(2*$B$6)</f>
        <v/>
      </c>
      <c r="L829">
        <f>IF(OR(J829=0,J829=$B$6),1,IF(MOD(J829,2)=1,4,2))</f>
        <v/>
      </c>
      <c r="M829">
        <f>1/SQRT(1-($E$5^2)*(SIN(K829)^2))</f>
        <v/>
      </c>
      <c r="N829">
        <f>SQRT(1-($E$5^2)*(SIN(K829)^2))</f>
        <v/>
      </c>
    </row>
    <row r="830" ht="20" customHeight="1">
      <c r="J830" t="n">
        <v>810</v>
      </c>
      <c r="K830">
        <f>J830*PI()/(2*$B$6)</f>
        <v/>
      </c>
      <c r="L830">
        <f>IF(OR(J830=0,J830=$B$6),1,IF(MOD(J830,2)=1,4,2))</f>
        <v/>
      </c>
      <c r="M830">
        <f>1/SQRT(1-($E$5^2)*(SIN(K830)^2))</f>
        <v/>
      </c>
      <c r="N830">
        <f>SQRT(1-($E$5^2)*(SIN(K830)^2))</f>
        <v/>
      </c>
    </row>
    <row r="831" ht="20" customHeight="1">
      <c r="J831" t="n">
        <v>811</v>
      </c>
      <c r="K831">
        <f>J831*PI()/(2*$B$6)</f>
        <v/>
      </c>
      <c r="L831">
        <f>IF(OR(J831=0,J831=$B$6),1,IF(MOD(J831,2)=1,4,2))</f>
        <v/>
      </c>
      <c r="M831">
        <f>1/SQRT(1-($E$5^2)*(SIN(K831)^2))</f>
        <v/>
      </c>
      <c r="N831">
        <f>SQRT(1-($E$5^2)*(SIN(K831)^2))</f>
        <v/>
      </c>
    </row>
    <row r="832" ht="20" customHeight="1">
      <c r="J832" t="n">
        <v>812</v>
      </c>
      <c r="K832">
        <f>J832*PI()/(2*$B$6)</f>
        <v/>
      </c>
      <c r="L832">
        <f>IF(OR(J832=0,J832=$B$6),1,IF(MOD(J832,2)=1,4,2))</f>
        <v/>
      </c>
      <c r="M832">
        <f>1/SQRT(1-($E$5^2)*(SIN(K832)^2))</f>
        <v/>
      </c>
      <c r="N832">
        <f>SQRT(1-($E$5^2)*(SIN(K832)^2))</f>
        <v/>
      </c>
    </row>
    <row r="833" ht="20" customHeight="1">
      <c r="J833" t="n">
        <v>813</v>
      </c>
      <c r="K833">
        <f>J833*PI()/(2*$B$6)</f>
        <v/>
      </c>
      <c r="L833">
        <f>IF(OR(J833=0,J833=$B$6),1,IF(MOD(J833,2)=1,4,2))</f>
        <v/>
      </c>
      <c r="M833">
        <f>1/SQRT(1-($E$5^2)*(SIN(K833)^2))</f>
        <v/>
      </c>
      <c r="N833">
        <f>SQRT(1-($E$5^2)*(SIN(K833)^2))</f>
        <v/>
      </c>
    </row>
    <row r="834" ht="20" customHeight="1">
      <c r="J834" t="n">
        <v>814</v>
      </c>
      <c r="K834">
        <f>J834*PI()/(2*$B$6)</f>
        <v/>
      </c>
      <c r="L834">
        <f>IF(OR(J834=0,J834=$B$6),1,IF(MOD(J834,2)=1,4,2))</f>
        <v/>
      </c>
      <c r="M834">
        <f>1/SQRT(1-($E$5^2)*(SIN(K834)^2))</f>
        <v/>
      </c>
      <c r="N834">
        <f>SQRT(1-($E$5^2)*(SIN(K834)^2))</f>
        <v/>
      </c>
    </row>
    <row r="835" ht="20" customHeight="1">
      <c r="J835" t="n">
        <v>815</v>
      </c>
      <c r="K835">
        <f>J835*PI()/(2*$B$6)</f>
        <v/>
      </c>
      <c r="L835">
        <f>IF(OR(J835=0,J835=$B$6),1,IF(MOD(J835,2)=1,4,2))</f>
        <v/>
      </c>
      <c r="M835">
        <f>1/SQRT(1-($E$5^2)*(SIN(K835)^2))</f>
        <v/>
      </c>
      <c r="N835">
        <f>SQRT(1-($E$5^2)*(SIN(K835)^2))</f>
        <v/>
      </c>
    </row>
    <row r="836" ht="20" customHeight="1">
      <c r="J836" t="n">
        <v>816</v>
      </c>
      <c r="K836">
        <f>J836*PI()/(2*$B$6)</f>
        <v/>
      </c>
      <c r="L836">
        <f>IF(OR(J836=0,J836=$B$6),1,IF(MOD(J836,2)=1,4,2))</f>
        <v/>
      </c>
      <c r="M836">
        <f>1/SQRT(1-($E$5^2)*(SIN(K836)^2))</f>
        <v/>
      </c>
      <c r="N836">
        <f>SQRT(1-($E$5^2)*(SIN(K836)^2))</f>
        <v/>
      </c>
    </row>
    <row r="837" ht="20" customHeight="1">
      <c r="J837" t="n">
        <v>817</v>
      </c>
      <c r="K837">
        <f>J837*PI()/(2*$B$6)</f>
        <v/>
      </c>
      <c r="L837">
        <f>IF(OR(J837=0,J837=$B$6),1,IF(MOD(J837,2)=1,4,2))</f>
        <v/>
      </c>
      <c r="M837">
        <f>1/SQRT(1-($E$5^2)*(SIN(K837)^2))</f>
        <v/>
      </c>
      <c r="N837">
        <f>SQRT(1-($E$5^2)*(SIN(K837)^2))</f>
        <v/>
      </c>
    </row>
    <row r="838" ht="20" customHeight="1">
      <c r="J838" t="n">
        <v>818</v>
      </c>
      <c r="K838">
        <f>J838*PI()/(2*$B$6)</f>
        <v/>
      </c>
      <c r="L838">
        <f>IF(OR(J838=0,J838=$B$6),1,IF(MOD(J838,2)=1,4,2))</f>
        <v/>
      </c>
      <c r="M838">
        <f>1/SQRT(1-($E$5^2)*(SIN(K838)^2))</f>
        <v/>
      </c>
      <c r="N838">
        <f>SQRT(1-($E$5^2)*(SIN(K838)^2))</f>
        <v/>
      </c>
    </row>
    <row r="839" ht="20" customHeight="1">
      <c r="J839" t="n">
        <v>819</v>
      </c>
      <c r="K839">
        <f>J839*PI()/(2*$B$6)</f>
        <v/>
      </c>
      <c r="L839">
        <f>IF(OR(J839=0,J839=$B$6),1,IF(MOD(J839,2)=1,4,2))</f>
        <v/>
      </c>
      <c r="M839">
        <f>1/SQRT(1-($E$5^2)*(SIN(K839)^2))</f>
        <v/>
      </c>
      <c r="N839">
        <f>SQRT(1-($E$5^2)*(SIN(K839)^2))</f>
        <v/>
      </c>
    </row>
    <row r="840" ht="20" customHeight="1">
      <c r="J840" t="n">
        <v>820</v>
      </c>
      <c r="K840">
        <f>J840*PI()/(2*$B$6)</f>
        <v/>
      </c>
      <c r="L840">
        <f>IF(OR(J840=0,J840=$B$6),1,IF(MOD(J840,2)=1,4,2))</f>
        <v/>
      </c>
      <c r="M840">
        <f>1/SQRT(1-($E$5^2)*(SIN(K840)^2))</f>
        <v/>
      </c>
      <c r="N840">
        <f>SQRT(1-($E$5^2)*(SIN(K840)^2))</f>
        <v/>
      </c>
    </row>
    <row r="841" ht="20" customHeight="1">
      <c r="J841" t="n">
        <v>821</v>
      </c>
      <c r="K841">
        <f>J841*PI()/(2*$B$6)</f>
        <v/>
      </c>
      <c r="L841">
        <f>IF(OR(J841=0,J841=$B$6),1,IF(MOD(J841,2)=1,4,2))</f>
        <v/>
      </c>
      <c r="M841">
        <f>1/SQRT(1-($E$5^2)*(SIN(K841)^2))</f>
        <v/>
      </c>
      <c r="N841">
        <f>SQRT(1-($E$5^2)*(SIN(K841)^2))</f>
        <v/>
      </c>
    </row>
    <row r="842" ht="20" customHeight="1">
      <c r="J842" t="n">
        <v>822</v>
      </c>
      <c r="K842">
        <f>J842*PI()/(2*$B$6)</f>
        <v/>
      </c>
      <c r="L842">
        <f>IF(OR(J842=0,J842=$B$6),1,IF(MOD(J842,2)=1,4,2))</f>
        <v/>
      </c>
      <c r="M842">
        <f>1/SQRT(1-($E$5^2)*(SIN(K842)^2))</f>
        <v/>
      </c>
      <c r="N842">
        <f>SQRT(1-($E$5^2)*(SIN(K842)^2))</f>
        <v/>
      </c>
    </row>
    <row r="843" ht="20" customHeight="1">
      <c r="J843" t="n">
        <v>823</v>
      </c>
      <c r="K843">
        <f>J843*PI()/(2*$B$6)</f>
        <v/>
      </c>
      <c r="L843">
        <f>IF(OR(J843=0,J843=$B$6),1,IF(MOD(J843,2)=1,4,2))</f>
        <v/>
      </c>
      <c r="M843">
        <f>1/SQRT(1-($E$5^2)*(SIN(K843)^2))</f>
        <v/>
      </c>
      <c r="N843">
        <f>SQRT(1-($E$5^2)*(SIN(K843)^2))</f>
        <v/>
      </c>
    </row>
    <row r="844" ht="20" customHeight="1">
      <c r="J844" t="n">
        <v>824</v>
      </c>
      <c r="K844">
        <f>J844*PI()/(2*$B$6)</f>
        <v/>
      </c>
      <c r="L844">
        <f>IF(OR(J844=0,J844=$B$6),1,IF(MOD(J844,2)=1,4,2))</f>
        <v/>
      </c>
      <c r="M844">
        <f>1/SQRT(1-($E$5^2)*(SIN(K844)^2))</f>
        <v/>
      </c>
      <c r="N844">
        <f>SQRT(1-($E$5^2)*(SIN(K844)^2))</f>
        <v/>
      </c>
    </row>
    <row r="845" ht="20" customHeight="1">
      <c r="J845" t="n">
        <v>825</v>
      </c>
      <c r="K845">
        <f>J845*PI()/(2*$B$6)</f>
        <v/>
      </c>
      <c r="L845">
        <f>IF(OR(J845=0,J845=$B$6),1,IF(MOD(J845,2)=1,4,2))</f>
        <v/>
      </c>
      <c r="M845">
        <f>1/SQRT(1-($E$5^2)*(SIN(K845)^2))</f>
        <v/>
      </c>
      <c r="N845">
        <f>SQRT(1-($E$5^2)*(SIN(K845)^2))</f>
        <v/>
      </c>
    </row>
    <row r="846" ht="20" customHeight="1">
      <c r="J846" t="n">
        <v>826</v>
      </c>
      <c r="K846">
        <f>J846*PI()/(2*$B$6)</f>
        <v/>
      </c>
      <c r="L846">
        <f>IF(OR(J846=0,J846=$B$6),1,IF(MOD(J846,2)=1,4,2))</f>
        <v/>
      </c>
      <c r="M846">
        <f>1/SQRT(1-($E$5^2)*(SIN(K846)^2))</f>
        <v/>
      </c>
      <c r="N846">
        <f>SQRT(1-($E$5^2)*(SIN(K846)^2))</f>
        <v/>
      </c>
    </row>
    <row r="847" ht="20" customHeight="1">
      <c r="J847" t="n">
        <v>827</v>
      </c>
      <c r="K847">
        <f>J847*PI()/(2*$B$6)</f>
        <v/>
      </c>
      <c r="L847">
        <f>IF(OR(J847=0,J847=$B$6),1,IF(MOD(J847,2)=1,4,2))</f>
        <v/>
      </c>
      <c r="M847">
        <f>1/SQRT(1-($E$5^2)*(SIN(K847)^2))</f>
        <v/>
      </c>
      <c r="N847">
        <f>SQRT(1-($E$5^2)*(SIN(K847)^2))</f>
        <v/>
      </c>
    </row>
    <row r="848" ht="20" customHeight="1">
      <c r="J848" t="n">
        <v>828</v>
      </c>
      <c r="K848">
        <f>J848*PI()/(2*$B$6)</f>
        <v/>
      </c>
      <c r="L848">
        <f>IF(OR(J848=0,J848=$B$6),1,IF(MOD(J848,2)=1,4,2))</f>
        <v/>
      </c>
      <c r="M848">
        <f>1/SQRT(1-($E$5^2)*(SIN(K848)^2))</f>
        <v/>
      </c>
      <c r="N848">
        <f>SQRT(1-($E$5^2)*(SIN(K848)^2))</f>
        <v/>
      </c>
    </row>
    <row r="849" ht="20" customHeight="1">
      <c r="J849" t="n">
        <v>829</v>
      </c>
      <c r="K849">
        <f>J849*PI()/(2*$B$6)</f>
        <v/>
      </c>
      <c r="L849">
        <f>IF(OR(J849=0,J849=$B$6),1,IF(MOD(J849,2)=1,4,2))</f>
        <v/>
      </c>
      <c r="M849">
        <f>1/SQRT(1-($E$5^2)*(SIN(K849)^2))</f>
        <v/>
      </c>
      <c r="N849">
        <f>SQRT(1-($E$5^2)*(SIN(K849)^2))</f>
        <v/>
      </c>
    </row>
    <row r="850" ht="20" customHeight="1">
      <c r="J850" t="n">
        <v>830</v>
      </c>
      <c r="K850">
        <f>J850*PI()/(2*$B$6)</f>
        <v/>
      </c>
      <c r="L850">
        <f>IF(OR(J850=0,J850=$B$6),1,IF(MOD(J850,2)=1,4,2))</f>
        <v/>
      </c>
      <c r="M850">
        <f>1/SQRT(1-($E$5^2)*(SIN(K850)^2))</f>
        <v/>
      </c>
      <c r="N850">
        <f>SQRT(1-($E$5^2)*(SIN(K850)^2))</f>
        <v/>
      </c>
    </row>
    <row r="851" ht="20" customHeight="1">
      <c r="J851" t="n">
        <v>831</v>
      </c>
      <c r="K851">
        <f>J851*PI()/(2*$B$6)</f>
        <v/>
      </c>
      <c r="L851">
        <f>IF(OR(J851=0,J851=$B$6),1,IF(MOD(J851,2)=1,4,2))</f>
        <v/>
      </c>
      <c r="M851">
        <f>1/SQRT(1-($E$5^2)*(SIN(K851)^2))</f>
        <v/>
      </c>
      <c r="N851">
        <f>SQRT(1-($E$5^2)*(SIN(K851)^2))</f>
        <v/>
      </c>
    </row>
    <row r="852" ht="20" customHeight="1">
      <c r="J852" t="n">
        <v>832</v>
      </c>
      <c r="K852">
        <f>J852*PI()/(2*$B$6)</f>
        <v/>
      </c>
      <c r="L852">
        <f>IF(OR(J852=0,J852=$B$6),1,IF(MOD(J852,2)=1,4,2))</f>
        <v/>
      </c>
      <c r="M852">
        <f>1/SQRT(1-($E$5^2)*(SIN(K852)^2))</f>
        <v/>
      </c>
      <c r="N852">
        <f>SQRT(1-($E$5^2)*(SIN(K852)^2))</f>
        <v/>
      </c>
    </row>
    <row r="853" ht="20" customHeight="1">
      <c r="J853" t="n">
        <v>833</v>
      </c>
      <c r="K853">
        <f>J853*PI()/(2*$B$6)</f>
        <v/>
      </c>
      <c r="L853">
        <f>IF(OR(J853=0,J853=$B$6),1,IF(MOD(J853,2)=1,4,2))</f>
        <v/>
      </c>
      <c r="M853">
        <f>1/SQRT(1-($E$5^2)*(SIN(K853)^2))</f>
        <v/>
      </c>
      <c r="N853">
        <f>SQRT(1-($E$5^2)*(SIN(K853)^2))</f>
        <v/>
      </c>
    </row>
    <row r="854" ht="20" customHeight="1">
      <c r="J854" t="n">
        <v>834</v>
      </c>
      <c r="K854">
        <f>J854*PI()/(2*$B$6)</f>
        <v/>
      </c>
      <c r="L854">
        <f>IF(OR(J854=0,J854=$B$6),1,IF(MOD(J854,2)=1,4,2))</f>
        <v/>
      </c>
      <c r="M854">
        <f>1/SQRT(1-($E$5^2)*(SIN(K854)^2))</f>
        <v/>
      </c>
      <c r="N854">
        <f>SQRT(1-($E$5^2)*(SIN(K854)^2))</f>
        <v/>
      </c>
    </row>
    <row r="855" ht="20" customHeight="1">
      <c r="J855" t="n">
        <v>835</v>
      </c>
      <c r="K855">
        <f>J855*PI()/(2*$B$6)</f>
        <v/>
      </c>
      <c r="L855">
        <f>IF(OR(J855=0,J855=$B$6),1,IF(MOD(J855,2)=1,4,2))</f>
        <v/>
      </c>
      <c r="M855">
        <f>1/SQRT(1-($E$5^2)*(SIN(K855)^2))</f>
        <v/>
      </c>
      <c r="N855">
        <f>SQRT(1-($E$5^2)*(SIN(K855)^2))</f>
        <v/>
      </c>
    </row>
    <row r="856" ht="20" customHeight="1">
      <c r="J856" t="n">
        <v>836</v>
      </c>
      <c r="K856">
        <f>J856*PI()/(2*$B$6)</f>
        <v/>
      </c>
      <c r="L856">
        <f>IF(OR(J856=0,J856=$B$6),1,IF(MOD(J856,2)=1,4,2))</f>
        <v/>
      </c>
      <c r="M856">
        <f>1/SQRT(1-($E$5^2)*(SIN(K856)^2))</f>
        <v/>
      </c>
      <c r="N856">
        <f>SQRT(1-($E$5^2)*(SIN(K856)^2))</f>
        <v/>
      </c>
    </row>
    <row r="857" ht="20" customHeight="1">
      <c r="J857" t="n">
        <v>837</v>
      </c>
      <c r="K857">
        <f>J857*PI()/(2*$B$6)</f>
        <v/>
      </c>
      <c r="L857">
        <f>IF(OR(J857=0,J857=$B$6),1,IF(MOD(J857,2)=1,4,2))</f>
        <v/>
      </c>
      <c r="M857">
        <f>1/SQRT(1-($E$5^2)*(SIN(K857)^2))</f>
        <v/>
      </c>
      <c r="N857">
        <f>SQRT(1-($E$5^2)*(SIN(K857)^2))</f>
        <v/>
      </c>
    </row>
    <row r="858" ht="20" customHeight="1">
      <c r="J858" t="n">
        <v>838</v>
      </c>
      <c r="K858">
        <f>J858*PI()/(2*$B$6)</f>
        <v/>
      </c>
      <c r="L858">
        <f>IF(OR(J858=0,J858=$B$6),1,IF(MOD(J858,2)=1,4,2))</f>
        <v/>
      </c>
      <c r="M858">
        <f>1/SQRT(1-($E$5^2)*(SIN(K858)^2))</f>
        <v/>
      </c>
      <c r="N858">
        <f>SQRT(1-($E$5^2)*(SIN(K858)^2))</f>
        <v/>
      </c>
    </row>
    <row r="859" ht="20" customHeight="1">
      <c r="J859" t="n">
        <v>839</v>
      </c>
      <c r="K859">
        <f>J859*PI()/(2*$B$6)</f>
        <v/>
      </c>
      <c r="L859">
        <f>IF(OR(J859=0,J859=$B$6),1,IF(MOD(J859,2)=1,4,2))</f>
        <v/>
      </c>
      <c r="M859">
        <f>1/SQRT(1-($E$5^2)*(SIN(K859)^2))</f>
        <v/>
      </c>
      <c r="N859">
        <f>SQRT(1-($E$5^2)*(SIN(K859)^2))</f>
        <v/>
      </c>
    </row>
    <row r="860" ht="20" customHeight="1">
      <c r="J860" t="n">
        <v>840</v>
      </c>
      <c r="K860">
        <f>J860*PI()/(2*$B$6)</f>
        <v/>
      </c>
      <c r="L860">
        <f>IF(OR(J860=0,J860=$B$6),1,IF(MOD(J860,2)=1,4,2))</f>
        <v/>
      </c>
      <c r="M860">
        <f>1/SQRT(1-($E$5^2)*(SIN(K860)^2))</f>
        <v/>
      </c>
      <c r="N860">
        <f>SQRT(1-($E$5^2)*(SIN(K860)^2))</f>
        <v/>
      </c>
    </row>
    <row r="861" ht="20" customHeight="1">
      <c r="J861" t="n">
        <v>841</v>
      </c>
      <c r="K861">
        <f>J861*PI()/(2*$B$6)</f>
        <v/>
      </c>
      <c r="L861">
        <f>IF(OR(J861=0,J861=$B$6),1,IF(MOD(J861,2)=1,4,2))</f>
        <v/>
      </c>
      <c r="M861">
        <f>1/SQRT(1-($E$5^2)*(SIN(K861)^2))</f>
        <v/>
      </c>
      <c r="N861">
        <f>SQRT(1-($E$5^2)*(SIN(K861)^2))</f>
        <v/>
      </c>
    </row>
    <row r="862" ht="20" customHeight="1">
      <c r="J862" t="n">
        <v>842</v>
      </c>
      <c r="K862">
        <f>J862*PI()/(2*$B$6)</f>
        <v/>
      </c>
      <c r="L862">
        <f>IF(OR(J862=0,J862=$B$6),1,IF(MOD(J862,2)=1,4,2))</f>
        <v/>
      </c>
      <c r="M862">
        <f>1/SQRT(1-($E$5^2)*(SIN(K862)^2))</f>
        <v/>
      </c>
      <c r="N862">
        <f>SQRT(1-($E$5^2)*(SIN(K862)^2))</f>
        <v/>
      </c>
    </row>
    <row r="863" ht="20" customHeight="1">
      <c r="J863" t="n">
        <v>843</v>
      </c>
      <c r="K863">
        <f>J863*PI()/(2*$B$6)</f>
        <v/>
      </c>
      <c r="L863">
        <f>IF(OR(J863=0,J863=$B$6),1,IF(MOD(J863,2)=1,4,2))</f>
        <v/>
      </c>
      <c r="M863">
        <f>1/SQRT(1-($E$5^2)*(SIN(K863)^2))</f>
        <v/>
      </c>
      <c r="N863">
        <f>SQRT(1-($E$5^2)*(SIN(K863)^2))</f>
        <v/>
      </c>
    </row>
    <row r="864" ht="20" customHeight="1">
      <c r="J864" t="n">
        <v>844</v>
      </c>
      <c r="K864">
        <f>J864*PI()/(2*$B$6)</f>
        <v/>
      </c>
      <c r="L864">
        <f>IF(OR(J864=0,J864=$B$6),1,IF(MOD(J864,2)=1,4,2))</f>
        <v/>
      </c>
      <c r="M864">
        <f>1/SQRT(1-($E$5^2)*(SIN(K864)^2))</f>
        <v/>
      </c>
      <c r="N864">
        <f>SQRT(1-($E$5^2)*(SIN(K864)^2))</f>
        <v/>
      </c>
    </row>
    <row r="865" ht="20" customHeight="1">
      <c r="J865" t="n">
        <v>845</v>
      </c>
      <c r="K865">
        <f>J865*PI()/(2*$B$6)</f>
        <v/>
      </c>
      <c r="L865">
        <f>IF(OR(J865=0,J865=$B$6),1,IF(MOD(J865,2)=1,4,2))</f>
        <v/>
      </c>
      <c r="M865">
        <f>1/SQRT(1-($E$5^2)*(SIN(K865)^2))</f>
        <v/>
      </c>
      <c r="N865">
        <f>SQRT(1-($E$5^2)*(SIN(K865)^2))</f>
        <v/>
      </c>
    </row>
    <row r="866" ht="20" customHeight="1">
      <c r="J866" t="n">
        <v>846</v>
      </c>
      <c r="K866">
        <f>J866*PI()/(2*$B$6)</f>
        <v/>
      </c>
      <c r="L866">
        <f>IF(OR(J866=0,J866=$B$6),1,IF(MOD(J866,2)=1,4,2))</f>
        <v/>
      </c>
      <c r="M866">
        <f>1/SQRT(1-($E$5^2)*(SIN(K866)^2))</f>
        <v/>
      </c>
      <c r="N866">
        <f>SQRT(1-($E$5^2)*(SIN(K866)^2))</f>
        <v/>
      </c>
    </row>
    <row r="867" ht="20" customHeight="1">
      <c r="J867" t="n">
        <v>847</v>
      </c>
      <c r="K867">
        <f>J867*PI()/(2*$B$6)</f>
        <v/>
      </c>
      <c r="L867">
        <f>IF(OR(J867=0,J867=$B$6),1,IF(MOD(J867,2)=1,4,2))</f>
        <v/>
      </c>
      <c r="M867">
        <f>1/SQRT(1-($E$5^2)*(SIN(K867)^2))</f>
        <v/>
      </c>
      <c r="N867">
        <f>SQRT(1-($E$5^2)*(SIN(K867)^2))</f>
        <v/>
      </c>
    </row>
    <row r="868" ht="20" customHeight="1">
      <c r="J868" t="n">
        <v>848</v>
      </c>
      <c r="K868">
        <f>J868*PI()/(2*$B$6)</f>
        <v/>
      </c>
      <c r="L868">
        <f>IF(OR(J868=0,J868=$B$6),1,IF(MOD(J868,2)=1,4,2))</f>
        <v/>
      </c>
      <c r="M868">
        <f>1/SQRT(1-($E$5^2)*(SIN(K868)^2))</f>
        <v/>
      </c>
      <c r="N868">
        <f>SQRT(1-($E$5^2)*(SIN(K868)^2))</f>
        <v/>
      </c>
    </row>
    <row r="869" ht="20" customHeight="1">
      <c r="J869" t="n">
        <v>849</v>
      </c>
      <c r="K869">
        <f>J869*PI()/(2*$B$6)</f>
        <v/>
      </c>
      <c r="L869">
        <f>IF(OR(J869=0,J869=$B$6),1,IF(MOD(J869,2)=1,4,2))</f>
        <v/>
      </c>
      <c r="M869">
        <f>1/SQRT(1-($E$5^2)*(SIN(K869)^2))</f>
        <v/>
      </c>
      <c r="N869">
        <f>SQRT(1-($E$5^2)*(SIN(K869)^2))</f>
        <v/>
      </c>
    </row>
    <row r="870" ht="20" customHeight="1">
      <c r="J870" t="n">
        <v>850</v>
      </c>
      <c r="K870">
        <f>J870*PI()/(2*$B$6)</f>
        <v/>
      </c>
      <c r="L870">
        <f>IF(OR(J870=0,J870=$B$6),1,IF(MOD(J870,2)=1,4,2))</f>
        <v/>
      </c>
      <c r="M870">
        <f>1/SQRT(1-($E$5^2)*(SIN(K870)^2))</f>
        <v/>
      </c>
      <c r="N870">
        <f>SQRT(1-($E$5^2)*(SIN(K870)^2))</f>
        <v/>
      </c>
    </row>
    <row r="871" ht="20" customHeight="1">
      <c r="J871" t="n">
        <v>851</v>
      </c>
      <c r="K871">
        <f>J871*PI()/(2*$B$6)</f>
        <v/>
      </c>
      <c r="L871">
        <f>IF(OR(J871=0,J871=$B$6),1,IF(MOD(J871,2)=1,4,2))</f>
        <v/>
      </c>
      <c r="M871">
        <f>1/SQRT(1-($E$5^2)*(SIN(K871)^2))</f>
        <v/>
      </c>
      <c r="N871">
        <f>SQRT(1-($E$5^2)*(SIN(K871)^2))</f>
        <v/>
      </c>
    </row>
    <row r="872" ht="20" customHeight="1">
      <c r="J872" t="n">
        <v>852</v>
      </c>
      <c r="K872">
        <f>J872*PI()/(2*$B$6)</f>
        <v/>
      </c>
      <c r="L872">
        <f>IF(OR(J872=0,J872=$B$6),1,IF(MOD(J872,2)=1,4,2))</f>
        <v/>
      </c>
      <c r="M872">
        <f>1/SQRT(1-($E$5^2)*(SIN(K872)^2))</f>
        <v/>
      </c>
      <c r="N872">
        <f>SQRT(1-($E$5^2)*(SIN(K872)^2))</f>
        <v/>
      </c>
    </row>
    <row r="873" ht="20" customHeight="1">
      <c r="J873" t="n">
        <v>853</v>
      </c>
      <c r="K873">
        <f>J873*PI()/(2*$B$6)</f>
        <v/>
      </c>
      <c r="L873">
        <f>IF(OR(J873=0,J873=$B$6),1,IF(MOD(J873,2)=1,4,2))</f>
        <v/>
      </c>
      <c r="M873">
        <f>1/SQRT(1-($E$5^2)*(SIN(K873)^2))</f>
        <v/>
      </c>
      <c r="N873">
        <f>SQRT(1-($E$5^2)*(SIN(K873)^2))</f>
        <v/>
      </c>
    </row>
    <row r="874" ht="20" customHeight="1">
      <c r="J874" t="n">
        <v>854</v>
      </c>
      <c r="K874">
        <f>J874*PI()/(2*$B$6)</f>
        <v/>
      </c>
      <c r="L874">
        <f>IF(OR(J874=0,J874=$B$6),1,IF(MOD(J874,2)=1,4,2))</f>
        <v/>
      </c>
      <c r="M874">
        <f>1/SQRT(1-($E$5^2)*(SIN(K874)^2))</f>
        <v/>
      </c>
      <c r="N874">
        <f>SQRT(1-($E$5^2)*(SIN(K874)^2))</f>
        <v/>
      </c>
    </row>
    <row r="875" ht="20" customHeight="1">
      <c r="J875" t="n">
        <v>855</v>
      </c>
      <c r="K875">
        <f>J875*PI()/(2*$B$6)</f>
        <v/>
      </c>
      <c r="L875">
        <f>IF(OR(J875=0,J875=$B$6),1,IF(MOD(J875,2)=1,4,2))</f>
        <v/>
      </c>
      <c r="M875">
        <f>1/SQRT(1-($E$5^2)*(SIN(K875)^2))</f>
        <v/>
      </c>
      <c r="N875">
        <f>SQRT(1-($E$5^2)*(SIN(K875)^2))</f>
        <v/>
      </c>
    </row>
    <row r="876" ht="20" customHeight="1">
      <c r="J876" t="n">
        <v>856</v>
      </c>
      <c r="K876">
        <f>J876*PI()/(2*$B$6)</f>
        <v/>
      </c>
      <c r="L876">
        <f>IF(OR(J876=0,J876=$B$6),1,IF(MOD(J876,2)=1,4,2))</f>
        <v/>
      </c>
      <c r="M876">
        <f>1/SQRT(1-($E$5^2)*(SIN(K876)^2))</f>
        <v/>
      </c>
      <c r="N876">
        <f>SQRT(1-($E$5^2)*(SIN(K876)^2))</f>
        <v/>
      </c>
    </row>
    <row r="877" ht="20" customHeight="1">
      <c r="J877" t="n">
        <v>857</v>
      </c>
      <c r="K877">
        <f>J877*PI()/(2*$B$6)</f>
        <v/>
      </c>
      <c r="L877">
        <f>IF(OR(J877=0,J877=$B$6),1,IF(MOD(J877,2)=1,4,2))</f>
        <v/>
      </c>
      <c r="M877">
        <f>1/SQRT(1-($E$5^2)*(SIN(K877)^2))</f>
        <v/>
      </c>
      <c r="N877">
        <f>SQRT(1-($E$5^2)*(SIN(K877)^2))</f>
        <v/>
      </c>
    </row>
    <row r="878" ht="20" customHeight="1">
      <c r="J878" t="n">
        <v>858</v>
      </c>
      <c r="K878">
        <f>J878*PI()/(2*$B$6)</f>
        <v/>
      </c>
      <c r="L878">
        <f>IF(OR(J878=0,J878=$B$6),1,IF(MOD(J878,2)=1,4,2))</f>
        <v/>
      </c>
      <c r="M878">
        <f>1/SQRT(1-($E$5^2)*(SIN(K878)^2))</f>
        <v/>
      </c>
      <c r="N878">
        <f>SQRT(1-($E$5^2)*(SIN(K878)^2))</f>
        <v/>
      </c>
    </row>
    <row r="879" ht="20" customHeight="1">
      <c r="J879" t="n">
        <v>859</v>
      </c>
      <c r="K879">
        <f>J879*PI()/(2*$B$6)</f>
        <v/>
      </c>
      <c r="L879">
        <f>IF(OR(J879=0,J879=$B$6),1,IF(MOD(J879,2)=1,4,2))</f>
        <v/>
      </c>
      <c r="M879">
        <f>1/SQRT(1-($E$5^2)*(SIN(K879)^2))</f>
        <v/>
      </c>
      <c r="N879">
        <f>SQRT(1-($E$5^2)*(SIN(K879)^2))</f>
        <v/>
      </c>
    </row>
    <row r="880" ht="20" customHeight="1">
      <c r="J880" t="n">
        <v>860</v>
      </c>
      <c r="K880">
        <f>J880*PI()/(2*$B$6)</f>
        <v/>
      </c>
      <c r="L880">
        <f>IF(OR(J880=0,J880=$B$6),1,IF(MOD(J880,2)=1,4,2))</f>
        <v/>
      </c>
      <c r="M880">
        <f>1/SQRT(1-($E$5^2)*(SIN(K880)^2))</f>
        <v/>
      </c>
      <c r="N880">
        <f>SQRT(1-($E$5^2)*(SIN(K880)^2))</f>
        <v/>
      </c>
    </row>
    <row r="881" ht="20" customHeight="1">
      <c r="J881" t="n">
        <v>861</v>
      </c>
      <c r="K881">
        <f>J881*PI()/(2*$B$6)</f>
        <v/>
      </c>
      <c r="L881">
        <f>IF(OR(J881=0,J881=$B$6),1,IF(MOD(J881,2)=1,4,2))</f>
        <v/>
      </c>
      <c r="M881">
        <f>1/SQRT(1-($E$5^2)*(SIN(K881)^2))</f>
        <v/>
      </c>
      <c r="N881">
        <f>SQRT(1-($E$5^2)*(SIN(K881)^2))</f>
        <v/>
      </c>
    </row>
    <row r="882" ht="20" customHeight="1">
      <c r="J882" t="n">
        <v>862</v>
      </c>
      <c r="K882">
        <f>J882*PI()/(2*$B$6)</f>
        <v/>
      </c>
      <c r="L882">
        <f>IF(OR(J882=0,J882=$B$6),1,IF(MOD(J882,2)=1,4,2))</f>
        <v/>
      </c>
      <c r="M882">
        <f>1/SQRT(1-($E$5^2)*(SIN(K882)^2))</f>
        <v/>
      </c>
      <c r="N882">
        <f>SQRT(1-($E$5^2)*(SIN(K882)^2))</f>
        <v/>
      </c>
    </row>
    <row r="883" ht="20" customHeight="1">
      <c r="J883" t="n">
        <v>863</v>
      </c>
      <c r="K883">
        <f>J883*PI()/(2*$B$6)</f>
        <v/>
      </c>
      <c r="L883">
        <f>IF(OR(J883=0,J883=$B$6),1,IF(MOD(J883,2)=1,4,2))</f>
        <v/>
      </c>
      <c r="M883">
        <f>1/SQRT(1-($E$5^2)*(SIN(K883)^2))</f>
        <v/>
      </c>
      <c r="N883">
        <f>SQRT(1-($E$5^2)*(SIN(K883)^2))</f>
        <v/>
      </c>
    </row>
    <row r="884" ht="20" customHeight="1">
      <c r="J884" t="n">
        <v>864</v>
      </c>
      <c r="K884">
        <f>J884*PI()/(2*$B$6)</f>
        <v/>
      </c>
      <c r="L884">
        <f>IF(OR(J884=0,J884=$B$6),1,IF(MOD(J884,2)=1,4,2))</f>
        <v/>
      </c>
      <c r="M884">
        <f>1/SQRT(1-($E$5^2)*(SIN(K884)^2))</f>
        <v/>
      </c>
      <c r="N884">
        <f>SQRT(1-($E$5^2)*(SIN(K884)^2))</f>
        <v/>
      </c>
    </row>
    <row r="885" ht="20" customHeight="1">
      <c r="J885" t="n">
        <v>865</v>
      </c>
      <c r="K885">
        <f>J885*PI()/(2*$B$6)</f>
        <v/>
      </c>
      <c r="L885">
        <f>IF(OR(J885=0,J885=$B$6),1,IF(MOD(J885,2)=1,4,2))</f>
        <v/>
      </c>
      <c r="M885">
        <f>1/SQRT(1-($E$5^2)*(SIN(K885)^2))</f>
        <v/>
      </c>
      <c r="N885">
        <f>SQRT(1-($E$5^2)*(SIN(K885)^2))</f>
        <v/>
      </c>
    </row>
    <row r="886" ht="20" customHeight="1">
      <c r="J886" t="n">
        <v>866</v>
      </c>
      <c r="K886">
        <f>J886*PI()/(2*$B$6)</f>
        <v/>
      </c>
      <c r="L886">
        <f>IF(OR(J886=0,J886=$B$6),1,IF(MOD(J886,2)=1,4,2))</f>
        <v/>
      </c>
      <c r="M886">
        <f>1/SQRT(1-($E$5^2)*(SIN(K886)^2))</f>
        <v/>
      </c>
      <c r="N886">
        <f>SQRT(1-($E$5^2)*(SIN(K886)^2))</f>
        <v/>
      </c>
    </row>
    <row r="887" ht="20" customHeight="1">
      <c r="J887" t="n">
        <v>867</v>
      </c>
      <c r="K887">
        <f>J887*PI()/(2*$B$6)</f>
        <v/>
      </c>
      <c r="L887">
        <f>IF(OR(J887=0,J887=$B$6),1,IF(MOD(J887,2)=1,4,2))</f>
        <v/>
      </c>
      <c r="M887">
        <f>1/SQRT(1-($E$5^2)*(SIN(K887)^2))</f>
        <v/>
      </c>
      <c r="N887">
        <f>SQRT(1-($E$5^2)*(SIN(K887)^2))</f>
        <v/>
      </c>
    </row>
    <row r="888" ht="20" customHeight="1">
      <c r="J888" t="n">
        <v>868</v>
      </c>
      <c r="K888">
        <f>J888*PI()/(2*$B$6)</f>
        <v/>
      </c>
      <c r="L888">
        <f>IF(OR(J888=0,J888=$B$6),1,IF(MOD(J888,2)=1,4,2))</f>
        <v/>
      </c>
      <c r="M888">
        <f>1/SQRT(1-($E$5^2)*(SIN(K888)^2))</f>
        <v/>
      </c>
      <c r="N888">
        <f>SQRT(1-($E$5^2)*(SIN(K888)^2))</f>
        <v/>
      </c>
    </row>
    <row r="889" ht="20" customHeight="1">
      <c r="J889" t="n">
        <v>869</v>
      </c>
      <c r="K889">
        <f>J889*PI()/(2*$B$6)</f>
        <v/>
      </c>
      <c r="L889">
        <f>IF(OR(J889=0,J889=$B$6),1,IF(MOD(J889,2)=1,4,2))</f>
        <v/>
      </c>
      <c r="M889">
        <f>1/SQRT(1-($E$5^2)*(SIN(K889)^2))</f>
        <v/>
      </c>
      <c r="N889">
        <f>SQRT(1-($E$5^2)*(SIN(K889)^2))</f>
        <v/>
      </c>
    </row>
    <row r="890" ht="20" customHeight="1">
      <c r="J890" t="n">
        <v>870</v>
      </c>
      <c r="K890">
        <f>J890*PI()/(2*$B$6)</f>
        <v/>
      </c>
      <c r="L890">
        <f>IF(OR(J890=0,J890=$B$6),1,IF(MOD(J890,2)=1,4,2))</f>
        <v/>
      </c>
      <c r="M890">
        <f>1/SQRT(1-($E$5^2)*(SIN(K890)^2))</f>
        <v/>
      </c>
      <c r="N890">
        <f>SQRT(1-($E$5^2)*(SIN(K890)^2))</f>
        <v/>
      </c>
    </row>
    <row r="891" ht="20" customHeight="1">
      <c r="J891" t="n">
        <v>871</v>
      </c>
      <c r="K891">
        <f>J891*PI()/(2*$B$6)</f>
        <v/>
      </c>
      <c r="L891">
        <f>IF(OR(J891=0,J891=$B$6),1,IF(MOD(J891,2)=1,4,2))</f>
        <v/>
      </c>
      <c r="M891">
        <f>1/SQRT(1-($E$5^2)*(SIN(K891)^2))</f>
        <v/>
      </c>
      <c r="N891">
        <f>SQRT(1-($E$5^2)*(SIN(K891)^2))</f>
        <v/>
      </c>
    </row>
    <row r="892" ht="20" customHeight="1">
      <c r="J892" t="n">
        <v>872</v>
      </c>
      <c r="K892">
        <f>J892*PI()/(2*$B$6)</f>
        <v/>
      </c>
      <c r="L892">
        <f>IF(OR(J892=0,J892=$B$6),1,IF(MOD(J892,2)=1,4,2))</f>
        <v/>
      </c>
      <c r="M892">
        <f>1/SQRT(1-($E$5^2)*(SIN(K892)^2))</f>
        <v/>
      </c>
      <c r="N892">
        <f>SQRT(1-($E$5^2)*(SIN(K892)^2))</f>
        <v/>
      </c>
    </row>
    <row r="893" ht="20" customHeight="1">
      <c r="J893" t="n">
        <v>873</v>
      </c>
      <c r="K893">
        <f>J893*PI()/(2*$B$6)</f>
        <v/>
      </c>
      <c r="L893">
        <f>IF(OR(J893=0,J893=$B$6),1,IF(MOD(J893,2)=1,4,2))</f>
        <v/>
      </c>
      <c r="M893">
        <f>1/SQRT(1-($E$5^2)*(SIN(K893)^2))</f>
        <v/>
      </c>
      <c r="N893">
        <f>SQRT(1-($E$5^2)*(SIN(K893)^2))</f>
        <v/>
      </c>
    </row>
    <row r="894" ht="20" customHeight="1">
      <c r="J894" t="n">
        <v>874</v>
      </c>
      <c r="K894">
        <f>J894*PI()/(2*$B$6)</f>
        <v/>
      </c>
      <c r="L894">
        <f>IF(OR(J894=0,J894=$B$6),1,IF(MOD(J894,2)=1,4,2))</f>
        <v/>
      </c>
      <c r="M894">
        <f>1/SQRT(1-($E$5^2)*(SIN(K894)^2))</f>
        <v/>
      </c>
      <c r="N894">
        <f>SQRT(1-($E$5^2)*(SIN(K894)^2))</f>
        <v/>
      </c>
    </row>
    <row r="895" ht="20" customHeight="1">
      <c r="J895" t="n">
        <v>875</v>
      </c>
      <c r="K895">
        <f>J895*PI()/(2*$B$6)</f>
        <v/>
      </c>
      <c r="L895">
        <f>IF(OR(J895=0,J895=$B$6),1,IF(MOD(J895,2)=1,4,2))</f>
        <v/>
      </c>
      <c r="M895">
        <f>1/SQRT(1-($E$5^2)*(SIN(K895)^2))</f>
        <v/>
      </c>
      <c r="N895">
        <f>SQRT(1-($E$5^2)*(SIN(K895)^2))</f>
        <v/>
      </c>
    </row>
    <row r="896" ht="20" customHeight="1">
      <c r="J896" t="n">
        <v>876</v>
      </c>
      <c r="K896">
        <f>J896*PI()/(2*$B$6)</f>
        <v/>
      </c>
      <c r="L896">
        <f>IF(OR(J896=0,J896=$B$6),1,IF(MOD(J896,2)=1,4,2))</f>
        <v/>
      </c>
      <c r="M896">
        <f>1/SQRT(1-($E$5^2)*(SIN(K896)^2))</f>
        <v/>
      </c>
      <c r="N896">
        <f>SQRT(1-($E$5^2)*(SIN(K896)^2))</f>
        <v/>
      </c>
    </row>
    <row r="897" ht="20" customHeight="1">
      <c r="J897" t="n">
        <v>877</v>
      </c>
      <c r="K897">
        <f>J897*PI()/(2*$B$6)</f>
        <v/>
      </c>
      <c r="L897">
        <f>IF(OR(J897=0,J897=$B$6),1,IF(MOD(J897,2)=1,4,2))</f>
        <v/>
      </c>
      <c r="M897">
        <f>1/SQRT(1-($E$5^2)*(SIN(K897)^2))</f>
        <v/>
      </c>
      <c r="N897">
        <f>SQRT(1-($E$5^2)*(SIN(K897)^2))</f>
        <v/>
      </c>
    </row>
    <row r="898" ht="20" customHeight="1">
      <c r="J898" t="n">
        <v>878</v>
      </c>
      <c r="K898">
        <f>J898*PI()/(2*$B$6)</f>
        <v/>
      </c>
      <c r="L898">
        <f>IF(OR(J898=0,J898=$B$6),1,IF(MOD(J898,2)=1,4,2))</f>
        <v/>
      </c>
      <c r="M898">
        <f>1/SQRT(1-($E$5^2)*(SIN(K898)^2))</f>
        <v/>
      </c>
      <c r="N898">
        <f>SQRT(1-($E$5^2)*(SIN(K898)^2))</f>
        <v/>
      </c>
    </row>
    <row r="899" ht="20" customHeight="1">
      <c r="J899" t="n">
        <v>879</v>
      </c>
      <c r="K899">
        <f>J899*PI()/(2*$B$6)</f>
        <v/>
      </c>
      <c r="L899">
        <f>IF(OR(J899=0,J899=$B$6),1,IF(MOD(J899,2)=1,4,2))</f>
        <v/>
      </c>
      <c r="M899">
        <f>1/SQRT(1-($E$5^2)*(SIN(K899)^2))</f>
        <v/>
      </c>
      <c r="N899">
        <f>SQRT(1-($E$5^2)*(SIN(K899)^2))</f>
        <v/>
      </c>
    </row>
    <row r="900" ht="20" customHeight="1">
      <c r="J900" t="n">
        <v>880</v>
      </c>
      <c r="K900">
        <f>J900*PI()/(2*$B$6)</f>
        <v/>
      </c>
      <c r="L900">
        <f>IF(OR(J900=0,J900=$B$6),1,IF(MOD(J900,2)=1,4,2))</f>
        <v/>
      </c>
      <c r="M900">
        <f>1/SQRT(1-($E$5^2)*(SIN(K900)^2))</f>
        <v/>
      </c>
      <c r="N900">
        <f>SQRT(1-($E$5^2)*(SIN(K900)^2))</f>
        <v/>
      </c>
    </row>
    <row r="901" ht="20" customHeight="1">
      <c r="J901" t="n">
        <v>881</v>
      </c>
      <c r="K901">
        <f>J901*PI()/(2*$B$6)</f>
        <v/>
      </c>
      <c r="L901">
        <f>IF(OR(J901=0,J901=$B$6),1,IF(MOD(J901,2)=1,4,2))</f>
        <v/>
      </c>
      <c r="M901">
        <f>1/SQRT(1-($E$5^2)*(SIN(K901)^2))</f>
        <v/>
      </c>
      <c r="N901">
        <f>SQRT(1-($E$5^2)*(SIN(K901)^2))</f>
        <v/>
      </c>
    </row>
    <row r="902" ht="20" customHeight="1">
      <c r="J902" t="n">
        <v>882</v>
      </c>
      <c r="K902">
        <f>J902*PI()/(2*$B$6)</f>
        <v/>
      </c>
      <c r="L902">
        <f>IF(OR(J902=0,J902=$B$6),1,IF(MOD(J902,2)=1,4,2))</f>
        <v/>
      </c>
      <c r="M902">
        <f>1/SQRT(1-($E$5^2)*(SIN(K902)^2))</f>
        <v/>
      </c>
      <c r="N902">
        <f>SQRT(1-($E$5^2)*(SIN(K902)^2))</f>
        <v/>
      </c>
    </row>
    <row r="903" ht="20" customHeight="1">
      <c r="J903" t="n">
        <v>883</v>
      </c>
      <c r="K903">
        <f>J903*PI()/(2*$B$6)</f>
        <v/>
      </c>
      <c r="L903">
        <f>IF(OR(J903=0,J903=$B$6),1,IF(MOD(J903,2)=1,4,2))</f>
        <v/>
      </c>
      <c r="M903">
        <f>1/SQRT(1-($E$5^2)*(SIN(K903)^2))</f>
        <v/>
      </c>
      <c r="N903">
        <f>SQRT(1-($E$5^2)*(SIN(K903)^2))</f>
        <v/>
      </c>
    </row>
    <row r="904" ht="20" customHeight="1">
      <c r="J904" t="n">
        <v>884</v>
      </c>
      <c r="K904">
        <f>J904*PI()/(2*$B$6)</f>
        <v/>
      </c>
      <c r="L904">
        <f>IF(OR(J904=0,J904=$B$6),1,IF(MOD(J904,2)=1,4,2))</f>
        <v/>
      </c>
      <c r="M904">
        <f>1/SQRT(1-($E$5^2)*(SIN(K904)^2))</f>
        <v/>
      </c>
      <c r="N904">
        <f>SQRT(1-($E$5^2)*(SIN(K904)^2))</f>
        <v/>
      </c>
    </row>
    <row r="905" ht="20" customHeight="1">
      <c r="J905" t="n">
        <v>885</v>
      </c>
      <c r="K905">
        <f>J905*PI()/(2*$B$6)</f>
        <v/>
      </c>
      <c r="L905">
        <f>IF(OR(J905=0,J905=$B$6),1,IF(MOD(J905,2)=1,4,2))</f>
        <v/>
      </c>
      <c r="M905">
        <f>1/SQRT(1-($E$5^2)*(SIN(K905)^2))</f>
        <v/>
      </c>
      <c r="N905">
        <f>SQRT(1-($E$5^2)*(SIN(K905)^2))</f>
        <v/>
      </c>
    </row>
    <row r="906" ht="20" customHeight="1">
      <c r="J906" t="n">
        <v>886</v>
      </c>
      <c r="K906">
        <f>J906*PI()/(2*$B$6)</f>
        <v/>
      </c>
      <c r="L906">
        <f>IF(OR(J906=0,J906=$B$6),1,IF(MOD(J906,2)=1,4,2))</f>
        <v/>
      </c>
      <c r="M906">
        <f>1/SQRT(1-($E$5^2)*(SIN(K906)^2))</f>
        <v/>
      </c>
      <c r="N906">
        <f>SQRT(1-($E$5^2)*(SIN(K906)^2))</f>
        <v/>
      </c>
    </row>
    <row r="907" ht="20" customHeight="1">
      <c r="J907" t="n">
        <v>887</v>
      </c>
      <c r="K907">
        <f>J907*PI()/(2*$B$6)</f>
        <v/>
      </c>
      <c r="L907">
        <f>IF(OR(J907=0,J907=$B$6),1,IF(MOD(J907,2)=1,4,2))</f>
        <v/>
      </c>
      <c r="M907">
        <f>1/SQRT(1-($E$5^2)*(SIN(K907)^2))</f>
        <v/>
      </c>
      <c r="N907">
        <f>SQRT(1-($E$5^2)*(SIN(K907)^2))</f>
        <v/>
      </c>
    </row>
    <row r="908" ht="20" customHeight="1">
      <c r="J908" t="n">
        <v>888</v>
      </c>
      <c r="K908">
        <f>J908*PI()/(2*$B$6)</f>
        <v/>
      </c>
      <c r="L908">
        <f>IF(OR(J908=0,J908=$B$6),1,IF(MOD(J908,2)=1,4,2))</f>
        <v/>
      </c>
      <c r="M908">
        <f>1/SQRT(1-($E$5^2)*(SIN(K908)^2))</f>
        <v/>
      </c>
      <c r="N908">
        <f>SQRT(1-($E$5^2)*(SIN(K908)^2))</f>
        <v/>
      </c>
    </row>
    <row r="909" ht="20" customHeight="1">
      <c r="J909" t="n">
        <v>889</v>
      </c>
      <c r="K909">
        <f>J909*PI()/(2*$B$6)</f>
        <v/>
      </c>
      <c r="L909">
        <f>IF(OR(J909=0,J909=$B$6),1,IF(MOD(J909,2)=1,4,2))</f>
        <v/>
      </c>
      <c r="M909">
        <f>1/SQRT(1-($E$5^2)*(SIN(K909)^2))</f>
        <v/>
      </c>
      <c r="N909">
        <f>SQRT(1-($E$5^2)*(SIN(K909)^2))</f>
        <v/>
      </c>
    </row>
    <row r="910" ht="20" customHeight="1">
      <c r="J910" t="n">
        <v>890</v>
      </c>
      <c r="K910">
        <f>J910*PI()/(2*$B$6)</f>
        <v/>
      </c>
      <c r="L910">
        <f>IF(OR(J910=0,J910=$B$6),1,IF(MOD(J910,2)=1,4,2))</f>
        <v/>
      </c>
      <c r="M910">
        <f>1/SQRT(1-($E$5^2)*(SIN(K910)^2))</f>
        <v/>
      </c>
      <c r="N910">
        <f>SQRT(1-($E$5^2)*(SIN(K910)^2))</f>
        <v/>
      </c>
    </row>
    <row r="911" ht="20" customHeight="1">
      <c r="J911" t="n">
        <v>891</v>
      </c>
      <c r="K911">
        <f>J911*PI()/(2*$B$6)</f>
        <v/>
      </c>
      <c r="L911">
        <f>IF(OR(J911=0,J911=$B$6),1,IF(MOD(J911,2)=1,4,2))</f>
        <v/>
      </c>
      <c r="M911">
        <f>1/SQRT(1-($E$5^2)*(SIN(K911)^2))</f>
        <v/>
      </c>
      <c r="N911">
        <f>SQRT(1-($E$5^2)*(SIN(K911)^2))</f>
        <v/>
      </c>
    </row>
    <row r="912" ht="20" customHeight="1">
      <c r="J912" t="n">
        <v>892</v>
      </c>
      <c r="K912">
        <f>J912*PI()/(2*$B$6)</f>
        <v/>
      </c>
      <c r="L912">
        <f>IF(OR(J912=0,J912=$B$6),1,IF(MOD(J912,2)=1,4,2))</f>
        <v/>
      </c>
      <c r="M912">
        <f>1/SQRT(1-($E$5^2)*(SIN(K912)^2))</f>
        <v/>
      </c>
      <c r="N912">
        <f>SQRT(1-($E$5^2)*(SIN(K912)^2))</f>
        <v/>
      </c>
    </row>
    <row r="913" ht="20" customHeight="1">
      <c r="J913" t="n">
        <v>893</v>
      </c>
      <c r="K913">
        <f>J913*PI()/(2*$B$6)</f>
        <v/>
      </c>
      <c r="L913">
        <f>IF(OR(J913=0,J913=$B$6),1,IF(MOD(J913,2)=1,4,2))</f>
        <v/>
      </c>
      <c r="M913">
        <f>1/SQRT(1-($E$5^2)*(SIN(K913)^2))</f>
        <v/>
      </c>
      <c r="N913">
        <f>SQRT(1-($E$5^2)*(SIN(K913)^2))</f>
        <v/>
      </c>
    </row>
    <row r="914" ht="20" customHeight="1">
      <c r="J914" t="n">
        <v>894</v>
      </c>
      <c r="K914">
        <f>J914*PI()/(2*$B$6)</f>
        <v/>
      </c>
      <c r="L914">
        <f>IF(OR(J914=0,J914=$B$6),1,IF(MOD(J914,2)=1,4,2))</f>
        <v/>
      </c>
      <c r="M914">
        <f>1/SQRT(1-($E$5^2)*(SIN(K914)^2))</f>
        <v/>
      </c>
      <c r="N914">
        <f>SQRT(1-($E$5^2)*(SIN(K914)^2))</f>
        <v/>
      </c>
    </row>
    <row r="915" ht="20" customHeight="1">
      <c r="J915" t="n">
        <v>895</v>
      </c>
      <c r="K915">
        <f>J915*PI()/(2*$B$6)</f>
        <v/>
      </c>
      <c r="L915">
        <f>IF(OR(J915=0,J915=$B$6),1,IF(MOD(J915,2)=1,4,2))</f>
        <v/>
      </c>
      <c r="M915">
        <f>1/SQRT(1-($E$5^2)*(SIN(K915)^2))</f>
        <v/>
      </c>
      <c r="N915">
        <f>SQRT(1-($E$5^2)*(SIN(K915)^2))</f>
        <v/>
      </c>
    </row>
    <row r="916" ht="20" customHeight="1">
      <c r="J916" t="n">
        <v>896</v>
      </c>
      <c r="K916">
        <f>J916*PI()/(2*$B$6)</f>
        <v/>
      </c>
      <c r="L916">
        <f>IF(OR(J916=0,J916=$B$6),1,IF(MOD(J916,2)=1,4,2))</f>
        <v/>
      </c>
      <c r="M916">
        <f>1/SQRT(1-($E$5^2)*(SIN(K916)^2))</f>
        <v/>
      </c>
      <c r="N916">
        <f>SQRT(1-($E$5^2)*(SIN(K916)^2))</f>
        <v/>
      </c>
    </row>
    <row r="917" ht="20" customHeight="1">
      <c r="J917" t="n">
        <v>897</v>
      </c>
      <c r="K917">
        <f>J917*PI()/(2*$B$6)</f>
        <v/>
      </c>
      <c r="L917">
        <f>IF(OR(J917=0,J917=$B$6),1,IF(MOD(J917,2)=1,4,2))</f>
        <v/>
      </c>
      <c r="M917">
        <f>1/SQRT(1-($E$5^2)*(SIN(K917)^2))</f>
        <v/>
      </c>
      <c r="N917">
        <f>SQRT(1-($E$5^2)*(SIN(K917)^2))</f>
        <v/>
      </c>
    </row>
    <row r="918" ht="20" customHeight="1">
      <c r="J918" t="n">
        <v>898</v>
      </c>
      <c r="K918">
        <f>J918*PI()/(2*$B$6)</f>
        <v/>
      </c>
      <c r="L918">
        <f>IF(OR(J918=0,J918=$B$6),1,IF(MOD(J918,2)=1,4,2))</f>
        <v/>
      </c>
      <c r="M918">
        <f>1/SQRT(1-($E$5^2)*(SIN(K918)^2))</f>
        <v/>
      </c>
      <c r="N918">
        <f>SQRT(1-($E$5^2)*(SIN(K918)^2))</f>
        <v/>
      </c>
    </row>
    <row r="919" ht="20" customHeight="1">
      <c r="J919" t="n">
        <v>899</v>
      </c>
      <c r="K919">
        <f>J919*PI()/(2*$B$6)</f>
        <v/>
      </c>
      <c r="L919">
        <f>IF(OR(J919=0,J919=$B$6),1,IF(MOD(J919,2)=1,4,2))</f>
        <v/>
      </c>
      <c r="M919">
        <f>1/SQRT(1-($E$5^2)*(SIN(K919)^2))</f>
        <v/>
      </c>
      <c r="N919">
        <f>SQRT(1-($E$5^2)*(SIN(K919)^2))</f>
        <v/>
      </c>
    </row>
    <row r="920" ht="20" customHeight="1">
      <c r="J920" t="n">
        <v>900</v>
      </c>
      <c r="K920">
        <f>J920*PI()/(2*$B$6)</f>
        <v/>
      </c>
      <c r="L920">
        <f>IF(OR(J920=0,J920=$B$6),1,IF(MOD(J920,2)=1,4,2))</f>
        <v/>
      </c>
      <c r="M920">
        <f>1/SQRT(1-($E$5^2)*(SIN(K920)^2))</f>
        <v/>
      </c>
      <c r="N920">
        <f>SQRT(1-($E$5^2)*(SIN(K920)^2))</f>
        <v/>
      </c>
    </row>
    <row r="921" ht="20" customHeight="1">
      <c r="J921" t="n">
        <v>901</v>
      </c>
      <c r="K921">
        <f>J921*PI()/(2*$B$6)</f>
        <v/>
      </c>
      <c r="L921">
        <f>IF(OR(J921=0,J921=$B$6),1,IF(MOD(J921,2)=1,4,2))</f>
        <v/>
      </c>
      <c r="M921">
        <f>1/SQRT(1-($E$5^2)*(SIN(K921)^2))</f>
        <v/>
      </c>
      <c r="N921">
        <f>SQRT(1-($E$5^2)*(SIN(K921)^2))</f>
        <v/>
      </c>
    </row>
    <row r="922" ht="20" customHeight="1">
      <c r="J922" t="n">
        <v>902</v>
      </c>
      <c r="K922">
        <f>J922*PI()/(2*$B$6)</f>
        <v/>
      </c>
      <c r="L922">
        <f>IF(OR(J922=0,J922=$B$6),1,IF(MOD(J922,2)=1,4,2))</f>
        <v/>
      </c>
      <c r="M922">
        <f>1/SQRT(1-($E$5^2)*(SIN(K922)^2))</f>
        <v/>
      </c>
      <c r="N922">
        <f>SQRT(1-($E$5^2)*(SIN(K922)^2))</f>
        <v/>
      </c>
    </row>
    <row r="923" ht="20" customHeight="1">
      <c r="J923" t="n">
        <v>903</v>
      </c>
      <c r="K923">
        <f>J923*PI()/(2*$B$6)</f>
        <v/>
      </c>
      <c r="L923">
        <f>IF(OR(J923=0,J923=$B$6),1,IF(MOD(J923,2)=1,4,2))</f>
        <v/>
      </c>
      <c r="M923">
        <f>1/SQRT(1-($E$5^2)*(SIN(K923)^2))</f>
        <v/>
      </c>
      <c r="N923">
        <f>SQRT(1-($E$5^2)*(SIN(K923)^2))</f>
        <v/>
      </c>
    </row>
    <row r="924" ht="20" customHeight="1">
      <c r="J924" t="n">
        <v>904</v>
      </c>
      <c r="K924">
        <f>J924*PI()/(2*$B$6)</f>
        <v/>
      </c>
      <c r="L924">
        <f>IF(OR(J924=0,J924=$B$6),1,IF(MOD(J924,2)=1,4,2))</f>
        <v/>
      </c>
      <c r="M924">
        <f>1/SQRT(1-($E$5^2)*(SIN(K924)^2))</f>
        <v/>
      </c>
      <c r="N924">
        <f>SQRT(1-($E$5^2)*(SIN(K924)^2))</f>
        <v/>
      </c>
    </row>
    <row r="925" ht="20" customHeight="1">
      <c r="J925" t="n">
        <v>905</v>
      </c>
      <c r="K925">
        <f>J925*PI()/(2*$B$6)</f>
        <v/>
      </c>
      <c r="L925">
        <f>IF(OR(J925=0,J925=$B$6),1,IF(MOD(J925,2)=1,4,2))</f>
        <v/>
      </c>
      <c r="M925">
        <f>1/SQRT(1-($E$5^2)*(SIN(K925)^2))</f>
        <v/>
      </c>
      <c r="N925">
        <f>SQRT(1-($E$5^2)*(SIN(K925)^2))</f>
        <v/>
      </c>
    </row>
    <row r="926" ht="20" customHeight="1">
      <c r="J926" t="n">
        <v>906</v>
      </c>
      <c r="K926">
        <f>J926*PI()/(2*$B$6)</f>
        <v/>
      </c>
      <c r="L926">
        <f>IF(OR(J926=0,J926=$B$6),1,IF(MOD(J926,2)=1,4,2))</f>
        <v/>
      </c>
      <c r="M926">
        <f>1/SQRT(1-($E$5^2)*(SIN(K926)^2))</f>
        <v/>
      </c>
      <c r="N926">
        <f>SQRT(1-($E$5^2)*(SIN(K926)^2))</f>
        <v/>
      </c>
    </row>
    <row r="927" ht="20" customHeight="1">
      <c r="J927" t="n">
        <v>907</v>
      </c>
      <c r="K927">
        <f>J927*PI()/(2*$B$6)</f>
        <v/>
      </c>
      <c r="L927">
        <f>IF(OR(J927=0,J927=$B$6),1,IF(MOD(J927,2)=1,4,2))</f>
        <v/>
      </c>
      <c r="M927">
        <f>1/SQRT(1-($E$5^2)*(SIN(K927)^2))</f>
        <v/>
      </c>
      <c r="N927">
        <f>SQRT(1-($E$5^2)*(SIN(K927)^2))</f>
        <v/>
      </c>
    </row>
    <row r="928" ht="20" customHeight="1">
      <c r="J928" t="n">
        <v>908</v>
      </c>
      <c r="K928">
        <f>J928*PI()/(2*$B$6)</f>
        <v/>
      </c>
      <c r="L928">
        <f>IF(OR(J928=0,J928=$B$6),1,IF(MOD(J928,2)=1,4,2))</f>
        <v/>
      </c>
      <c r="M928">
        <f>1/SQRT(1-($E$5^2)*(SIN(K928)^2))</f>
        <v/>
      </c>
      <c r="N928">
        <f>SQRT(1-($E$5^2)*(SIN(K928)^2))</f>
        <v/>
      </c>
    </row>
    <row r="929" ht="20" customHeight="1">
      <c r="J929" t="n">
        <v>909</v>
      </c>
      <c r="K929">
        <f>J929*PI()/(2*$B$6)</f>
        <v/>
      </c>
      <c r="L929">
        <f>IF(OR(J929=0,J929=$B$6),1,IF(MOD(J929,2)=1,4,2))</f>
        <v/>
      </c>
      <c r="M929">
        <f>1/SQRT(1-($E$5^2)*(SIN(K929)^2))</f>
        <v/>
      </c>
      <c r="N929">
        <f>SQRT(1-($E$5^2)*(SIN(K929)^2))</f>
        <v/>
      </c>
    </row>
    <row r="930" ht="20" customHeight="1">
      <c r="J930" t="n">
        <v>910</v>
      </c>
      <c r="K930">
        <f>J930*PI()/(2*$B$6)</f>
        <v/>
      </c>
      <c r="L930">
        <f>IF(OR(J930=0,J930=$B$6),1,IF(MOD(J930,2)=1,4,2))</f>
        <v/>
      </c>
      <c r="M930">
        <f>1/SQRT(1-($E$5^2)*(SIN(K930)^2))</f>
        <v/>
      </c>
      <c r="N930">
        <f>SQRT(1-($E$5^2)*(SIN(K930)^2))</f>
        <v/>
      </c>
    </row>
    <row r="931" ht="20" customHeight="1">
      <c r="J931" t="n">
        <v>911</v>
      </c>
      <c r="K931">
        <f>J931*PI()/(2*$B$6)</f>
        <v/>
      </c>
      <c r="L931">
        <f>IF(OR(J931=0,J931=$B$6),1,IF(MOD(J931,2)=1,4,2))</f>
        <v/>
      </c>
      <c r="M931">
        <f>1/SQRT(1-($E$5^2)*(SIN(K931)^2))</f>
        <v/>
      </c>
      <c r="N931">
        <f>SQRT(1-($E$5^2)*(SIN(K931)^2))</f>
        <v/>
      </c>
    </row>
    <row r="932" ht="20" customHeight="1">
      <c r="J932" t="n">
        <v>912</v>
      </c>
      <c r="K932">
        <f>J932*PI()/(2*$B$6)</f>
        <v/>
      </c>
      <c r="L932">
        <f>IF(OR(J932=0,J932=$B$6),1,IF(MOD(J932,2)=1,4,2))</f>
        <v/>
      </c>
      <c r="M932">
        <f>1/SQRT(1-($E$5^2)*(SIN(K932)^2))</f>
        <v/>
      </c>
      <c r="N932">
        <f>SQRT(1-($E$5^2)*(SIN(K932)^2))</f>
        <v/>
      </c>
    </row>
    <row r="933" ht="20" customHeight="1">
      <c r="J933" t="n">
        <v>913</v>
      </c>
      <c r="K933">
        <f>J933*PI()/(2*$B$6)</f>
        <v/>
      </c>
      <c r="L933">
        <f>IF(OR(J933=0,J933=$B$6),1,IF(MOD(J933,2)=1,4,2))</f>
        <v/>
      </c>
      <c r="M933">
        <f>1/SQRT(1-($E$5^2)*(SIN(K933)^2))</f>
        <v/>
      </c>
      <c r="N933">
        <f>SQRT(1-($E$5^2)*(SIN(K933)^2))</f>
        <v/>
      </c>
    </row>
    <row r="934" ht="20" customHeight="1">
      <c r="J934" t="n">
        <v>914</v>
      </c>
      <c r="K934">
        <f>J934*PI()/(2*$B$6)</f>
        <v/>
      </c>
      <c r="L934">
        <f>IF(OR(J934=0,J934=$B$6),1,IF(MOD(J934,2)=1,4,2))</f>
        <v/>
      </c>
      <c r="M934">
        <f>1/SQRT(1-($E$5^2)*(SIN(K934)^2))</f>
        <v/>
      </c>
      <c r="N934">
        <f>SQRT(1-($E$5^2)*(SIN(K934)^2))</f>
        <v/>
      </c>
    </row>
    <row r="935" ht="20" customHeight="1">
      <c r="J935" t="n">
        <v>915</v>
      </c>
      <c r="K935">
        <f>J935*PI()/(2*$B$6)</f>
        <v/>
      </c>
      <c r="L935">
        <f>IF(OR(J935=0,J935=$B$6),1,IF(MOD(J935,2)=1,4,2))</f>
        <v/>
      </c>
      <c r="M935">
        <f>1/SQRT(1-($E$5^2)*(SIN(K935)^2))</f>
        <v/>
      </c>
      <c r="N935">
        <f>SQRT(1-($E$5^2)*(SIN(K935)^2))</f>
        <v/>
      </c>
    </row>
    <row r="936" ht="20" customHeight="1">
      <c r="J936" t="n">
        <v>916</v>
      </c>
      <c r="K936">
        <f>J936*PI()/(2*$B$6)</f>
        <v/>
      </c>
      <c r="L936">
        <f>IF(OR(J936=0,J936=$B$6),1,IF(MOD(J936,2)=1,4,2))</f>
        <v/>
      </c>
      <c r="M936">
        <f>1/SQRT(1-($E$5^2)*(SIN(K936)^2))</f>
        <v/>
      </c>
      <c r="N936">
        <f>SQRT(1-($E$5^2)*(SIN(K936)^2))</f>
        <v/>
      </c>
    </row>
    <row r="937" ht="20" customHeight="1">
      <c r="J937" t="n">
        <v>917</v>
      </c>
      <c r="K937">
        <f>J937*PI()/(2*$B$6)</f>
        <v/>
      </c>
      <c r="L937">
        <f>IF(OR(J937=0,J937=$B$6),1,IF(MOD(J937,2)=1,4,2))</f>
        <v/>
      </c>
      <c r="M937">
        <f>1/SQRT(1-($E$5^2)*(SIN(K937)^2))</f>
        <v/>
      </c>
      <c r="N937">
        <f>SQRT(1-($E$5^2)*(SIN(K937)^2))</f>
        <v/>
      </c>
    </row>
    <row r="938" ht="20" customHeight="1">
      <c r="J938" t="n">
        <v>918</v>
      </c>
      <c r="K938">
        <f>J938*PI()/(2*$B$6)</f>
        <v/>
      </c>
      <c r="L938">
        <f>IF(OR(J938=0,J938=$B$6),1,IF(MOD(J938,2)=1,4,2))</f>
        <v/>
      </c>
      <c r="M938">
        <f>1/SQRT(1-($E$5^2)*(SIN(K938)^2))</f>
        <v/>
      </c>
      <c r="N938">
        <f>SQRT(1-($E$5^2)*(SIN(K938)^2))</f>
        <v/>
      </c>
    </row>
    <row r="939" ht="20" customHeight="1">
      <c r="J939" t="n">
        <v>919</v>
      </c>
      <c r="K939">
        <f>J939*PI()/(2*$B$6)</f>
        <v/>
      </c>
      <c r="L939">
        <f>IF(OR(J939=0,J939=$B$6),1,IF(MOD(J939,2)=1,4,2))</f>
        <v/>
      </c>
      <c r="M939">
        <f>1/SQRT(1-($E$5^2)*(SIN(K939)^2))</f>
        <v/>
      </c>
      <c r="N939">
        <f>SQRT(1-($E$5^2)*(SIN(K939)^2))</f>
        <v/>
      </c>
    </row>
    <row r="940" ht="20" customHeight="1">
      <c r="J940" t="n">
        <v>920</v>
      </c>
      <c r="K940">
        <f>J940*PI()/(2*$B$6)</f>
        <v/>
      </c>
      <c r="L940">
        <f>IF(OR(J940=0,J940=$B$6),1,IF(MOD(J940,2)=1,4,2))</f>
        <v/>
      </c>
      <c r="M940">
        <f>1/SQRT(1-($E$5^2)*(SIN(K940)^2))</f>
        <v/>
      </c>
      <c r="N940">
        <f>SQRT(1-($E$5^2)*(SIN(K940)^2))</f>
        <v/>
      </c>
    </row>
    <row r="941" ht="20" customHeight="1">
      <c r="J941" t="n">
        <v>921</v>
      </c>
      <c r="K941">
        <f>J941*PI()/(2*$B$6)</f>
        <v/>
      </c>
      <c r="L941">
        <f>IF(OR(J941=0,J941=$B$6),1,IF(MOD(J941,2)=1,4,2))</f>
        <v/>
      </c>
      <c r="M941">
        <f>1/SQRT(1-($E$5^2)*(SIN(K941)^2))</f>
        <v/>
      </c>
      <c r="N941">
        <f>SQRT(1-($E$5^2)*(SIN(K941)^2))</f>
        <v/>
      </c>
    </row>
    <row r="942" ht="20" customHeight="1">
      <c r="J942" t="n">
        <v>922</v>
      </c>
      <c r="K942">
        <f>J942*PI()/(2*$B$6)</f>
        <v/>
      </c>
      <c r="L942">
        <f>IF(OR(J942=0,J942=$B$6),1,IF(MOD(J942,2)=1,4,2))</f>
        <v/>
      </c>
      <c r="M942">
        <f>1/SQRT(1-($E$5^2)*(SIN(K942)^2))</f>
        <v/>
      </c>
      <c r="N942">
        <f>SQRT(1-($E$5^2)*(SIN(K942)^2))</f>
        <v/>
      </c>
    </row>
    <row r="943" ht="20" customHeight="1">
      <c r="J943" t="n">
        <v>923</v>
      </c>
      <c r="K943">
        <f>J943*PI()/(2*$B$6)</f>
        <v/>
      </c>
      <c r="L943">
        <f>IF(OR(J943=0,J943=$B$6),1,IF(MOD(J943,2)=1,4,2))</f>
        <v/>
      </c>
      <c r="M943">
        <f>1/SQRT(1-($E$5^2)*(SIN(K943)^2))</f>
        <v/>
      </c>
      <c r="N943">
        <f>SQRT(1-($E$5^2)*(SIN(K943)^2))</f>
        <v/>
      </c>
    </row>
    <row r="944" ht="20" customHeight="1">
      <c r="J944" t="n">
        <v>924</v>
      </c>
      <c r="K944">
        <f>J944*PI()/(2*$B$6)</f>
        <v/>
      </c>
      <c r="L944">
        <f>IF(OR(J944=0,J944=$B$6),1,IF(MOD(J944,2)=1,4,2))</f>
        <v/>
      </c>
      <c r="M944">
        <f>1/SQRT(1-($E$5^2)*(SIN(K944)^2))</f>
        <v/>
      </c>
      <c r="N944">
        <f>SQRT(1-($E$5^2)*(SIN(K944)^2))</f>
        <v/>
      </c>
    </row>
    <row r="945" ht="20" customHeight="1">
      <c r="J945" t="n">
        <v>925</v>
      </c>
      <c r="K945">
        <f>J945*PI()/(2*$B$6)</f>
        <v/>
      </c>
      <c r="L945">
        <f>IF(OR(J945=0,J945=$B$6),1,IF(MOD(J945,2)=1,4,2))</f>
        <v/>
      </c>
      <c r="M945">
        <f>1/SQRT(1-($E$5^2)*(SIN(K945)^2))</f>
        <v/>
      </c>
      <c r="N945">
        <f>SQRT(1-($E$5^2)*(SIN(K945)^2))</f>
        <v/>
      </c>
    </row>
    <row r="946" ht="20" customHeight="1">
      <c r="J946" t="n">
        <v>926</v>
      </c>
      <c r="K946">
        <f>J946*PI()/(2*$B$6)</f>
        <v/>
      </c>
      <c r="L946">
        <f>IF(OR(J946=0,J946=$B$6),1,IF(MOD(J946,2)=1,4,2))</f>
        <v/>
      </c>
      <c r="M946">
        <f>1/SQRT(1-($E$5^2)*(SIN(K946)^2))</f>
        <v/>
      </c>
      <c r="N946">
        <f>SQRT(1-($E$5^2)*(SIN(K946)^2))</f>
        <v/>
      </c>
    </row>
    <row r="947" ht="20" customHeight="1">
      <c r="J947" t="n">
        <v>927</v>
      </c>
      <c r="K947">
        <f>J947*PI()/(2*$B$6)</f>
        <v/>
      </c>
      <c r="L947">
        <f>IF(OR(J947=0,J947=$B$6),1,IF(MOD(J947,2)=1,4,2))</f>
        <v/>
      </c>
      <c r="M947">
        <f>1/SQRT(1-($E$5^2)*(SIN(K947)^2))</f>
        <v/>
      </c>
      <c r="N947">
        <f>SQRT(1-($E$5^2)*(SIN(K947)^2))</f>
        <v/>
      </c>
    </row>
    <row r="948" ht="20" customHeight="1">
      <c r="J948" t="n">
        <v>928</v>
      </c>
      <c r="K948">
        <f>J948*PI()/(2*$B$6)</f>
        <v/>
      </c>
      <c r="L948">
        <f>IF(OR(J948=0,J948=$B$6),1,IF(MOD(J948,2)=1,4,2))</f>
        <v/>
      </c>
      <c r="M948">
        <f>1/SQRT(1-($E$5^2)*(SIN(K948)^2))</f>
        <v/>
      </c>
      <c r="N948">
        <f>SQRT(1-($E$5^2)*(SIN(K948)^2))</f>
        <v/>
      </c>
    </row>
    <row r="949" ht="20" customHeight="1">
      <c r="J949" t="n">
        <v>929</v>
      </c>
      <c r="K949">
        <f>J949*PI()/(2*$B$6)</f>
        <v/>
      </c>
      <c r="L949">
        <f>IF(OR(J949=0,J949=$B$6),1,IF(MOD(J949,2)=1,4,2))</f>
        <v/>
      </c>
      <c r="M949">
        <f>1/SQRT(1-($E$5^2)*(SIN(K949)^2))</f>
        <v/>
      </c>
      <c r="N949">
        <f>SQRT(1-($E$5^2)*(SIN(K949)^2))</f>
        <v/>
      </c>
    </row>
    <row r="950" ht="20" customHeight="1">
      <c r="J950" t="n">
        <v>930</v>
      </c>
      <c r="K950">
        <f>J950*PI()/(2*$B$6)</f>
        <v/>
      </c>
      <c r="L950">
        <f>IF(OR(J950=0,J950=$B$6),1,IF(MOD(J950,2)=1,4,2))</f>
        <v/>
      </c>
      <c r="M950">
        <f>1/SQRT(1-($E$5^2)*(SIN(K950)^2))</f>
        <v/>
      </c>
      <c r="N950">
        <f>SQRT(1-($E$5^2)*(SIN(K950)^2))</f>
        <v/>
      </c>
    </row>
    <row r="951" ht="20" customHeight="1">
      <c r="J951" t="n">
        <v>931</v>
      </c>
      <c r="K951">
        <f>J951*PI()/(2*$B$6)</f>
        <v/>
      </c>
      <c r="L951">
        <f>IF(OR(J951=0,J951=$B$6),1,IF(MOD(J951,2)=1,4,2))</f>
        <v/>
      </c>
      <c r="M951">
        <f>1/SQRT(1-($E$5^2)*(SIN(K951)^2))</f>
        <v/>
      </c>
      <c r="N951">
        <f>SQRT(1-($E$5^2)*(SIN(K951)^2))</f>
        <v/>
      </c>
    </row>
    <row r="952" ht="20" customHeight="1">
      <c r="J952" t="n">
        <v>932</v>
      </c>
      <c r="K952">
        <f>J952*PI()/(2*$B$6)</f>
        <v/>
      </c>
      <c r="L952">
        <f>IF(OR(J952=0,J952=$B$6),1,IF(MOD(J952,2)=1,4,2))</f>
        <v/>
      </c>
      <c r="M952">
        <f>1/SQRT(1-($E$5^2)*(SIN(K952)^2))</f>
        <v/>
      </c>
      <c r="N952">
        <f>SQRT(1-($E$5^2)*(SIN(K952)^2))</f>
        <v/>
      </c>
    </row>
    <row r="953" ht="20" customHeight="1">
      <c r="J953" t="n">
        <v>933</v>
      </c>
      <c r="K953">
        <f>J953*PI()/(2*$B$6)</f>
        <v/>
      </c>
      <c r="L953">
        <f>IF(OR(J953=0,J953=$B$6),1,IF(MOD(J953,2)=1,4,2))</f>
        <v/>
      </c>
      <c r="M953">
        <f>1/SQRT(1-($E$5^2)*(SIN(K953)^2))</f>
        <v/>
      </c>
      <c r="N953">
        <f>SQRT(1-($E$5^2)*(SIN(K953)^2))</f>
        <v/>
      </c>
    </row>
    <row r="954" ht="20" customHeight="1">
      <c r="J954" t="n">
        <v>934</v>
      </c>
      <c r="K954">
        <f>J954*PI()/(2*$B$6)</f>
        <v/>
      </c>
      <c r="L954">
        <f>IF(OR(J954=0,J954=$B$6),1,IF(MOD(J954,2)=1,4,2))</f>
        <v/>
      </c>
      <c r="M954">
        <f>1/SQRT(1-($E$5^2)*(SIN(K954)^2))</f>
        <v/>
      </c>
      <c r="N954">
        <f>SQRT(1-($E$5^2)*(SIN(K954)^2))</f>
        <v/>
      </c>
    </row>
    <row r="955" ht="20" customHeight="1">
      <c r="J955" t="n">
        <v>935</v>
      </c>
      <c r="K955">
        <f>J955*PI()/(2*$B$6)</f>
        <v/>
      </c>
      <c r="L955">
        <f>IF(OR(J955=0,J955=$B$6),1,IF(MOD(J955,2)=1,4,2))</f>
        <v/>
      </c>
      <c r="M955">
        <f>1/SQRT(1-($E$5^2)*(SIN(K955)^2))</f>
        <v/>
      </c>
      <c r="N955">
        <f>SQRT(1-($E$5^2)*(SIN(K955)^2))</f>
        <v/>
      </c>
    </row>
    <row r="956" ht="20" customHeight="1">
      <c r="J956" t="n">
        <v>936</v>
      </c>
      <c r="K956">
        <f>J956*PI()/(2*$B$6)</f>
        <v/>
      </c>
      <c r="L956">
        <f>IF(OR(J956=0,J956=$B$6),1,IF(MOD(J956,2)=1,4,2))</f>
        <v/>
      </c>
      <c r="M956">
        <f>1/SQRT(1-($E$5^2)*(SIN(K956)^2))</f>
        <v/>
      </c>
      <c r="N956">
        <f>SQRT(1-($E$5^2)*(SIN(K956)^2))</f>
        <v/>
      </c>
    </row>
    <row r="957" ht="20" customHeight="1">
      <c r="J957" t="n">
        <v>937</v>
      </c>
      <c r="K957">
        <f>J957*PI()/(2*$B$6)</f>
        <v/>
      </c>
      <c r="L957">
        <f>IF(OR(J957=0,J957=$B$6),1,IF(MOD(J957,2)=1,4,2))</f>
        <v/>
      </c>
      <c r="M957">
        <f>1/SQRT(1-($E$5^2)*(SIN(K957)^2))</f>
        <v/>
      </c>
      <c r="N957">
        <f>SQRT(1-($E$5^2)*(SIN(K957)^2))</f>
        <v/>
      </c>
    </row>
    <row r="958" ht="20" customHeight="1">
      <c r="J958" t="n">
        <v>938</v>
      </c>
      <c r="K958">
        <f>J958*PI()/(2*$B$6)</f>
        <v/>
      </c>
      <c r="L958">
        <f>IF(OR(J958=0,J958=$B$6),1,IF(MOD(J958,2)=1,4,2))</f>
        <v/>
      </c>
      <c r="M958">
        <f>1/SQRT(1-($E$5^2)*(SIN(K958)^2))</f>
        <v/>
      </c>
      <c r="N958">
        <f>SQRT(1-($E$5^2)*(SIN(K958)^2))</f>
        <v/>
      </c>
    </row>
    <row r="959" ht="20" customHeight="1">
      <c r="J959" t="n">
        <v>939</v>
      </c>
      <c r="K959">
        <f>J959*PI()/(2*$B$6)</f>
        <v/>
      </c>
      <c r="L959">
        <f>IF(OR(J959=0,J959=$B$6),1,IF(MOD(J959,2)=1,4,2))</f>
        <v/>
      </c>
      <c r="M959">
        <f>1/SQRT(1-($E$5^2)*(SIN(K959)^2))</f>
        <v/>
      </c>
      <c r="N959">
        <f>SQRT(1-($E$5^2)*(SIN(K959)^2))</f>
        <v/>
      </c>
    </row>
    <row r="960" ht="20" customHeight="1">
      <c r="J960" t="n">
        <v>940</v>
      </c>
      <c r="K960">
        <f>J960*PI()/(2*$B$6)</f>
        <v/>
      </c>
      <c r="L960">
        <f>IF(OR(J960=0,J960=$B$6),1,IF(MOD(J960,2)=1,4,2))</f>
        <v/>
      </c>
      <c r="M960">
        <f>1/SQRT(1-($E$5^2)*(SIN(K960)^2))</f>
        <v/>
      </c>
      <c r="N960">
        <f>SQRT(1-($E$5^2)*(SIN(K960)^2))</f>
        <v/>
      </c>
    </row>
    <row r="961" ht="20" customHeight="1">
      <c r="J961" t="n">
        <v>941</v>
      </c>
      <c r="K961">
        <f>J961*PI()/(2*$B$6)</f>
        <v/>
      </c>
      <c r="L961">
        <f>IF(OR(J961=0,J961=$B$6),1,IF(MOD(J961,2)=1,4,2))</f>
        <v/>
      </c>
      <c r="M961">
        <f>1/SQRT(1-($E$5^2)*(SIN(K961)^2))</f>
        <v/>
      </c>
      <c r="N961">
        <f>SQRT(1-($E$5^2)*(SIN(K961)^2))</f>
        <v/>
      </c>
    </row>
    <row r="962" ht="20" customHeight="1">
      <c r="J962" t="n">
        <v>942</v>
      </c>
      <c r="K962">
        <f>J962*PI()/(2*$B$6)</f>
        <v/>
      </c>
      <c r="L962">
        <f>IF(OR(J962=0,J962=$B$6),1,IF(MOD(J962,2)=1,4,2))</f>
        <v/>
      </c>
      <c r="M962">
        <f>1/SQRT(1-($E$5^2)*(SIN(K962)^2))</f>
        <v/>
      </c>
      <c r="N962">
        <f>SQRT(1-($E$5^2)*(SIN(K962)^2))</f>
        <v/>
      </c>
    </row>
    <row r="963" ht="20" customHeight="1">
      <c r="J963" t="n">
        <v>943</v>
      </c>
      <c r="K963">
        <f>J963*PI()/(2*$B$6)</f>
        <v/>
      </c>
      <c r="L963">
        <f>IF(OR(J963=0,J963=$B$6),1,IF(MOD(J963,2)=1,4,2))</f>
        <v/>
      </c>
      <c r="M963">
        <f>1/SQRT(1-($E$5^2)*(SIN(K963)^2))</f>
        <v/>
      </c>
      <c r="N963">
        <f>SQRT(1-($E$5^2)*(SIN(K963)^2))</f>
        <v/>
      </c>
    </row>
    <row r="964" ht="20" customHeight="1">
      <c r="J964" t="n">
        <v>944</v>
      </c>
      <c r="K964">
        <f>J964*PI()/(2*$B$6)</f>
        <v/>
      </c>
      <c r="L964">
        <f>IF(OR(J964=0,J964=$B$6),1,IF(MOD(J964,2)=1,4,2))</f>
        <v/>
      </c>
      <c r="M964">
        <f>1/SQRT(1-($E$5^2)*(SIN(K964)^2))</f>
        <v/>
      </c>
      <c r="N964">
        <f>SQRT(1-($E$5^2)*(SIN(K964)^2))</f>
        <v/>
      </c>
    </row>
    <row r="965" ht="20" customHeight="1">
      <c r="J965" t="n">
        <v>945</v>
      </c>
      <c r="K965">
        <f>J965*PI()/(2*$B$6)</f>
        <v/>
      </c>
      <c r="L965">
        <f>IF(OR(J965=0,J965=$B$6),1,IF(MOD(J965,2)=1,4,2))</f>
        <v/>
      </c>
      <c r="M965">
        <f>1/SQRT(1-($E$5^2)*(SIN(K965)^2))</f>
        <v/>
      </c>
      <c r="N965">
        <f>SQRT(1-($E$5^2)*(SIN(K965)^2))</f>
        <v/>
      </c>
    </row>
    <row r="966" ht="20" customHeight="1">
      <c r="J966" t="n">
        <v>946</v>
      </c>
      <c r="K966">
        <f>J966*PI()/(2*$B$6)</f>
        <v/>
      </c>
      <c r="L966">
        <f>IF(OR(J966=0,J966=$B$6),1,IF(MOD(J966,2)=1,4,2))</f>
        <v/>
      </c>
      <c r="M966">
        <f>1/SQRT(1-($E$5^2)*(SIN(K966)^2))</f>
        <v/>
      </c>
      <c r="N966">
        <f>SQRT(1-($E$5^2)*(SIN(K966)^2))</f>
        <v/>
      </c>
    </row>
    <row r="967" ht="20" customHeight="1">
      <c r="J967" t="n">
        <v>947</v>
      </c>
      <c r="K967">
        <f>J967*PI()/(2*$B$6)</f>
        <v/>
      </c>
      <c r="L967">
        <f>IF(OR(J967=0,J967=$B$6),1,IF(MOD(J967,2)=1,4,2))</f>
        <v/>
      </c>
      <c r="M967">
        <f>1/SQRT(1-($E$5^2)*(SIN(K967)^2))</f>
        <v/>
      </c>
      <c r="N967">
        <f>SQRT(1-($E$5^2)*(SIN(K967)^2))</f>
        <v/>
      </c>
    </row>
    <row r="968" ht="20" customHeight="1">
      <c r="J968" t="n">
        <v>948</v>
      </c>
      <c r="K968">
        <f>J968*PI()/(2*$B$6)</f>
        <v/>
      </c>
      <c r="L968">
        <f>IF(OR(J968=0,J968=$B$6),1,IF(MOD(J968,2)=1,4,2))</f>
        <v/>
      </c>
      <c r="M968">
        <f>1/SQRT(1-($E$5^2)*(SIN(K968)^2))</f>
        <v/>
      </c>
      <c r="N968">
        <f>SQRT(1-($E$5^2)*(SIN(K968)^2))</f>
        <v/>
      </c>
    </row>
    <row r="969" ht="20" customHeight="1">
      <c r="J969" t="n">
        <v>949</v>
      </c>
      <c r="K969">
        <f>J969*PI()/(2*$B$6)</f>
        <v/>
      </c>
      <c r="L969">
        <f>IF(OR(J969=0,J969=$B$6),1,IF(MOD(J969,2)=1,4,2))</f>
        <v/>
      </c>
      <c r="M969">
        <f>1/SQRT(1-($E$5^2)*(SIN(K969)^2))</f>
        <v/>
      </c>
      <c r="N969">
        <f>SQRT(1-($E$5^2)*(SIN(K969)^2))</f>
        <v/>
      </c>
    </row>
    <row r="970" ht="20" customHeight="1">
      <c r="J970" t="n">
        <v>950</v>
      </c>
      <c r="K970">
        <f>J970*PI()/(2*$B$6)</f>
        <v/>
      </c>
      <c r="L970">
        <f>IF(OR(J970=0,J970=$B$6),1,IF(MOD(J970,2)=1,4,2))</f>
        <v/>
      </c>
      <c r="M970">
        <f>1/SQRT(1-($E$5^2)*(SIN(K970)^2))</f>
        <v/>
      </c>
      <c r="N970">
        <f>SQRT(1-($E$5^2)*(SIN(K970)^2))</f>
        <v/>
      </c>
    </row>
    <row r="971" ht="20" customHeight="1">
      <c r="J971" t="n">
        <v>951</v>
      </c>
      <c r="K971">
        <f>J971*PI()/(2*$B$6)</f>
        <v/>
      </c>
      <c r="L971">
        <f>IF(OR(J971=0,J971=$B$6),1,IF(MOD(J971,2)=1,4,2))</f>
        <v/>
      </c>
      <c r="M971">
        <f>1/SQRT(1-($E$5^2)*(SIN(K971)^2))</f>
        <v/>
      </c>
      <c r="N971">
        <f>SQRT(1-($E$5^2)*(SIN(K971)^2))</f>
        <v/>
      </c>
    </row>
    <row r="972" ht="20" customHeight="1">
      <c r="J972" t="n">
        <v>952</v>
      </c>
      <c r="K972">
        <f>J972*PI()/(2*$B$6)</f>
        <v/>
      </c>
      <c r="L972">
        <f>IF(OR(J972=0,J972=$B$6),1,IF(MOD(J972,2)=1,4,2))</f>
        <v/>
      </c>
      <c r="M972">
        <f>1/SQRT(1-($E$5^2)*(SIN(K972)^2))</f>
        <v/>
      </c>
      <c r="N972">
        <f>SQRT(1-($E$5^2)*(SIN(K972)^2))</f>
        <v/>
      </c>
    </row>
    <row r="973" ht="20" customHeight="1">
      <c r="J973" t="n">
        <v>953</v>
      </c>
      <c r="K973">
        <f>J973*PI()/(2*$B$6)</f>
        <v/>
      </c>
      <c r="L973">
        <f>IF(OR(J973=0,J973=$B$6),1,IF(MOD(J973,2)=1,4,2))</f>
        <v/>
      </c>
      <c r="M973">
        <f>1/SQRT(1-($E$5^2)*(SIN(K973)^2))</f>
        <v/>
      </c>
      <c r="N973">
        <f>SQRT(1-($E$5^2)*(SIN(K973)^2))</f>
        <v/>
      </c>
    </row>
    <row r="974" ht="20" customHeight="1">
      <c r="J974" t="n">
        <v>954</v>
      </c>
      <c r="K974">
        <f>J974*PI()/(2*$B$6)</f>
        <v/>
      </c>
      <c r="L974">
        <f>IF(OR(J974=0,J974=$B$6),1,IF(MOD(J974,2)=1,4,2))</f>
        <v/>
      </c>
      <c r="M974">
        <f>1/SQRT(1-($E$5^2)*(SIN(K974)^2))</f>
        <v/>
      </c>
      <c r="N974">
        <f>SQRT(1-($E$5^2)*(SIN(K974)^2))</f>
        <v/>
      </c>
    </row>
    <row r="975" ht="20" customHeight="1">
      <c r="J975" t="n">
        <v>955</v>
      </c>
      <c r="K975">
        <f>J975*PI()/(2*$B$6)</f>
        <v/>
      </c>
      <c r="L975">
        <f>IF(OR(J975=0,J975=$B$6),1,IF(MOD(J975,2)=1,4,2))</f>
        <v/>
      </c>
      <c r="M975">
        <f>1/SQRT(1-($E$5^2)*(SIN(K975)^2))</f>
        <v/>
      </c>
      <c r="N975">
        <f>SQRT(1-($E$5^2)*(SIN(K975)^2))</f>
        <v/>
      </c>
    </row>
    <row r="976" ht="20" customHeight="1">
      <c r="J976" t="n">
        <v>956</v>
      </c>
      <c r="K976">
        <f>J976*PI()/(2*$B$6)</f>
        <v/>
      </c>
      <c r="L976">
        <f>IF(OR(J976=0,J976=$B$6),1,IF(MOD(J976,2)=1,4,2))</f>
        <v/>
      </c>
      <c r="M976">
        <f>1/SQRT(1-($E$5^2)*(SIN(K976)^2))</f>
        <v/>
      </c>
      <c r="N976">
        <f>SQRT(1-($E$5^2)*(SIN(K976)^2))</f>
        <v/>
      </c>
    </row>
    <row r="977" ht="20" customHeight="1">
      <c r="J977" t="n">
        <v>957</v>
      </c>
      <c r="K977">
        <f>J977*PI()/(2*$B$6)</f>
        <v/>
      </c>
      <c r="L977">
        <f>IF(OR(J977=0,J977=$B$6),1,IF(MOD(J977,2)=1,4,2))</f>
        <v/>
      </c>
      <c r="M977">
        <f>1/SQRT(1-($E$5^2)*(SIN(K977)^2))</f>
        <v/>
      </c>
      <c r="N977">
        <f>SQRT(1-($E$5^2)*(SIN(K977)^2))</f>
        <v/>
      </c>
    </row>
    <row r="978" ht="20" customHeight="1">
      <c r="J978" t="n">
        <v>958</v>
      </c>
      <c r="K978">
        <f>J978*PI()/(2*$B$6)</f>
        <v/>
      </c>
      <c r="L978">
        <f>IF(OR(J978=0,J978=$B$6),1,IF(MOD(J978,2)=1,4,2))</f>
        <v/>
      </c>
      <c r="M978">
        <f>1/SQRT(1-($E$5^2)*(SIN(K978)^2))</f>
        <v/>
      </c>
      <c r="N978">
        <f>SQRT(1-($E$5^2)*(SIN(K978)^2))</f>
        <v/>
      </c>
    </row>
    <row r="979" ht="20" customHeight="1">
      <c r="J979" t="n">
        <v>959</v>
      </c>
      <c r="K979">
        <f>J979*PI()/(2*$B$6)</f>
        <v/>
      </c>
      <c r="L979">
        <f>IF(OR(J979=0,J979=$B$6),1,IF(MOD(J979,2)=1,4,2))</f>
        <v/>
      </c>
      <c r="M979">
        <f>1/SQRT(1-($E$5^2)*(SIN(K979)^2))</f>
        <v/>
      </c>
      <c r="N979">
        <f>SQRT(1-($E$5^2)*(SIN(K979)^2))</f>
        <v/>
      </c>
    </row>
    <row r="980" ht="20" customHeight="1">
      <c r="J980" t="n">
        <v>960</v>
      </c>
      <c r="K980">
        <f>J980*PI()/(2*$B$6)</f>
        <v/>
      </c>
      <c r="L980">
        <f>IF(OR(J980=0,J980=$B$6),1,IF(MOD(J980,2)=1,4,2))</f>
        <v/>
      </c>
      <c r="M980">
        <f>1/SQRT(1-($E$5^2)*(SIN(K980)^2))</f>
        <v/>
      </c>
      <c r="N980">
        <f>SQRT(1-($E$5^2)*(SIN(K980)^2))</f>
        <v/>
      </c>
    </row>
    <row r="981" ht="20" customHeight="1">
      <c r="J981" t="n">
        <v>961</v>
      </c>
      <c r="K981">
        <f>J981*PI()/(2*$B$6)</f>
        <v/>
      </c>
      <c r="L981">
        <f>IF(OR(J981=0,J981=$B$6),1,IF(MOD(J981,2)=1,4,2))</f>
        <v/>
      </c>
      <c r="M981">
        <f>1/SQRT(1-($E$5^2)*(SIN(K981)^2))</f>
        <v/>
      </c>
      <c r="N981">
        <f>SQRT(1-($E$5^2)*(SIN(K981)^2))</f>
        <v/>
      </c>
    </row>
    <row r="982" ht="20" customHeight="1">
      <c r="J982" t="n">
        <v>962</v>
      </c>
      <c r="K982">
        <f>J982*PI()/(2*$B$6)</f>
        <v/>
      </c>
      <c r="L982">
        <f>IF(OR(J982=0,J982=$B$6),1,IF(MOD(J982,2)=1,4,2))</f>
        <v/>
      </c>
      <c r="M982">
        <f>1/SQRT(1-($E$5^2)*(SIN(K982)^2))</f>
        <v/>
      </c>
      <c r="N982">
        <f>SQRT(1-($E$5^2)*(SIN(K982)^2))</f>
        <v/>
      </c>
    </row>
    <row r="983" ht="20" customHeight="1">
      <c r="J983" t="n">
        <v>963</v>
      </c>
      <c r="K983">
        <f>J983*PI()/(2*$B$6)</f>
        <v/>
      </c>
      <c r="L983">
        <f>IF(OR(J983=0,J983=$B$6),1,IF(MOD(J983,2)=1,4,2))</f>
        <v/>
      </c>
      <c r="M983">
        <f>1/SQRT(1-($E$5^2)*(SIN(K983)^2))</f>
        <v/>
      </c>
      <c r="N983">
        <f>SQRT(1-($E$5^2)*(SIN(K983)^2))</f>
        <v/>
      </c>
    </row>
    <row r="984" ht="20" customHeight="1">
      <c r="J984" t="n">
        <v>964</v>
      </c>
      <c r="K984">
        <f>J984*PI()/(2*$B$6)</f>
        <v/>
      </c>
      <c r="L984">
        <f>IF(OR(J984=0,J984=$B$6),1,IF(MOD(J984,2)=1,4,2))</f>
        <v/>
      </c>
      <c r="M984">
        <f>1/SQRT(1-($E$5^2)*(SIN(K984)^2))</f>
        <v/>
      </c>
      <c r="N984">
        <f>SQRT(1-($E$5^2)*(SIN(K984)^2))</f>
        <v/>
      </c>
    </row>
    <row r="985" ht="20" customHeight="1">
      <c r="J985" t="n">
        <v>965</v>
      </c>
      <c r="K985">
        <f>J985*PI()/(2*$B$6)</f>
        <v/>
      </c>
      <c r="L985">
        <f>IF(OR(J985=0,J985=$B$6),1,IF(MOD(J985,2)=1,4,2))</f>
        <v/>
      </c>
      <c r="M985">
        <f>1/SQRT(1-($E$5^2)*(SIN(K985)^2))</f>
        <v/>
      </c>
      <c r="N985">
        <f>SQRT(1-($E$5^2)*(SIN(K985)^2))</f>
        <v/>
      </c>
    </row>
    <row r="986" ht="20" customHeight="1">
      <c r="J986" t="n">
        <v>966</v>
      </c>
      <c r="K986">
        <f>J986*PI()/(2*$B$6)</f>
        <v/>
      </c>
      <c r="L986">
        <f>IF(OR(J986=0,J986=$B$6),1,IF(MOD(J986,2)=1,4,2))</f>
        <v/>
      </c>
      <c r="M986">
        <f>1/SQRT(1-($E$5^2)*(SIN(K986)^2))</f>
        <v/>
      </c>
      <c r="N986">
        <f>SQRT(1-($E$5^2)*(SIN(K986)^2))</f>
        <v/>
      </c>
    </row>
    <row r="987" ht="20" customHeight="1">
      <c r="J987" t="n">
        <v>967</v>
      </c>
      <c r="K987">
        <f>J987*PI()/(2*$B$6)</f>
        <v/>
      </c>
      <c r="L987">
        <f>IF(OR(J987=0,J987=$B$6),1,IF(MOD(J987,2)=1,4,2))</f>
        <v/>
      </c>
      <c r="M987">
        <f>1/SQRT(1-($E$5^2)*(SIN(K987)^2))</f>
        <v/>
      </c>
      <c r="N987">
        <f>SQRT(1-($E$5^2)*(SIN(K987)^2))</f>
        <v/>
      </c>
    </row>
    <row r="988" ht="20" customHeight="1">
      <c r="J988" t="n">
        <v>968</v>
      </c>
      <c r="K988">
        <f>J988*PI()/(2*$B$6)</f>
        <v/>
      </c>
      <c r="L988">
        <f>IF(OR(J988=0,J988=$B$6),1,IF(MOD(J988,2)=1,4,2))</f>
        <v/>
      </c>
      <c r="M988">
        <f>1/SQRT(1-($E$5^2)*(SIN(K988)^2))</f>
        <v/>
      </c>
      <c r="N988">
        <f>SQRT(1-($E$5^2)*(SIN(K988)^2))</f>
        <v/>
      </c>
    </row>
    <row r="989" ht="20" customHeight="1">
      <c r="J989" t="n">
        <v>969</v>
      </c>
      <c r="K989">
        <f>J989*PI()/(2*$B$6)</f>
        <v/>
      </c>
      <c r="L989">
        <f>IF(OR(J989=0,J989=$B$6),1,IF(MOD(J989,2)=1,4,2))</f>
        <v/>
      </c>
      <c r="M989">
        <f>1/SQRT(1-($E$5^2)*(SIN(K989)^2))</f>
        <v/>
      </c>
      <c r="N989">
        <f>SQRT(1-($E$5^2)*(SIN(K989)^2))</f>
        <v/>
      </c>
    </row>
    <row r="990" ht="20" customHeight="1">
      <c r="J990" t="n">
        <v>970</v>
      </c>
      <c r="K990">
        <f>J990*PI()/(2*$B$6)</f>
        <v/>
      </c>
      <c r="L990">
        <f>IF(OR(J990=0,J990=$B$6),1,IF(MOD(J990,2)=1,4,2))</f>
        <v/>
      </c>
      <c r="M990">
        <f>1/SQRT(1-($E$5^2)*(SIN(K990)^2))</f>
        <v/>
      </c>
      <c r="N990">
        <f>SQRT(1-($E$5^2)*(SIN(K990)^2))</f>
        <v/>
      </c>
    </row>
    <row r="991" ht="20" customHeight="1">
      <c r="J991" t="n">
        <v>971</v>
      </c>
      <c r="K991">
        <f>J991*PI()/(2*$B$6)</f>
        <v/>
      </c>
      <c r="L991">
        <f>IF(OR(J991=0,J991=$B$6),1,IF(MOD(J991,2)=1,4,2))</f>
        <v/>
      </c>
      <c r="M991">
        <f>1/SQRT(1-($E$5^2)*(SIN(K991)^2))</f>
        <v/>
      </c>
      <c r="N991">
        <f>SQRT(1-($E$5^2)*(SIN(K991)^2))</f>
        <v/>
      </c>
    </row>
    <row r="992" ht="20" customHeight="1">
      <c r="J992" t="n">
        <v>972</v>
      </c>
      <c r="K992">
        <f>J992*PI()/(2*$B$6)</f>
        <v/>
      </c>
      <c r="L992">
        <f>IF(OR(J992=0,J992=$B$6),1,IF(MOD(J992,2)=1,4,2))</f>
        <v/>
      </c>
      <c r="M992">
        <f>1/SQRT(1-($E$5^2)*(SIN(K992)^2))</f>
        <v/>
      </c>
      <c r="N992">
        <f>SQRT(1-($E$5^2)*(SIN(K992)^2))</f>
        <v/>
      </c>
    </row>
    <row r="993" ht="20" customHeight="1">
      <c r="J993" t="n">
        <v>973</v>
      </c>
      <c r="K993">
        <f>J993*PI()/(2*$B$6)</f>
        <v/>
      </c>
      <c r="L993">
        <f>IF(OR(J993=0,J993=$B$6),1,IF(MOD(J993,2)=1,4,2))</f>
        <v/>
      </c>
      <c r="M993">
        <f>1/SQRT(1-($E$5^2)*(SIN(K993)^2))</f>
        <v/>
      </c>
      <c r="N993">
        <f>SQRT(1-($E$5^2)*(SIN(K993)^2))</f>
        <v/>
      </c>
    </row>
    <row r="994" ht="20" customHeight="1">
      <c r="J994" t="n">
        <v>974</v>
      </c>
      <c r="K994">
        <f>J994*PI()/(2*$B$6)</f>
        <v/>
      </c>
      <c r="L994">
        <f>IF(OR(J994=0,J994=$B$6),1,IF(MOD(J994,2)=1,4,2))</f>
        <v/>
      </c>
      <c r="M994">
        <f>1/SQRT(1-($E$5^2)*(SIN(K994)^2))</f>
        <v/>
      </c>
      <c r="N994">
        <f>SQRT(1-($E$5^2)*(SIN(K994)^2))</f>
        <v/>
      </c>
    </row>
    <row r="995" ht="20" customHeight="1">
      <c r="J995" t="n">
        <v>975</v>
      </c>
      <c r="K995">
        <f>J995*PI()/(2*$B$6)</f>
        <v/>
      </c>
      <c r="L995">
        <f>IF(OR(J995=0,J995=$B$6),1,IF(MOD(J995,2)=1,4,2))</f>
        <v/>
      </c>
      <c r="M995">
        <f>1/SQRT(1-($E$5^2)*(SIN(K995)^2))</f>
        <v/>
      </c>
      <c r="N995">
        <f>SQRT(1-($E$5^2)*(SIN(K995)^2))</f>
        <v/>
      </c>
    </row>
    <row r="996" ht="20" customHeight="1">
      <c r="J996" t="n">
        <v>976</v>
      </c>
      <c r="K996">
        <f>J996*PI()/(2*$B$6)</f>
        <v/>
      </c>
      <c r="L996">
        <f>IF(OR(J996=0,J996=$B$6),1,IF(MOD(J996,2)=1,4,2))</f>
        <v/>
      </c>
      <c r="M996">
        <f>1/SQRT(1-($E$5^2)*(SIN(K996)^2))</f>
        <v/>
      </c>
      <c r="N996">
        <f>SQRT(1-($E$5^2)*(SIN(K996)^2))</f>
        <v/>
      </c>
    </row>
    <row r="997" ht="20" customHeight="1">
      <c r="J997" t="n">
        <v>977</v>
      </c>
      <c r="K997">
        <f>J997*PI()/(2*$B$6)</f>
        <v/>
      </c>
      <c r="L997">
        <f>IF(OR(J997=0,J997=$B$6),1,IF(MOD(J997,2)=1,4,2))</f>
        <v/>
      </c>
      <c r="M997">
        <f>1/SQRT(1-($E$5^2)*(SIN(K997)^2))</f>
        <v/>
      </c>
      <c r="N997">
        <f>SQRT(1-($E$5^2)*(SIN(K997)^2))</f>
        <v/>
      </c>
    </row>
    <row r="998" ht="20" customHeight="1">
      <c r="J998" t="n">
        <v>978</v>
      </c>
      <c r="K998">
        <f>J998*PI()/(2*$B$6)</f>
        <v/>
      </c>
      <c r="L998">
        <f>IF(OR(J998=0,J998=$B$6),1,IF(MOD(J998,2)=1,4,2))</f>
        <v/>
      </c>
      <c r="M998">
        <f>1/SQRT(1-($E$5^2)*(SIN(K998)^2))</f>
        <v/>
      </c>
      <c r="N998">
        <f>SQRT(1-($E$5^2)*(SIN(K998)^2))</f>
        <v/>
      </c>
    </row>
    <row r="999" ht="20" customHeight="1">
      <c r="J999" t="n">
        <v>979</v>
      </c>
      <c r="K999">
        <f>J999*PI()/(2*$B$6)</f>
        <v/>
      </c>
      <c r="L999">
        <f>IF(OR(J999=0,J999=$B$6),1,IF(MOD(J999,2)=1,4,2))</f>
        <v/>
      </c>
      <c r="M999">
        <f>1/SQRT(1-($E$5^2)*(SIN(K999)^2))</f>
        <v/>
      </c>
      <c r="N999">
        <f>SQRT(1-($E$5^2)*(SIN(K999)^2))</f>
        <v/>
      </c>
    </row>
    <row r="1000" ht="20" customHeight="1">
      <c r="J1000" t="n">
        <v>980</v>
      </c>
      <c r="K1000">
        <f>J1000*PI()/(2*$B$6)</f>
        <v/>
      </c>
      <c r="L1000">
        <f>IF(OR(J1000=0,J1000=$B$6),1,IF(MOD(J1000,2)=1,4,2))</f>
        <v/>
      </c>
      <c r="M1000">
        <f>1/SQRT(1-($E$5^2)*(SIN(K1000)^2))</f>
        <v/>
      </c>
      <c r="N1000">
        <f>SQRT(1-($E$5^2)*(SIN(K1000)^2))</f>
        <v/>
      </c>
    </row>
    <row r="1001" ht="20" customHeight="1">
      <c r="J1001" t="n">
        <v>981</v>
      </c>
      <c r="K1001">
        <f>J1001*PI()/(2*$B$6)</f>
        <v/>
      </c>
      <c r="L1001">
        <f>IF(OR(J1001=0,J1001=$B$6),1,IF(MOD(J1001,2)=1,4,2))</f>
        <v/>
      </c>
      <c r="M1001">
        <f>1/SQRT(1-($E$5^2)*(SIN(K1001)^2))</f>
        <v/>
      </c>
      <c r="N1001">
        <f>SQRT(1-($E$5^2)*(SIN(K1001)^2))</f>
        <v/>
      </c>
    </row>
    <row r="1002" ht="20" customHeight="1">
      <c r="J1002" t="n">
        <v>982</v>
      </c>
      <c r="K1002">
        <f>J1002*PI()/(2*$B$6)</f>
        <v/>
      </c>
      <c r="L1002">
        <f>IF(OR(J1002=0,J1002=$B$6),1,IF(MOD(J1002,2)=1,4,2))</f>
        <v/>
      </c>
      <c r="M1002">
        <f>1/SQRT(1-($E$5^2)*(SIN(K1002)^2))</f>
        <v/>
      </c>
      <c r="N1002">
        <f>SQRT(1-($E$5^2)*(SIN(K1002)^2))</f>
        <v/>
      </c>
    </row>
    <row r="1003" ht="20" customHeight="1">
      <c r="J1003" t="n">
        <v>983</v>
      </c>
      <c r="K1003">
        <f>J1003*PI()/(2*$B$6)</f>
        <v/>
      </c>
      <c r="L1003">
        <f>IF(OR(J1003=0,J1003=$B$6),1,IF(MOD(J1003,2)=1,4,2))</f>
        <v/>
      </c>
      <c r="M1003">
        <f>1/SQRT(1-($E$5^2)*(SIN(K1003)^2))</f>
        <v/>
      </c>
      <c r="N1003">
        <f>SQRT(1-($E$5^2)*(SIN(K1003)^2))</f>
        <v/>
      </c>
    </row>
    <row r="1004" ht="20" customHeight="1">
      <c r="J1004" t="n">
        <v>984</v>
      </c>
      <c r="K1004">
        <f>J1004*PI()/(2*$B$6)</f>
        <v/>
      </c>
      <c r="L1004">
        <f>IF(OR(J1004=0,J1004=$B$6),1,IF(MOD(J1004,2)=1,4,2))</f>
        <v/>
      </c>
      <c r="M1004">
        <f>1/SQRT(1-($E$5^2)*(SIN(K1004)^2))</f>
        <v/>
      </c>
      <c r="N1004">
        <f>SQRT(1-($E$5^2)*(SIN(K1004)^2))</f>
        <v/>
      </c>
    </row>
    <row r="1005" ht="20" customHeight="1">
      <c r="J1005" t="n">
        <v>985</v>
      </c>
      <c r="K1005">
        <f>J1005*PI()/(2*$B$6)</f>
        <v/>
      </c>
      <c r="L1005">
        <f>IF(OR(J1005=0,J1005=$B$6),1,IF(MOD(J1005,2)=1,4,2))</f>
        <v/>
      </c>
      <c r="M1005">
        <f>1/SQRT(1-($E$5^2)*(SIN(K1005)^2))</f>
        <v/>
      </c>
      <c r="N1005">
        <f>SQRT(1-($E$5^2)*(SIN(K1005)^2))</f>
        <v/>
      </c>
    </row>
    <row r="1006" ht="20" customHeight="1">
      <c r="J1006" t="n">
        <v>986</v>
      </c>
      <c r="K1006">
        <f>J1006*PI()/(2*$B$6)</f>
        <v/>
      </c>
      <c r="L1006">
        <f>IF(OR(J1006=0,J1006=$B$6),1,IF(MOD(J1006,2)=1,4,2))</f>
        <v/>
      </c>
      <c r="M1006">
        <f>1/SQRT(1-($E$5^2)*(SIN(K1006)^2))</f>
        <v/>
      </c>
      <c r="N1006">
        <f>SQRT(1-($E$5^2)*(SIN(K1006)^2))</f>
        <v/>
      </c>
    </row>
    <row r="1007" ht="20" customHeight="1">
      <c r="J1007" t="n">
        <v>987</v>
      </c>
      <c r="K1007">
        <f>J1007*PI()/(2*$B$6)</f>
        <v/>
      </c>
      <c r="L1007">
        <f>IF(OR(J1007=0,J1007=$B$6),1,IF(MOD(J1007,2)=1,4,2))</f>
        <v/>
      </c>
      <c r="M1007">
        <f>1/SQRT(1-($E$5^2)*(SIN(K1007)^2))</f>
        <v/>
      </c>
      <c r="N1007">
        <f>SQRT(1-($E$5^2)*(SIN(K1007)^2))</f>
        <v/>
      </c>
    </row>
    <row r="1008" ht="20" customHeight="1">
      <c r="J1008" t="n">
        <v>988</v>
      </c>
      <c r="K1008">
        <f>J1008*PI()/(2*$B$6)</f>
        <v/>
      </c>
      <c r="L1008">
        <f>IF(OR(J1008=0,J1008=$B$6),1,IF(MOD(J1008,2)=1,4,2))</f>
        <v/>
      </c>
      <c r="M1008">
        <f>1/SQRT(1-($E$5^2)*(SIN(K1008)^2))</f>
        <v/>
      </c>
      <c r="N1008">
        <f>SQRT(1-($E$5^2)*(SIN(K1008)^2))</f>
        <v/>
      </c>
    </row>
    <row r="1009" ht="20" customHeight="1">
      <c r="J1009" t="n">
        <v>989</v>
      </c>
      <c r="K1009">
        <f>J1009*PI()/(2*$B$6)</f>
        <v/>
      </c>
      <c r="L1009">
        <f>IF(OR(J1009=0,J1009=$B$6),1,IF(MOD(J1009,2)=1,4,2))</f>
        <v/>
      </c>
      <c r="M1009">
        <f>1/SQRT(1-($E$5^2)*(SIN(K1009)^2))</f>
        <v/>
      </c>
      <c r="N1009">
        <f>SQRT(1-($E$5^2)*(SIN(K1009)^2))</f>
        <v/>
      </c>
    </row>
    <row r="1010" ht="20" customHeight="1">
      <c r="J1010" t="n">
        <v>990</v>
      </c>
      <c r="K1010">
        <f>J1010*PI()/(2*$B$6)</f>
        <v/>
      </c>
      <c r="L1010">
        <f>IF(OR(J1010=0,J1010=$B$6),1,IF(MOD(J1010,2)=1,4,2))</f>
        <v/>
      </c>
      <c r="M1010">
        <f>1/SQRT(1-($E$5^2)*(SIN(K1010)^2))</f>
        <v/>
      </c>
      <c r="N1010">
        <f>SQRT(1-($E$5^2)*(SIN(K1010)^2))</f>
        <v/>
      </c>
    </row>
    <row r="1011" ht="20" customHeight="1">
      <c r="J1011" t="n">
        <v>991</v>
      </c>
      <c r="K1011">
        <f>J1011*PI()/(2*$B$6)</f>
        <v/>
      </c>
      <c r="L1011">
        <f>IF(OR(J1011=0,J1011=$B$6),1,IF(MOD(J1011,2)=1,4,2))</f>
        <v/>
      </c>
      <c r="M1011">
        <f>1/SQRT(1-($E$5^2)*(SIN(K1011)^2))</f>
        <v/>
      </c>
      <c r="N1011">
        <f>SQRT(1-($E$5^2)*(SIN(K1011)^2))</f>
        <v/>
      </c>
    </row>
    <row r="1012" ht="20" customHeight="1">
      <c r="J1012" t="n">
        <v>992</v>
      </c>
      <c r="K1012">
        <f>J1012*PI()/(2*$B$6)</f>
        <v/>
      </c>
      <c r="L1012">
        <f>IF(OR(J1012=0,J1012=$B$6),1,IF(MOD(J1012,2)=1,4,2))</f>
        <v/>
      </c>
      <c r="M1012">
        <f>1/SQRT(1-($E$5^2)*(SIN(K1012)^2))</f>
        <v/>
      </c>
      <c r="N1012">
        <f>SQRT(1-($E$5^2)*(SIN(K1012)^2))</f>
        <v/>
      </c>
    </row>
    <row r="1013" ht="20" customHeight="1">
      <c r="J1013" t="n">
        <v>993</v>
      </c>
      <c r="K1013">
        <f>J1013*PI()/(2*$B$6)</f>
        <v/>
      </c>
      <c r="L1013">
        <f>IF(OR(J1013=0,J1013=$B$6),1,IF(MOD(J1013,2)=1,4,2))</f>
        <v/>
      </c>
      <c r="M1013">
        <f>1/SQRT(1-($E$5^2)*(SIN(K1013)^2))</f>
        <v/>
      </c>
      <c r="N1013">
        <f>SQRT(1-($E$5^2)*(SIN(K1013)^2))</f>
        <v/>
      </c>
    </row>
    <row r="1014" ht="20" customHeight="1">
      <c r="J1014" t="n">
        <v>994</v>
      </c>
      <c r="K1014">
        <f>J1014*PI()/(2*$B$6)</f>
        <v/>
      </c>
      <c r="L1014">
        <f>IF(OR(J1014=0,J1014=$B$6),1,IF(MOD(J1014,2)=1,4,2))</f>
        <v/>
      </c>
      <c r="M1014">
        <f>1/SQRT(1-($E$5^2)*(SIN(K1014)^2))</f>
        <v/>
      </c>
      <c r="N1014">
        <f>SQRT(1-($E$5^2)*(SIN(K1014)^2))</f>
        <v/>
      </c>
    </row>
    <row r="1015" ht="20" customHeight="1">
      <c r="J1015" t="n">
        <v>995</v>
      </c>
      <c r="K1015">
        <f>J1015*PI()/(2*$B$6)</f>
        <v/>
      </c>
      <c r="L1015">
        <f>IF(OR(J1015=0,J1015=$B$6),1,IF(MOD(J1015,2)=1,4,2))</f>
        <v/>
      </c>
      <c r="M1015">
        <f>1/SQRT(1-($E$5^2)*(SIN(K1015)^2))</f>
        <v/>
      </c>
      <c r="N1015">
        <f>SQRT(1-($E$5^2)*(SIN(K1015)^2))</f>
        <v/>
      </c>
    </row>
    <row r="1016" ht="20" customHeight="1">
      <c r="J1016" t="n">
        <v>996</v>
      </c>
      <c r="K1016">
        <f>J1016*PI()/(2*$B$6)</f>
        <v/>
      </c>
      <c r="L1016">
        <f>IF(OR(J1016=0,J1016=$B$6),1,IF(MOD(J1016,2)=1,4,2))</f>
        <v/>
      </c>
      <c r="M1016">
        <f>1/SQRT(1-($E$5^2)*(SIN(K1016)^2))</f>
        <v/>
      </c>
      <c r="N1016">
        <f>SQRT(1-($E$5^2)*(SIN(K1016)^2))</f>
        <v/>
      </c>
    </row>
    <row r="1017" ht="20" customHeight="1">
      <c r="J1017" t="n">
        <v>997</v>
      </c>
      <c r="K1017">
        <f>J1017*PI()/(2*$B$6)</f>
        <v/>
      </c>
      <c r="L1017">
        <f>IF(OR(J1017=0,J1017=$B$6),1,IF(MOD(J1017,2)=1,4,2))</f>
        <v/>
      </c>
      <c r="M1017">
        <f>1/SQRT(1-($E$5^2)*(SIN(K1017)^2))</f>
        <v/>
      </c>
      <c r="N1017">
        <f>SQRT(1-($E$5^2)*(SIN(K1017)^2))</f>
        <v/>
      </c>
    </row>
    <row r="1018" ht="20" customHeight="1">
      <c r="J1018" t="n">
        <v>998</v>
      </c>
      <c r="K1018">
        <f>J1018*PI()/(2*$B$6)</f>
        <v/>
      </c>
      <c r="L1018">
        <f>IF(OR(J1018=0,J1018=$B$6),1,IF(MOD(J1018,2)=1,4,2))</f>
        <v/>
      </c>
      <c r="M1018">
        <f>1/SQRT(1-($E$5^2)*(SIN(K1018)^2))</f>
        <v/>
      </c>
      <c r="N1018">
        <f>SQRT(1-($E$5^2)*(SIN(K1018)^2))</f>
        <v/>
      </c>
    </row>
    <row r="1019" ht="20" customHeight="1">
      <c r="J1019" t="n">
        <v>999</v>
      </c>
      <c r="K1019">
        <f>J1019*PI()/(2*$B$6)</f>
        <v/>
      </c>
      <c r="L1019">
        <f>IF(OR(J1019=0,J1019=$B$6),1,IF(MOD(J1019,2)=1,4,2))</f>
        <v/>
      </c>
      <c r="M1019">
        <f>1/SQRT(1-($E$5^2)*(SIN(K1019)^2))</f>
        <v/>
      </c>
      <c r="N1019">
        <f>SQRT(1-($E$5^2)*(SIN(K1019)^2))</f>
        <v/>
      </c>
    </row>
    <row r="1020" ht="20" customHeight="1">
      <c r="J1020" t="n">
        <v>1000</v>
      </c>
      <c r="K1020">
        <f>J1020*PI()/(2*$B$6)</f>
        <v/>
      </c>
      <c r="L1020">
        <f>IF(OR(J1020=0,J1020=$B$6),1,IF(MOD(J1020,2)=1,4,2))</f>
        <v/>
      </c>
      <c r="M1020">
        <f>1/SQRT(1-($E$5^2)*(SIN(K1020)^2))</f>
        <v/>
      </c>
      <c r="N1020">
        <f>SQRT(1-($E$5^2)*(SIN(K1020)^2))</f>
        <v/>
      </c>
    </row>
  </sheetData>
  <mergeCells count="4">
    <mergeCell ref="A3:B3"/>
    <mergeCell ref="D3:E3"/>
    <mergeCell ref="A1:E1"/>
    <mergeCell ref="A10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 ht="20" customHeight="1">
      <c r="A1" s="1" t="inlineStr">
        <is>
          <t>Wheeler 公式计算</t>
        </is>
      </c>
    </row>
    <row r="2" ht="20" customHeight="1"/>
    <row r="3" ht="20" customHeight="1">
      <c r="A3" s="2" t="inlineStr">
        <is>
          <t>单层公式</t>
        </is>
      </c>
      <c r="E3" s="2" t="inlineStr">
        <is>
          <t>多层 / 厚绕组公式</t>
        </is>
      </c>
    </row>
    <row r="4" ht="20" customHeight="1">
      <c r="A4" s="3" t="inlineStr">
        <is>
          <t>半径 r</t>
        </is>
      </c>
      <c r="B4" s="4">
        <f>主页!B4/2</f>
        <v/>
      </c>
      <c r="C4" s="5" t="inlineStr">
        <is>
          <t>mm</t>
        </is>
      </c>
      <c r="E4" s="3" t="inlineStr">
        <is>
          <t>平均半径 a</t>
        </is>
      </c>
      <c r="F4" s="4">
        <f>主页!B4/2+主页!B7/2</f>
        <v/>
      </c>
      <c r="G4" s="5" t="inlineStr">
        <is>
          <t>mm</t>
        </is>
      </c>
    </row>
    <row r="5" ht="20" customHeight="1">
      <c r="A5" s="3" t="inlineStr">
        <is>
          <t>长度 l</t>
        </is>
      </c>
      <c r="B5" s="4">
        <f>主页!B5</f>
        <v/>
      </c>
      <c r="C5" s="5" t="inlineStr">
        <is>
          <t>mm</t>
        </is>
      </c>
      <c r="E5" s="3" t="inlineStr">
        <is>
          <t>线圈长度 b</t>
        </is>
      </c>
      <c r="F5" s="4">
        <f>主页!B5</f>
        <v/>
      </c>
      <c r="G5" s="5" t="inlineStr">
        <is>
          <t>mm</t>
        </is>
      </c>
    </row>
    <row r="6" ht="20" customHeight="1">
      <c r="A6" s="3" t="inlineStr">
        <is>
          <t>匝数 N</t>
        </is>
      </c>
      <c r="B6" s="4">
        <f>主页!B6</f>
        <v/>
      </c>
      <c r="C6" s="5" t="inlineStr">
        <is>
          <t>匝</t>
        </is>
      </c>
      <c r="E6" s="3" t="inlineStr">
        <is>
          <t>径向厚度 c</t>
        </is>
      </c>
      <c r="F6" s="4">
        <f>主页!B7</f>
        <v/>
      </c>
      <c r="G6" s="5" t="inlineStr">
        <is>
          <t>mm</t>
        </is>
      </c>
    </row>
    <row r="7" ht="20" customHeight="1">
      <c r="A7" s="3" t="inlineStr">
        <is>
          <t>r(in)</t>
        </is>
      </c>
      <c r="B7" s="4">
        <f>B4/25.4</f>
        <v/>
      </c>
      <c r="C7" s="5" t="inlineStr">
        <is>
          <t>in</t>
        </is>
      </c>
      <c r="E7" s="3" t="inlineStr">
        <is>
          <t>匝数 N</t>
        </is>
      </c>
      <c r="F7" s="4">
        <f>主页!B6</f>
        <v/>
      </c>
      <c r="G7" s="5" t="inlineStr">
        <is>
          <t>匝</t>
        </is>
      </c>
    </row>
    <row r="8" ht="20" customHeight="1">
      <c r="A8" s="3" t="inlineStr">
        <is>
          <t>l(in)</t>
        </is>
      </c>
      <c r="B8" s="4">
        <f>B5/25.4</f>
        <v/>
      </c>
      <c r="C8" s="5" t="inlineStr">
        <is>
          <t>in</t>
        </is>
      </c>
      <c r="E8" s="3" t="inlineStr">
        <is>
          <t>a(in)</t>
        </is>
      </c>
      <c r="F8" s="4">
        <f>F4/25.4</f>
        <v/>
      </c>
      <c r="G8" s="5" t="inlineStr">
        <is>
          <t>in</t>
        </is>
      </c>
    </row>
    <row r="9" ht="20" customHeight="1">
      <c r="E9" s="3" t="inlineStr">
        <is>
          <t>b(in)</t>
        </is>
      </c>
      <c r="F9" s="4">
        <f>F5/25.4</f>
        <v/>
      </c>
      <c r="G9" s="5" t="inlineStr">
        <is>
          <t>in</t>
        </is>
      </c>
    </row>
    <row r="10" ht="20" customHeight="1">
      <c r="A10" s="3" t="inlineStr">
        <is>
          <t>Wheeler 原式</t>
        </is>
      </c>
      <c r="B10" s="11">
        <f>B7^2*B6^2/(9*B7+10*B8)</f>
        <v/>
      </c>
      <c r="C10" s="5" t="inlineStr">
        <is>
          <t>μH</t>
        </is>
      </c>
      <c r="E10" s="3" t="inlineStr">
        <is>
          <t>c(in)</t>
        </is>
      </c>
      <c r="F10" s="4">
        <f>F6/25.4</f>
        <v/>
      </c>
      <c r="G10" s="5" t="inlineStr">
        <is>
          <t>in</t>
        </is>
      </c>
    </row>
    <row r="11" ht="20" customHeight="1">
      <c r="A11" s="3" t="inlineStr">
        <is>
          <t>mm 等价式</t>
        </is>
      </c>
      <c r="B11" s="11">
        <f>0.03937007874*B4^2*B6^2/(9*B4+10*B5)</f>
        <v/>
      </c>
      <c r="C11" s="5" t="inlineStr">
        <is>
          <t>μH</t>
        </is>
      </c>
      <c r="E11" s="3" t="inlineStr">
        <is>
          <t>Wheeler 原式</t>
        </is>
      </c>
      <c r="F11" s="11">
        <f>0.8*F8^2*F7^2/(6*F8+9*F9+10*F10)</f>
        <v/>
      </c>
      <c r="G11" s="5" t="inlineStr">
        <is>
          <t>μH</t>
        </is>
      </c>
    </row>
    <row r="12" ht="20" customHeight="1">
      <c r="E12" s="3" t="inlineStr">
        <is>
          <t>mm 等价式</t>
        </is>
      </c>
      <c r="F12" s="11">
        <f>0.03149606299*F4^2*F7^2/(6*F4+9*F5+10*F6)</f>
        <v/>
      </c>
      <c r="G12" s="5" t="inlineStr">
        <is>
          <t>μH</t>
        </is>
      </c>
      <c r="I12" s="3" t="inlineStr">
        <is>
          <t>建议采用值</t>
        </is>
      </c>
    </row>
    <row r="13" ht="20" customHeight="1">
      <c r="A13" s="3" t="inlineStr">
        <is>
          <t>主页提取值</t>
        </is>
      </c>
      <c r="B13" s="7">
        <f>B11</f>
        <v/>
      </c>
      <c r="C13" s="5" t="inlineStr">
        <is>
          <t>μH</t>
        </is>
      </c>
      <c r="E13" s="3" t="inlineStr">
        <is>
          <t>主页提取值</t>
        </is>
      </c>
      <c r="F13" s="7">
        <f>F12</f>
        <v/>
      </c>
      <c r="G13" s="5" t="inlineStr">
        <is>
          <t>μH</t>
        </is>
      </c>
      <c r="I13" s="7">
        <f>IF(主页!B7&lt;=0.1,B13,F13)</f>
        <v/>
      </c>
    </row>
  </sheetData>
  <mergeCells count="3">
    <mergeCell ref="A1:I1"/>
    <mergeCell ref="A3:C3"/>
    <mergeCell ref="E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32" customWidth="1" min="4" max="4"/>
  </cols>
  <sheetData>
    <row r="1" ht="20" customHeight="1">
      <c r="A1" s="1" t="inlineStr">
        <is>
          <t>保温层厚度与外表面散热</t>
        </is>
      </c>
    </row>
    <row r="2" ht="20" customHeight="1"/>
    <row r="3" ht="20" customHeight="1">
      <c r="A3" s="12" t="inlineStr">
        <is>
          <t>输入（引用主页）</t>
        </is>
      </c>
    </row>
    <row r="4" ht="20" customHeight="1">
      <c r="A4" s="3" t="inlineStr">
        <is>
          <t>炉管半径 rp</t>
        </is>
      </c>
      <c r="B4" s="4">
        <f>主页!B12/2000</f>
        <v/>
      </c>
      <c r="C4" s="5" t="inlineStr">
        <is>
          <t>m</t>
        </is>
      </c>
    </row>
    <row r="5" ht="20" customHeight="1">
      <c r="A5" s="3" t="inlineStr">
        <is>
          <t>长度 L</t>
        </is>
      </c>
      <c r="B5" s="4">
        <f>主页!B13/1000</f>
        <v/>
      </c>
      <c r="C5" s="5" t="inlineStr">
        <is>
          <t>m</t>
        </is>
      </c>
    </row>
    <row r="6" ht="20" customHeight="1">
      <c r="A6" s="3" t="inlineStr">
        <is>
          <t>导热系数 λ</t>
        </is>
      </c>
      <c r="B6" s="4">
        <f>主页!B14</f>
        <v/>
      </c>
      <c r="C6" s="5" t="inlineStr">
        <is>
          <t>W/(m·K)</t>
        </is>
      </c>
    </row>
    <row r="7" ht="20" customHeight="1">
      <c r="A7" s="3" t="inlineStr">
        <is>
          <t>炉管温度 Tp</t>
        </is>
      </c>
      <c r="B7" s="4">
        <f>主页!B15</f>
        <v/>
      </c>
      <c r="C7" s="5" t="inlineStr">
        <is>
          <t>℃</t>
        </is>
      </c>
    </row>
    <row r="8" ht="20" customHeight="1">
      <c r="A8" s="3" t="inlineStr">
        <is>
          <t>外表面目标温度 Ts</t>
        </is>
      </c>
      <c r="B8" s="4">
        <f>主页!B16</f>
        <v/>
      </c>
      <c r="C8" s="5" t="inlineStr">
        <is>
          <t>℃</t>
        </is>
      </c>
    </row>
    <row r="9" ht="20" customHeight="1">
      <c r="A9" s="3" t="inlineStr">
        <is>
          <t>允许热损失 Q</t>
        </is>
      </c>
      <c r="B9" s="4">
        <f>主页!B17</f>
        <v/>
      </c>
      <c r="C9" s="5" t="inlineStr">
        <is>
          <t>W</t>
        </is>
      </c>
    </row>
    <row r="10" ht="20" customHeight="1">
      <c r="A10" s="3" t="inlineStr">
        <is>
          <t>环境温度 T∞</t>
        </is>
      </c>
      <c r="B10" s="4">
        <f>主页!B18</f>
        <v/>
      </c>
      <c r="C10" s="5" t="inlineStr">
        <is>
          <t>℃</t>
        </is>
      </c>
    </row>
    <row r="11" ht="20" customHeight="1">
      <c r="A11" s="3" t="inlineStr">
        <is>
          <t>对流系数 h</t>
        </is>
      </c>
      <c r="B11" s="4">
        <f>主页!B19</f>
        <v/>
      </c>
      <c r="C11" s="5" t="inlineStr">
        <is>
          <t>W/(m²·K)</t>
        </is>
      </c>
    </row>
    <row r="12" ht="20" customHeight="1">
      <c r="A12" s="3" t="inlineStr">
        <is>
          <t>发射率 ε</t>
        </is>
      </c>
      <c r="B12" s="4">
        <f>主页!B20</f>
        <v/>
      </c>
      <c r="C12" s="5" t="inlineStr">
        <is>
          <t>-</t>
        </is>
      </c>
    </row>
    <row r="13" ht="20" customHeight="1"/>
    <row r="14" ht="20" customHeight="1">
      <c r="A14" s="3" t="inlineStr">
        <is>
          <t>保温层厚度 δins</t>
        </is>
      </c>
      <c r="B14" s="7">
        <f>1000*B4*(EXP((2*PI()*B6*B5*(B7-B8))/B9)-1)</f>
        <v/>
      </c>
      <c r="C14" s="5" t="inlineStr">
        <is>
          <t>mm</t>
        </is>
      </c>
    </row>
    <row r="15" ht="20" customHeight="1">
      <c r="A15" s="3" t="inlineStr">
        <is>
          <t>Qins 校核</t>
        </is>
      </c>
      <c r="B15" s="7">
        <f>2*PI()*B6*B5*(B7-B8)/LN((B4+B14/1000)/B4)</f>
        <v/>
      </c>
      <c r="C15" s="5" t="inlineStr">
        <is>
          <t>W</t>
        </is>
      </c>
    </row>
    <row r="16" ht="20" customHeight="1">
      <c r="A16" s="3" t="inlineStr">
        <is>
          <t>保温层外半径 ro</t>
        </is>
      </c>
      <c r="B16" s="7">
        <f>B4+B14/1000</f>
        <v/>
      </c>
      <c r="C16" s="5" t="inlineStr">
        <is>
          <t>m</t>
        </is>
      </c>
    </row>
    <row r="17" ht="20" customHeight="1">
      <c r="A17" s="3" t="inlineStr">
        <is>
          <t>外表面积 Ao</t>
        </is>
      </c>
      <c r="B17" s="7">
        <f>2*PI()*B16*B5</f>
        <v/>
      </c>
      <c r="C17" s="5" t="inlineStr">
        <is>
          <t>m²</t>
        </is>
      </c>
    </row>
    <row r="18" ht="20" customHeight="1">
      <c r="A18" s="3" t="inlineStr">
        <is>
          <t>对流散热 Qconv</t>
        </is>
      </c>
      <c r="B18" s="7">
        <f>B11*B17*(B8-B10)</f>
        <v/>
      </c>
      <c r="C18" s="5" t="inlineStr">
        <is>
          <t>W</t>
        </is>
      </c>
    </row>
    <row r="19" ht="20" customHeight="1">
      <c r="A19" s="3" t="inlineStr">
        <is>
          <t>辐射+对流总散热</t>
        </is>
      </c>
      <c r="B19" s="7">
        <f>B18 + B12*5.67E-8*B17*((B8+273.15)^4-(B10+273.15)^4)</f>
        <v/>
      </c>
      <c r="C19" s="5" t="inlineStr">
        <is>
          <t>W</t>
        </is>
      </c>
    </row>
    <row r="20" ht="20" customHeight="1"/>
    <row r="21" ht="20" customHeight="1">
      <c r="A21" s="8" t="inlineStr">
        <is>
          <t>主公式：Qins = 2π λ L (Tp-Ts) / ln(ro/rp)。
此页给出按允许热损失反算保温层厚度，以及对流/辐射校核。</t>
        </is>
      </c>
    </row>
    <row r="22" ht="20" customHeight="1"/>
    <row r="23" ht="20" customHeight="1"/>
  </sheetData>
  <mergeCells count="2">
    <mergeCell ref="A1:D1"/>
    <mergeCell ref="A21:D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30" customWidth="1" min="4" max="4"/>
  </cols>
  <sheetData>
    <row r="1" ht="20" customHeight="1">
      <c r="A1" s="1" t="inlineStr">
        <is>
          <t>冷却水流量与流速校核</t>
        </is>
      </c>
    </row>
    <row r="2" ht="20" customHeight="1"/>
    <row r="3" ht="20" customHeight="1">
      <c r="A3" s="12" t="inlineStr">
        <is>
          <t>输入（引用主页）</t>
        </is>
      </c>
    </row>
    <row r="4" ht="20" customHeight="1">
      <c r="A4" s="3" t="inlineStr">
        <is>
          <t>线圈损耗 Pcoil</t>
        </is>
      </c>
      <c r="B4" s="4">
        <f>主页!B24</f>
        <v/>
      </c>
      <c r="C4" s="5" t="inlineStr">
        <is>
          <t>kW</t>
        </is>
      </c>
      <c r="D4" s="6" t="inlineStr">
        <is>
          <t>线圈本身损耗</t>
        </is>
      </c>
    </row>
    <row r="5" ht="20" customHeight="1">
      <c r="A5" s="3" t="inlineStr">
        <is>
          <t>附加吸热 Qgap→coil</t>
        </is>
      </c>
      <c r="B5" s="4">
        <f>主页!B25</f>
        <v/>
      </c>
      <c r="C5" s="5" t="inlineStr">
        <is>
          <t>kW</t>
        </is>
      </c>
      <c r="D5" s="6" t="inlineStr">
        <is>
          <t>保温层/空气隙传到线圈的热量</t>
        </is>
      </c>
    </row>
    <row r="6" ht="20" customHeight="1">
      <c r="A6" s="3" t="inlineStr">
        <is>
          <t>水进口温度</t>
        </is>
      </c>
      <c r="B6" s="4">
        <f>主页!B26</f>
        <v/>
      </c>
      <c r="C6" s="5" t="inlineStr">
        <is>
          <t>℃</t>
        </is>
      </c>
      <c r="D6" s="6" t="inlineStr">
        <is>
          <t>Tw,in</t>
        </is>
      </c>
    </row>
    <row r="7" ht="20" customHeight="1">
      <c r="A7" s="3" t="inlineStr">
        <is>
          <t>水出口温度</t>
        </is>
      </c>
      <c r="B7" s="4">
        <f>主页!B27</f>
        <v/>
      </c>
      <c r="C7" s="5" t="inlineStr">
        <is>
          <t>℃</t>
        </is>
      </c>
      <c r="D7" s="6" t="inlineStr">
        <is>
          <t>Tw,out</t>
        </is>
      </c>
    </row>
    <row r="8" ht="20" customHeight="1">
      <c r="A8" s="3" t="inlineStr">
        <is>
          <t>铜管内径 di</t>
        </is>
      </c>
      <c r="B8" s="4">
        <f>主页!B28</f>
        <v/>
      </c>
      <c r="C8" s="5" t="inlineStr">
        <is>
          <t>mm</t>
        </is>
      </c>
      <c r="D8" s="6" t="inlineStr">
        <is>
          <t>单路内径</t>
        </is>
      </c>
    </row>
    <row r="9" ht="20" customHeight="1">
      <c r="A9" s="3" t="inlineStr">
        <is>
          <t>并联水路数</t>
        </is>
      </c>
      <c r="B9" s="4">
        <f>主页!B29</f>
        <v/>
      </c>
      <c r="C9" s="5" t="inlineStr">
        <is>
          <t>路</t>
        </is>
      </c>
      <c r="D9" s="6" t="inlineStr">
        <is>
          <t>总流量按支路平均分配</t>
        </is>
      </c>
    </row>
    <row r="10" ht="20" customHeight="1">
      <c r="A10" s="3" t="inlineStr">
        <is>
          <t>总热负荷</t>
        </is>
      </c>
      <c r="B10" s="7">
        <f>1000*(B4+B5)</f>
        <v/>
      </c>
      <c r="C10" s="5" t="inlineStr">
        <is>
          <t>W</t>
        </is>
      </c>
      <c r="D10" s="6" t="inlineStr">
        <is>
          <t>Qtotal</t>
        </is>
      </c>
    </row>
    <row r="11" ht="20" customHeight="1">
      <c r="A11" s="3" t="inlineStr">
        <is>
          <t>温升 ΔT</t>
        </is>
      </c>
      <c r="B11" s="7">
        <f>B7-B6</f>
        <v/>
      </c>
      <c r="C11" s="5" t="inlineStr">
        <is>
          <t>K</t>
        </is>
      </c>
      <c r="D11" s="6" t="inlineStr"/>
    </row>
    <row r="12" ht="20" customHeight="1">
      <c r="A12" s="3" t="inlineStr">
        <is>
          <t>总流量</t>
        </is>
      </c>
      <c r="B12" s="7">
        <f>60000*(B10/(4180*B11))/1000</f>
        <v/>
      </c>
      <c r="C12" s="5" t="inlineStr">
        <is>
          <t>L/min</t>
        </is>
      </c>
      <c r="D12" s="6" t="inlineStr">
        <is>
          <t>Qtotal = m·cp·ΔT</t>
        </is>
      </c>
    </row>
    <row r="13" ht="20" customHeight="1">
      <c r="A13" s="3" t="inlineStr">
        <is>
          <t>单路流量</t>
        </is>
      </c>
      <c r="B13" s="7">
        <f>B12/B9</f>
        <v/>
      </c>
      <c r="C13" s="5" t="inlineStr">
        <is>
          <t>L/min</t>
        </is>
      </c>
      <c r="D13" s="6" t="inlineStr"/>
    </row>
    <row r="14" ht="20" customHeight="1">
      <c r="A14" s="3" t="inlineStr">
        <is>
          <t>单路平均流速</t>
        </is>
      </c>
      <c r="B14" s="7">
        <f>4*((B13/60000)/1000)/(PI()*(B8/1000)^2)</f>
        <v/>
      </c>
      <c r="C14" s="5" t="inlineStr">
        <is>
          <t>m/s</t>
        </is>
      </c>
      <c r="D14" s="6" t="inlineStr">
        <is>
          <t>v=4Q/(πdi²)</t>
        </is>
      </c>
    </row>
    <row r="15" ht="20" customHeight="1">
      <c r="A15" s="3" t="inlineStr">
        <is>
          <t>流速建议</t>
        </is>
      </c>
      <c r="B15" s="7">
        <f>IF(B14&lt;1.2,"偏低",IF(B14&lt;=2.0,"推荐区间",IF(B14&lt;=2.5,"强化冷却可用","偏高，注意压降/冲蚀")))</f>
        <v/>
      </c>
      <c r="C15" s="5" t="inlineStr">
        <is>
          <t>-</t>
        </is>
      </c>
      <c r="D15" s="6" t="inlineStr">
        <is>
          <t>工程建议值 1.2~2.0 m/s</t>
        </is>
      </c>
    </row>
    <row r="16" ht="20" customHeight="1"/>
    <row r="17" ht="20" customHeight="1">
      <c r="A17" s="8" t="inlineStr">
        <is>
          <t>说明：总热负荷 = 线圈损耗 + 附加吸热。总流量由 Q = m·cp·ΔT 计算，再按并联水路平均分配并校核流速。</t>
        </is>
      </c>
    </row>
    <row r="18" ht="20" customHeight="1"/>
    <row r="19" ht="20" customHeight="1"/>
  </sheetData>
  <mergeCells count="2">
    <mergeCell ref="A1:D1"/>
    <mergeCell ref="A17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2026-03-31T07:14:52Z</dcterms:created>
  <dcterms:modified xmlns:dcterms="http://purl.org/dc/terms/" xmlns:xsi="http://www.w3.org/2001/XMLSchema-instance" xsi:type="dcterms:W3CDTF">2026-03-31T07:14:52Z</dcterms:modified>
</cp:coreProperties>
</file>